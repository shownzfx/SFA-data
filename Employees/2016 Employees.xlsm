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charts/chart1.xml" ContentType="application/vnd.openxmlformats-officedocument.drawingml.chart+xml"/>
  <Override PartName="/xl/worksheets/sheet3.xml" ContentType="application/vnd.openxmlformats-officedocument.spreadsheetml.worksheet+xml"/>
  <Override PartName="/xl/worksheets/sheet2.xml" ContentType="application/vnd.openxmlformats-officedocument.spreadsheetml.worksheet+xml"/>
  <Override PartName="/xl/drawings/drawing6.xml" ContentType="application/vnd.openxmlformats-officedocument.drawing+xml"/>
  <Override PartName="/xl/worksheets/sheet1.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3.xml" ContentType="application/vnd.openxmlformats-officedocument.drawing+xml"/>
  <Override PartName="/xl/ctrlProps/ctrlProp4.xml" ContentType="application/vnd.ms-excel.controlproperties+xml"/>
  <Override PartName="/docProps/custom.xml" ContentType="application/vnd.openxmlformats-officedocument.custom-properties+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xl/tables/table1.xml" ContentType="application/vnd.openxmlformats-officedocument.spreadsheetml.table+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trlProps/ctrlProp2.xml" ContentType="application/vnd.ms-excel.controlproperties+xml"/>
  <Override PartName="/xl/ctrlProps/ctrlProp3.xml" ContentType="application/vnd.ms-excel.controlproperties+xml"/>
  <Override PartName="/xl/tables/table5.xml" ContentType="application/vnd.openxmlformats-officedocument.spreadsheetml.table+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C:\Users\Jake\Dropbox (BCG)\BCG Active Projects\National Transit Database\FTA-NTD-CLIN0008-Annual Data Products\2016 Annual Data Products\Data Tables\Final Copies\"/>
    </mc:Choice>
  </mc:AlternateContent>
  <bookViews>
    <workbookView xWindow="0" yWindow="465" windowWidth="19200" windowHeight="5325" tabRatio="746"/>
  </bookViews>
  <sheets>
    <sheet name="Read Me" sheetId="4" r:id="rId1"/>
    <sheet name="Data Dictionary" sheetId="7" r:id="rId2"/>
    <sheet name="All Employees by Mode" sheetId="1" r:id="rId3"/>
    <sheet name="Full Time Employees by Mode" sheetId="5" r:id="rId4"/>
    <sheet name="Part Time Employees by Mode" sheetId="6" r:id="rId5"/>
    <sheet name="Agency Totals" sheetId="3" r:id="rId6"/>
    <sheet name="Summary Tables" sheetId="2" r:id="rId7"/>
  </sheets>
  <definedNames>
    <definedName name="_xlnm._FilterDatabase" localSheetId="5" hidden="1">'Agency Totals'!$A$1:$DC$531</definedName>
    <definedName name="_xlnm._FilterDatabase" localSheetId="2" hidden="1">'All Employees by Mode'!$A$1:$BE$700</definedName>
    <definedName name="_xlnm._FilterDatabase" localSheetId="3" hidden="1">'Full Time Employees by Mode'!$A$1:$AK$700</definedName>
    <definedName name="_xlnm._FilterDatabase" localSheetId="4" hidden="1">'Part Time Employees by Mode'!$A$1:$AK$700</definedName>
    <definedName name="FM_UZA" localSheetId="6">OFFSET('Summary Tables'!$AK$9,0,0,COUNT('Summary Tables'!$AK:$AK))</definedName>
    <definedName name="FM_Vehicles" localSheetId="6">OFFSET('Summary Tables'!$AQ$43,0,0,COUNT('Summary Tables'!$AQ:$AQ))</definedName>
    <definedName name="GA_UZA" localSheetId="6">OFFSET('Summary Tables'!$AL$9,0,0,COUNT('Summary Tables'!$AL:$AL))</definedName>
    <definedName name="GA_Vehicles" localSheetId="6">OFFSET('Summary Tables'!$AR$43,0,0,COUNT('Summary Tables'!$AR:$AR))</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ab4.7">Table2[[#Headers],[
VOMS]]</definedName>
    <definedName name="TitleRegion2.e8.ab17.7">Table3[[#Headers],[Column1]]</definedName>
    <definedName name="TitleRegion3.b23.ab38.7">Table4[[#Headers],[Description]]</definedName>
    <definedName name="TitleRegion4.e42.ab51.7">Table5[[#Headers],[Column1]]</definedName>
    <definedName name="TitleRegion5.d57.ab113.7">Table6[[#Headers],[State]]</definedName>
    <definedName name="Total_UZA" localSheetId="6">OFFSET('Summary Tables'!$AM$9,0,0,COUNT('Summary Tables'!$AM:$AM))</definedName>
    <definedName name="Total_Vehicles" localSheetId="6">OFFSET('Summary Tables'!$AS$43,0,0,COUNT('Summary Tables'!$AS:$AS))</definedName>
    <definedName name="VM_UZA" localSheetId="6">OFFSET('Summary Tables'!$AJ$9,0,0,COUNT('Summary Tables'!$AJ:$AJ))</definedName>
    <definedName name="VM_Vehicles" localSheetId="6">OFFSET('Summary Tables'!$AP$43,0,0,COUNT('Summary Tables'!$AP:$AP))</definedName>
    <definedName name="VO_UZA" localSheetId="6">OFFSET('Summary Tables'!$AI$9,0,0,COUNT('Summary Tables'!$AI:$AI))</definedName>
    <definedName name="VO_Vehicles" localSheetId="6">OFFSET('Summary Tables'!$AO$43,0,0,COUNT('Summary Tables'!$AO:$AO))</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A44" i="2" l="1"/>
  <c r="A10" i="2"/>
  <c r="DC383" i="3"/>
  <c r="DC382" i="3"/>
  <c r="DC381" i="3"/>
  <c r="DC380" i="3"/>
  <c r="DC379" i="3"/>
  <c r="DC378" i="3"/>
  <c r="DC377" i="3"/>
  <c r="DC376" i="3"/>
  <c r="DC375" i="3"/>
  <c r="DC374" i="3"/>
  <c r="DC373" i="3"/>
  <c r="DC372" i="3"/>
  <c r="DC371" i="3"/>
  <c r="DC370" i="3"/>
  <c r="DC369" i="3"/>
  <c r="DC368" i="3"/>
  <c r="DC367" i="3"/>
  <c r="DC366" i="3"/>
  <c r="DC365" i="3"/>
  <c r="DC364" i="3"/>
  <c r="DC363" i="3"/>
  <c r="DC362" i="3"/>
  <c r="DC361" i="3"/>
  <c r="DC360" i="3"/>
  <c r="DC359" i="3"/>
  <c r="DC358" i="3"/>
  <c r="DC357" i="3"/>
  <c r="DC356" i="3"/>
  <c r="DC355" i="3"/>
  <c r="DC354" i="3"/>
  <c r="DC353" i="3"/>
  <c r="DC352" i="3"/>
  <c r="DC351" i="3"/>
  <c r="DC350" i="3"/>
  <c r="DC349" i="3"/>
  <c r="DC348" i="3"/>
  <c r="DC347" i="3"/>
  <c r="DC346" i="3"/>
  <c r="DC345" i="3"/>
  <c r="DC344" i="3"/>
  <c r="DC343" i="3"/>
  <c r="DC342" i="3"/>
  <c r="DC341" i="3"/>
  <c r="DC340" i="3"/>
  <c r="DC339" i="3"/>
  <c r="DC338" i="3"/>
  <c r="DC337" i="3"/>
  <c r="DC336" i="3"/>
  <c r="DC335" i="3"/>
  <c r="DC334" i="3"/>
  <c r="DC333" i="3"/>
  <c r="DC332" i="3"/>
  <c r="DC331" i="3"/>
  <c r="DC330" i="3"/>
  <c r="DC329" i="3"/>
  <c r="DC328" i="3"/>
  <c r="DC327" i="3"/>
  <c r="DC326" i="3"/>
  <c r="DC325" i="3"/>
  <c r="DC324" i="3"/>
  <c r="DC323" i="3"/>
  <c r="DC322" i="3"/>
  <c r="DC321" i="3"/>
  <c r="DC320" i="3"/>
  <c r="DC319" i="3"/>
  <c r="DC318" i="3"/>
  <c r="DC317" i="3"/>
  <c r="DC316" i="3"/>
  <c r="DC315" i="3"/>
  <c r="DC314" i="3"/>
  <c r="DC313" i="3"/>
  <c r="DC312" i="3"/>
  <c r="DC311" i="3"/>
  <c r="DC310" i="3"/>
  <c r="DC309" i="3"/>
  <c r="DC308" i="3"/>
  <c r="DC307" i="3"/>
  <c r="DC306" i="3"/>
  <c r="DC305" i="3"/>
  <c r="DC304" i="3"/>
  <c r="DC303" i="3"/>
  <c r="DC302" i="3"/>
  <c r="DC301" i="3"/>
  <c r="DC300" i="3"/>
  <c r="DC299" i="3"/>
  <c r="DC298" i="3"/>
  <c r="DC297" i="3"/>
  <c r="DC296" i="3"/>
  <c r="DC295" i="3"/>
  <c r="DC294" i="3"/>
  <c r="DC293" i="3"/>
  <c r="DC292" i="3"/>
  <c r="DC291" i="3"/>
  <c r="DC290" i="3"/>
  <c r="DC289" i="3"/>
  <c r="DC288" i="3"/>
  <c r="DC287" i="3"/>
  <c r="DC286" i="3"/>
  <c r="DC285" i="3"/>
  <c r="DC284" i="3"/>
  <c r="DC283" i="3"/>
  <c r="DC282" i="3"/>
  <c r="DC281" i="3"/>
  <c r="DC280" i="3"/>
  <c r="DC279" i="3"/>
  <c r="DC278" i="3"/>
  <c r="DC277" i="3"/>
  <c r="DC276" i="3"/>
  <c r="DC275" i="3"/>
  <c r="DC274" i="3"/>
  <c r="DC273" i="3"/>
  <c r="DC272" i="3"/>
  <c r="DC271" i="3"/>
  <c r="DC270" i="3"/>
  <c r="DC269" i="3"/>
  <c r="DC268" i="3"/>
  <c r="DC267" i="3"/>
  <c r="DC266" i="3"/>
  <c r="DC265" i="3"/>
  <c r="DC264" i="3"/>
  <c r="DC263" i="3"/>
  <c r="DC262" i="3"/>
  <c r="DC261" i="3"/>
  <c r="DC260" i="3"/>
  <c r="DC259" i="3"/>
  <c r="DC258" i="3"/>
  <c r="DC257" i="3"/>
  <c r="DC256" i="3"/>
  <c r="DC255" i="3"/>
  <c r="DC254" i="3"/>
  <c r="DC253" i="3"/>
  <c r="DC252" i="3"/>
  <c r="DC251" i="3"/>
  <c r="DC250" i="3"/>
  <c r="DC249" i="3"/>
  <c r="DC248" i="3"/>
  <c r="DC247" i="3"/>
  <c r="DC246" i="3"/>
  <c r="DC245" i="3"/>
  <c r="DC244" i="3"/>
  <c r="DC243" i="3"/>
  <c r="DC242" i="3"/>
  <c r="DC241" i="3"/>
  <c r="DC240" i="3"/>
  <c r="DC239" i="3"/>
  <c r="DC238" i="3"/>
  <c r="DC237" i="3"/>
  <c r="DC236" i="3"/>
  <c r="DC235" i="3"/>
  <c r="DC234" i="3"/>
  <c r="DC233" i="3"/>
  <c r="DC232" i="3"/>
  <c r="DC231" i="3"/>
  <c r="DC230" i="3"/>
  <c r="DC229" i="3"/>
  <c r="DC228" i="3"/>
  <c r="DC227" i="3"/>
  <c r="DC226" i="3"/>
  <c r="DC225" i="3"/>
  <c r="DC224" i="3"/>
  <c r="DC223" i="3"/>
  <c r="DC222" i="3"/>
  <c r="DC221" i="3"/>
  <c r="DC220" i="3"/>
  <c r="DC219" i="3"/>
  <c r="DC218" i="3"/>
  <c r="DC217" i="3"/>
  <c r="DC216" i="3"/>
  <c r="DC215" i="3"/>
  <c r="DC214" i="3"/>
  <c r="DC213" i="3"/>
  <c r="DC212" i="3"/>
  <c r="DC211" i="3"/>
  <c r="DC210" i="3"/>
  <c r="DC209" i="3"/>
  <c r="DC208" i="3"/>
  <c r="DC207" i="3"/>
  <c r="DC206" i="3"/>
  <c r="DC205" i="3"/>
  <c r="DC204" i="3"/>
  <c r="DC203" i="3"/>
  <c r="DC202" i="3"/>
  <c r="DC201" i="3"/>
  <c r="DC200" i="3"/>
  <c r="DC199" i="3"/>
  <c r="DC198" i="3"/>
  <c r="DC197" i="3"/>
  <c r="DC196" i="3"/>
  <c r="DC195" i="3"/>
  <c r="DC194" i="3"/>
  <c r="DC193" i="3"/>
  <c r="DC192" i="3"/>
  <c r="DC191" i="3"/>
  <c r="DC190" i="3"/>
  <c r="DC189" i="3"/>
  <c r="DC188" i="3"/>
  <c r="DC187" i="3"/>
  <c r="DC186" i="3"/>
  <c r="DC185" i="3"/>
  <c r="DC184" i="3"/>
  <c r="DC183" i="3"/>
  <c r="DC182" i="3"/>
  <c r="DC181" i="3"/>
  <c r="DC180" i="3"/>
  <c r="DC179" i="3"/>
  <c r="DC178" i="3"/>
  <c r="DC177" i="3"/>
  <c r="DC176" i="3"/>
  <c r="DC175" i="3"/>
  <c r="DC174" i="3"/>
  <c r="DC173" i="3"/>
  <c r="DC172" i="3"/>
  <c r="DC171" i="3"/>
  <c r="DC170" i="3"/>
  <c r="DC169" i="3"/>
  <c r="DC168" i="3"/>
  <c r="DC167" i="3"/>
  <c r="DC166" i="3"/>
  <c r="DC165" i="3"/>
  <c r="DC164" i="3"/>
  <c r="DC163" i="3"/>
  <c r="DC162" i="3"/>
  <c r="DC161" i="3"/>
  <c r="DC160" i="3"/>
  <c r="DC159" i="3"/>
  <c r="DC158" i="3"/>
  <c r="DC157" i="3"/>
  <c r="DC156" i="3"/>
  <c r="DC155" i="3"/>
  <c r="DC154" i="3"/>
  <c r="DC153" i="3"/>
  <c r="DC152" i="3"/>
  <c r="DC151" i="3"/>
  <c r="DC150" i="3"/>
  <c r="DC149" i="3"/>
  <c r="DC148" i="3"/>
  <c r="DC147" i="3"/>
  <c r="DC146" i="3"/>
  <c r="DC145" i="3"/>
  <c r="DC144" i="3"/>
  <c r="DC143" i="3"/>
  <c r="DC142" i="3"/>
  <c r="DC141" i="3"/>
  <c r="DC140" i="3"/>
  <c r="DC139" i="3"/>
  <c r="DC138" i="3"/>
  <c r="DC137" i="3"/>
  <c r="DC136" i="3"/>
  <c r="DC135" i="3"/>
  <c r="DC134" i="3"/>
  <c r="DC133" i="3"/>
  <c r="DC132" i="3"/>
  <c r="DC131" i="3"/>
  <c r="DC130" i="3"/>
  <c r="DC129" i="3"/>
  <c r="DC128" i="3"/>
  <c r="DC127" i="3"/>
  <c r="DC126" i="3"/>
  <c r="DC125" i="3"/>
  <c r="DC124" i="3"/>
  <c r="DC123" i="3"/>
  <c r="DC122" i="3"/>
  <c r="DC121" i="3"/>
  <c r="DC120" i="3"/>
  <c r="DC119" i="3"/>
  <c r="DC118" i="3"/>
  <c r="DC117" i="3"/>
  <c r="DC116" i="3"/>
  <c r="DC115" i="3"/>
  <c r="DC114" i="3"/>
  <c r="DC113" i="3"/>
  <c r="DC112" i="3"/>
  <c r="DC111" i="3"/>
  <c r="DC110" i="3"/>
  <c r="DC109" i="3"/>
  <c r="DC108" i="3"/>
  <c r="DC107" i="3"/>
  <c r="DC106" i="3"/>
  <c r="DC105" i="3"/>
  <c r="DC104" i="3"/>
  <c r="DC103" i="3"/>
  <c r="DC102" i="3"/>
  <c r="DC101" i="3"/>
  <c r="DC100" i="3"/>
  <c r="DC99" i="3"/>
  <c r="DC98" i="3"/>
  <c r="DC97" i="3"/>
  <c r="DC96" i="3"/>
  <c r="DC95" i="3"/>
  <c r="DC94" i="3"/>
  <c r="DC93" i="3"/>
  <c r="DC92" i="3"/>
  <c r="DC91" i="3"/>
  <c r="DC90" i="3"/>
  <c r="DC89" i="3"/>
  <c r="DC88" i="3"/>
  <c r="DC87" i="3"/>
  <c r="DC86" i="3"/>
  <c r="DC85" i="3"/>
  <c r="DC84" i="3"/>
  <c r="DC83" i="3"/>
  <c r="DC82" i="3"/>
  <c r="DC81" i="3"/>
  <c r="DC80" i="3"/>
  <c r="DC79" i="3"/>
  <c r="DC78" i="3"/>
  <c r="DC77" i="3"/>
  <c r="DC76" i="3"/>
  <c r="DC75" i="3"/>
  <c r="DC74" i="3"/>
  <c r="DC73" i="3"/>
  <c r="DC72" i="3"/>
  <c r="DC71" i="3"/>
  <c r="DC70" i="3"/>
  <c r="DC69" i="3"/>
  <c r="DC68" i="3"/>
  <c r="DC67" i="3"/>
  <c r="DC66" i="3"/>
  <c r="DC65" i="3"/>
  <c r="DC64" i="3"/>
  <c r="DC63" i="3"/>
  <c r="DC62" i="3"/>
  <c r="DC61" i="3"/>
  <c r="DC60" i="3"/>
  <c r="DC59" i="3"/>
  <c r="DC58" i="3"/>
  <c r="DC57" i="3"/>
  <c r="DC56" i="3"/>
  <c r="DC55" i="3"/>
  <c r="DC54" i="3"/>
  <c r="DC53" i="3"/>
  <c r="DC52" i="3"/>
  <c r="DC51" i="3"/>
  <c r="DC50" i="3"/>
  <c r="DC49" i="3"/>
  <c r="DC48" i="3"/>
  <c r="DC47" i="3"/>
  <c r="DC46" i="3"/>
  <c r="DC45" i="3"/>
  <c r="DC44" i="3"/>
  <c r="DC43" i="3"/>
  <c r="DC42" i="3"/>
  <c r="DC41" i="3"/>
  <c r="DC40" i="3"/>
  <c r="DC39" i="3"/>
  <c r="DC38" i="3"/>
  <c r="DC37" i="3"/>
  <c r="DC36" i="3"/>
  <c r="DC35" i="3"/>
  <c r="DC34" i="3"/>
  <c r="DC33" i="3"/>
  <c r="DC32" i="3"/>
  <c r="DC31" i="3"/>
  <c r="DC30" i="3"/>
  <c r="DC29" i="3"/>
  <c r="DC28" i="3"/>
  <c r="DC27" i="3"/>
  <c r="DC26" i="3"/>
  <c r="DC25" i="3"/>
  <c r="DC24" i="3"/>
  <c r="DC23" i="3"/>
  <c r="DC22" i="3"/>
  <c r="DC21" i="3"/>
  <c r="DC20" i="3"/>
  <c r="DC19" i="3"/>
  <c r="DC18" i="3"/>
  <c r="DC17" i="3"/>
  <c r="DC16" i="3"/>
  <c r="DC15" i="3"/>
  <c r="DC14" i="3"/>
  <c r="DC13" i="3"/>
  <c r="DC12" i="3"/>
  <c r="DC11" i="3"/>
  <c r="DC10" i="3"/>
  <c r="DC9" i="3"/>
  <c r="DC8" i="3"/>
  <c r="DC7" i="3"/>
  <c r="DC6" i="3"/>
  <c r="DC5" i="3"/>
  <c r="DC4" i="3"/>
  <c r="DC3" i="3"/>
  <c r="DC2" i="3"/>
  <c r="AK700" i="6"/>
  <c r="AK699" i="6"/>
  <c r="AK698" i="6"/>
  <c r="AK697" i="6"/>
  <c r="AK694" i="6"/>
  <c r="AK696" i="6"/>
  <c r="AK695" i="6"/>
  <c r="AK693" i="6"/>
  <c r="AK692" i="6"/>
  <c r="AK691" i="6"/>
  <c r="AK690" i="6"/>
  <c r="AK688" i="6"/>
  <c r="AK687" i="6"/>
  <c r="AK689" i="6"/>
  <c r="AK686" i="6"/>
  <c r="AK685" i="6"/>
  <c r="AK684" i="6"/>
  <c r="AK683" i="6"/>
  <c r="AK682" i="6"/>
  <c r="AK681" i="6"/>
  <c r="AK680" i="6"/>
  <c r="AK677" i="6"/>
  <c r="AK679" i="6"/>
  <c r="AK676" i="6"/>
  <c r="AK678" i="6"/>
  <c r="AK675" i="6"/>
  <c r="AK674" i="6"/>
  <c r="AK670" i="6"/>
  <c r="AK673" i="6"/>
  <c r="AK672" i="6"/>
  <c r="AK668" i="6"/>
  <c r="AK671" i="6"/>
  <c r="AK669" i="6"/>
  <c r="AK667" i="6"/>
  <c r="AK664" i="6"/>
  <c r="AK666" i="6"/>
  <c r="AK665" i="6"/>
  <c r="AK662" i="6"/>
  <c r="AK663" i="6"/>
  <c r="AK661" i="6"/>
  <c r="AK660" i="6"/>
  <c r="AK659" i="6"/>
  <c r="AK658" i="6"/>
  <c r="AK656" i="6"/>
  <c r="AK657" i="6"/>
  <c r="AK652" i="6"/>
  <c r="AK651" i="6"/>
  <c r="AK653" i="6"/>
  <c r="AK655" i="6"/>
  <c r="AK654" i="6"/>
  <c r="AK649" i="6"/>
  <c r="AK650" i="6"/>
  <c r="AK647" i="6"/>
  <c r="AK648" i="6"/>
  <c r="AK643" i="6"/>
  <c r="AK641" i="6"/>
  <c r="AK646" i="6"/>
  <c r="AK642" i="6"/>
  <c r="AK639" i="6"/>
  <c r="AK645" i="6"/>
  <c r="AK640" i="6"/>
  <c r="AK638" i="6"/>
  <c r="AK644" i="6"/>
  <c r="AK636" i="6"/>
  <c r="AK635" i="6"/>
  <c r="AK637" i="6"/>
  <c r="AK634" i="6"/>
  <c r="AK632" i="6"/>
  <c r="AK630" i="6"/>
  <c r="AK633" i="6"/>
  <c r="AK629" i="6"/>
  <c r="AK631" i="6"/>
  <c r="AK628" i="6"/>
  <c r="AK625" i="6"/>
  <c r="AK623" i="6"/>
  <c r="AK626" i="6"/>
  <c r="AK627" i="6"/>
  <c r="AK624" i="6"/>
  <c r="AK617" i="6"/>
  <c r="AK614" i="6"/>
  <c r="AK613" i="6"/>
  <c r="AK621" i="6"/>
  <c r="AK620" i="6"/>
  <c r="AK615" i="6"/>
  <c r="AK619" i="6"/>
  <c r="AK612" i="6"/>
  <c r="AK618" i="6"/>
  <c r="AK622" i="6"/>
  <c r="AK616" i="6"/>
  <c r="AK607" i="6"/>
  <c r="AK606" i="6"/>
  <c r="AK610" i="6"/>
  <c r="AK608" i="6"/>
  <c r="AK609" i="6"/>
  <c r="AK611" i="6"/>
  <c r="AK602" i="6"/>
  <c r="AK604" i="6"/>
  <c r="AK603" i="6"/>
  <c r="AK605" i="6"/>
  <c r="AK601" i="6"/>
  <c r="AK598" i="6"/>
  <c r="AK600" i="6"/>
  <c r="AK596" i="6"/>
  <c r="AK599" i="6"/>
  <c r="AK597" i="6"/>
  <c r="AK594" i="6"/>
  <c r="AK593" i="6"/>
  <c r="AK592" i="6"/>
  <c r="AK589" i="6"/>
  <c r="AK590" i="6"/>
  <c r="AK588" i="6"/>
  <c r="AK595" i="6"/>
  <c r="AK591" i="6"/>
  <c r="AK587" i="6"/>
  <c r="AK586" i="6"/>
  <c r="AK583" i="6"/>
  <c r="AK585" i="6"/>
  <c r="AK582" i="6"/>
  <c r="AK584" i="6"/>
  <c r="AK581" i="6"/>
  <c r="AK578" i="6"/>
  <c r="AK579" i="6"/>
  <c r="AK580" i="6"/>
  <c r="AK577" i="6"/>
  <c r="AK571" i="6"/>
  <c r="AK570" i="6"/>
  <c r="AK565" i="6"/>
  <c r="AK575" i="6"/>
  <c r="AK564" i="6"/>
  <c r="AK573" i="6"/>
  <c r="AK567" i="6"/>
  <c r="AK572" i="6"/>
  <c r="AK566" i="6"/>
  <c r="AK569" i="6"/>
  <c r="AK568" i="6"/>
  <c r="AK576" i="6"/>
  <c r="AK562" i="6"/>
  <c r="AK574" i="6"/>
  <c r="AK563" i="6"/>
  <c r="AK560" i="6"/>
  <c r="AK558" i="6"/>
  <c r="AK559" i="6"/>
  <c r="AK557" i="6"/>
  <c r="AK556" i="6"/>
  <c r="AK561" i="6"/>
  <c r="AK554" i="6"/>
  <c r="AK552" i="6"/>
  <c r="AK551" i="6"/>
  <c r="AK553" i="6"/>
  <c r="AK555" i="6"/>
  <c r="AK549" i="6"/>
  <c r="AK548" i="6"/>
  <c r="AK550" i="6"/>
  <c r="AK545" i="6"/>
  <c r="AK546" i="6"/>
  <c r="AK547" i="6"/>
  <c r="AK544" i="6"/>
  <c r="AK540" i="6"/>
  <c r="AK532" i="6"/>
  <c r="AK534" i="6"/>
  <c r="AK531" i="6"/>
  <c r="AK539" i="6"/>
  <c r="AK538" i="6"/>
  <c r="AK541" i="6"/>
  <c r="AK533" i="6"/>
  <c r="AK536" i="6"/>
  <c r="AK535" i="6"/>
  <c r="AK543" i="6"/>
  <c r="AK542" i="6"/>
  <c r="AK537" i="6"/>
  <c r="AK529" i="6"/>
  <c r="AK530" i="6"/>
  <c r="AK520" i="6"/>
  <c r="AK525" i="6"/>
  <c r="AK519" i="6"/>
  <c r="AK518" i="6"/>
  <c r="AK524" i="6"/>
  <c r="AK521" i="6"/>
  <c r="AK522" i="6"/>
  <c r="AK523" i="6"/>
  <c r="AK527" i="6"/>
  <c r="AK526" i="6"/>
  <c r="AK528" i="6"/>
  <c r="AK514" i="6"/>
  <c r="AK512" i="6"/>
  <c r="AK513" i="6"/>
  <c r="AK517" i="6"/>
  <c r="AK515" i="6"/>
  <c r="AK511" i="6"/>
  <c r="AK516" i="6"/>
  <c r="AK510" i="6"/>
  <c r="AK509" i="6"/>
  <c r="AK508" i="6"/>
  <c r="AK507" i="6"/>
  <c r="AK501" i="6"/>
  <c r="AK498" i="6"/>
  <c r="AK502" i="6"/>
  <c r="AK505" i="6"/>
  <c r="AK499" i="6"/>
  <c r="AK506" i="6"/>
  <c r="AK503" i="6"/>
  <c r="AK500" i="6"/>
  <c r="AK504" i="6"/>
  <c r="AK493" i="6"/>
  <c r="AK495" i="6"/>
  <c r="AK491" i="6"/>
  <c r="AK489" i="6"/>
  <c r="AK497" i="6"/>
  <c r="AK492" i="6"/>
  <c r="AK488" i="6"/>
  <c r="AK490" i="6"/>
  <c r="AK496" i="6"/>
  <c r="AK487" i="6"/>
  <c r="AK494" i="6"/>
  <c r="AK477" i="6"/>
  <c r="AK486" i="6"/>
  <c r="AK476" i="6"/>
  <c r="AK482" i="6"/>
  <c r="AK479" i="6"/>
  <c r="AK474" i="6"/>
  <c r="AK472" i="6"/>
  <c r="AK485" i="6"/>
  <c r="AK480" i="6"/>
  <c r="AK473" i="6"/>
  <c r="AK475" i="6"/>
  <c r="AK481" i="6"/>
  <c r="AK483" i="6"/>
  <c r="AK484" i="6"/>
  <c r="AK478" i="6"/>
  <c r="AK471" i="6"/>
  <c r="AK468" i="6"/>
  <c r="AK469" i="6"/>
  <c r="AK467" i="6"/>
  <c r="AK470" i="6"/>
  <c r="AK466" i="6"/>
  <c r="AK465" i="6"/>
  <c r="AK461" i="6"/>
  <c r="AK464" i="6"/>
  <c r="AK463" i="6"/>
  <c r="AK462" i="6"/>
  <c r="AK459" i="6"/>
  <c r="AK458" i="6"/>
  <c r="AK460" i="6"/>
  <c r="AK452" i="6"/>
  <c r="AK457" i="6"/>
  <c r="AK454" i="6"/>
  <c r="AK453" i="6"/>
  <c r="AK455" i="6"/>
  <c r="AK456" i="6"/>
  <c r="AK451" i="6"/>
  <c r="AK447" i="6"/>
  <c r="AK450" i="6"/>
  <c r="AK448" i="6"/>
  <c r="AK445" i="6"/>
  <c r="AK449" i="6"/>
  <c r="AK446" i="6"/>
  <c r="AK444" i="6"/>
  <c r="AK443" i="6"/>
  <c r="AK442" i="6"/>
  <c r="AK439" i="6"/>
  <c r="AK441" i="6"/>
  <c r="AK440" i="6"/>
  <c r="AK438" i="6"/>
  <c r="AK437" i="6"/>
  <c r="AK432" i="6"/>
  <c r="AK436" i="6"/>
  <c r="AK434" i="6"/>
  <c r="AK426" i="6"/>
  <c r="AK430" i="6"/>
  <c r="AK429" i="6"/>
  <c r="AK427" i="6"/>
  <c r="AK433" i="6"/>
  <c r="AK428" i="6"/>
  <c r="AK431" i="6"/>
  <c r="AK435" i="6"/>
  <c r="AK425" i="6"/>
  <c r="AK424" i="6"/>
  <c r="AK412" i="6"/>
  <c r="AK411" i="6"/>
  <c r="AK423" i="6"/>
  <c r="AK419" i="6"/>
  <c r="AK415" i="6"/>
  <c r="AK418" i="6"/>
  <c r="AK414" i="6"/>
  <c r="AK413" i="6"/>
  <c r="AK422" i="6"/>
  <c r="AK417" i="6"/>
  <c r="AK421" i="6"/>
  <c r="AK420" i="6"/>
  <c r="AK416" i="6"/>
  <c r="AK410" i="6"/>
  <c r="AK408" i="6"/>
  <c r="AK409" i="6"/>
  <c r="AK407" i="6"/>
  <c r="AK406" i="6"/>
  <c r="AK404" i="6"/>
  <c r="AK405" i="6"/>
  <c r="AK403" i="6"/>
  <c r="AK402" i="6"/>
  <c r="AK400" i="6"/>
  <c r="AK399" i="6"/>
  <c r="AK398" i="6"/>
  <c r="AK401" i="6"/>
  <c r="AK397" i="6"/>
  <c r="AK394" i="6"/>
  <c r="AK396" i="6"/>
  <c r="AK395" i="6"/>
  <c r="AK389" i="6"/>
  <c r="AK390" i="6"/>
  <c r="AK392" i="6"/>
  <c r="AK391" i="6"/>
  <c r="AK393" i="6"/>
  <c r="AK388" i="6"/>
  <c r="AK387" i="6"/>
  <c r="AK384" i="6"/>
  <c r="AK386" i="6"/>
  <c r="AK385" i="6"/>
  <c r="AK383" i="6"/>
  <c r="AK382" i="6"/>
  <c r="AK379" i="6"/>
  <c r="AK381" i="6"/>
  <c r="AK380" i="6"/>
  <c r="AK378" i="6"/>
  <c r="AK376" i="6"/>
  <c r="AK375" i="6"/>
  <c r="AK377" i="6"/>
  <c r="AK373" i="6"/>
  <c r="AK374" i="6"/>
  <c r="AK372" i="6"/>
  <c r="AK368" i="6"/>
  <c r="AK367" i="6"/>
  <c r="AK371" i="6"/>
  <c r="AK366" i="6"/>
  <c r="AK369" i="6"/>
  <c r="AK370" i="6"/>
  <c r="AK365" i="6"/>
  <c r="AK363" i="6"/>
  <c r="AK364" i="6"/>
  <c r="AK362" i="6"/>
  <c r="AK358" i="6"/>
  <c r="AK361" i="6"/>
  <c r="AK360" i="6"/>
  <c r="AK359" i="6"/>
  <c r="AK356" i="6"/>
  <c r="AK357" i="6"/>
  <c r="AK355" i="6"/>
  <c r="AK352" i="6"/>
  <c r="AK354" i="6"/>
  <c r="AK351" i="6"/>
  <c r="AK353" i="6"/>
  <c r="AK344" i="6"/>
  <c r="AK348" i="6"/>
  <c r="AK349" i="6"/>
  <c r="AK343" i="6"/>
  <c r="AK346" i="6"/>
  <c r="AK347" i="6"/>
  <c r="AK350" i="6"/>
  <c r="AK345" i="6"/>
  <c r="AK342" i="6"/>
  <c r="AK338" i="6"/>
  <c r="AK335" i="6"/>
  <c r="AK337" i="6"/>
  <c r="AK341" i="6"/>
  <c r="AK336" i="6"/>
  <c r="AK334" i="6"/>
  <c r="AK340" i="6"/>
  <c r="AK339" i="6"/>
  <c r="AK330" i="6"/>
  <c r="AK332" i="6"/>
  <c r="AK331" i="6"/>
  <c r="AK333" i="6"/>
  <c r="AK329" i="6"/>
  <c r="AK328" i="6"/>
  <c r="AK327" i="6"/>
  <c r="AK326" i="6"/>
  <c r="AK325" i="6"/>
  <c r="AK322" i="6"/>
  <c r="AK324" i="6"/>
  <c r="AK323" i="6"/>
  <c r="AK321" i="6"/>
  <c r="AK317" i="6"/>
  <c r="AK318" i="6"/>
  <c r="AK320" i="6"/>
  <c r="AK319" i="6"/>
  <c r="AK316" i="6"/>
  <c r="AK313" i="6"/>
  <c r="AK315" i="6"/>
  <c r="AK314" i="6"/>
  <c r="AK312" i="6"/>
  <c r="AK311" i="6"/>
  <c r="AK310" i="6"/>
  <c r="AK309" i="6"/>
  <c r="AK307" i="6"/>
  <c r="AK308" i="6"/>
  <c r="AK306" i="6"/>
  <c r="AK303" i="6"/>
  <c r="AK304" i="6"/>
  <c r="AK305" i="6"/>
  <c r="AK300" i="6"/>
  <c r="AK301" i="6"/>
  <c r="AK302" i="6"/>
  <c r="AK299" i="6"/>
  <c r="AK298" i="6"/>
  <c r="AK297" i="6"/>
  <c r="AK296" i="6"/>
  <c r="AK295" i="6"/>
  <c r="AK294" i="6"/>
  <c r="AK293" i="6"/>
  <c r="AK292" i="6"/>
  <c r="AK290" i="6"/>
  <c r="AK289" i="6"/>
  <c r="AK291" i="6"/>
  <c r="AK288" i="6"/>
  <c r="AK287" i="6"/>
  <c r="AK286" i="6"/>
  <c r="AK285" i="6"/>
  <c r="AK284" i="6"/>
  <c r="AK283" i="6"/>
  <c r="AK280" i="6"/>
  <c r="AK282" i="6"/>
  <c r="AK281" i="6"/>
  <c r="AK278" i="6"/>
  <c r="AK279" i="6"/>
  <c r="AK277" i="6"/>
  <c r="AK276" i="6"/>
  <c r="AK275" i="6"/>
  <c r="AK274" i="6"/>
  <c r="AK272" i="6"/>
  <c r="AK273" i="6"/>
  <c r="AK271" i="6"/>
  <c r="AK270" i="6"/>
  <c r="AK266" i="6"/>
  <c r="AK267" i="6"/>
  <c r="AK269" i="6"/>
  <c r="AK268" i="6"/>
  <c r="AK264" i="6"/>
  <c r="AK265" i="6"/>
  <c r="AK261" i="6"/>
  <c r="AK263" i="6"/>
  <c r="AK262" i="6"/>
  <c r="AK259" i="6"/>
  <c r="AK260" i="6"/>
  <c r="AK258" i="6"/>
  <c r="AK257" i="6"/>
  <c r="AK256" i="6"/>
  <c r="AK254" i="6"/>
  <c r="AK255" i="6"/>
  <c r="AK253" i="6"/>
  <c r="AK252" i="6"/>
  <c r="AK251" i="6"/>
  <c r="AK250" i="6"/>
  <c r="AK249" i="6"/>
  <c r="AK248" i="6"/>
  <c r="AK247" i="6"/>
  <c r="AK245" i="6"/>
  <c r="AK246" i="6"/>
  <c r="AK244" i="6"/>
  <c r="AK242" i="6"/>
  <c r="AK243" i="6"/>
  <c r="AK241" i="6"/>
  <c r="AK236" i="6"/>
  <c r="AK239" i="6"/>
  <c r="AK240" i="6"/>
  <c r="AK238" i="6"/>
  <c r="AK237" i="6"/>
  <c r="AK234" i="6"/>
  <c r="AK235" i="6"/>
  <c r="AK233" i="6"/>
  <c r="AK232" i="6"/>
  <c r="AK231" i="6"/>
  <c r="AK230" i="6"/>
  <c r="AK229" i="6"/>
  <c r="AK227" i="6"/>
  <c r="AK226" i="6"/>
  <c r="AK228" i="6"/>
  <c r="AK225" i="6"/>
  <c r="AK224" i="6"/>
  <c r="AK223" i="6"/>
  <c r="AK219" i="6"/>
  <c r="AK221" i="6"/>
  <c r="AK222" i="6"/>
  <c r="AK220" i="6"/>
  <c r="AK218" i="6"/>
  <c r="AK217" i="6"/>
  <c r="AK214" i="6"/>
  <c r="AK215" i="6"/>
  <c r="AK216" i="6"/>
  <c r="AK212" i="6"/>
  <c r="AK213" i="6"/>
  <c r="AK211" i="6"/>
  <c r="AK209" i="6"/>
  <c r="AK210" i="6"/>
  <c r="AK207" i="6"/>
  <c r="AK208" i="6"/>
  <c r="AK206" i="6"/>
  <c r="AK205" i="6"/>
  <c r="AK204" i="6"/>
  <c r="AK203" i="6"/>
  <c r="AK200" i="6"/>
  <c r="AK202" i="6"/>
  <c r="AK201" i="6"/>
  <c r="AK197" i="6"/>
  <c r="AK198" i="6"/>
  <c r="AK199" i="6"/>
  <c r="AK195" i="6"/>
  <c r="AK194" i="6"/>
  <c r="AK196" i="6"/>
  <c r="AK193" i="6"/>
  <c r="AK192" i="6"/>
  <c r="AK191" i="6"/>
  <c r="AK190" i="6"/>
  <c r="AK188" i="6"/>
  <c r="AK189" i="6"/>
  <c r="AK183" i="6"/>
  <c r="AK187" i="6"/>
  <c r="AK186" i="6"/>
  <c r="AK184" i="6"/>
  <c r="AK185" i="6"/>
  <c r="AK182" i="6"/>
  <c r="AK181" i="6"/>
  <c r="AK180" i="6"/>
  <c r="AK178" i="6"/>
  <c r="AK179" i="6"/>
  <c r="AK176" i="6"/>
  <c r="AK175" i="6"/>
  <c r="AK177" i="6"/>
  <c r="AK174" i="6"/>
  <c r="AK170" i="6"/>
  <c r="AK173" i="6"/>
  <c r="AK171" i="6"/>
  <c r="AK172" i="6"/>
  <c r="AK168" i="6"/>
  <c r="AK167" i="6"/>
  <c r="AK169" i="6"/>
  <c r="AK165" i="6"/>
  <c r="AK166" i="6"/>
  <c r="AK164" i="6"/>
  <c r="AK163" i="6"/>
  <c r="AK162" i="6"/>
  <c r="AK161" i="6"/>
  <c r="AK159" i="6"/>
  <c r="AK160" i="6"/>
  <c r="AK158" i="6"/>
  <c r="AK157" i="6"/>
  <c r="AK156" i="6"/>
  <c r="AK153" i="6"/>
  <c r="AK154" i="6"/>
  <c r="AK155" i="6"/>
  <c r="AK152" i="6"/>
  <c r="AK151" i="6"/>
  <c r="AK150" i="6"/>
  <c r="AK149" i="6"/>
  <c r="AK145" i="6"/>
  <c r="AK144" i="6"/>
  <c r="AK146" i="6"/>
  <c r="AK148" i="6"/>
  <c r="AK147" i="6"/>
  <c r="AK143" i="6"/>
  <c r="AK141" i="6"/>
  <c r="AK140" i="6"/>
  <c r="AK142" i="6"/>
  <c r="AK139" i="6"/>
  <c r="AK138" i="6"/>
  <c r="AK136" i="6"/>
  <c r="AK137" i="6"/>
  <c r="AK135" i="6"/>
  <c r="AK133" i="6"/>
  <c r="AK132" i="6"/>
  <c r="AK134" i="6"/>
  <c r="AK131" i="6"/>
  <c r="AK130" i="6"/>
  <c r="AK129" i="6"/>
  <c r="AK126" i="6"/>
  <c r="AK127" i="6"/>
  <c r="AK128" i="6"/>
  <c r="AK125" i="6"/>
  <c r="AK123" i="6"/>
  <c r="AK124" i="6"/>
  <c r="AK120" i="6"/>
  <c r="AK119" i="6"/>
  <c r="AK121" i="6"/>
  <c r="AK122" i="6"/>
  <c r="AK118" i="6"/>
  <c r="AK117" i="6"/>
  <c r="AK116" i="6"/>
  <c r="AK113" i="6"/>
  <c r="AK112" i="6"/>
  <c r="AK114" i="6"/>
  <c r="AK111" i="6"/>
  <c r="AK115" i="6"/>
  <c r="AK110" i="6"/>
  <c r="AK109" i="6"/>
  <c r="AK108" i="6"/>
  <c r="AK107" i="6"/>
  <c r="AK106" i="6"/>
  <c r="AK105" i="6"/>
  <c r="AK102" i="6"/>
  <c r="AK103" i="6"/>
  <c r="AK104" i="6"/>
  <c r="AK101" i="6"/>
  <c r="AK100" i="6"/>
  <c r="AK99" i="6"/>
  <c r="AK97" i="6"/>
  <c r="AK98" i="6"/>
  <c r="AK96" i="6"/>
  <c r="AK90" i="6"/>
  <c r="AK94" i="6"/>
  <c r="AK91" i="6"/>
  <c r="AK92" i="6"/>
  <c r="AK93" i="6"/>
  <c r="AK95" i="6"/>
  <c r="AK89" i="6"/>
  <c r="AK88" i="6"/>
  <c r="AK87" i="6"/>
  <c r="AK86" i="6"/>
  <c r="AK84" i="6"/>
  <c r="AK85" i="6"/>
  <c r="AK82" i="6"/>
  <c r="AK83" i="6"/>
  <c r="AK81" i="6"/>
  <c r="AK80" i="6"/>
  <c r="AK78" i="6"/>
  <c r="AK79" i="6"/>
  <c r="AK77" i="6"/>
  <c r="AK76" i="6"/>
  <c r="AK75" i="6"/>
  <c r="AK74" i="6"/>
  <c r="AK71" i="6"/>
  <c r="AK72" i="6"/>
  <c r="AK73" i="6"/>
  <c r="AK69" i="6"/>
  <c r="AK70" i="6"/>
  <c r="AK64" i="6"/>
  <c r="AK65" i="6"/>
  <c r="AK68" i="6"/>
  <c r="AK66" i="6"/>
  <c r="AK67" i="6"/>
  <c r="AK61" i="6"/>
  <c r="AK63" i="6"/>
  <c r="AK62" i="6"/>
  <c r="AK60" i="6"/>
  <c r="AK59" i="6"/>
  <c r="AK56" i="6"/>
  <c r="AK57" i="6"/>
  <c r="AK58" i="6"/>
  <c r="AK55" i="6"/>
  <c r="AK53" i="6"/>
  <c r="AK50" i="6"/>
  <c r="AK51" i="6"/>
  <c r="AK52" i="6"/>
  <c r="AK54" i="6"/>
  <c r="AK49" i="6"/>
  <c r="AK48" i="6"/>
  <c r="AK45" i="6"/>
  <c r="AK46" i="6"/>
  <c r="AK47" i="6"/>
  <c r="AK43" i="6"/>
  <c r="AK44" i="6"/>
  <c r="AK41" i="6"/>
  <c r="AK42" i="6"/>
  <c r="AK40" i="6"/>
  <c r="AK39" i="6"/>
  <c r="AK38" i="6"/>
  <c r="AK36" i="6"/>
  <c r="AK37" i="6"/>
  <c r="AK35" i="6"/>
  <c r="AK33" i="6"/>
  <c r="AK32" i="6"/>
  <c r="AK34" i="6"/>
  <c r="AK29" i="6"/>
  <c r="AK27" i="6"/>
  <c r="AK31" i="6"/>
  <c r="AK30" i="6"/>
  <c r="AK28" i="6"/>
  <c r="AK22" i="6"/>
  <c r="AK23" i="6"/>
  <c r="AK24" i="6"/>
  <c r="AK25" i="6"/>
  <c r="AK26" i="6"/>
  <c r="AK20" i="6"/>
  <c r="AK21" i="6"/>
  <c r="AK18" i="6"/>
  <c r="AK15" i="6"/>
  <c r="AK16" i="6"/>
  <c r="AK17" i="6"/>
  <c r="AK19" i="6"/>
  <c r="AK13" i="6"/>
  <c r="AK14" i="6"/>
  <c r="AK9" i="6"/>
  <c r="AK12" i="6"/>
  <c r="AK11" i="6"/>
  <c r="AK10" i="6"/>
  <c r="AK8" i="6"/>
  <c r="AK6" i="6"/>
  <c r="AK7" i="6"/>
  <c r="AK5" i="6"/>
  <c r="AK3" i="6"/>
  <c r="AK2" i="6"/>
  <c r="AK4" i="6"/>
  <c r="AK2" i="5"/>
  <c r="AK3" i="5"/>
  <c r="AK5" i="5"/>
  <c r="AK7" i="5"/>
  <c r="AK6" i="5"/>
  <c r="AK8" i="5"/>
  <c r="AK10" i="5"/>
  <c r="AK11" i="5"/>
  <c r="AK12" i="5"/>
  <c r="AK9" i="5"/>
  <c r="AK14" i="5"/>
  <c r="AK13" i="5"/>
  <c r="AK18" i="5"/>
  <c r="AK19" i="5"/>
  <c r="AK17" i="5"/>
  <c r="AK16" i="5"/>
  <c r="AK15" i="5"/>
  <c r="AK21" i="5"/>
  <c r="AK20" i="5"/>
  <c r="AK22" i="5"/>
  <c r="AK26" i="5"/>
  <c r="AK25" i="5"/>
  <c r="AK24" i="5"/>
  <c r="AK23" i="5"/>
  <c r="AK29" i="5"/>
  <c r="AK28" i="5"/>
  <c r="AK30" i="5"/>
  <c r="AK31" i="5"/>
  <c r="AK27" i="5"/>
  <c r="AK34" i="5"/>
  <c r="AK32" i="5"/>
  <c r="AK33" i="5"/>
  <c r="AK36" i="5"/>
  <c r="AK35" i="5"/>
  <c r="AK37" i="5"/>
  <c r="AK38" i="5"/>
  <c r="AK39" i="5"/>
  <c r="AK40" i="5"/>
  <c r="AK42" i="5"/>
  <c r="AK41" i="5"/>
  <c r="AK44" i="5"/>
  <c r="AK43" i="5"/>
  <c r="AK46" i="5"/>
  <c r="AK45" i="5"/>
  <c r="AK47" i="5"/>
  <c r="AK48" i="5"/>
  <c r="AK49" i="5"/>
  <c r="AK53" i="5"/>
  <c r="AK51" i="5"/>
  <c r="AK54" i="5"/>
  <c r="AK52" i="5"/>
  <c r="AK50" i="5"/>
  <c r="AK55" i="5"/>
  <c r="AK57" i="5"/>
  <c r="AK56" i="5"/>
  <c r="AK58" i="5"/>
  <c r="AK59" i="5"/>
  <c r="AK60" i="5"/>
  <c r="AK63" i="5"/>
  <c r="AK61" i="5"/>
  <c r="AK62" i="5"/>
  <c r="AK64" i="5"/>
  <c r="AK67" i="5"/>
  <c r="AK66" i="5"/>
  <c r="AK68" i="5"/>
  <c r="AK65" i="5"/>
  <c r="AK70" i="5"/>
  <c r="AK69" i="5"/>
  <c r="AK73" i="5"/>
  <c r="AK72" i="5"/>
  <c r="AK71" i="5"/>
  <c r="AK75" i="5"/>
  <c r="AK74" i="5"/>
  <c r="AK76" i="5"/>
  <c r="AK77" i="5"/>
  <c r="AK79" i="5"/>
  <c r="AK78" i="5"/>
  <c r="AK81" i="5"/>
  <c r="AK80" i="5"/>
  <c r="AK83" i="5"/>
  <c r="AK82" i="5"/>
  <c r="AK84" i="5"/>
  <c r="AK86" i="5"/>
  <c r="AK85" i="5"/>
  <c r="AK88" i="5"/>
  <c r="AK87" i="5"/>
  <c r="AK89" i="5"/>
  <c r="AK95" i="5"/>
  <c r="AK93" i="5"/>
  <c r="AK90" i="5"/>
  <c r="AK92" i="5"/>
  <c r="AK91" i="5"/>
  <c r="AK94" i="5"/>
  <c r="AK96" i="5"/>
  <c r="AK98" i="5"/>
  <c r="AK97" i="5"/>
  <c r="AK99" i="5"/>
  <c r="AK100" i="5"/>
  <c r="AK101" i="5"/>
  <c r="AK104" i="5"/>
  <c r="AK103" i="5"/>
  <c r="AK102" i="5"/>
  <c r="AK105" i="5"/>
  <c r="AK106" i="5"/>
  <c r="AK107" i="5"/>
  <c r="AK108" i="5"/>
  <c r="AK109" i="5"/>
  <c r="AK110" i="5"/>
  <c r="AK112" i="5"/>
  <c r="AK113" i="5"/>
  <c r="AK116" i="5"/>
  <c r="AK117" i="5"/>
  <c r="AK115" i="5"/>
  <c r="AK114" i="5"/>
  <c r="AK111" i="5"/>
  <c r="AK118" i="5"/>
  <c r="AK120" i="5"/>
  <c r="AK122" i="5"/>
  <c r="AK121" i="5"/>
  <c r="AK119" i="5"/>
  <c r="AK124" i="5"/>
  <c r="AK123" i="5"/>
  <c r="AK125" i="5"/>
  <c r="AK128" i="5"/>
  <c r="AK127" i="5"/>
  <c r="AK126" i="5"/>
  <c r="AK129" i="5"/>
  <c r="AK130" i="5"/>
  <c r="AK131" i="5"/>
  <c r="AK134" i="5"/>
  <c r="AK132" i="5"/>
  <c r="AK133" i="5"/>
  <c r="AK135" i="5"/>
  <c r="AK136" i="5"/>
  <c r="AK137" i="5"/>
  <c r="AK138" i="5"/>
  <c r="AK139" i="5"/>
  <c r="AK142" i="5"/>
  <c r="AK140" i="5"/>
  <c r="AK141" i="5"/>
  <c r="AK143" i="5"/>
  <c r="AK145" i="5"/>
  <c r="AK147" i="5"/>
  <c r="AK148" i="5"/>
  <c r="AK146" i="5"/>
  <c r="AK144" i="5"/>
  <c r="AK149" i="5"/>
  <c r="AK150" i="5"/>
  <c r="AK151" i="5"/>
  <c r="AK152" i="5"/>
  <c r="AK155" i="5"/>
  <c r="AK154" i="5"/>
  <c r="AK153" i="5"/>
  <c r="AK156" i="5"/>
  <c r="AK157" i="5"/>
  <c r="AK158" i="5"/>
  <c r="AK160" i="5"/>
  <c r="AK159" i="5"/>
  <c r="AK161" i="5"/>
  <c r="AK162" i="5"/>
  <c r="AK163" i="5"/>
  <c r="AK164" i="5"/>
  <c r="AK166" i="5"/>
  <c r="AK165" i="5"/>
  <c r="AK167" i="5"/>
  <c r="AK168" i="5"/>
  <c r="AK169" i="5"/>
  <c r="AK172" i="5"/>
  <c r="AK171" i="5"/>
  <c r="AK173" i="5"/>
  <c r="AK170" i="5"/>
  <c r="AK174" i="5"/>
  <c r="AK175" i="5"/>
  <c r="AK177" i="5"/>
  <c r="AK176" i="5"/>
  <c r="AK179" i="5"/>
  <c r="AK178" i="5"/>
  <c r="AK181" i="5"/>
  <c r="AK182" i="5"/>
  <c r="AK180" i="5"/>
  <c r="AK186" i="5"/>
  <c r="AK185" i="5"/>
  <c r="AK183" i="5"/>
  <c r="AK184" i="5"/>
  <c r="AK187" i="5"/>
  <c r="AK190" i="5"/>
  <c r="AK189" i="5"/>
  <c r="AK188" i="5"/>
  <c r="AK191" i="5"/>
  <c r="AK195" i="5"/>
  <c r="AK192" i="5"/>
  <c r="AK193" i="5"/>
  <c r="AK196" i="5"/>
  <c r="AK194" i="5"/>
  <c r="AK199" i="5"/>
  <c r="AK198" i="5"/>
  <c r="AK197" i="5"/>
  <c r="AK201" i="5"/>
  <c r="AK202" i="5"/>
  <c r="AK200" i="5"/>
  <c r="AK205" i="5"/>
  <c r="AK203" i="5"/>
  <c r="AK204" i="5"/>
  <c r="AK206" i="5"/>
  <c r="AK208" i="5"/>
  <c r="AK207" i="5"/>
  <c r="AK210" i="5"/>
  <c r="AK209" i="5"/>
  <c r="AK211" i="5"/>
  <c r="AK213" i="5"/>
  <c r="AK216" i="5"/>
  <c r="AK212" i="5"/>
  <c r="AK214" i="5"/>
  <c r="AK215" i="5"/>
  <c r="AK217" i="5"/>
  <c r="AK219" i="5"/>
  <c r="AK218" i="5"/>
  <c r="AK222" i="5"/>
  <c r="AK220" i="5"/>
  <c r="AK223" i="5"/>
  <c r="AK221" i="5"/>
  <c r="AK224" i="5"/>
  <c r="AK225" i="5"/>
  <c r="AK228" i="5"/>
  <c r="AK227" i="5"/>
  <c r="AK226" i="5"/>
  <c r="AK229" i="5"/>
  <c r="AK230" i="5"/>
  <c r="AK231" i="5"/>
  <c r="AK232" i="5"/>
  <c r="AK234" i="5"/>
  <c r="AK233" i="5"/>
  <c r="AK235" i="5"/>
  <c r="AK240" i="5"/>
  <c r="AK237" i="5"/>
  <c r="AK236" i="5"/>
  <c r="AK238" i="5"/>
  <c r="AK239" i="5"/>
  <c r="AK242" i="5"/>
  <c r="AK241" i="5"/>
  <c r="AK243" i="5"/>
  <c r="AK244" i="5"/>
  <c r="AK246" i="5"/>
  <c r="AK245" i="5"/>
  <c r="AK247" i="5"/>
  <c r="AK248" i="5"/>
  <c r="AK250" i="5"/>
  <c r="AK249" i="5"/>
  <c r="AK251" i="5"/>
  <c r="AK252" i="5"/>
  <c r="AK253" i="5"/>
  <c r="AK255" i="5"/>
  <c r="AK254" i="5"/>
  <c r="AK257" i="5"/>
  <c r="AK256" i="5"/>
  <c r="AK258" i="5"/>
  <c r="AK259" i="5"/>
  <c r="AK260" i="5"/>
  <c r="AK262" i="5"/>
  <c r="AK263" i="5"/>
  <c r="AK261" i="5"/>
  <c r="AK265" i="5"/>
  <c r="AK264" i="5"/>
  <c r="AK267" i="5"/>
  <c r="AK268" i="5"/>
  <c r="AK269" i="5"/>
  <c r="AK266" i="5"/>
  <c r="AK270" i="5"/>
  <c r="AK271" i="5"/>
  <c r="AK272" i="5"/>
  <c r="AK273" i="5"/>
  <c r="AK274" i="5"/>
  <c r="AK275" i="5"/>
  <c r="AK276" i="5"/>
  <c r="AK277" i="5"/>
  <c r="AK279" i="5"/>
  <c r="AK278" i="5"/>
  <c r="AK282" i="5"/>
  <c r="AK280" i="5"/>
  <c r="AK283" i="5"/>
  <c r="AK281" i="5"/>
  <c r="AK284" i="5"/>
  <c r="AK285" i="5"/>
  <c r="AK286" i="5"/>
  <c r="AK287" i="5"/>
  <c r="AK288" i="5"/>
  <c r="AK290" i="5"/>
  <c r="AK291" i="5"/>
  <c r="AK289" i="5"/>
  <c r="AK292" i="5"/>
  <c r="AK293" i="5"/>
  <c r="AK294" i="5"/>
  <c r="AK296" i="5"/>
  <c r="AK295" i="5"/>
  <c r="AK297" i="5"/>
  <c r="AK299" i="5"/>
  <c r="AK298" i="5"/>
  <c r="AK300" i="5"/>
  <c r="AK302" i="5"/>
  <c r="AK301" i="5"/>
  <c r="AK304" i="5"/>
  <c r="AK303" i="5"/>
  <c r="AK305" i="5"/>
  <c r="AK306" i="5"/>
  <c r="AK307" i="5"/>
  <c r="AK308" i="5"/>
  <c r="AK309" i="5"/>
  <c r="AK310" i="5"/>
  <c r="AK311" i="5"/>
  <c r="AK312" i="5"/>
  <c r="AK316" i="5"/>
  <c r="AK313" i="5"/>
  <c r="AK315" i="5"/>
  <c r="AK314" i="5"/>
  <c r="AK319" i="5"/>
  <c r="AK317" i="5"/>
  <c r="AK320" i="5"/>
  <c r="AK318" i="5"/>
  <c r="AK323" i="5"/>
  <c r="AK324" i="5"/>
  <c r="AK321" i="5"/>
  <c r="AK322" i="5"/>
  <c r="AK325" i="5"/>
  <c r="AK326" i="5"/>
  <c r="AK328" i="5"/>
  <c r="AK327" i="5"/>
  <c r="AK332" i="5"/>
  <c r="AK331" i="5"/>
  <c r="AK329" i="5"/>
  <c r="AK330" i="5"/>
  <c r="AK333" i="5"/>
  <c r="AK339" i="5"/>
  <c r="AK334" i="5"/>
  <c r="AK336" i="5"/>
  <c r="AK337" i="5"/>
  <c r="AK338" i="5"/>
  <c r="AK340" i="5"/>
  <c r="AK341" i="5"/>
  <c r="AK335" i="5"/>
  <c r="AK342" i="5"/>
  <c r="AK343" i="5"/>
  <c r="AK346" i="5"/>
  <c r="AK349" i="5"/>
  <c r="AK344" i="5"/>
  <c r="AK348" i="5"/>
  <c r="AK350" i="5"/>
  <c r="AK345" i="5"/>
  <c r="AK347" i="5"/>
  <c r="AK353" i="5"/>
  <c r="AK351" i="5"/>
  <c r="AK354" i="5"/>
  <c r="AK352" i="5"/>
  <c r="AK357" i="5"/>
  <c r="AK355" i="5"/>
  <c r="AK356" i="5"/>
  <c r="AK360" i="5"/>
  <c r="AK359" i="5"/>
  <c r="AK361" i="5"/>
  <c r="AK358" i="5"/>
  <c r="AK362" i="5"/>
  <c r="AK364" i="5"/>
  <c r="AK363" i="5"/>
  <c r="AK370" i="5"/>
  <c r="AK366" i="5"/>
  <c r="AK367" i="5"/>
  <c r="AK368" i="5"/>
  <c r="AK365" i="5"/>
  <c r="AK369" i="5"/>
  <c r="AK371" i="5"/>
  <c r="AK372" i="5"/>
  <c r="AK374" i="5"/>
  <c r="AK373" i="5"/>
  <c r="AK376" i="5"/>
  <c r="AK377" i="5"/>
  <c r="AK375" i="5"/>
  <c r="AK378" i="5"/>
  <c r="AK382" i="5"/>
  <c r="AK380" i="5"/>
  <c r="AK379" i="5"/>
  <c r="AK381" i="5"/>
  <c r="AK383" i="5"/>
  <c r="AK386" i="5"/>
  <c r="AK384" i="5"/>
  <c r="AK387" i="5"/>
  <c r="AK388" i="5"/>
  <c r="AK385" i="5"/>
  <c r="AK391" i="5"/>
  <c r="AK392" i="5"/>
  <c r="AK389" i="5"/>
  <c r="AK390" i="5"/>
  <c r="AK393" i="5"/>
  <c r="AK396" i="5"/>
  <c r="AK394" i="5"/>
  <c r="AK397" i="5"/>
  <c r="AK395" i="5"/>
  <c r="AK401" i="5"/>
  <c r="AK398" i="5"/>
  <c r="AK399" i="5"/>
  <c r="AK400" i="5"/>
  <c r="AK403" i="5"/>
  <c r="AK405" i="5"/>
  <c r="AK402" i="5"/>
  <c r="AK404" i="5"/>
  <c r="AK406" i="5"/>
  <c r="AK407" i="5"/>
  <c r="AK409" i="5"/>
  <c r="AK408" i="5"/>
  <c r="AK410" i="5"/>
  <c r="AK413" i="5"/>
  <c r="AK412" i="5"/>
  <c r="AK416" i="5"/>
  <c r="AK420" i="5"/>
  <c r="AK418" i="5"/>
  <c r="AK421" i="5"/>
  <c r="AK417" i="5"/>
  <c r="AK414" i="5"/>
  <c r="AK422" i="5"/>
  <c r="AK419" i="5"/>
  <c r="AK415" i="5"/>
  <c r="AK423" i="5"/>
  <c r="AK411" i="5"/>
  <c r="AK424" i="5"/>
  <c r="AK425" i="5"/>
  <c r="AK428" i="5"/>
  <c r="AK433" i="5"/>
  <c r="AK429" i="5"/>
  <c r="AK427" i="5"/>
  <c r="AK426" i="5"/>
  <c r="AK430" i="5"/>
  <c r="AK435" i="5"/>
  <c r="AK434" i="5"/>
  <c r="AK432" i="5"/>
  <c r="AK436" i="5"/>
  <c r="AK431" i="5"/>
  <c r="AK438" i="5"/>
  <c r="AK440" i="5"/>
  <c r="AK441" i="5"/>
  <c r="AK439" i="5"/>
  <c r="AK442" i="5"/>
  <c r="AK437" i="5"/>
  <c r="AK444" i="5"/>
  <c r="AK443" i="5"/>
  <c r="AK445" i="5"/>
  <c r="AK446" i="5"/>
  <c r="AK450" i="5"/>
  <c r="AK447" i="5"/>
  <c r="AK449" i="5"/>
  <c r="AK448" i="5"/>
  <c r="AK451" i="5"/>
  <c r="AK455" i="5"/>
  <c r="AK454" i="5"/>
  <c r="AK457" i="5"/>
  <c r="AK456" i="5"/>
  <c r="AK453" i="5"/>
  <c r="AK452" i="5"/>
  <c r="AK460" i="5"/>
  <c r="AK458" i="5"/>
  <c r="AK459" i="5"/>
  <c r="AK462" i="5"/>
  <c r="AK463" i="5"/>
  <c r="AK464" i="5"/>
  <c r="AK461" i="5"/>
  <c r="AK465" i="5"/>
  <c r="AK466" i="5"/>
  <c r="AK471" i="5"/>
  <c r="AK470" i="5"/>
  <c r="AK467" i="5"/>
  <c r="AK469" i="5"/>
  <c r="AK468" i="5"/>
  <c r="AK478" i="5"/>
  <c r="AK481" i="5"/>
  <c r="AK483" i="5"/>
  <c r="AK475" i="5"/>
  <c r="AK473" i="5"/>
  <c r="AK484" i="5"/>
  <c r="AK472" i="5"/>
  <c r="AK479" i="5"/>
  <c r="AK482" i="5"/>
  <c r="AK485" i="5"/>
  <c r="AK486" i="5"/>
  <c r="AK480" i="5"/>
  <c r="AK476" i="5"/>
  <c r="AK474" i="5"/>
  <c r="AK477" i="5"/>
  <c r="AK493" i="5"/>
  <c r="AK487" i="5"/>
  <c r="AK494" i="5"/>
  <c r="AK490" i="5"/>
  <c r="AK488" i="5"/>
  <c r="AK496" i="5"/>
  <c r="AK491" i="5"/>
  <c r="AK497" i="5"/>
  <c r="AK492" i="5"/>
  <c r="AK495" i="5"/>
  <c r="AK489" i="5"/>
  <c r="AK498" i="5"/>
  <c r="AK499" i="5"/>
  <c r="AK500" i="5"/>
  <c r="AK503" i="5"/>
  <c r="AK506" i="5"/>
  <c r="AK505" i="5"/>
  <c r="AK502" i="5"/>
  <c r="AK501" i="5"/>
  <c r="AK504" i="5"/>
  <c r="AK508" i="5"/>
  <c r="AK509" i="5"/>
  <c r="AK510" i="5"/>
  <c r="AK507" i="5"/>
  <c r="AK515" i="5"/>
  <c r="AK516" i="5"/>
  <c r="AK511" i="5"/>
  <c r="AK517" i="5"/>
  <c r="AK513" i="5"/>
  <c r="AK512" i="5"/>
  <c r="AK514" i="5"/>
  <c r="AK527" i="5"/>
  <c r="AK523" i="5"/>
  <c r="AK526" i="5"/>
  <c r="AK522" i="5"/>
  <c r="AK518" i="5"/>
  <c r="AK521" i="5"/>
  <c r="AK524" i="5"/>
  <c r="AK519" i="5"/>
  <c r="AK520" i="5"/>
  <c r="AK528" i="5"/>
  <c r="AK525" i="5"/>
  <c r="AK531" i="5"/>
  <c r="AK541" i="5"/>
  <c r="AK532" i="5"/>
  <c r="AK543" i="5"/>
  <c r="AK539" i="5"/>
  <c r="AK536" i="5"/>
  <c r="AK533" i="5"/>
  <c r="AK530" i="5"/>
  <c r="AK529" i="5"/>
  <c r="AK534" i="5"/>
  <c r="AK538" i="5"/>
  <c r="AK540" i="5"/>
  <c r="AK542" i="5"/>
  <c r="AK535" i="5"/>
  <c r="AK537" i="5"/>
  <c r="AK547" i="5"/>
  <c r="AK544" i="5"/>
  <c r="AK548" i="5"/>
  <c r="AK545" i="5"/>
  <c r="AK550" i="5"/>
  <c r="AK549" i="5"/>
  <c r="AK546" i="5"/>
  <c r="AK552" i="5"/>
  <c r="AK555" i="5"/>
  <c r="AK553" i="5"/>
  <c r="AK551" i="5"/>
  <c r="AK554" i="5"/>
  <c r="AK559" i="5"/>
  <c r="AK560" i="5"/>
  <c r="AK558" i="5"/>
  <c r="AK556" i="5"/>
  <c r="AK557" i="5"/>
  <c r="AK561" i="5"/>
  <c r="AK576" i="5"/>
  <c r="AK574" i="5"/>
  <c r="AK566" i="5"/>
  <c r="AK562" i="5"/>
  <c r="AK568" i="5"/>
  <c r="AK572" i="5"/>
  <c r="AK564" i="5"/>
  <c r="AK567" i="5"/>
  <c r="AK570" i="5"/>
  <c r="AK573" i="5"/>
  <c r="AK575" i="5"/>
  <c r="AK565" i="5"/>
  <c r="AK563" i="5"/>
  <c r="AK571" i="5"/>
  <c r="AK569" i="5"/>
  <c r="AK580" i="5"/>
  <c r="AK578" i="5"/>
  <c r="AK577" i="5"/>
  <c r="AK579" i="5"/>
  <c r="AK584" i="5"/>
  <c r="AK582" i="5"/>
  <c r="AK583" i="5"/>
  <c r="AK585" i="5"/>
  <c r="AK581" i="5"/>
  <c r="AK587" i="5"/>
  <c r="AK586" i="5"/>
  <c r="AK590" i="5"/>
  <c r="AK588" i="5"/>
  <c r="AK593" i="5"/>
  <c r="AK591" i="5"/>
  <c r="AK594" i="5"/>
  <c r="AK595" i="5"/>
  <c r="AK592" i="5"/>
  <c r="AK589" i="5"/>
  <c r="AK596" i="5"/>
  <c r="AK597" i="5"/>
  <c r="AK598" i="5"/>
  <c r="AK600" i="5"/>
  <c r="AK599" i="5"/>
  <c r="AK601" i="5"/>
  <c r="AK605" i="5"/>
  <c r="AK604" i="5"/>
  <c r="AK603" i="5"/>
  <c r="AK602" i="5"/>
  <c r="AK608" i="5"/>
  <c r="AK609" i="5"/>
  <c r="AK610" i="5"/>
  <c r="AK606" i="5"/>
  <c r="AK611" i="5"/>
  <c r="AK607" i="5"/>
  <c r="AK616" i="5"/>
  <c r="AK617" i="5"/>
  <c r="AK615" i="5"/>
  <c r="AK622" i="5"/>
  <c r="AK620" i="5"/>
  <c r="AK612" i="5"/>
  <c r="AK613" i="5"/>
  <c r="AK618" i="5"/>
  <c r="AK614" i="5"/>
  <c r="AK619" i="5"/>
  <c r="AK621" i="5"/>
  <c r="AK626" i="5"/>
  <c r="AK625" i="5"/>
  <c r="AK627" i="5"/>
  <c r="AK624" i="5"/>
  <c r="AK623" i="5"/>
  <c r="AK628" i="5"/>
  <c r="AK633" i="5"/>
  <c r="AK631" i="5"/>
  <c r="AK629" i="5"/>
  <c r="AK630" i="5"/>
  <c r="AK632" i="5"/>
  <c r="AK634" i="5"/>
  <c r="AK637" i="5"/>
  <c r="AK636" i="5"/>
  <c r="AK635" i="5"/>
  <c r="AK640" i="5"/>
  <c r="AK641" i="5"/>
  <c r="AK645" i="5"/>
  <c r="AK639" i="5"/>
  <c r="AK638" i="5"/>
  <c r="AK644" i="5"/>
  <c r="AK646" i="5"/>
  <c r="AK642" i="5"/>
  <c r="AK643" i="5"/>
  <c r="AK647" i="5"/>
  <c r="AK648" i="5"/>
  <c r="AK654" i="5"/>
  <c r="AK652" i="5"/>
  <c r="AK649" i="5"/>
  <c r="AK655" i="5"/>
  <c r="AK653" i="5"/>
  <c r="AK651" i="5"/>
  <c r="AK650" i="5"/>
  <c r="AK656" i="5"/>
  <c r="AK657" i="5"/>
  <c r="AK660" i="5"/>
  <c r="AK663" i="5"/>
  <c r="AK658" i="5"/>
  <c r="AK661" i="5"/>
  <c r="AK659" i="5"/>
  <c r="AK662" i="5"/>
  <c r="AK665" i="5"/>
  <c r="AK666" i="5"/>
  <c r="AK664" i="5"/>
  <c r="AK669" i="5"/>
  <c r="AK671" i="5"/>
  <c r="AK672" i="5"/>
  <c r="AK670" i="5"/>
  <c r="AK668" i="5"/>
  <c r="AK673" i="5"/>
  <c r="AK667" i="5"/>
  <c r="AK674" i="5"/>
  <c r="AK675" i="5"/>
  <c r="AK676" i="5"/>
  <c r="AK678" i="5"/>
  <c r="AK677" i="5"/>
  <c r="AK679" i="5"/>
  <c r="AK680" i="5"/>
  <c r="AK681" i="5"/>
  <c r="AK682" i="5"/>
  <c r="AK683" i="5"/>
  <c r="AK684" i="5"/>
  <c r="AK685" i="5"/>
  <c r="AK686" i="5"/>
  <c r="AK687" i="5"/>
  <c r="AK688" i="5"/>
  <c r="AK689" i="5"/>
  <c r="AK693" i="5"/>
  <c r="AK690" i="5"/>
  <c r="AK691" i="5"/>
  <c r="AK692" i="5"/>
  <c r="AK695" i="5"/>
  <c r="AK696" i="5"/>
  <c r="AK694" i="5"/>
  <c r="AK697" i="5"/>
  <c r="AK698" i="5"/>
  <c r="AK699" i="5"/>
  <c r="AK700" i="5"/>
  <c r="AK4" i="5"/>
  <c r="BE5" i="1"/>
  <c r="BE3" i="1"/>
  <c r="BE2" i="1"/>
  <c r="BE6" i="1"/>
  <c r="BE7" i="1"/>
  <c r="BE8" i="1"/>
  <c r="BE9" i="1"/>
  <c r="BE12" i="1"/>
  <c r="BE11" i="1"/>
  <c r="BE10" i="1"/>
  <c r="BE13" i="1"/>
  <c r="BE14" i="1"/>
  <c r="BE15" i="1"/>
  <c r="BE16" i="1"/>
  <c r="BE17" i="1"/>
  <c r="BE19" i="1"/>
  <c r="BE18" i="1"/>
  <c r="BE20" i="1"/>
  <c r="BE21" i="1"/>
  <c r="BE25" i="1"/>
  <c r="BE26" i="1"/>
  <c r="BE22" i="1"/>
  <c r="BE23" i="1"/>
  <c r="BE24" i="1"/>
  <c r="BE30" i="1"/>
  <c r="BE28" i="1"/>
  <c r="BE29" i="1"/>
  <c r="BE27" i="1"/>
  <c r="BE31" i="1"/>
  <c r="BE32" i="1"/>
  <c r="BE34" i="1"/>
  <c r="BE33" i="1"/>
  <c r="BE36" i="1"/>
  <c r="BE37" i="1"/>
  <c r="BE35" i="1"/>
  <c r="BE40" i="1"/>
  <c r="BE39" i="1"/>
  <c r="BE38" i="1"/>
  <c r="BE41" i="1"/>
  <c r="BE42" i="1"/>
  <c r="BE43" i="1"/>
  <c r="BE44" i="1"/>
  <c r="BE47" i="1"/>
  <c r="BE45" i="1"/>
  <c r="BE46" i="1"/>
  <c r="BE48" i="1"/>
  <c r="BE49" i="1"/>
  <c r="BE50" i="1"/>
  <c r="BE52" i="1"/>
  <c r="BE54" i="1"/>
  <c r="BE53" i="1"/>
  <c r="BE51" i="1"/>
  <c r="BE55" i="1"/>
  <c r="BE56" i="1"/>
  <c r="BE57" i="1"/>
  <c r="BE58" i="1"/>
  <c r="BE59" i="1"/>
  <c r="BE60" i="1"/>
  <c r="BE63" i="1"/>
  <c r="BE62" i="1"/>
  <c r="BE61" i="1"/>
  <c r="BE64" i="1"/>
  <c r="BE65" i="1"/>
  <c r="BE68" i="1"/>
  <c r="BE66" i="1"/>
  <c r="BE67" i="1"/>
  <c r="BE69" i="1"/>
  <c r="BE70" i="1"/>
  <c r="BE72" i="1"/>
  <c r="BE73" i="1"/>
  <c r="BE71" i="1"/>
  <c r="BE74" i="1"/>
  <c r="BE75" i="1"/>
  <c r="BE77" i="1"/>
  <c r="BE76" i="1"/>
  <c r="BE78" i="1"/>
  <c r="BE79" i="1"/>
  <c r="BE81" i="1"/>
  <c r="BE80" i="1"/>
  <c r="BE82" i="1"/>
  <c r="BE83" i="1"/>
  <c r="BE84" i="1"/>
  <c r="BE85" i="1"/>
  <c r="BE86" i="1"/>
  <c r="BE87" i="1"/>
  <c r="BE88" i="1"/>
  <c r="BE89" i="1"/>
  <c r="BE94" i="1"/>
  <c r="BE90" i="1"/>
  <c r="BE91" i="1"/>
  <c r="BE92" i="1"/>
  <c r="BE93" i="1"/>
  <c r="BE95" i="1"/>
  <c r="BE96" i="1"/>
  <c r="BE99" i="1"/>
  <c r="BE97" i="1"/>
  <c r="BE98" i="1"/>
  <c r="BE101" i="1"/>
  <c r="BE100" i="1"/>
  <c r="BE102" i="1"/>
  <c r="BE103" i="1"/>
  <c r="BE104" i="1"/>
  <c r="BE105" i="1"/>
  <c r="BE106" i="1"/>
  <c r="BE108" i="1"/>
  <c r="BE107" i="1"/>
  <c r="BE109" i="1"/>
  <c r="BE110" i="1"/>
  <c r="BE112" i="1"/>
  <c r="BE114" i="1"/>
  <c r="BE115" i="1"/>
  <c r="BE111" i="1"/>
  <c r="BE117" i="1"/>
  <c r="BE116" i="1"/>
  <c r="BE113" i="1"/>
  <c r="BE118" i="1"/>
  <c r="BE120" i="1"/>
  <c r="BE119" i="1"/>
  <c r="BE121" i="1"/>
  <c r="BE122" i="1"/>
  <c r="BE123" i="1"/>
  <c r="BE124" i="1"/>
  <c r="BE125" i="1"/>
  <c r="BE126" i="1"/>
  <c r="BE127" i="1"/>
  <c r="BE128" i="1"/>
  <c r="BE129" i="1"/>
  <c r="BE131" i="1"/>
  <c r="BE130" i="1"/>
  <c r="BE133" i="1"/>
  <c r="BE132" i="1"/>
  <c r="BE134" i="1"/>
  <c r="BE135" i="1"/>
  <c r="BE137" i="1"/>
  <c r="BE136" i="1"/>
  <c r="BE139" i="1"/>
  <c r="BE138" i="1"/>
  <c r="BE140" i="1"/>
  <c r="BE142" i="1"/>
  <c r="BE141" i="1"/>
  <c r="BE143" i="1"/>
  <c r="BE146" i="1"/>
  <c r="BE148" i="1"/>
  <c r="BE147" i="1"/>
  <c r="BE145" i="1"/>
  <c r="BE144" i="1"/>
  <c r="BE149" i="1"/>
  <c r="BE150" i="1"/>
  <c r="BE152" i="1"/>
  <c r="BE151" i="1"/>
  <c r="BE153" i="1"/>
  <c r="BE154" i="1"/>
  <c r="BE155" i="1"/>
  <c r="BE156" i="1"/>
  <c r="BE157" i="1"/>
  <c r="BE158" i="1"/>
  <c r="BE159" i="1"/>
  <c r="BE160" i="1"/>
  <c r="BE161" i="1"/>
  <c r="BE162" i="1"/>
  <c r="BE163" i="1"/>
  <c r="BE164" i="1"/>
  <c r="BE165" i="1"/>
  <c r="BE166" i="1"/>
  <c r="BE169" i="1"/>
  <c r="BE168" i="1"/>
  <c r="BE167" i="1"/>
  <c r="BE174" i="1"/>
  <c r="BE172" i="1"/>
  <c r="BE170" i="1"/>
  <c r="BE173" i="1"/>
  <c r="BE171" i="1"/>
  <c r="BE176" i="1"/>
  <c r="BE177" i="1"/>
  <c r="BE175" i="1"/>
  <c r="BE178" i="1"/>
  <c r="BE179" i="1"/>
  <c r="BE182" i="1"/>
  <c r="BE181" i="1"/>
  <c r="BE180" i="1"/>
  <c r="BE185" i="1"/>
  <c r="BE187" i="1"/>
  <c r="BE183" i="1"/>
  <c r="BE184" i="1"/>
  <c r="BE186" i="1"/>
  <c r="BE189" i="1"/>
  <c r="BE190" i="1"/>
  <c r="BE188" i="1"/>
  <c r="BE191" i="1"/>
  <c r="BE195" i="1"/>
  <c r="BE194" i="1"/>
  <c r="BE196" i="1"/>
  <c r="BE193" i="1"/>
  <c r="BE192" i="1"/>
  <c r="BE197" i="1"/>
  <c r="BE198" i="1"/>
  <c r="BE199" i="1"/>
  <c r="BE202" i="1"/>
  <c r="BE201" i="1"/>
  <c r="BE200" i="1"/>
  <c r="BE205" i="1"/>
  <c r="BE204" i="1"/>
  <c r="BE203" i="1"/>
  <c r="BE206" i="1"/>
  <c r="BE207" i="1"/>
  <c r="BE208" i="1"/>
  <c r="BE210" i="1"/>
  <c r="BE209" i="1"/>
  <c r="BE211" i="1"/>
  <c r="BE214" i="1"/>
  <c r="BE216" i="1"/>
  <c r="BE217" i="1"/>
  <c r="BE213" i="1"/>
  <c r="BE215" i="1"/>
  <c r="BE212" i="1"/>
  <c r="BE222" i="1"/>
  <c r="BE223" i="1"/>
  <c r="BE218" i="1"/>
  <c r="BE219" i="1"/>
  <c r="BE221" i="1"/>
  <c r="BE220" i="1"/>
  <c r="BE224" i="1"/>
  <c r="BE225" i="1"/>
  <c r="BE226" i="1"/>
  <c r="BE228" i="1"/>
  <c r="BE227" i="1"/>
  <c r="BE229" i="1"/>
  <c r="BE231" i="1"/>
  <c r="BE230" i="1"/>
  <c r="BE232" i="1"/>
  <c r="BE235" i="1"/>
  <c r="BE233" i="1"/>
  <c r="BE234" i="1"/>
  <c r="BE239" i="1"/>
  <c r="BE238" i="1"/>
  <c r="BE237" i="1"/>
  <c r="BE236" i="1"/>
  <c r="BE240" i="1"/>
  <c r="BE241" i="1"/>
  <c r="BE242" i="1"/>
  <c r="BE243" i="1"/>
  <c r="BE244" i="1"/>
  <c r="BE246" i="1"/>
  <c r="BE245" i="1"/>
  <c r="BE247" i="1"/>
  <c r="BE248" i="1"/>
  <c r="BE250" i="1"/>
  <c r="BE249" i="1"/>
  <c r="BE251" i="1"/>
  <c r="BE252" i="1"/>
  <c r="BE253" i="1"/>
  <c r="BE254" i="1"/>
  <c r="BE255" i="1"/>
  <c r="BE256" i="1"/>
  <c r="BE257" i="1"/>
  <c r="BE258" i="1"/>
  <c r="BE259" i="1"/>
  <c r="BE260" i="1"/>
  <c r="BE262" i="1"/>
  <c r="BE261" i="1"/>
  <c r="BE263" i="1"/>
  <c r="BE265" i="1"/>
  <c r="BE264" i="1"/>
  <c r="BE267" i="1"/>
  <c r="BE269" i="1"/>
  <c r="BE266" i="1"/>
  <c r="BE268" i="1"/>
  <c r="BE271" i="1"/>
  <c r="BE270" i="1"/>
  <c r="BE273" i="1"/>
  <c r="BE272" i="1"/>
  <c r="BE275" i="1"/>
  <c r="BE274" i="1"/>
  <c r="BE276" i="1"/>
  <c r="BE277" i="1"/>
  <c r="BE278" i="1"/>
  <c r="BE279" i="1"/>
  <c r="BE280" i="1"/>
  <c r="BE282" i="1"/>
  <c r="BE281" i="1"/>
  <c r="BE283" i="1"/>
  <c r="BE285" i="1"/>
  <c r="BE284" i="1"/>
  <c r="BE286" i="1"/>
  <c r="BE288" i="1"/>
  <c r="BE287" i="1"/>
  <c r="BE289" i="1"/>
  <c r="BE291" i="1"/>
  <c r="BE290" i="1"/>
  <c r="BE293" i="1"/>
  <c r="BE292" i="1"/>
  <c r="BE294" i="1"/>
  <c r="BE295" i="1"/>
  <c r="BE297" i="1"/>
  <c r="BE296" i="1"/>
  <c r="BE298" i="1"/>
  <c r="BE299" i="1"/>
  <c r="BE302" i="1"/>
  <c r="BE300" i="1"/>
  <c r="BE301" i="1"/>
  <c r="BE304" i="1"/>
  <c r="BE305" i="1"/>
  <c r="BE303" i="1"/>
  <c r="BE306" i="1"/>
  <c r="BE308" i="1"/>
  <c r="BE307" i="1"/>
  <c r="BE312" i="1"/>
  <c r="BE311" i="1"/>
  <c r="BE310" i="1"/>
  <c r="BE309" i="1"/>
  <c r="BE314" i="1"/>
  <c r="BE313" i="1"/>
  <c r="BE315" i="1"/>
  <c r="BE316" i="1"/>
  <c r="BE317" i="1"/>
  <c r="BE319" i="1"/>
  <c r="BE318" i="1"/>
  <c r="BE320" i="1"/>
  <c r="BE323" i="1"/>
  <c r="BE321" i="1"/>
  <c r="BE324" i="1"/>
  <c r="BE322" i="1"/>
  <c r="BE326" i="1"/>
  <c r="BE325" i="1"/>
  <c r="BE327" i="1"/>
  <c r="BE328" i="1"/>
  <c r="BE331" i="1"/>
  <c r="BE333" i="1"/>
  <c r="BE330" i="1"/>
  <c r="BE329" i="1"/>
  <c r="BE332" i="1"/>
  <c r="BE336" i="1"/>
  <c r="BE340" i="1"/>
  <c r="BE339" i="1"/>
  <c r="BE338" i="1"/>
  <c r="BE335" i="1"/>
  <c r="BE337" i="1"/>
  <c r="BE341" i="1"/>
  <c r="BE334" i="1"/>
  <c r="BE342" i="1"/>
  <c r="BE349" i="1"/>
  <c r="BE347" i="1"/>
  <c r="BE343" i="1"/>
  <c r="BE350" i="1"/>
  <c r="BE344" i="1"/>
  <c r="BE348" i="1"/>
  <c r="BE345" i="1"/>
  <c r="BE346" i="1"/>
  <c r="BE354" i="1"/>
  <c r="BE351" i="1"/>
  <c r="BE353" i="1"/>
  <c r="BE352" i="1"/>
  <c r="BE355" i="1"/>
  <c r="BE356" i="1"/>
  <c r="BE357" i="1"/>
  <c r="BE359" i="1"/>
  <c r="BE362" i="1"/>
  <c r="BE360" i="1"/>
  <c r="BE358" i="1"/>
  <c r="BE361" i="1"/>
  <c r="BE363" i="1"/>
  <c r="BE364" i="1"/>
  <c r="BE367" i="1"/>
  <c r="BE368" i="1"/>
  <c r="BE371" i="1"/>
  <c r="BE366" i="1"/>
  <c r="BE369" i="1"/>
  <c r="BE370" i="1"/>
  <c r="BE365" i="1"/>
  <c r="BE372" i="1"/>
  <c r="BE373" i="1"/>
  <c r="BE374" i="1"/>
  <c r="BE376" i="1"/>
  <c r="BE375" i="1"/>
  <c r="BE377" i="1"/>
  <c r="BE378" i="1"/>
  <c r="BE380" i="1"/>
  <c r="BE379" i="1"/>
  <c r="BE382" i="1"/>
  <c r="BE381" i="1"/>
  <c r="BE383" i="1"/>
  <c r="BE386" i="1"/>
  <c r="BE387" i="1"/>
  <c r="BE385" i="1"/>
  <c r="BE384" i="1"/>
  <c r="BE388" i="1"/>
  <c r="BE393" i="1"/>
  <c r="BE389" i="1"/>
  <c r="BE392" i="1"/>
  <c r="BE391" i="1"/>
  <c r="BE390" i="1"/>
  <c r="BE396" i="1"/>
  <c r="BE397" i="1"/>
  <c r="BE395" i="1"/>
  <c r="BE394" i="1"/>
  <c r="BE401" i="1"/>
  <c r="BE400" i="1"/>
  <c r="BE399" i="1"/>
  <c r="BE398" i="1"/>
  <c r="BE402" i="1"/>
  <c r="BE404" i="1"/>
  <c r="BE405" i="1"/>
  <c r="BE403" i="1"/>
  <c r="BE407" i="1"/>
  <c r="BE406" i="1"/>
  <c r="BE408" i="1"/>
  <c r="BE409" i="1"/>
  <c r="BE410" i="1"/>
  <c r="BE413" i="1"/>
  <c r="BE414" i="1"/>
  <c r="BE420" i="1"/>
  <c r="BE411" i="1"/>
  <c r="BE421" i="1"/>
  <c r="BE418" i="1"/>
  <c r="BE412" i="1"/>
  <c r="BE417" i="1"/>
  <c r="BE415" i="1"/>
  <c r="BE416" i="1"/>
  <c r="BE422" i="1"/>
  <c r="BE423" i="1"/>
  <c r="BE419" i="1"/>
  <c r="BE425" i="1"/>
  <c r="BE424" i="1"/>
  <c r="BE435" i="1"/>
  <c r="BE433" i="1"/>
  <c r="BE426" i="1"/>
  <c r="BE429" i="1"/>
  <c r="BE432" i="1"/>
  <c r="BE431" i="1"/>
  <c r="BE434" i="1"/>
  <c r="BE428" i="1"/>
  <c r="BE430" i="1"/>
  <c r="BE436" i="1"/>
  <c r="BE427" i="1"/>
  <c r="BE441" i="1"/>
  <c r="BE438" i="1"/>
  <c r="BE437" i="1"/>
  <c r="BE442" i="1"/>
  <c r="BE439" i="1"/>
  <c r="BE440" i="1"/>
  <c r="BE443" i="1"/>
  <c r="BE444" i="1"/>
  <c r="BE446" i="1"/>
  <c r="BE450" i="1"/>
  <c r="BE445" i="1"/>
  <c r="BE448" i="1"/>
  <c r="BE447" i="1"/>
  <c r="BE449" i="1"/>
  <c r="BE451" i="1"/>
  <c r="BE456" i="1"/>
  <c r="BE454" i="1"/>
  <c r="BE455" i="1"/>
  <c r="BE457" i="1"/>
  <c r="BE453" i="1"/>
  <c r="BE452" i="1"/>
  <c r="BE458" i="1"/>
  <c r="BE460" i="1"/>
  <c r="BE459" i="1"/>
  <c r="BE463" i="1"/>
  <c r="BE462" i="1"/>
  <c r="BE461" i="1"/>
  <c r="BE464" i="1"/>
  <c r="BE466" i="1"/>
  <c r="BE465" i="1"/>
  <c r="BE471" i="1"/>
  <c r="BE468" i="1"/>
  <c r="BE467" i="1"/>
  <c r="BE469" i="1"/>
  <c r="BE470" i="1"/>
  <c r="BE477" i="1"/>
  <c r="BE480" i="1"/>
  <c r="BE475" i="1"/>
  <c r="BE483" i="1"/>
  <c r="BE484" i="1"/>
  <c r="BE476" i="1"/>
  <c r="BE481" i="1"/>
  <c r="BE478" i="1"/>
  <c r="BE472" i="1"/>
  <c r="BE486" i="1"/>
  <c r="BE473" i="1"/>
  <c r="BE479" i="1"/>
  <c r="BE482" i="1"/>
  <c r="BE474" i="1"/>
  <c r="BE485" i="1"/>
  <c r="BE491" i="1"/>
  <c r="BE487" i="1"/>
  <c r="BE492" i="1"/>
  <c r="BE496" i="1"/>
  <c r="BE488" i="1"/>
  <c r="BE489" i="1"/>
  <c r="BE494" i="1"/>
  <c r="BE493" i="1"/>
  <c r="BE497" i="1"/>
  <c r="BE490" i="1"/>
  <c r="BE495" i="1"/>
  <c r="BE504" i="1"/>
  <c r="BE499" i="1"/>
  <c r="BE501" i="1"/>
  <c r="BE502" i="1"/>
  <c r="BE505" i="1"/>
  <c r="BE503" i="1"/>
  <c r="BE506" i="1"/>
  <c r="BE498" i="1"/>
  <c r="BE500" i="1"/>
  <c r="BE507" i="1"/>
  <c r="BE510" i="1"/>
  <c r="BE509" i="1"/>
  <c r="BE508" i="1"/>
  <c r="BE514" i="1"/>
  <c r="BE513" i="1"/>
  <c r="BE511" i="1"/>
  <c r="BE515" i="1"/>
  <c r="BE516" i="1"/>
  <c r="BE517" i="1"/>
  <c r="BE512" i="1"/>
  <c r="BE521" i="1"/>
  <c r="BE524" i="1"/>
  <c r="BE525" i="1"/>
  <c r="BE528" i="1"/>
  <c r="BE527" i="1"/>
  <c r="BE523" i="1"/>
  <c r="BE520" i="1"/>
  <c r="BE522" i="1"/>
  <c r="BE518" i="1"/>
  <c r="BE526" i="1"/>
  <c r="BE519" i="1"/>
  <c r="BE531" i="1"/>
  <c r="BE530" i="1"/>
  <c r="BE529" i="1"/>
  <c r="BE539" i="1"/>
  <c r="BE542" i="1"/>
  <c r="BE538" i="1"/>
  <c r="BE541" i="1"/>
  <c r="BE533" i="1"/>
  <c r="BE535" i="1"/>
  <c r="BE537" i="1"/>
  <c r="BE534" i="1"/>
  <c r="BE536" i="1"/>
  <c r="BE540" i="1"/>
  <c r="BE543" i="1"/>
  <c r="BE532" i="1"/>
  <c r="BE550" i="1"/>
  <c r="BE544" i="1"/>
  <c r="BE545" i="1"/>
  <c r="BE547" i="1"/>
  <c r="BE548" i="1"/>
  <c r="BE546" i="1"/>
  <c r="BE549" i="1"/>
  <c r="BE552" i="1"/>
  <c r="BE554" i="1"/>
  <c r="BE551" i="1"/>
  <c r="BE553" i="1"/>
  <c r="BE555" i="1"/>
  <c r="BE558" i="1"/>
  <c r="BE559" i="1"/>
  <c r="BE556" i="1"/>
  <c r="BE557" i="1"/>
  <c r="BE560" i="1"/>
  <c r="BE561" i="1"/>
  <c r="BE572" i="1"/>
  <c r="BE574" i="1"/>
  <c r="BE564" i="1"/>
  <c r="BE567" i="1"/>
  <c r="BE573" i="1"/>
  <c r="BE566" i="1"/>
  <c r="BE570" i="1"/>
  <c r="BE568" i="1"/>
  <c r="BE576" i="1"/>
  <c r="BE569" i="1"/>
  <c r="BE562" i="1"/>
  <c r="BE565" i="1"/>
  <c r="BE575" i="1"/>
  <c r="BE563" i="1"/>
  <c r="BE571" i="1"/>
  <c r="BE580" i="1"/>
  <c r="BE579" i="1"/>
  <c r="BE577" i="1"/>
  <c r="BE578" i="1"/>
  <c r="BE585" i="1"/>
  <c r="BE583" i="1"/>
  <c r="BE581" i="1"/>
  <c r="BE582" i="1"/>
  <c r="BE584" i="1"/>
  <c r="BE587" i="1"/>
  <c r="BE586" i="1"/>
  <c r="BE590" i="1"/>
  <c r="BE595" i="1"/>
  <c r="BE589" i="1"/>
  <c r="BE591" i="1"/>
  <c r="BE594" i="1"/>
  <c r="BE593" i="1"/>
  <c r="BE588" i="1"/>
  <c r="BE592" i="1"/>
  <c r="BE598" i="1"/>
  <c r="BE599" i="1"/>
  <c r="BE600" i="1"/>
  <c r="BE597" i="1"/>
  <c r="BE596" i="1"/>
  <c r="BE603" i="1"/>
  <c r="BE605" i="1"/>
  <c r="BE604" i="1"/>
  <c r="BE601" i="1"/>
  <c r="BE602" i="1"/>
  <c r="BE606" i="1"/>
  <c r="BE608" i="1"/>
  <c r="BE611" i="1"/>
  <c r="BE607" i="1"/>
  <c r="BE610" i="1"/>
  <c r="BE609" i="1"/>
  <c r="BE620" i="1"/>
  <c r="BE612" i="1"/>
  <c r="BE616" i="1"/>
  <c r="BE619" i="1"/>
  <c r="BE613" i="1"/>
  <c r="BE618" i="1"/>
  <c r="BE614" i="1"/>
  <c r="BE617" i="1"/>
  <c r="BE622" i="1"/>
  <c r="BE621" i="1"/>
  <c r="BE615" i="1"/>
  <c r="BE623" i="1"/>
  <c r="BE626" i="1"/>
  <c r="BE624" i="1"/>
  <c r="BE627" i="1"/>
  <c r="BE625" i="1"/>
  <c r="BE630" i="1"/>
  <c r="BE631" i="1"/>
  <c r="BE632" i="1"/>
  <c r="BE629" i="1"/>
  <c r="BE633" i="1"/>
  <c r="BE628" i="1"/>
  <c r="BE634" i="1"/>
  <c r="BE635" i="1"/>
  <c r="BE636" i="1"/>
  <c r="BE637" i="1"/>
  <c r="BE641" i="1"/>
  <c r="BE642" i="1"/>
  <c r="BE645" i="1"/>
  <c r="BE643" i="1"/>
  <c r="BE640" i="1"/>
  <c r="BE646" i="1"/>
  <c r="BE638" i="1"/>
  <c r="BE644" i="1"/>
  <c r="BE639" i="1"/>
  <c r="BE647" i="1"/>
  <c r="BE648" i="1"/>
  <c r="BE651" i="1"/>
  <c r="BE654" i="1"/>
  <c r="BE652" i="1"/>
  <c r="BE653" i="1"/>
  <c r="BE650" i="1"/>
  <c r="BE655" i="1"/>
  <c r="BE649" i="1"/>
  <c r="BE656" i="1"/>
  <c r="BE657" i="1"/>
  <c r="BE663" i="1"/>
  <c r="BE658" i="1"/>
  <c r="BE660" i="1"/>
  <c r="BE659" i="1"/>
  <c r="BE662" i="1"/>
  <c r="BE661" i="1"/>
  <c r="BE666" i="1"/>
  <c r="BE665" i="1"/>
  <c r="BE664" i="1"/>
  <c r="BE668" i="1"/>
  <c r="BE667" i="1"/>
  <c r="BE669" i="1"/>
  <c r="BE671" i="1"/>
  <c r="BE672" i="1"/>
  <c r="BE673" i="1"/>
  <c r="BE670" i="1"/>
  <c r="BE674" i="1"/>
  <c r="BE675" i="1"/>
  <c r="BE676" i="1"/>
  <c r="BE678" i="1"/>
  <c r="BE677" i="1"/>
  <c r="BE679" i="1"/>
  <c r="BE680" i="1"/>
  <c r="BE681" i="1"/>
  <c r="BE682" i="1"/>
  <c r="BE683" i="1"/>
  <c r="BE684" i="1"/>
  <c r="BE685" i="1"/>
  <c r="BE686" i="1"/>
  <c r="BE687" i="1"/>
  <c r="BE689" i="1"/>
  <c r="BE688" i="1"/>
  <c r="BE690" i="1"/>
  <c r="BE693" i="1"/>
  <c r="BE691" i="1"/>
  <c r="BE692" i="1"/>
  <c r="BE696" i="1"/>
  <c r="BE695" i="1"/>
  <c r="BE694" i="1"/>
  <c r="BE697" i="1"/>
  <c r="BE698" i="1"/>
  <c r="BE699" i="1"/>
  <c r="BE700" i="1"/>
  <c r="BE4" i="1"/>
  <c r="A11" i="2" l="1"/>
  <c r="A45" i="2"/>
  <c r="AF1" i="2"/>
  <c r="B44" i="2"/>
  <c r="B45" i="2"/>
  <c r="B46" i="2"/>
  <c r="B47" i="2"/>
  <c r="B48" i="2"/>
  <c r="B49" i="2"/>
  <c r="B43" i="2"/>
  <c r="AT43" i="2" s="1"/>
  <c r="B10" i="2"/>
  <c r="P10" i="2" s="1"/>
  <c r="B9" i="2"/>
  <c r="AN9" i="2" s="1"/>
  <c r="B50" i="2"/>
  <c r="B51" i="2"/>
  <c r="B11" i="2"/>
  <c r="C45" i="2"/>
  <c r="C46" i="2"/>
  <c r="C47" i="2"/>
  <c r="C48" i="2"/>
  <c r="C49" i="2"/>
  <c r="C50" i="2"/>
  <c r="C44" i="2"/>
  <c r="B12" i="2"/>
  <c r="B13" i="2"/>
  <c r="B14" i="2"/>
  <c r="B15" i="2"/>
  <c r="B16" i="2"/>
  <c r="B17" i="2"/>
  <c r="C11" i="2"/>
  <c r="C12" i="2"/>
  <c r="C13" i="2"/>
  <c r="C14" i="2"/>
  <c r="C15" i="2"/>
  <c r="C16" i="2"/>
  <c r="C17" i="2"/>
  <c r="C10" i="2"/>
  <c r="AP1" i="6"/>
  <c r="BJ1" i="1"/>
  <c r="AP1" i="5"/>
  <c r="DG1" i="3"/>
  <c r="N96" i="2"/>
  <c r="T72" i="2"/>
  <c r="L83" i="2"/>
  <c r="F62" i="2"/>
  <c r="U83" i="2"/>
  <c r="M84" i="2"/>
  <c r="M101" i="2"/>
  <c r="Q60" i="2"/>
  <c r="G70" i="2"/>
  <c r="U73" i="2"/>
  <c r="W76" i="2"/>
  <c r="G26" i="2"/>
  <c r="G43" i="2"/>
  <c r="Q91" i="2"/>
  <c r="M63" i="2"/>
  <c r="W66" i="2"/>
  <c r="K70" i="2"/>
  <c r="M77" i="2"/>
  <c r="I25" i="2"/>
  <c r="V25" i="2"/>
  <c r="S29" i="2"/>
  <c r="G96" i="2"/>
  <c r="K110" i="2"/>
  <c r="K64" i="2"/>
  <c r="I67" i="2"/>
  <c r="O70" i="2"/>
  <c r="G74" i="2"/>
  <c r="T58" i="2"/>
  <c r="F43" i="2"/>
  <c r="J9" i="2"/>
  <c r="I69" i="2"/>
  <c r="R43" i="2"/>
  <c r="R26" i="2"/>
  <c r="G28" i="2"/>
  <c r="U28" i="2"/>
  <c r="T29" i="2"/>
  <c r="P30" i="2"/>
  <c r="I32" i="2"/>
  <c r="V32" i="2"/>
  <c r="G34" i="2"/>
  <c r="U34" i="2"/>
  <c r="Q35" i="2"/>
  <c r="L36" i="2"/>
  <c r="O37" i="2"/>
  <c r="J38" i="2"/>
  <c r="U63" i="2"/>
  <c r="S25" i="2"/>
  <c r="U26" i="2"/>
  <c r="Q27" i="2"/>
  <c r="L28" i="2"/>
  <c r="P29" i="2"/>
  <c r="T30" i="2"/>
  <c r="O31" i="2"/>
  <c r="J32" i="2"/>
  <c r="M33" i="2"/>
  <c r="H34" i="2"/>
  <c r="N35" i="2"/>
  <c r="I36" i="2"/>
  <c r="Q36" i="2"/>
  <c r="V36" i="2"/>
  <c r="L37" i="2"/>
  <c r="G38" i="2"/>
  <c r="H9" i="2"/>
  <c r="W96" i="2"/>
  <c r="O64" i="2"/>
  <c r="S70" i="2"/>
  <c r="S76" i="2"/>
  <c r="U25" i="2"/>
  <c r="P26" i="2"/>
  <c r="N27" i="2"/>
  <c r="I28" i="2"/>
  <c r="Z28" i="2" s="1"/>
  <c r="Q28" i="2"/>
  <c r="V28" i="2"/>
  <c r="M29" i="2"/>
  <c r="U29" i="2"/>
  <c r="J30" i="2"/>
  <c r="R30" i="2"/>
  <c r="L31" i="2"/>
  <c r="G32" i="2"/>
  <c r="O32" i="2"/>
  <c r="U32" i="2"/>
  <c r="J33" i="2"/>
  <c r="R33" i="2"/>
  <c r="M34" i="2"/>
  <c r="T34" i="2"/>
  <c r="G35" i="2"/>
  <c r="O35" i="2"/>
  <c r="U35" i="2"/>
  <c r="J36" i="2"/>
  <c r="R36" i="2"/>
  <c r="I37" i="2"/>
  <c r="M37" i="2"/>
  <c r="T37" i="2"/>
  <c r="V37" i="2"/>
  <c r="H38" i="2"/>
  <c r="S59" i="2"/>
  <c r="K74" i="2"/>
  <c r="W25" i="2"/>
  <c r="V26" i="2"/>
  <c r="S27" i="2"/>
  <c r="N28" i="2"/>
  <c r="J29" i="2"/>
  <c r="G30" i="2"/>
  <c r="U30" i="2"/>
  <c r="Q31" i="2"/>
  <c r="L32" i="2"/>
  <c r="G33" i="2"/>
  <c r="U33" i="2"/>
  <c r="R34" i="2"/>
  <c r="L35" i="2"/>
  <c r="G36" i="2"/>
  <c r="U36" i="2"/>
  <c r="R37" i="2"/>
  <c r="L38" i="2"/>
  <c r="P38" i="2"/>
  <c r="I24" i="2"/>
  <c r="T24" i="2"/>
  <c r="Q24" i="2"/>
  <c r="M24" i="2"/>
  <c r="F25" i="2"/>
  <c r="F29" i="2"/>
  <c r="F33" i="2"/>
  <c r="F37" i="2"/>
  <c r="R9" i="2"/>
  <c r="N9" i="2"/>
  <c r="W4" i="2"/>
  <c r="J4" i="2"/>
  <c r="U4" i="2"/>
  <c r="S4" i="2"/>
  <c r="R4" i="2"/>
  <c r="N4" i="2"/>
  <c r="F58" i="2"/>
  <c r="G58" i="2"/>
  <c r="J76" i="2"/>
  <c r="J74" i="2"/>
  <c r="F74" i="2"/>
  <c r="H73" i="2"/>
  <c r="J72" i="2"/>
  <c r="L71" i="2"/>
  <c r="N70" i="2"/>
  <c r="P69" i="2"/>
  <c r="R68" i="2"/>
  <c r="T67" i="2"/>
  <c r="L67" i="2"/>
  <c r="R66" i="2"/>
  <c r="P65" i="2"/>
  <c r="R64" i="2"/>
  <c r="T63" i="2"/>
  <c r="V62" i="2"/>
  <c r="O59" i="2"/>
  <c r="U111" i="2"/>
  <c r="I109" i="2"/>
  <c r="Q105" i="2"/>
  <c r="K100" i="2"/>
  <c r="S96" i="2"/>
  <c r="W94" i="2"/>
  <c r="M91" i="2"/>
  <c r="S85" i="2"/>
  <c r="K78" i="2"/>
  <c r="L58" i="2"/>
  <c r="W58" i="2"/>
  <c r="I76" i="2"/>
  <c r="I74" i="2"/>
  <c r="W73" i="2"/>
  <c r="G73" i="2"/>
  <c r="I9" i="2"/>
  <c r="I65" i="2"/>
  <c r="I58" i="2"/>
  <c r="M26" i="2"/>
  <c r="G27" i="2"/>
  <c r="U27" i="2"/>
  <c r="R28" i="2"/>
  <c r="N29" i="2"/>
  <c r="K30" i="2"/>
  <c r="W30" i="2"/>
  <c r="T31" i="2"/>
  <c r="P32" i="2"/>
  <c r="K33" i="2"/>
  <c r="W33" i="2"/>
  <c r="P35" i="2"/>
  <c r="K36" i="2"/>
  <c r="W36" i="2"/>
  <c r="M38" i="2"/>
  <c r="Q38" i="2"/>
  <c r="T38" i="2"/>
  <c r="V38" i="2"/>
  <c r="W24" i="2"/>
  <c r="J24" i="2"/>
  <c r="R24" i="2"/>
  <c r="N24" i="2"/>
  <c r="F26" i="2"/>
  <c r="F30" i="2"/>
  <c r="F34" i="2"/>
  <c r="F38" i="2"/>
  <c r="K9" i="2"/>
  <c r="O9" i="2"/>
  <c r="G4" i="2"/>
  <c r="K4" i="2"/>
  <c r="O4" i="2"/>
  <c r="M58" i="2"/>
  <c r="V76" i="2"/>
  <c r="F76" i="2"/>
  <c r="P75" i="2"/>
  <c r="T73" i="2"/>
  <c r="V72" i="2"/>
  <c r="F72" i="2"/>
  <c r="H71" i="2"/>
  <c r="J70" i="2"/>
  <c r="L69" i="2"/>
  <c r="N68" i="2"/>
  <c r="H67" i="2"/>
  <c r="V66" i="2"/>
  <c r="N66" i="2"/>
  <c r="L65" i="2"/>
  <c r="N64" i="2"/>
  <c r="P63" i="2"/>
  <c r="I62" i="2"/>
  <c r="Q113" i="2"/>
  <c r="K108" i="2"/>
  <c r="S104" i="2"/>
  <c r="W102" i="2"/>
  <c r="M99" i="2"/>
  <c r="G94" i="2"/>
  <c r="N90" i="2"/>
  <c r="W83" i="2"/>
  <c r="S58" i="2"/>
  <c r="U76" i="2"/>
  <c r="W75" i="2"/>
  <c r="O75" i="2"/>
  <c r="S73" i="2"/>
  <c r="U72" i="2"/>
  <c r="Q82" i="2"/>
  <c r="K68" i="2"/>
  <c r="Q26" i="2"/>
  <c r="K27" i="2"/>
  <c r="W27" i="2"/>
  <c r="R29" i="2"/>
  <c r="O30" i="2"/>
  <c r="I31" i="2"/>
  <c r="V31" i="2"/>
  <c r="O33" i="2"/>
  <c r="J34" i="2"/>
  <c r="O36" i="2"/>
  <c r="J37" i="2"/>
  <c r="N38" i="2"/>
  <c r="R38" i="2"/>
  <c r="G24" i="2"/>
  <c r="V24" i="2"/>
  <c r="S24" i="2"/>
  <c r="K24" i="2"/>
  <c r="O24" i="2"/>
  <c r="F27" i="2"/>
  <c r="F31" i="2"/>
  <c r="F35" i="2"/>
  <c r="F24" i="2"/>
  <c r="L9" i="2"/>
  <c r="P9" i="2"/>
  <c r="H4" i="2"/>
  <c r="T4" i="2"/>
  <c r="V4" i="2"/>
  <c r="L4" i="2"/>
  <c r="P4" i="2"/>
  <c r="Q58" i="2"/>
  <c r="R76" i="2"/>
  <c r="T75" i="2"/>
  <c r="L75" i="2"/>
  <c r="R74" i="2"/>
  <c r="P73" i="2"/>
  <c r="R72" i="2"/>
  <c r="T71" i="2"/>
  <c r="V70" i="2"/>
  <c r="F70" i="2"/>
  <c r="H69" i="2"/>
  <c r="J68" i="2"/>
  <c r="J66" i="2"/>
  <c r="F66" i="2"/>
  <c r="H65" i="2"/>
  <c r="J64" i="2"/>
  <c r="L63" i="2"/>
  <c r="K61" i="2"/>
  <c r="S112" i="2"/>
  <c r="W110" i="2"/>
  <c r="M107" i="2"/>
  <c r="G102" i="2"/>
  <c r="O98" i="2"/>
  <c r="U95" i="2"/>
  <c r="I93" i="2"/>
  <c r="K89" i="2"/>
  <c r="I82" i="2"/>
  <c r="Q76" i="2"/>
  <c r="S75" i="2"/>
  <c r="M71" i="2"/>
  <c r="J28" i="2"/>
  <c r="AA28" i="2" s="1"/>
  <c r="M31" i="2"/>
  <c r="N34" i="2"/>
  <c r="N37" i="2"/>
  <c r="U38" i="2"/>
  <c r="F32" i="2"/>
  <c r="M9" i="2"/>
  <c r="F4" i="2"/>
  <c r="N76" i="2"/>
  <c r="L73" i="2"/>
  <c r="T69" i="2"/>
  <c r="Y69" i="2" s="1"/>
  <c r="H63" i="2"/>
  <c r="Y63" i="2" s="1"/>
  <c r="O106" i="2"/>
  <c r="M76" i="2"/>
  <c r="Q74" i="2"/>
  <c r="Q72" i="2"/>
  <c r="S71" i="2"/>
  <c r="U70" i="2"/>
  <c r="W69" i="2"/>
  <c r="G69" i="2"/>
  <c r="I68" i="2"/>
  <c r="I66" i="2"/>
  <c r="W65" i="2"/>
  <c r="G65" i="2"/>
  <c r="I64" i="2"/>
  <c r="K63" i="2"/>
  <c r="W61" i="2"/>
  <c r="M113" i="2"/>
  <c r="G108" i="2"/>
  <c r="O104" i="2"/>
  <c r="U101" i="2"/>
  <c r="I99" i="2"/>
  <c r="Q95" i="2"/>
  <c r="I90" i="2"/>
  <c r="I87" i="2"/>
  <c r="O83" i="2"/>
  <c r="O77" i="2"/>
  <c r="I78" i="2"/>
  <c r="T77" i="2"/>
  <c r="N78" i="2"/>
  <c r="Q77" i="2"/>
  <c r="I79" i="2"/>
  <c r="G80" i="2"/>
  <c r="W80" i="2"/>
  <c r="U81" i="2"/>
  <c r="O82" i="2"/>
  <c r="I83" i="2"/>
  <c r="S84" i="2"/>
  <c r="M85" i="2"/>
  <c r="K86" i="2"/>
  <c r="M87" i="2"/>
  <c r="K88" i="2"/>
  <c r="I89" i="2"/>
  <c r="O90" i="2"/>
  <c r="P78" i="2"/>
  <c r="R79" i="2"/>
  <c r="P80" i="2"/>
  <c r="N81" i="2"/>
  <c r="H82" i="2"/>
  <c r="R83" i="2"/>
  <c r="L84" i="2"/>
  <c r="F85" i="2"/>
  <c r="V85" i="2"/>
  <c r="T86" i="2"/>
  <c r="V87" i="2"/>
  <c r="T88" i="2"/>
  <c r="L78" i="2"/>
  <c r="N80" i="2"/>
  <c r="J82" i="2"/>
  <c r="F84" i="2"/>
  <c r="T85" i="2"/>
  <c r="F88" i="2"/>
  <c r="R89" i="2"/>
  <c r="T90" i="2"/>
  <c r="R91" i="2"/>
  <c r="P92" i="2"/>
  <c r="N93" i="2"/>
  <c r="H94" i="2"/>
  <c r="R95" i="2"/>
  <c r="I96" i="2"/>
  <c r="P96" i="2"/>
  <c r="J97" i="2"/>
  <c r="H98" i="2"/>
  <c r="F99" i="2"/>
  <c r="V99" i="2"/>
  <c r="T100" i="2"/>
  <c r="R101" i="2"/>
  <c r="L102" i="2"/>
  <c r="F103" i="2"/>
  <c r="V103" i="2"/>
  <c r="J104" i="2"/>
  <c r="T104" i="2"/>
  <c r="N105" i="2"/>
  <c r="L106" i="2"/>
  <c r="J107" i="2"/>
  <c r="H108" i="2"/>
  <c r="F109" i="2"/>
  <c r="V109" i="2"/>
  <c r="P110" i="2"/>
  <c r="J111" i="2"/>
  <c r="R113" i="2"/>
  <c r="P59" i="2"/>
  <c r="N60" i="2"/>
  <c r="L61" i="2"/>
  <c r="J62" i="2"/>
  <c r="S79" i="2"/>
  <c r="Q80" i="2"/>
  <c r="M82" i="2"/>
  <c r="S83" i="2"/>
  <c r="O85" i="2"/>
  <c r="I88" i="2"/>
  <c r="S89" i="2"/>
  <c r="Q90" i="2"/>
  <c r="K91" i="2"/>
  <c r="W91" i="2"/>
  <c r="U92" i="2"/>
  <c r="O93" i="2"/>
  <c r="I94" i="2"/>
  <c r="G95" i="2"/>
  <c r="W95" i="2"/>
  <c r="G97" i="2"/>
  <c r="W97" i="2"/>
  <c r="U98" i="2"/>
  <c r="O99" i="2"/>
  <c r="I100" i="2"/>
  <c r="S101" i="2"/>
  <c r="M102" i="2"/>
  <c r="K103" i="2"/>
  <c r="M104" i="2"/>
  <c r="K105" i="2"/>
  <c r="I106" i="2"/>
  <c r="S107" i="2"/>
  <c r="M108" i="2"/>
  <c r="G109" i="2"/>
  <c r="Q110" i="2"/>
  <c r="O111" i="2"/>
  <c r="Q112" i="2"/>
  <c r="O113" i="2"/>
  <c r="M59" i="2"/>
  <c r="G60" i="2"/>
  <c r="Q61" i="2"/>
  <c r="H62" i="2"/>
  <c r="S62" i="2"/>
  <c r="K25" i="2"/>
  <c r="H32" i="2"/>
  <c r="H35" i="2"/>
  <c r="I38" i="2"/>
  <c r="W38" i="2"/>
  <c r="L24" i="2"/>
  <c r="F36" i="2"/>
  <c r="F9" i="2"/>
  <c r="H75" i="2"/>
  <c r="N72" i="2"/>
  <c r="V68" i="2"/>
  <c r="AA68" i="2" s="1"/>
  <c r="T65" i="2"/>
  <c r="M60" i="2"/>
  <c r="U103" i="2"/>
  <c r="K92" i="2"/>
  <c r="G75" i="2"/>
  <c r="M74" i="2"/>
  <c r="M72" i="2"/>
  <c r="O71" i="2"/>
  <c r="Q70" i="2"/>
  <c r="S69" i="2"/>
  <c r="X69" i="2" s="1"/>
  <c r="U68" i="2"/>
  <c r="W67" i="2"/>
  <c r="O67" i="2"/>
  <c r="S65" i="2"/>
  <c r="U64" i="2"/>
  <c r="W63" i="2"/>
  <c r="G63" i="2"/>
  <c r="G61" i="2"/>
  <c r="O112" i="2"/>
  <c r="U109" i="2"/>
  <c r="I107" i="2"/>
  <c r="Q103" i="2"/>
  <c r="K98" i="2"/>
  <c r="S94" i="2"/>
  <c r="W92" i="2"/>
  <c r="U88" i="2"/>
  <c r="J87" i="2"/>
  <c r="AA87" i="2" s="1"/>
  <c r="S81" i="2"/>
  <c r="S77" i="2"/>
  <c r="M78" i="2"/>
  <c r="H77" i="2"/>
  <c r="R78" i="2"/>
  <c r="G78" i="2"/>
  <c r="M79" i="2"/>
  <c r="K80" i="2"/>
  <c r="I81" i="2"/>
  <c r="S82" i="2"/>
  <c r="M83" i="2"/>
  <c r="G84" i="2"/>
  <c r="Q85" i="2"/>
  <c r="O86" i="2"/>
  <c r="Q87" i="2"/>
  <c r="O88" i="2"/>
  <c r="M89" i="2"/>
  <c r="G90" i="2"/>
  <c r="J77" i="2"/>
  <c r="F79" i="2"/>
  <c r="V79" i="2"/>
  <c r="T80" i="2"/>
  <c r="R81" i="2"/>
  <c r="L82" i="2"/>
  <c r="F83" i="2"/>
  <c r="V83" i="2"/>
  <c r="P84" i="2"/>
  <c r="J85" i="2"/>
  <c r="H86" i="2"/>
  <c r="F87" i="2"/>
  <c r="H88" i="2"/>
  <c r="F89" i="2"/>
  <c r="H79" i="2"/>
  <c r="V80" i="2"/>
  <c r="R82" i="2"/>
  <c r="N84" i="2"/>
  <c r="J86" i="2"/>
  <c r="N88" i="2"/>
  <c r="W89" i="2"/>
  <c r="F91" i="2"/>
  <c r="V91" i="2"/>
  <c r="T92" i="2"/>
  <c r="R93" i="2"/>
  <c r="L94" i="2"/>
  <c r="F95" i="2"/>
  <c r="V95" i="2"/>
  <c r="J96" i="2"/>
  <c r="T96" i="2"/>
  <c r="N97" i="2"/>
  <c r="L98" i="2"/>
  <c r="J99" i="2"/>
  <c r="H100" i="2"/>
  <c r="F101" i="2"/>
  <c r="V101" i="2"/>
  <c r="P102" i="2"/>
  <c r="J103" i="2"/>
  <c r="R105" i="2"/>
  <c r="P106" i="2"/>
  <c r="N107" i="2"/>
  <c r="L108" i="2"/>
  <c r="J109" i="2"/>
  <c r="T110" i="2"/>
  <c r="N111" i="2"/>
  <c r="H112" i="2"/>
  <c r="L112" i="2"/>
  <c r="F113" i="2"/>
  <c r="V113" i="2"/>
  <c r="T59" i="2"/>
  <c r="R60" i="2"/>
  <c r="P61" i="2"/>
  <c r="N62" i="2"/>
  <c r="S78" i="2"/>
  <c r="G81" i="2"/>
  <c r="U82" i="2"/>
  <c r="I84" i="2"/>
  <c r="W85" i="2"/>
  <c r="K87" i="2"/>
  <c r="Q88" i="2"/>
  <c r="U90" i="2"/>
  <c r="O91" i="2"/>
  <c r="I92" i="2"/>
  <c r="S93" i="2"/>
  <c r="M94" i="2"/>
  <c r="K95" i="2"/>
  <c r="M96" i="2"/>
  <c r="K97" i="2"/>
  <c r="I98" i="2"/>
  <c r="S99" i="2"/>
  <c r="M100" i="2"/>
  <c r="G101" i="2"/>
  <c r="Q102" i="2"/>
  <c r="O103" i="2"/>
  <c r="Q104" i="2"/>
  <c r="O105" i="2"/>
  <c r="M106" i="2"/>
  <c r="G107" i="2"/>
  <c r="Q108" i="2"/>
  <c r="K109" i="2"/>
  <c r="W109" i="2"/>
  <c r="U110" i="2"/>
  <c r="S111" i="2"/>
  <c r="U112" i="2"/>
  <c r="S113" i="2"/>
  <c r="Q59" i="2"/>
  <c r="K60" i="2"/>
  <c r="W60" i="2"/>
  <c r="U61" i="2"/>
  <c r="T78" i="2"/>
  <c r="T26" i="2"/>
  <c r="O38" i="2"/>
  <c r="H24" i="2"/>
  <c r="Y24" i="2" s="1"/>
  <c r="P24" i="2"/>
  <c r="I4" i="2"/>
  <c r="Q4" i="2"/>
  <c r="V74" i="2"/>
  <c r="P71" i="2"/>
  <c r="F68" i="2"/>
  <c r="V64" i="2"/>
  <c r="AA64" i="2" s="1"/>
  <c r="I101" i="2"/>
  <c r="O87" i="2"/>
  <c r="P58" i="2"/>
  <c r="K75" i="2"/>
  <c r="O73" i="2"/>
  <c r="I72" i="2"/>
  <c r="K71" i="2"/>
  <c r="M70" i="2"/>
  <c r="O69" i="2"/>
  <c r="Q68" i="2"/>
  <c r="S67" i="2"/>
  <c r="K67" i="2"/>
  <c r="Q66" i="2"/>
  <c r="O65" i="2"/>
  <c r="Q64" i="2"/>
  <c r="S63" i="2"/>
  <c r="X63" i="2" s="1"/>
  <c r="U62" i="2"/>
  <c r="I60" i="2"/>
  <c r="Q111" i="2"/>
  <c r="K106" i="2"/>
  <c r="S102" i="2"/>
  <c r="W100" i="2"/>
  <c r="M97" i="2"/>
  <c r="G92" i="2"/>
  <c r="G87" i="2"/>
  <c r="W79" i="2"/>
  <c r="G77" i="2"/>
  <c r="Q78" i="2"/>
  <c r="L77" i="2"/>
  <c r="F78" i="2"/>
  <c r="V78" i="2"/>
  <c r="O78" i="2"/>
  <c r="Q79" i="2"/>
  <c r="O80" i="2"/>
  <c r="M81" i="2"/>
  <c r="G82" i="2"/>
  <c r="Q83" i="2"/>
  <c r="K84" i="2"/>
  <c r="W84" i="2"/>
  <c r="U85" i="2"/>
  <c r="S86" i="2"/>
  <c r="U87" i="2"/>
  <c r="S88" i="2"/>
  <c r="Q89" i="2"/>
  <c r="R77" i="2"/>
  <c r="J79" i="2"/>
  <c r="H80" i="2"/>
  <c r="F81" i="2"/>
  <c r="V81" i="2"/>
  <c r="P82" i="2"/>
  <c r="J83" i="2"/>
  <c r="T84" i="2"/>
  <c r="N85" i="2"/>
  <c r="L86" i="2"/>
  <c r="N87" i="2"/>
  <c r="L88" i="2"/>
  <c r="J89" i="2"/>
  <c r="P79" i="2"/>
  <c r="L81" i="2"/>
  <c r="H83" i="2"/>
  <c r="V84" i="2"/>
  <c r="R86" i="2"/>
  <c r="V88" i="2"/>
  <c r="J90" i="2"/>
  <c r="J91" i="2"/>
  <c r="H92" i="2"/>
  <c r="F93" i="2"/>
  <c r="V93" i="2"/>
  <c r="P94" i="2"/>
  <c r="J95" i="2"/>
  <c r="R97" i="2"/>
  <c r="P98" i="2"/>
  <c r="N99" i="2"/>
  <c r="L100" i="2"/>
  <c r="J101" i="2"/>
  <c r="T102" i="2"/>
  <c r="N103" i="2"/>
  <c r="H104" i="2"/>
  <c r="L104" i="2"/>
  <c r="F105" i="2"/>
  <c r="V105" i="2"/>
  <c r="T106" i="2"/>
  <c r="R107" i="2"/>
  <c r="P108" i="2"/>
  <c r="N109" i="2"/>
  <c r="H110" i="2"/>
  <c r="R111" i="2"/>
  <c r="I112" i="2"/>
  <c r="Z112" i="2" s="1"/>
  <c r="P112" i="2"/>
  <c r="J113" i="2"/>
  <c r="H59" i="2"/>
  <c r="Y59" i="2" s="1"/>
  <c r="F60" i="2"/>
  <c r="V60" i="2"/>
  <c r="T61" i="2"/>
  <c r="R62" i="2"/>
  <c r="I80" i="2"/>
  <c r="O81" i="2"/>
  <c r="Q84" i="2"/>
  <c r="M86" i="2"/>
  <c r="S87" i="2"/>
  <c r="G89" i="2"/>
  <c r="F90" i="2"/>
  <c r="S91" i="2"/>
  <c r="M92" i="2"/>
  <c r="G93" i="2"/>
  <c r="Q94" i="2"/>
  <c r="O95" i="2"/>
  <c r="Q96" i="2"/>
  <c r="O97" i="2"/>
  <c r="M98" i="2"/>
  <c r="G99" i="2"/>
  <c r="Q100" i="2"/>
  <c r="K101" i="2"/>
  <c r="W101" i="2"/>
  <c r="U102" i="2"/>
  <c r="S103" i="2"/>
  <c r="U104" i="2"/>
  <c r="S105" i="2"/>
  <c r="Q106" i="2"/>
  <c r="K107" i="2"/>
  <c r="W107" i="2"/>
  <c r="U108" i="2"/>
  <c r="O109" i="2"/>
  <c r="I110" i="2"/>
  <c r="G111" i="2"/>
  <c r="W111" i="2"/>
  <c r="G113" i="2"/>
  <c r="W113" i="2"/>
  <c r="O100" i="2"/>
  <c r="S36" i="2"/>
  <c r="Q9" i="2"/>
  <c r="N74" i="2"/>
  <c r="G110" i="2"/>
  <c r="U74" i="2"/>
  <c r="I70" i="2"/>
  <c r="Z70" i="2" s="1"/>
  <c r="U66" i="2"/>
  <c r="O63" i="2"/>
  <c r="W108" i="2"/>
  <c r="O96" i="2"/>
  <c r="K85" i="2"/>
  <c r="W77" i="2"/>
  <c r="I77" i="2"/>
  <c r="Q81" i="2"/>
  <c r="O84" i="2"/>
  <c r="G88" i="2"/>
  <c r="H78" i="2"/>
  <c r="P88" i="2"/>
  <c r="P83" i="2"/>
  <c r="P90" i="2"/>
  <c r="L96" i="2"/>
  <c r="R99" i="2"/>
  <c r="J105" i="2"/>
  <c r="T108" i="2"/>
  <c r="V111" i="2"/>
  <c r="L59" i="2"/>
  <c r="U77" i="2"/>
  <c r="K83" i="2"/>
  <c r="N89" i="2"/>
  <c r="Q92" i="2"/>
  <c r="S95" i="2"/>
  <c r="K99" i="2"/>
  <c r="I102" i="2"/>
  <c r="W105" i="2"/>
  <c r="M112" i="2"/>
  <c r="M61" i="2"/>
  <c r="O62" i="2"/>
  <c r="L79" i="2"/>
  <c r="R80" i="2"/>
  <c r="N82" i="2"/>
  <c r="T83" i="2"/>
  <c r="H85" i="2"/>
  <c r="V86" i="2"/>
  <c r="O89" i="2"/>
  <c r="M90" i="2"/>
  <c r="H91" i="2"/>
  <c r="F92" i="2"/>
  <c r="V92" i="2"/>
  <c r="P93" i="2"/>
  <c r="J94" i="2"/>
  <c r="T95" i="2"/>
  <c r="R96" i="2"/>
  <c r="P97" i="2"/>
  <c r="N98" i="2"/>
  <c r="L99" i="2"/>
  <c r="J100" i="2"/>
  <c r="T101" i="2"/>
  <c r="N102" i="2"/>
  <c r="H103" i="2"/>
  <c r="V104" i="2"/>
  <c r="T105" i="2"/>
  <c r="R106" i="2"/>
  <c r="P107" i="2"/>
  <c r="N108" i="2"/>
  <c r="H109" i="2"/>
  <c r="R110" i="2"/>
  <c r="L111" i="2"/>
  <c r="F112" i="2"/>
  <c r="H113" i="2"/>
  <c r="F59" i="2"/>
  <c r="V59" i="2"/>
  <c r="T60" i="2"/>
  <c r="R61" i="2"/>
  <c r="P62" i="2"/>
  <c r="P76" i="2"/>
  <c r="V75" i="2"/>
  <c r="F75" i="2"/>
  <c r="H74" i="2"/>
  <c r="N73" i="2"/>
  <c r="H72" i="2"/>
  <c r="R71" i="2"/>
  <c r="H70" i="2"/>
  <c r="R69" i="2"/>
  <c r="P68" i="2"/>
  <c r="V67" i="2"/>
  <c r="F67" i="2"/>
  <c r="H66" i="2"/>
  <c r="N65" i="2"/>
  <c r="H64" i="2"/>
  <c r="R63" i="2"/>
  <c r="S61" i="2"/>
  <c r="W59" i="2"/>
  <c r="Q109" i="2"/>
  <c r="I105" i="2"/>
  <c r="O102" i="2"/>
  <c r="U99" i="2"/>
  <c r="Z99" i="2" s="1"/>
  <c r="K96" i="2"/>
  <c r="S92" i="2"/>
  <c r="W90" i="2"/>
  <c r="Q86" i="2"/>
  <c r="K81" i="2"/>
  <c r="O27" i="2"/>
  <c r="S38" i="2"/>
  <c r="X38" i="2" s="1"/>
  <c r="R70" i="2"/>
  <c r="Q97" i="2"/>
  <c r="K73" i="2"/>
  <c r="K69" i="2"/>
  <c r="M66" i="2"/>
  <c r="M105" i="2"/>
  <c r="U93" i="2"/>
  <c r="U78" i="2"/>
  <c r="W78" i="2"/>
  <c r="K82" i="2"/>
  <c r="I85" i="2"/>
  <c r="W88" i="2"/>
  <c r="N79" i="2"/>
  <c r="T82" i="2"/>
  <c r="R85" i="2"/>
  <c r="N77" i="2"/>
  <c r="L85" i="2"/>
  <c r="N91" i="2"/>
  <c r="T94" i="2"/>
  <c r="F97" i="2"/>
  <c r="P100" i="2"/>
  <c r="R103" i="2"/>
  <c r="H106" i="2"/>
  <c r="R109" i="2"/>
  <c r="J112" i="2"/>
  <c r="J60" i="2"/>
  <c r="K79" i="2"/>
  <c r="G85" i="2"/>
  <c r="X85" i="2" s="1"/>
  <c r="L90" i="2"/>
  <c r="K93" i="2"/>
  <c r="U96" i="2"/>
  <c r="W99" i="2"/>
  <c r="G103" i="2"/>
  <c r="U106" i="2"/>
  <c r="S109" i="2"/>
  <c r="K113" i="2"/>
  <c r="O60" i="2"/>
  <c r="F77" i="2"/>
  <c r="T79" i="2"/>
  <c r="H81" i="2"/>
  <c r="V82" i="2"/>
  <c r="P85" i="2"/>
  <c r="J88" i="2"/>
  <c r="T89" i="2"/>
  <c r="R90" i="2"/>
  <c r="L91" i="2"/>
  <c r="J92" i="2"/>
  <c r="T93" i="2"/>
  <c r="N94" i="2"/>
  <c r="H95" i="2"/>
  <c r="V96" i="2"/>
  <c r="T97" i="2"/>
  <c r="R98" i="2"/>
  <c r="P99" i="2"/>
  <c r="N100" i="2"/>
  <c r="H101" i="2"/>
  <c r="R102" i="2"/>
  <c r="L103" i="2"/>
  <c r="F104" i="2"/>
  <c r="H105" i="2"/>
  <c r="Y105" i="2" s="1"/>
  <c r="F106" i="2"/>
  <c r="V106" i="2"/>
  <c r="T107" i="2"/>
  <c r="R108" i="2"/>
  <c r="L109" i="2"/>
  <c r="F110" i="2"/>
  <c r="V110" i="2"/>
  <c r="P111" i="2"/>
  <c r="N112" i="2"/>
  <c r="L113" i="2"/>
  <c r="J59" i="2"/>
  <c r="H60" i="2"/>
  <c r="F61" i="2"/>
  <c r="V61" i="2"/>
  <c r="T62" i="2"/>
  <c r="L76" i="2"/>
  <c r="R75" i="2"/>
  <c r="T74" i="2"/>
  <c r="J73" i="2"/>
  <c r="V71" i="2"/>
  <c r="N71" i="2"/>
  <c r="V69" i="2"/>
  <c r="N69" i="2"/>
  <c r="L68" i="2"/>
  <c r="R67" i="2"/>
  <c r="T66" i="2"/>
  <c r="J65" i="2"/>
  <c r="V63" i="2"/>
  <c r="N63" i="2"/>
  <c r="G59" i="2"/>
  <c r="K112" i="2"/>
  <c r="S108" i="2"/>
  <c r="X108" i="2" s="1"/>
  <c r="W106" i="2"/>
  <c r="Q101" i="2"/>
  <c r="M95" i="2"/>
  <c r="V89" i="2"/>
  <c r="U84" i="2"/>
  <c r="O79" i="2"/>
  <c r="S30" i="2"/>
  <c r="U24" i="2"/>
  <c r="Z24" i="2" s="1"/>
  <c r="P67" i="2"/>
  <c r="M80" i="2"/>
  <c r="W71" i="2"/>
  <c r="M68" i="2"/>
  <c r="K65" i="2"/>
  <c r="K59" i="2"/>
  <c r="I91" i="2"/>
  <c r="P77" i="2"/>
  <c r="U79" i="2"/>
  <c r="W82" i="2"/>
  <c r="G86" i="2"/>
  <c r="U89" i="2"/>
  <c r="L80" i="2"/>
  <c r="N83" i="2"/>
  <c r="P86" i="2"/>
  <c r="F80" i="2"/>
  <c r="P87" i="2"/>
  <c r="L92" i="2"/>
  <c r="N95" i="2"/>
  <c r="V97" i="2"/>
  <c r="N101" i="2"/>
  <c r="I104" i="2"/>
  <c r="F107" i="2"/>
  <c r="L110" i="2"/>
  <c r="T112" i="2"/>
  <c r="H61" i="2"/>
  <c r="U86" i="2"/>
  <c r="G91" i="2"/>
  <c r="W93" i="2"/>
  <c r="S97" i="2"/>
  <c r="X97" i="2" s="1"/>
  <c r="U100" i="2"/>
  <c r="W103" i="2"/>
  <c r="O107" i="2"/>
  <c r="M110" i="2"/>
  <c r="I59" i="2"/>
  <c r="S60" i="2"/>
  <c r="G62" i="2"/>
  <c r="V77" i="2"/>
  <c r="P81" i="2"/>
  <c r="J84" i="2"/>
  <c r="F86" i="2"/>
  <c r="L87" i="2"/>
  <c r="R88" i="2"/>
  <c r="V90" i="2"/>
  <c r="P91" i="2"/>
  <c r="N92" i="2"/>
  <c r="H93" i="2"/>
  <c r="R94" i="2"/>
  <c r="L95" i="2"/>
  <c r="F96" i="2"/>
  <c r="H97" i="2"/>
  <c r="F98" i="2"/>
  <c r="V98" i="2"/>
  <c r="T99" i="2"/>
  <c r="R100" i="2"/>
  <c r="L101" i="2"/>
  <c r="F102" i="2"/>
  <c r="V102" i="2"/>
  <c r="P103" i="2"/>
  <c r="N104" i="2"/>
  <c r="L105" i="2"/>
  <c r="J106" i="2"/>
  <c r="H107" i="2"/>
  <c r="F108" i="2"/>
  <c r="V108" i="2"/>
  <c r="P109" i="2"/>
  <c r="J110" i="2"/>
  <c r="T111" i="2"/>
  <c r="R112" i="2"/>
  <c r="P113" i="2"/>
  <c r="N59" i="2"/>
  <c r="L60" i="2"/>
  <c r="J61" i="2"/>
  <c r="H76" i="2"/>
  <c r="N75" i="2"/>
  <c r="P74" i="2"/>
  <c r="V73" i="2"/>
  <c r="F73" i="2"/>
  <c r="P72" i="2"/>
  <c r="J71" i="2"/>
  <c r="F71" i="2"/>
  <c r="P70" i="2"/>
  <c r="J69" i="2"/>
  <c r="F69" i="2"/>
  <c r="H68" i="2"/>
  <c r="N67" i="2"/>
  <c r="P66" i="2"/>
  <c r="V65" i="2"/>
  <c r="F65" i="2"/>
  <c r="P64" i="2"/>
  <c r="J63" i="2"/>
  <c r="F63" i="2"/>
  <c r="U60" i="2"/>
  <c r="M111" i="2"/>
  <c r="G106" i="2"/>
  <c r="K104" i="2"/>
  <c r="S100" i="2"/>
  <c r="W98" i="2"/>
  <c r="I97" i="2"/>
  <c r="O94" i="2"/>
  <c r="U91" i="2"/>
  <c r="G83" i="2"/>
  <c r="T64" i="2"/>
  <c r="T70" i="2"/>
  <c r="R73" i="2"/>
  <c r="T76" i="2"/>
  <c r="R59" i="2"/>
  <c r="H111" i="2"/>
  <c r="J108" i="2"/>
  <c r="R104" i="2"/>
  <c r="P101" i="2"/>
  <c r="J98" i="2"/>
  <c r="V94" i="2"/>
  <c r="T91" i="2"/>
  <c r="T87" i="2"/>
  <c r="F82" i="2"/>
  <c r="I61" i="2"/>
  <c r="G105" i="2"/>
  <c r="N113" i="2"/>
  <c r="H102" i="2"/>
  <c r="L89" i="2"/>
  <c r="J81" i="2"/>
  <c r="S80" i="2"/>
  <c r="X80" i="2" s="1"/>
  <c r="G100" i="2"/>
  <c r="G71" i="2"/>
  <c r="M88" i="2"/>
  <c r="G98" i="2"/>
  <c r="U107" i="2"/>
  <c r="Q62" i="2"/>
  <c r="R65" i="2"/>
  <c r="T68" i="2"/>
  <c r="L74" i="2"/>
  <c r="L62" i="2"/>
  <c r="T113" i="2"/>
  <c r="N110" i="2"/>
  <c r="L107" i="2"/>
  <c r="T103" i="2"/>
  <c r="V100" i="2"/>
  <c r="L97" i="2"/>
  <c r="F94" i="2"/>
  <c r="N86" i="2"/>
  <c r="J80" i="2"/>
  <c r="U59" i="2"/>
  <c r="O101" i="2"/>
  <c r="F111" i="2"/>
  <c r="T98" i="2"/>
  <c r="T81" i="2"/>
  <c r="K90" i="2"/>
  <c r="J78" i="2"/>
  <c r="S110" i="2"/>
  <c r="J58" i="2"/>
  <c r="F28" i="2"/>
  <c r="Z25" i="2"/>
  <c r="AA32" i="2"/>
  <c r="X73" i="2"/>
  <c r="Z38" i="2"/>
  <c r="Y34" i="2"/>
  <c r="AA101" i="2" l="1"/>
  <c r="Z104" i="2"/>
  <c r="X30" i="2"/>
  <c r="Z93" i="2"/>
  <c r="L93" i="2"/>
  <c r="I44" i="2"/>
  <c r="H90" i="2"/>
  <c r="V112" i="2"/>
  <c r="S33" i="2"/>
  <c r="P60" i="2"/>
  <c r="P95" i="2"/>
  <c r="K62" i="2"/>
  <c r="P104" i="2"/>
  <c r="H87" i="2"/>
  <c r="U43" i="2"/>
  <c r="S90" i="2"/>
  <c r="W104" i="2"/>
  <c r="I63" i="2"/>
  <c r="Q67" i="2"/>
  <c r="Q71" i="2"/>
  <c r="O74" i="2"/>
  <c r="U58" i="2"/>
  <c r="H25" i="2"/>
  <c r="H43" i="2"/>
  <c r="S9" i="2"/>
  <c r="I95" i="2"/>
  <c r="M109" i="2"/>
  <c r="G64" i="2"/>
  <c r="U67" i="2"/>
  <c r="W70" i="2"/>
  <c r="S74" i="2"/>
  <c r="N58" i="2"/>
  <c r="M25" i="2"/>
  <c r="H26" i="2"/>
  <c r="U9" i="2"/>
  <c r="U80" i="2"/>
  <c r="Z80" i="2" s="1"/>
  <c r="Q99" i="2"/>
  <c r="U113" i="2"/>
  <c r="W64" i="2"/>
  <c r="G68" i="2"/>
  <c r="I71" i="2"/>
  <c r="Q75" i="2"/>
  <c r="O58" i="2"/>
  <c r="J25" i="2"/>
  <c r="P89" i="2"/>
  <c r="G72" i="2"/>
  <c r="O25" i="2"/>
  <c r="H27" i="2"/>
  <c r="K28" i="2"/>
  <c r="W28" i="2"/>
  <c r="V29" i="2"/>
  <c r="J31" i="2"/>
  <c r="M32" i="2"/>
  <c r="H33" i="2"/>
  <c r="K34" i="2"/>
  <c r="W34" i="2"/>
  <c r="T35" i="2"/>
  <c r="P36" i="2"/>
  <c r="S37" i="2"/>
  <c r="G9" i="2"/>
  <c r="S66" i="2"/>
  <c r="J26" i="2"/>
  <c r="W26" i="2"/>
  <c r="T27" i="2"/>
  <c r="P28" i="2"/>
  <c r="I30" i="2"/>
  <c r="V30" i="2"/>
  <c r="S31" i="2"/>
  <c r="N32" i="2"/>
  <c r="Q33" i="2"/>
  <c r="L34" i="2"/>
  <c r="R35" i="2"/>
  <c r="T36" i="2"/>
  <c r="P37" i="2"/>
  <c r="G29" i="2"/>
  <c r="M67" i="2"/>
  <c r="G25" i="2"/>
  <c r="J27" i="2"/>
  <c r="M28" i="2"/>
  <c r="I29" i="2"/>
  <c r="W29" i="2"/>
  <c r="H31" i="2"/>
  <c r="K32" i="2"/>
  <c r="W32" i="2"/>
  <c r="I34" i="2"/>
  <c r="V34" i="2"/>
  <c r="S35" i="2"/>
  <c r="N36" i="2"/>
  <c r="Q37" i="2"/>
  <c r="N61" i="2"/>
  <c r="K111" i="2"/>
  <c r="T109" i="2"/>
  <c r="I113" i="2"/>
  <c r="P105" i="2"/>
  <c r="R92" i="2"/>
  <c r="I108" i="2"/>
  <c r="J93" i="2"/>
  <c r="AA93" i="2" s="1"/>
  <c r="G67" i="2"/>
  <c r="V43" i="2"/>
  <c r="K94" i="2"/>
  <c r="O108" i="2"/>
  <c r="S64" i="2"/>
  <c r="O68" i="2"/>
  <c r="K72" i="2"/>
  <c r="I75" i="2"/>
  <c r="K58" i="2"/>
  <c r="L25" i="2"/>
  <c r="I43" i="2"/>
  <c r="G79" i="2"/>
  <c r="X79" i="2" s="1"/>
  <c r="S98" i="2"/>
  <c r="W112" i="2"/>
  <c r="Q65" i="2"/>
  <c r="S68" i="2"/>
  <c r="U71" i="2"/>
  <c r="M75" i="2"/>
  <c r="L43" i="2"/>
  <c r="Q25" i="2"/>
  <c r="L26" i="2"/>
  <c r="V9" i="2"/>
  <c r="W87" i="2"/>
  <c r="I103" i="2"/>
  <c r="Z103" i="2" s="1"/>
  <c r="M62" i="2"/>
  <c r="U65" i="2"/>
  <c r="Z65" i="2" s="1"/>
  <c r="W68" i="2"/>
  <c r="S72" i="2"/>
  <c r="O76" i="2"/>
  <c r="Q43" i="2"/>
  <c r="N25" i="2"/>
  <c r="G104" i="2"/>
  <c r="X104" i="2" s="1"/>
  <c r="W74" i="2"/>
  <c r="I26" i="2"/>
  <c r="Z26" i="2" s="1"/>
  <c r="L27" i="2"/>
  <c r="O28" i="2"/>
  <c r="K29" i="2"/>
  <c r="H30" i="2"/>
  <c r="Y30" i="2" s="1"/>
  <c r="N31" i="2"/>
  <c r="Q32" i="2"/>
  <c r="L33" i="2"/>
  <c r="O34" i="2"/>
  <c r="I35" i="2"/>
  <c r="V35" i="2"/>
  <c r="G37" i="2"/>
  <c r="U37" i="2"/>
  <c r="Z37" i="2" s="1"/>
  <c r="M93" i="2"/>
  <c r="U75" i="2"/>
  <c r="Z75" i="2" s="1"/>
  <c r="O26" i="2"/>
  <c r="I27" i="2"/>
  <c r="V27" i="2"/>
  <c r="H29" i="2"/>
  <c r="M30" i="2"/>
  <c r="G31" i="2"/>
  <c r="U31" i="2"/>
  <c r="R32" i="2"/>
  <c r="T33" i="2"/>
  <c r="P34" i="2"/>
  <c r="R87" i="2"/>
  <c r="F100" i="2"/>
  <c r="F64" i="2"/>
  <c r="L64" i="2"/>
  <c r="J102" i="2"/>
  <c r="H89" i="2"/>
  <c r="U94" i="2"/>
  <c r="Z94" i="2" s="1"/>
  <c r="H84" i="2"/>
  <c r="V58" i="2"/>
  <c r="W43" i="2"/>
  <c r="U97" i="2"/>
  <c r="Z97" i="2" s="1"/>
  <c r="G112" i="2"/>
  <c r="M65" i="2"/>
  <c r="M69" i="2"/>
  <c r="W72" i="2"/>
  <c r="G76" i="2"/>
  <c r="K43" i="2"/>
  <c r="P25" i="2"/>
  <c r="J43" i="2"/>
  <c r="I86" i="2"/>
  <c r="Z86" i="2" s="1"/>
  <c r="K102" i="2"/>
  <c r="O61" i="2"/>
  <c r="K66" i="2"/>
  <c r="Q69" i="2"/>
  <c r="O72" i="2"/>
  <c r="K76" i="2"/>
  <c r="P43" i="2"/>
  <c r="T25" i="2"/>
  <c r="S43" i="2"/>
  <c r="W9" i="2"/>
  <c r="AB9" i="2" s="1"/>
  <c r="AM9" i="2" s="1"/>
  <c r="O92" i="2"/>
  <c r="S106" i="2"/>
  <c r="Q63" i="2"/>
  <c r="O66" i="2"/>
  <c r="U69" i="2"/>
  <c r="M73" i="2"/>
  <c r="H58" i="2"/>
  <c r="M43" i="2"/>
  <c r="R25" i="2"/>
  <c r="W62" i="2"/>
  <c r="AB62" i="2" s="1"/>
  <c r="R58" i="2"/>
  <c r="N26" i="2"/>
  <c r="P27" i="2"/>
  <c r="S28" i="2"/>
  <c r="X28" i="2" s="1"/>
  <c r="O29" i="2"/>
  <c r="L30" i="2"/>
  <c r="R31" i="2"/>
  <c r="T32" i="2"/>
  <c r="Y32" i="2" s="1"/>
  <c r="P33" i="2"/>
  <c r="S34" i="2"/>
  <c r="X34" i="2" s="1"/>
  <c r="M35" i="2"/>
  <c r="H36" i="2"/>
  <c r="AB36" i="2" s="1"/>
  <c r="K37" i="2"/>
  <c r="W37" i="2"/>
  <c r="Q107" i="2"/>
  <c r="N43" i="2"/>
  <c r="S26" i="2"/>
  <c r="M27" i="2"/>
  <c r="H28" i="2"/>
  <c r="L29" i="2"/>
  <c r="Q30" i="2"/>
  <c r="K31" i="2"/>
  <c r="W31" i="2"/>
  <c r="I33" i="2"/>
  <c r="V33" i="2"/>
  <c r="J35" i="2"/>
  <c r="AA35" i="2" s="1"/>
  <c r="M36" i="2"/>
  <c r="H37" i="2"/>
  <c r="Y37" i="2" s="1"/>
  <c r="K38" i="2"/>
  <c r="I111" i="2"/>
  <c r="AB111" i="2" s="1"/>
  <c r="Q73" i="2"/>
  <c r="K26" i="2"/>
  <c r="R27" i="2"/>
  <c r="T28" i="2"/>
  <c r="Q29" i="2"/>
  <c r="N30" i="2"/>
  <c r="P31" i="2"/>
  <c r="S32" i="2"/>
  <c r="N33" i="2"/>
  <c r="Q34" i="2"/>
  <c r="K35" i="2"/>
  <c r="W35" i="2"/>
  <c r="AB35" i="2" s="1"/>
  <c r="Y87" i="2"/>
  <c r="Y98" i="2"/>
  <c r="AA102" i="2"/>
  <c r="Y66" i="2"/>
  <c r="Y82" i="2"/>
  <c r="Y109" i="2"/>
  <c r="X36" i="2"/>
  <c r="Y110" i="2"/>
  <c r="AA95" i="2"/>
  <c r="V107" i="2"/>
  <c r="AA107" i="2" s="1"/>
  <c r="X106" i="2"/>
  <c r="AA104" i="2"/>
  <c r="Z98" i="2"/>
  <c r="Z30" i="2"/>
  <c r="T9" i="2"/>
  <c r="I73" i="2"/>
  <c r="U105" i="2"/>
  <c r="O43" i="2"/>
  <c r="G66" i="2"/>
  <c r="T43" i="2"/>
  <c r="H99" i="2"/>
  <c r="R84" i="2"/>
  <c r="P44" i="2"/>
  <c r="Z110" i="2"/>
  <c r="X74" i="2"/>
  <c r="Z67" i="2"/>
  <c r="J44" i="2"/>
  <c r="L70" i="2"/>
  <c r="M103" i="2"/>
  <c r="M4" i="2"/>
  <c r="O110" i="2"/>
  <c r="W86" i="2"/>
  <c r="AB86" i="2" s="1"/>
  <c r="H96" i="2"/>
  <c r="N106" i="2"/>
  <c r="Q98" i="2"/>
  <c r="N44" i="2"/>
  <c r="J67" i="2"/>
  <c r="Q93" i="2"/>
  <c r="L66" i="2"/>
  <c r="W81" i="2"/>
  <c r="K77" i="2"/>
  <c r="J75" i="2"/>
  <c r="AA75" i="2" s="1"/>
  <c r="M64" i="2"/>
  <c r="L72" i="2"/>
  <c r="K44" i="2"/>
  <c r="H44" i="2"/>
  <c r="M44" i="2"/>
  <c r="S44" i="2"/>
  <c r="Q44" i="2"/>
  <c r="V44" i="2"/>
  <c r="W44" i="2"/>
  <c r="AA43" i="2"/>
  <c r="AR43" i="2" s="1"/>
  <c r="AT44" i="2"/>
  <c r="T44" i="2"/>
  <c r="Y44" i="2" s="1"/>
  <c r="AP44" i="2" s="1"/>
  <c r="F44" i="2"/>
  <c r="G44" i="2"/>
  <c r="L44" i="2"/>
  <c r="E43" i="2"/>
  <c r="E44" i="2"/>
  <c r="U44" i="2"/>
  <c r="Z44" i="2" s="1"/>
  <c r="AQ44" i="2" s="1"/>
  <c r="R44" i="2"/>
  <c r="O44" i="2"/>
  <c r="I10" i="2"/>
  <c r="F10" i="2"/>
  <c r="V10" i="2"/>
  <c r="S10" i="2"/>
  <c r="AN10" i="2"/>
  <c r="M10" i="2"/>
  <c r="J10" i="2"/>
  <c r="W10" i="2"/>
  <c r="E9" i="2"/>
  <c r="T10" i="2"/>
  <c r="Q10" i="2"/>
  <c r="N10" i="2"/>
  <c r="K10" i="2"/>
  <c r="L10" i="2"/>
  <c r="H10" i="2"/>
  <c r="G10" i="2"/>
  <c r="E10" i="2"/>
  <c r="U10" i="2"/>
  <c r="Z10" i="2" s="1"/>
  <c r="AK10" i="2" s="1"/>
  <c r="R10" i="2"/>
  <c r="O10" i="2"/>
  <c r="W45" i="2"/>
  <c r="S45" i="2"/>
  <c r="O45" i="2"/>
  <c r="K45" i="2"/>
  <c r="G45" i="2"/>
  <c r="V45" i="2"/>
  <c r="R45" i="2"/>
  <c r="N45" i="2"/>
  <c r="J45" i="2"/>
  <c r="F45" i="2"/>
  <c r="U45" i="2"/>
  <c r="Q45" i="2"/>
  <c r="M45" i="2"/>
  <c r="I45" i="2"/>
  <c r="E45" i="2"/>
  <c r="T45" i="2"/>
  <c r="P45" i="2"/>
  <c r="A46" i="2"/>
  <c r="AT46" i="2" s="1"/>
  <c r="H45" i="2"/>
  <c r="L45" i="2"/>
  <c r="AT45" i="2"/>
  <c r="W11" i="2"/>
  <c r="S11" i="2"/>
  <c r="O11" i="2"/>
  <c r="K11" i="2"/>
  <c r="G11" i="2"/>
  <c r="V11" i="2"/>
  <c r="R11" i="2"/>
  <c r="N11" i="2"/>
  <c r="J11" i="2"/>
  <c r="F11" i="2"/>
  <c r="U11" i="2"/>
  <c r="Q11" i="2"/>
  <c r="M11" i="2"/>
  <c r="I11" i="2"/>
  <c r="E11" i="2"/>
  <c r="T11" i="2"/>
  <c r="P11" i="2"/>
  <c r="L11" i="2"/>
  <c r="A12" i="2"/>
  <c r="H11" i="2"/>
  <c r="Y11" i="2" s="1"/>
  <c r="AJ11" i="2" s="1"/>
  <c r="AN11" i="2"/>
  <c r="AN12" i="2"/>
  <c r="Y78" i="2"/>
  <c r="Z90" i="2"/>
  <c r="Y75" i="2"/>
  <c r="Z31" i="2"/>
  <c r="X96" i="2"/>
  <c r="Z36" i="2"/>
  <c r="AA27" i="2"/>
  <c r="Z73" i="2"/>
  <c r="AA70" i="2"/>
  <c r="X33" i="2"/>
  <c r="AA76" i="2"/>
  <c r="Z63" i="2"/>
  <c r="Z71" i="2"/>
  <c r="Y38" i="2"/>
  <c r="Z34" i="2"/>
  <c r="X101" i="2"/>
  <c r="Z58" i="2"/>
  <c r="Y80" i="2"/>
  <c r="AA24" i="2"/>
  <c r="X72" i="2"/>
  <c r="AA83" i="2"/>
  <c r="AA85" i="2"/>
  <c r="Z32" i="2"/>
  <c r="X93" i="2"/>
  <c r="AA105" i="2"/>
  <c r="AA72" i="2"/>
  <c r="Y96" i="2"/>
  <c r="Y29" i="2"/>
  <c r="X64" i="2"/>
  <c r="Y89" i="2"/>
  <c r="Z107" i="2"/>
  <c r="Y84" i="2"/>
  <c r="AA25" i="2"/>
  <c r="X81" i="2"/>
  <c r="Y100" i="2"/>
  <c r="X32" i="2"/>
  <c r="Z33" i="2"/>
  <c r="AA9" i="2"/>
  <c r="AL9" i="2" s="1"/>
  <c r="X90" i="2"/>
  <c r="X98" i="2"/>
  <c r="Y73" i="2"/>
  <c r="X4" i="2"/>
  <c r="AA67" i="2"/>
  <c r="X24" i="2"/>
  <c r="Y62" i="2"/>
  <c r="AA91" i="2"/>
  <c r="Y111" i="2"/>
  <c r="X78" i="2"/>
  <c r="AA89" i="2"/>
  <c r="Y92" i="2"/>
  <c r="Z81" i="2"/>
  <c r="Z66" i="2"/>
  <c r="X75" i="2"/>
  <c r="Y65" i="2"/>
  <c r="AA66" i="2"/>
  <c r="Z109" i="2"/>
  <c r="AA36" i="2"/>
  <c r="Z35" i="2"/>
  <c r="X29" i="2"/>
  <c r="Z95" i="2"/>
  <c r="Y25" i="2"/>
  <c r="Z88" i="2"/>
  <c r="AB38" i="2"/>
  <c r="Z29" i="2"/>
  <c r="Z9" i="2"/>
  <c r="AK9" i="2" s="1"/>
  <c r="X87" i="2"/>
  <c r="X82" i="2"/>
  <c r="X70" i="2"/>
  <c r="Y91" i="2"/>
  <c r="Y90" i="2"/>
  <c r="Z27" i="2"/>
  <c r="Z43" i="2"/>
  <c r="AQ43" i="2" s="1"/>
  <c r="X91" i="2"/>
  <c r="Z89" i="2"/>
  <c r="AA82" i="2"/>
  <c r="AA112" i="2"/>
  <c r="Z4" i="2"/>
  <c r="AA99" i="2"/>
  <c r="X37" i="2"/>
  <c r="AA78" i="2"/>
  <c r="AB65" i="2"/>
  <c r="Y112" i="2"/>
  <c r="Y43" i="2"/>
  <c r="AP43" i="2" s="1"/>
  <c r="AA103" i="2"/>
  <c r="X58" i="2"/>
  <c r="AA37" i="2"/>
  <c r="AA111" i="2"/>
  <c r="AA109" i="2"/>
  <c r="AA33" i="2"/>
  <c r="AB37" i="2"/>
  <c r="X68" i="2"/>
  <c r="Y27" i="2"/>
  <c r="AA79" i="2"/>
  <c r="Z72" i="2"/>
  <c r="X107" i="2"/>
  <c r="Z92" i="2"/>
  <c r="Z68" i="2"/>
  <c r="X102" i="2"/>
  <c r="AB67" i="2"/>
  <c r="AB74" i="2"/>
  <c r="AA4" i="2"/>
  <c r="AA34" i="2"/>
  <c r="AB32" i="2"/>
  <c r="Y31" i="2"/>
  <c r="Y36" i="2"/>
  <c r="AA30" i="2"/>
  <c r="AB44" i="2"/>
  <c r="AS44" i="2" s="1"/>
  <c r="AB34" i="2"/>
  <c r="AB33" i="2"/>
  <c r="AA31" i="2"/>
  <c r="AB28" i="2"/>
  <c r="AB27" i="2"/>
  <c r="Y9" i="2"/>
  <c r="AJ9" i="2" s="1"/>
  <c r="X43" i="2"/>
  <c r="AO43" i="2" s="1"/>
  <c r="X76" i="2"/>
  <c r="X112" i="2"/>
  <c r="Z113" i="2"/>
  <c r="Y76" i="2"/>
  <c r="X111" i="2"/>
  <c r="AA97" i="2"/>
  <c r="X103" i="2"/>
  <c r="X67" i="2"/>
  <c r="AB63" i="2"/>
  <c r="AB69" i="2"/>
  <c r="AB64" i="2"/>
  <c r="Z108" i="2"/>
  <c r="AB109" i="2"/>
  <c r="Y86" i="2"/>
  <c r="X84" i="2"/>
  <c r="Z64" i="2"/>
  <c r="X94" i="2"/>
  <c r="Y71" i="2"/>
  <c r="Z76" i="2"/>
  <c r="X27" i="2"/>
  <c r="X35" i="2"/>
  <c r="AB25" i="2"/>
  <c r="X31" i="2"/>
  <c r="AB30" i="2"/>
  <c r="AA26" i="2"/>
  <c r="Y35" i="2"/>
  <c r="AA29" i="2"/>
  <c r="Y58" i="2"/>
  <c r="Z69" i="2"/>
  <c r="Y26" i="2"/>
  <c r="AB66" i="2"/>
  <c r="Z105" i="2"/>
  <c r="X26" i="2"/>
  <c r="AB72" i="2"/>
  <c r="Z83" i="2"/>
  <c r="Z79" i="2"/>
  <c r="AB29" i="2"/>
  <c r="AA113" i="2"/>
  <c r="Y104" i="2"/>
  <c r="AB4" i="2"/>
  <c r="Y33" i="2"/>
  <c r="Z106" i="2"/>
  <c r="AB90" i="2"/>
  <c r="X61" i="2"/>
  <c r="X95" i="2"/>
  <c r="Y67" i="2"/>
  <c r="AB96" i="2"/>
  <c r="X25" i="2"/>
  <c r="AB24" i="2"/>
  <c r="X77" i="2"/>
  <c r="AB43" i="2"/>
  <c r="AS43" i="2" s="1"/>
  <c r="AB31" i="2"/>
  <c r="Y4" i="2"/>
  <c r="AB81" i="2"/>
  <c r="X105" i="2"/>
  <c r="AB76" i="2"/>
  <c r="Y99" i="2"/>
  <c r="AA77" i="2"/>
  <c r="Y61" i="2"/>
  <c r="AB73" i="2"/>
  <c r="AA96" i="2"/>
  <c r="Z96" i="2"/>
  <c r="Y106" i="2"/>
  <c r="Y72" i="2"/>
  <c r="Y108" i="2"/>
  <c r="X89" i="2"/>
  <c r="AA74" i="2"/>
  <c r="AB92" i="2"/>
  <c r="X71" i="2"/>
  <c r="Z61" i="2"/>
  <c r="AB108" i="2"/>
  <c r="Z60" i="2"/>
  <c r="AB68" i="2"/>
  <c r="X59" i="2"/>
  <c r="AB95" i="2"/>
  <c r="AB58" i="2"/>
  <c r="Y81" i="2"/>
  <c r="X60" i="2"/>
  <c r="Z84" i="2"/>
  <c r="AB94" i="2"/>
  <c r="Y74" i="2"/>
  <c r="AB113" i="2"/>
  <c r="Z102" i="2"/>
  <c r="X88" i="2"/>
  <c r="AB80" i="2"/>
  <c r="Z100" i="2"/>
  <c r="AB85" i="2"/>
  <c r="AA58" i="2"/>
  <c r="AA94" i="2"/>
  <c r="AB112" i="2"/>
  <c r="X110" i="2"/>
  <c r="AB91" i="2"/>
  <c r="AA73" i="2"/>
  <c r="AA98" i="2"/>
  <c r="AA61" i="2"/>
  <c r="Y102" i="2"/>
  <c r="AB83" i="2"/>
  <c r="Y103" i="2"/>
  <c r="AB104" i="2"/>
  <c r="AB70" i="2"/>
  <c r="AA38" i="2"/>
  <c r="AA110" i="2"/>
  <c r="Y97" i="2"/>
  <c r="AA71" i="2"/>
  <c r="AA106" i="2"/>
  <c r="AB60" i="2"/>
  <c r="AA59" i="2"/>
  <c r="AB103" i="2"/>
  <c r="Y88" i="2"/>
  <c r="Y68" i="2"/>
  <c r="X113" i="2"/>
  <c r="AB110" i="2"/>
  <c r="AB107" i="2"/>
  <c r="AA81" i="2"/>
  <c r="Z101" i="2"/>
  <c r="Z91" i="2"/>
  <c r="AB93" i="2"/>
  <c r="Y93" i="2"/>
  <c r="X92" i="2"/>
  <c r="Y85" i="2"/>
  <c r="Y77" i="2"/>
  <c r="AA80" i="2"/>
  <c r="Y107" i="2"/>
  <c r="AA92" i="2"/>
  <c r="AB88" i="2"/>
  <c r="X62" i="2"/>
  <c r="AB101" i="2"/>
  <c r="AA62" i="2"/>
  <c r="Y113" i="2"/>
  <c r="Y64" i="2"/>
  <c r="AA69" i="2"/>
  <c r="AA88" i="2"/>
  <c r="Y79" i="2"/>
  <c r="X109" i="2"/>
  <c r="Y94" i="2"/>
  <c r="Z85" i="2"/>
  <c r="Y60" i="2"/>
  <c r="AA60" i="2"/>
  <c r="Z87" i="2"/>
  <c r="AB79" i="2"/>
  <c r="AB98" i="2"/>
  <c r="AB106" i="2"/>
  <c r="AB82" i="2"/>
  <c r="Y95" i="2"/>
  <c r="AA86" i="2"/>
  <c r="AB87" i="2"/>
  <c r="Z62" i="2"/>
  <c r="X100" i="2"/>
  <c r="AA108" i="2"/>
  <c r="AB105" i="2"/>
  <c r="AB97" i="2"/>
  <c r="X83" i="2"/>
  <c r="AB78" i="2"/>
  <c r="AA100" i="2"/>
  <c r="Y70" i="2"/>
  <c r="AA65" i="2"/>
  <c r="AB71" i="2"/>
  <c r="AA90" i="2"/>
  <c r="AA84" i="2"/>
  <c r="Z78" i="2"/>
  <c r="Y101" i="2"/>
  <c r="Y83" i="2"/>
  <c r="AB77" i="2"/>
  <c r="Z74" i="2"/>
  <c r="AB99" i="2"/>
  <c r="AB89" i="2"/>
  <c r="X65" i="2"/>
  <c r="AB61" i="2"/>
  <c r="Z59" i="2"/>
  <c r="AA63" i="2"/>
  <c r="AB59" i="2"/>
  <c r="Z82" i="2"/>
  <c r="AB100" i="2"/>
  <c r="AB84" i="2"/>
  <c r="X99" i="2"/>
  <c r="AB102" i="2"/>
  <c r="Z77" i="2"/>
  <c r="X86" i="2"/>
  <c r="AA44" i="2" l="1"/>
  <c r="AR44" i="2" s="1"/>
  <c r="Y28" i="2"/>
  <c r="AB75" i="2"/>
  <c r="X66" i="2"/>
  <c r="Z111" i="2"/>
  <c r="X9" i="2"/>
  <c r="AI9" i="2" s="1"/>
  <c r="AB26" i="2"/>
  <c r="AA45" i="2"/>
  <c r="AR45" i="2" s="1"/>
  <c r="X45" i="2"/>
  <c r="AO45" i="2" s="1"/>
  <c r="Z11" i="2"/>
  <c r="AK11" i="2" s="1"/>
  <c r="Z45" i="2"/>
  <c r="AQ45" i="2" s="1"/>
  <c r="AB45" i="2"/>
  <c r="AS45" i="2" s="1"/>
  <c r="X44" i="2"/>
  <c r="AO44" i="2" s="1"/>
  <c r="Y45" i="2"/>
  <c r="AP45" i="2" s="1"/>
  <c r="AA10" i="2"/>
  <c r="AL10" i="2" s="1"/>
  <c r="AA11" i="2"/>
  <c r="AL11" i="2" s="1"/>
  <c r="X11" i="2"/>
  <c r="AI11" i="2" s="1"/>
  <c r="X10" i="2"/>
  <c r="AI10" i="2" s="1"/>
  <c r="AB10" i="2"/>
  <c r="AM10" i="2" s="1"/>
  <c r="Y10" i="2"/>
  <c r="AJ10" i="2" s="1"/>
  <c r="AB11" i="2"/>
  <c r="AM11" i="2" s="1"/>
  <c r="W46" i="2"/>
  <c r="S46" i="2"/>
  <c r="O46" i="2"/>
  <c r="K46" i="2"/>
  <c r="G46" i="2"/>
  <c r="V46" i="2"/>
  <c r="R46" i="2"/>
  <c r="N46" i="2"/>
  <c r="J46" i="2"/>
  <c r="F46" i="2"/>
  <c r="U46" i="2"/>
  <c r="Q46" i="2"/>
  <c r="M46" i="2"/>
  <c r="I46" i="2"/>
  <c r="E46" i="2"/>
  <c r="P46" i="2"/>
  <c r="L46" i="2"/>
  <c r="T46" i="2"/>
  <c r="A47" i="2"/>
  <c r="AT47" i="2" s="1"/>
  <c r="H46" i="2"/>
  <c r="W12" i="2"/>
  <c r="S12" i="2"/>
  <c r="O12" i="2"/>
  <c r="K12" i="2"/>
  <c r="G12" i="2"/>
  <c r="X12" i="2" s="1"/>
  <c r="AI12" i="2" s="1"/>
  <c r="V12" i="2"/>
  <c r="R12" i="2"/>
  <c r="N12" i="2"/>
  <c r="J12" i="2"/>
  <c r="F12" i="2"/>
  <c r="U12" i="2"/>
  <c r="Q12" i="2"/>
  <c r="M12" i="2"/>
  <c r="I12" i="2"/>
  <c r="Z12" i="2" s="1"/>
  <c r="AK12" i="2" s="1"/>
  <c r="E12" i="2"/>
  <c r="P12" i="2"/>
  <c r="H12" i="2"/>
  <c r="AB12" i="2" s="1"/>
  <c r="AM12" i="2" s="1"/>
  <c r="L12" i="2"/>
  <c r="A13" i="2"/>
  <c r="AN13" i="2" s="1"/>
  <c r="T12" i="2"/>
  <c r="AA12" i="2"/>
  <c r="AL12" i="2" s="1"/>
  <c r="AH9" i="2"/>
  <c r="AH43" i="2"/>
  <c r="AH44" i="2"/>
  <c r="AH45" i="2"/>
  <c r="AH11" i="2" l="1"/>
  <c r="AH10" i="2"/>
  <c r="Y12" i="2"/>
  <c r="AJ12" i="2" s="1"/>
  <c r="AH12" i="2" s="1"/>
  <c r="Y46" i="2"/>
  <c r="AP46" i="2" s="1"/>
  <c r="W47" i="2"/>
  <c r="S47" i="2"/>
  <c r="O47" i="2"/>
  <c r="K47" i="2"/>
  <c r="G47" i="2"/>
  <c r="V47" i="2"/>
  <c r="R47" i="2"/>
  <c r="N47" i="2"/>
  <c r="J47" i="2"/>
  <c r="AA47" i="2" s="1"/>
  <c r="AR47" i="2" s="1"/>
  <c r="F47" i="2"/>
  <c r="U47" i="2"/>
  <c r="Q47" i="2"/>
  <c r="M47" i="2"/>
  <c r="I47" i="2"/>
  <c r="E47" i="2"/>
  <c r="L47" i="2"/>
  <c r="A48" i="2"/>
  <c r="AT48" i="2" s="1"/>
  <c r="H47" i="2"/>
  <c r="P47" i="2"/>
  <c r="T47" i="2"/>
  <c r="Z46" i="2"/>
  <c r="AQ46" i="2" s="1"/>
  <c r="AA46" i="2"/>
  <c r="AR46" i="2" s="1"/>
  <c r="X46" i="2"/>
  <c r="AO46" i="2" s="1"/>
  <c r="AB46" i="2"/>
  <c r="AS46" i="2" s="1"/>
  <c r="W13" i="2"/>
  <c r="S13" i="2"/>
  <c r="O13" i="2"/>
  <c r="K13" i="2"/>
  <c r="G13" i="2"/>
  <c r="V13" i="2"/>
  <c r="R13" i="2"/>
  <c r="N13" i="2"/>
  <c r="J13" i="2"/>
  <c r="F13" i="2"/>
  <c r="U13" i="2"/>
  <c r="Q13" i="2"/>
  <c r="M13" i="2"/>
  <c r="I13" i="2"/>
  <c r="E13" i="2"/>
  <c r="L13" i="2"/>
  <c r="T13" i="2"/>
  <c r="Y13" i="2" s="1"/>
  <c r="AJ13" i="2" s="1"/>
  <c r="A14" i="2"/>
  <c r="H13" i="2"/>
  <c r="P13" i="2"/>
  <c r="Y47" i="2" l="1"/>
  <c r="AP47" i="2" s="1"/>
  <c r="AA13" i="2"/>
  <c r="AL13" i="2" s="1"/>
  <c r="X13" i="2"/>
  <c r="AI13" i="2" s="1"/>
  <c r="AB13" i="2"/>
  <c r="AM13" i="2" s="1"/>
  <c r="Z13" i="2"/>
  <c r="AK13" i="2" s="1"/>
  <c r="AB47" i="2"/>
  <c r="AS47" i="2" s="1"/>
  <c r="Z47" i="2"/>
  <c r="AQ47" i="2" s="1"/>
  <c r="AN14" i="2"/>
  <c r="W14" i="2"/>
  <c r="S14" i="2"/>
  <c r="O14" i="2"/>
  <c r="K14" i="2"/>
  <c r="G14" i="2"/>
  <c r="V14" i="2"/>
  <c r="R14" i="2"/>
  <c r="N14" i="2"/>
  <c r="J14" i="2"/>
  <c r="F14" i="2"/>
  <c r="U14" i="2"/>
  <c r="Q14" i="2"/>
  <c r="M14" i="2"/>
  <c r="I14" i="2"/>
  <c r="E14" i="2"/>
  <c r="A15" i="2"/>
  <c r="H14" i="2"/>
  <c r="T14" i="2"/>
  <c r="Y14" i="2" s="1"/>
  <c r="AJ14" i="2" s="1"/>
  <c r="P14" i="2"/>
  <c r="L14" i="2"/>
  <c r="X47" i="2"/>
  <c r="AO47" i="2" s="1"/>
  <c r="AH46" i="2"/>
  <c r="X14" i="2"/>
  <c r="AI14" i="2" s="1"/>
  <c r="W48" i="2"/>
  <c r="S48" i="2"/>
  <c r="O48" i="2"/>
  <c r="K48" i="2"/>
  <c r="G48" i="2"/>
  <c r="V48" i="2"/>
  <c r="R48" i="2"/>
  <c r="N48" i="2"/>
  <c r="J48" i="2"/>
  <c r="F48" i="2"/>
  <c r="U48" i="2"/>
  <c r="Q48" i="2"/>
  <c r="M48" i="2"/>
  <c r="I48" i="2"/>
  <c r="E48" i="2"/>
  <c r="A49" i="2"/>
  <c r="H48" i="2"/>
  <c r="T48" i="2"/>
  <c r="P48" i="2"/>
  <c r="L48" i="2"/>
  <c r="AH47" i="2"/>
  <c r="Z48" i="2" l="1"/>
  <c r="AQ48" i="2" s="1"/>
  <c r="AH13" i="2"/>
  <c r="Z14" i="2"/>
  <c r="AK14" i="2" s="1"/>
  <c r="AA14" i="2"/>
  <c r="AL14" i="2" s="1"/>
  <c r="AH14" i="2" s="1"/>
  <c r="AB14" i="2"/>
  <c r="AM14" i="2" s="1"/>
  <c r="W49" i="2"/>
  <c r="S49" i="2"/>
  <c r="O49" i="2"/>
  <c r="K49" i="2"/>
  <c r="G49" i="2"/>
  <c r="V49" i="2"/>
  <c r="R49" i="2"/>
  <c r="N49" i="2"/>
  <c r="J49" i="2"/>
  <c r="F49" i="2"/>
  <c r="A50" i="2"/>
  <c r="AT50" i="2" s="1"/>
  <c r="U49" i="2"/>
  <c r="Q49" i="2"/>
  <c r="M49" i="2"/>
  <c r="I49" i="2"/>
  <c r="E49" i="2"/>
  <c r="T49" i="2"/>
  <c r="Y49" i="2" s="1"/>
  <c r="AP49" i="2" s="1"/>
  <c r="L49" i="2"/>
  <c r="P49" i="2"/>
  <c r="H49" i="2"/>
  <c r="W15" i="2"/>
  <c r="S15" i="2"/>
  <c r="O15" i="2"/>
  <c r="K15" i="2"/>
  <c r="G15" i="2"/>
  <c r="V15" i="2"/>
  <c r="R15" i="2"/>
  <c r="N15" i="2"/>
  <c r="J15" i="2"/>
  <c r="AA15" i="2" s="1"/>
  <c r="AL15" i="2" s="1"/>
  <c r="F15" i="2"/>
  <c r="U15" i="2"/>
  <c r="Q15" i="2"/>
  <c r="M15" i="2"/>
  <c r="I15" i="2"/>
  <c r="E15" i="2"/>
  <c r="T15" i="2"/>
  <c r="L15" i="2"/>
  <c r="P15" i="2"/>
  <c r="A16" i="2"/>
  <c r="AN16" i="2" s="1"/>
  <c r="H15" i="2"/>
  <c r="Y15" i="2" s="1"/>
  <c r="AJ15" i="2" s="1"/>
  <c r="Z49" i="2"/>
  <c r="AQ49" i="2" s="1"/>
  <c r="AN15" i="2"/>
  <c r="Y48" i="2"/>
  <c r="AP48" i="2" s="1"/>
  <c r="AA48" i="2"/>
  <c r="AR48" i="2" s="1"/>
  <c r="X48" i="2"/>
  <c r="AO48" i="2" s="1"/>
  <c r="AT49" i="2"/>
  <c r="AB48" i="2"/>
  <c r="AS48" i="2" s="1"/>
  <c r="X49" i="2" l="1"/>
  <c r="AO49" i="2" s="1"/>
  <c r="Z15" i="2"/>
  <c r="AK15" i="2" s="1"/>
  <c r="X15" i="2"/>
  <c r="AI15" i="2" s="1"/>
  <c r="AB15" i="2"/>
  <c r="AM15" i="2" s="1"/>
  <c r="AB49" i="2"/>
  <c r="AS49" i="2" s="1"/>
  <c r="AH48" i="2"/>
  <c r="W16" i="2"/>
  <c r="S16" i="2"/>
  <c r="O16" i="2"/>
  <c r="K16" i="2"/>
  <c r="G16" i="2"/>
  <c r="V16" i="2"/>
  <c r="R16" i="2"/>
  <c r="N16" i="2"/>
  <c r="J16" i="2"/>
  <c r="F16" i="2"/>
  <c r="U16" i="2"/>
  <c r="Q16" i="2"/>
  <c r="M16" i="2"/>
  <c r="I16" i="2"/>
  <c r="E16" i="2"/>
  <c r="P16" i="2"/>
  <c r="L16" i="2"/>
  <c r="A17" i="2"/>
  <c r="H16" i="2"/>
  <c r="T16" i="2"/>
  <c r="W50" i="2"/>
  <c r="S50" i="2"/>
  <c r="O50" i="2"/>
  <c r="K50" i="2"/>
  <c r="G50" i="2"/>
  <c r="V50" i="2"/>
  <c r="R50" i="2"/>
  <c r="N50" i="2"/>
  <c r="J50" i="2"/>
  <c r="F50" i="2"/>
  <c r="A51" i="2"/>
  <c r="AT51" i="2" s="1"/>
  <c r="T50" i="2"/>
  <c r="L50" i="2"/>
  <c r="U50" i="2"/>
  <c r="Q50" i="2"/>
  <c r="M50" i="2"/>
  <c r="I50" i="2"/>
  <c r="Z50" i="2" s="1"/>
  <c r="AQ50" i="2" s="1"/>
  <c r="E50" i="2"/>
  <c r="P50" i="2"/>
  <c r="H50" i="2"/>
  <c r="AA49" i="2"/>
  <c r="AR49" i="2" s="1"/>
  <c r="AH49" i="2" s="1"/>
  <c r="AH15" i="2" l="1"/>
  <c r="Y16" i="2"/>
  <c r="AJ16" i="2" s="1"/>
  <c r="AA16" i="2"/>
  <c r="AL16" i="2" s="1"/>
  <c r="X16" i="2"/>
  <c r="AI16" i="2" s="1"/>
  <c r="AB16" i="2"/>
  <c r="AM16" i="2" s="1"/>
  <c r="Z16" i="2"/>
  <c r="AK16" i="2" s="1"/>
  <c r="AN17" i="2"/>
  <c r="AB50" i="2"/>
  <c r="AS50" i="2" s="1"/>
  <c r="Y50" i="2"/>
  <c r="AP50" i="2" s="1"/>
  <c r="W51" i="2"/>
  <c r="S51" i="2"/>
  <c r="O51" i="2"/>
  <c r="K51" i="2"/>
  <c r="G51" i="2"/>
  <c r="V51" i="2"/>
  <c r="R51" i="2"/>
  <c r="N51" i="2"/>
  <c r="J51" i="2"/>
  <c r="F51" i="2"/>
  <c r="P51" i="2"/>
  <c r="U51" i="2"/>
  <c r="Q51" i="2"/>
  <c r="M51" i="2"/>
  <c r="I51" i="2"/>
  <c r="E51" i="2"/>
  <c r="T51" i="2"/>
  <c r="H51" i="2"/>
  <c r="L51" i="2"/>
  <c r="AA50" i="2"/>
  <c r="AR50" i="2" s="1"/>
  <c r="X50" i="2"/>
  <c r="AO50" i="2" s="1"/>
  <c r="AH50" i="2" s="1"/>
  <c r="W17" i="2"/>
  <c r="S17" i="2"/>
  <c r="O17" i="2"/>
  <c r="K17" i="2"/>
  <c r="G17" i="2"/>
  <c r="V17" i="2"/>
  <c r="R17" i="2"/>
  <c r="N17" i="2"/>
  <c r="J17" i="2"/>
  <c r="F17" i="2"/>
  <c r="U17" i="2"/>
  <c r="Q17" i="2"/>
  <c r="M17" i="2"/>
  <c r="I17" i="2"/>
  <c r="E17" i="2"/>
  <c r="L17" i="2"/>
  <c r="T17" i="2"/>
  <c r="H17" i="2"/>
  <c r="P17" i="2"/>
  <c r="AH16" i="2" l="1"/>
  <c r="Y17" i="2"/>
  <c r="AJ17" i="2" s="1"/>
  <c r="AA17" i="2"/>
  <c r="AL17" i="2" s="1"/>
  <c r="AB17" i="2"/>
  <c r="AM17" i="2" s="1"/>
  <c r="Z17" i="2"/>
  <c r="AK17" i="2" s="1"/>
  <c r="X17" i="2"/>
  <c r="AI17" i="2" s="1"/>
  <c r="AB51" i="2"/>
  <c r="AS51" i="2" s="1"/>
  <c r="Y51" i="2"/>
  <c r="AP51" i="2" s="1"/>
  <c r="Z51" i="2"/>
  <c r="AQ51" i="2" s="1"/>
  <c r="AA51" i="2"/>
  <c r="AR51" i="2" s="1"/>
  <c r="X51" i="2"/>
  <c r="AO51" i="2" s="1"/>
  <c r="AH17" i="2" l="1"/>
  <c r="AH19" i="2" s="1"/>
  <c r="AH51" i="2"/>
  <c r="AH53" i="2" s="1"/>
</calcChain>
</file>

<file path=xl/sharedStrings.xml><?xml version="1.0" encoding="utf-8"?>
<sst xmlns="http://schemas.openxmlformats.org/spreadsheetml/2006/main" count="17520" uniqueCount="1156">
  <si>
    <t>State</t>
  </si>
  <si>
    <t>Name</t>
  </si>
  <si>
    <t>ID</t>
  </si>
  <si>
    <t>Mode</t>
  </si>
  <si>
    <t>Vehicle Operations</t>
  </si>
  <si>
    <t>AK</t>
  </si>
  <si>
    <t>AR</t>
  </si>
  <si>
    <t>MB</t>
  </si>
  <si>
    <t>VP</t>
  </si>
  <si>
    <t>AL</t>
  </si>
  <si>
    <t>DR</t>
  </si>
  <si>
    <t>City of Huntsville, Alabama - Public Transportation Division</t>
  </si>
  <si>
    <t>SR</t>
  </si>
  <si>
    <t>AZ</t>
  </si>
  <si>
    <t>City of Glendale Transit</t>
  </si>
  <si>
    <t>Peoria Transit</t>
  </si>
  <si>
    <t>vRide, Inc. - Valley Metro</t>
  </si>
  <si>
    <t>CA</t>
  </si>
  <si>
    <t>CB</t>
  </si>
  <si>
    <t>FB</t>
  </si>
  <si>
    <t>HR</t>
  </si>
  <si>
    <t>LR</t>
  </si>
  <si>
    <t>RB</t>
  </si>
  <si>
    <t>Paratransit, Inc.</t>
  </si>
  <si>
    <t>CC</t>
  </si>
  <si>
    <t>TB</t>
  </si>
  <si>
    <t>CO</t>
  </si>
  <si>
    <t>vRide, Inc. - Denver</t>
  </si>
  <si>
    <t>CT</t>
  </si>
  <si>
    <t>Norwalk Transit District</t>
  </si>
  <si>
    <t>DC</t>
  </si>
  <si>
    <t>DE</t>
  </si>
  <si>
    <t>FL</t>
  </si>
  <si>
    <t>Charlotte County Transit Division</t>
  </si>
  <si>
    <t>MG</t>
  </si>
  <si>
    <t>Miami Lakes - vRide, Inc.</t>
  </si>
  <si>
    <t>GA</t>
  </si>
  <si>
    <t>vRide, Inc. - Atlanta</t>
  </si>
  <si>
    <t>IA</t>
  </si>
  <si>
    <t>Ames Transit Agency dba CyRide</t>
  </si>
  <si>
    <t>IL</t>
  </si>
  <si>
    <t>CR</t>
  </si>
  <si>
    <t>IN</t>
  </si>
  <si>
    <t>North Township of Lake County Dial-A-Ride</t>
  </si>
  <si>
    <t>KS</t>
  </si>
  <si>
    <t>KY</t>
  </si>
  <si>
    <t>LA</t>
  </si>
  <si>
    <t>MA</t>
  </si>
  <si>
    <t>MD</t>
  </si>
  <si>
    <t>Ride-On Montgomery County Transit</t>
  </si>
  <si>
    <t>Transit Services of Frederick County</t>
  </si>
  <si>
    <t>ME</t>
  </si>
  <si>
    <t>MI</t>
  </si>
  <si>
    <t>VRide, Inc. - Michigan</t>
  </si>
  <si>
    <t>MN</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</si>
  <si>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</si>
  <si>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</si>
  <si>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</si>
  <si>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</si>
  <si>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</si>
  <si>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</si>
  <si>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</si>
  <si>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</si>
  <si>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</si>
  <si>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</si>
  <si>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</si>
  <si>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</si>
  <si>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</si>
  <si>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</si>
  <si>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</si>
  <si>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NY</t>
  </si>
  <si>
    <t>Monroe Bus Corporation</t>
  </si>
  <si>
    <t>Monsey New Square Trails Corporation</t>
  </si>
  <si>
    <t>OH</t>
  </si>
  <si>
    <t>Laketran</t>
  </si>
  <si>
    <t>OK</t>
  </si>
  <si>
    <t>OR</t>
  </si>
  <si>
    <t>PA</t>
  </si>
  <si>
    <t>IP</t>
  </si>
  <si>
    <t>PR</t>
  </si>
  <si>
    <t>RI</t>
  </si>
  <si>
    <t>SC</t>
  </si>
  <si>
    <t>SD</t>
  </si>
  <si>
    <t>TN</t>
  </si>
  <si>
    <t>TX</t>
  </si>
  <si>
    <t>UT</t>
  </si>
  <si>
    <t>VA</t>
  </si>
  <si>
    <t>JAUNT, Inc.</t>
  </si>
  <si>
    <t>VT</t>
  </si>
  <si>
    <t>WA</t>
  </si>
  <si>
    <t>Kitsap Transit</t>
  </si>
  <si>
    <t>Link Transit</t>
  </si>
  <si>
    <t>Skagit Transit</t>
  </si>
  <si>
    <t>WI</t>
  </si>
  <si>
    <t>GO Transit</t>
  </si>
  <si>
    <t>Shoreline Metro</t>
  </si>
  <si>
    <t>WV</t>
  </si>
  <si>
    <t>National Totals</t>
  </si>
  <si>
    <t>Alaska Railroad</t>
  </si>
  <si>
    <t>Commuter Bus</t>
  </si>
  <si>
    <t>Cable Car</t>
  </si>
  <si>
    <t>Commuter Rail</t>
  </si>
  <si>
    <t>Demand Response</t>
  </si>
  <si>
    <t>Ferryboat</t>
  </si>
  <si>
    <t>Heavy Rail</t>
  </si>
  <si>
    <t>Inclined Plane</t>
  </si>
  <si>
    <t>Light Rail</t>
  </si>
  <si>
    <t>Bus</t>
  </si>
  <si>
    <t>Monorail/Automated Guideway</t>
  </si>
  <si>
    <t>Bus Rapid Transit</t>
  </si>
  <si>
    <t>Street Car Rail</t>
  </si>
  <si>
    <t>Trolleybus</t>
  </si>
  <si>
    <t>Vanpool</t>
  </si>
  <si>
    <t>City</t>
  </si>
  <si>
    <t>University</t>
  </si>
  <si>
    <t>Enterprise Rideshare</t>
  </si>
  <si>
    <t>Total Hours</t>
  </si>
  <si>
    <t>Total Employee Count</t>
  </si>
  <si>
    <t>Reporter Type</t>
  </si>
  <si>
    <t>W</t>
  </si>
  <si>
    <t>Research Triangle Regional Public Transportation Authority</t>
  </si>
  <si>
    <t>Q</t>
  </si>
  <si>
    <t>Hampton Jitney, Inc.</t>
  </si>
  <si>
    <t>Altoona Metro Transit</t>
  </si>
  <si>
    <t>BillyBey Ferry Company, LLC</t>
  </si>
  <si>
    <t>City of Appleton - Valley Transit</t>
  </si>
  <si>
    <t>West Virginia University - Morgantown Personal Rapid Transit</t>
  </si>
  <si>
    <t>Primary UZA Population</t>
  </si>
  <si>
    <t>Salary Expenses</t>
  </si>
  <si>
    <t>Vehicle Maintenance</t>
  </si>
  <si>
    <t>Facility Maintenance</t>
  </si>
  <si>
    <t>General Administration</t>
  </si>
  <si>
    <t>Agency VOMS</t>
  </si>
  <si>
    <t>Mode VOMS</t>
  </si>
  <si>
    <t>Vehicle Operations Hours</t>
  </si>
  <si>
    <t>Vehicle Maintenance Hours</t>
  </si>
  <si>
    <t>Facility Maintenance Hours</t>
  </si>
  <si>
    <t>General Administration Hours</t>
  </si>
  <si>
    <t>Capital Labor Hours</t>
  </si>
  <si>
    <t>Vehicle Operations Count</t>
  </si>
  <si>
    <t>Vehicle Maintenance Count</t>
  </si>
  <si>
    <t>Facility Maintenance Count</t>
  </si>
  <si>
    <t>General Administration Count</t>
  </si>
  <si>
    <t>Capital Labor Count</t>
  </si>
  <si>
    <t>Vehicle Operations Salary Expenses</t>
  </si>
  <si>
    <t>Vehicle Maintenance Salary Expenses</t>
  </si>
  <si>
    <t>Facility Maintenance Salary Expenses</t>
  </si>
  <si>
    <t>General Administration Salary Expenses</t>
  </si>
  <si>
    <t>Total Operating Salary Expenses</t>
  </si>
  <si>
    <t>Vehicle Operations Average Hourly Wage</t>
  </si>
  <si>
    <t>Vehicle Maintenance Average Hourly Wage</t>
  </si>
  <si>
    <t>Facility Maintenance Average Hourly Wage</t>
  </si>
  <si>
    <t>General Administration Average Hourly Wage</t>
  </si>
  <si>
    <t>Total Operating Average Hourly Wage</t>
  </si>
  <si>
    <t>TOS</t>
  </si>
  <si>
    <t>Alaska Railroad Corporation</t>
  </si>
  <si>
    <t>Anchorage</t>
  </si>
  <si>
    <t>State Government Unit or Department of Transportation</t>
  </si>
  <si>
    <t>Full Reporter</t>
  </si>
  <si>
    <t>DO</t>
  </si>
  <si>
    <t>Laguna Beach Municipal Transit</t>
  </si>
  <si>
    <t>Laguna Beach</t>
  </si>
  <si>
    <t>City, County or Local Government Unit or Department of Transportation</t>
  </si>
  <si>
    <t>Southeast Area Transit</t>
  </si>
  <si>
    <t>Preston</t>
  </si>
  <si>
    <t>Independent Public Agency or Authority of Transit Service</t>
  </si>
  <si>
    <t>Santa Monica's Big Blue Bus</t>
  </si>
  <si>
    <t>Santa Monica</t>
  </si>
  <si>
    <t>Hill Country Transit District</t>
  </si>
  <si>
    <t>San Saba</t>
  </si>
  <si>
    <t>Butler County Regional Transit Authority</t>
  </si>
  <si>
    <t>Hamilton</t>
  </si>
  <si>
    <t>Westwood</t>
  </si>
  <si>
    <t>Private-For-Profit Corporation</t>
  </si>
  <si>
    <t>Prince George's County Transit</t>
  </si>
  <si>
    <t>Largo</t>
  </si>
  <si>
    <t>Ames</t>
  </si>
  <si>
    <t>Clermont Transportation Connection</t>
  </si>
  <si>
    <t>Batavia</t>
  </si>
  <si>
    <t>Wenatchee</t>
  </si>
  <si>
    <t>Burlington</t>
  </si>
  <si>
    <t>Adirondack Transit Lines, Inc,</t>
  </si>
  <si>
    <t>Hurley</t>
  </si>
  <si>
    <t>Ulster County Area Transit</t>
  </si>
  <si>
    <t>Kingston</t>
  </si>
  <si>
    <t>South Lake County Community Services, Inc.</t>
  </si>
  <si>
    <t>Crown Point</t>
  </si>
  <si>
    <t>Private-Non-Profit Corporation</t>
  </si>
  <si>
    <t>Fayette Area Coordinated Transportation</t>
  </si>
  <si>
    <t>Lemont Furnace</t>
  </si>
  <si>
    <t>Brooklyn</t>
  </si>
  <si>
    <t>City of Loveland Transit</t>
  </si>
  <si>
    <t>Loveland</t>
  </si>
  <si>
    <t>Blacksburg Transit</t>
  </si>
  <si>
    <t>Blacksburg</t>
  </si>
  <si>
    <t>MPO, COG or Other Planning Agency</t>
  </si>
  <si>
    <t>Hoboken</t>
  </si>
  <si>
    <t>Oakland</t>
  </si>
  <si>
    <t>Albany Transit System</t>
  </si>
  <si>
    <t>Albany</t>
  </si>
  <si>
    <t>Altoona</t>
  </si>
  <si>
    <t>Ann Arbor Area Transportation Authority</t>
  </si>
  <si>
    <t>Ann Arbor</t>
  </si>
  <si>
    <t>ART (Asheville Redefines Transit)</t>
  </si>
  <si>
    <t>Asheville</t>
  </si>
  <si>
    <t>Athens Transit System</t>
  </si>
  <si>
    <t>Athens</t>
  </si>
  <si>
    <t>Bay Metropolitan Transit Authority</t>
  </si>
  <si>
    <t>Bay City</t>
  </si>
  <si>
    <t>Beaver County Transit Authority</t>
  </si>
  <si>
    <t>Rochester</t>
  </si>
  <si>
    <t>Belle Urban System - Racine</t>
  </si>
  <si>
    <t>Racine</t>
  </si>
  <si>
    <t>Ben Franklin Transit</t>
  </si>
  <si>
    <t>Richland</t>
  </si>
  <si>
    <t>Berks Area Regional Transportation Authority</t>
  </si>
  <si>
    <t>Reading</t>
  </si>
  <si>
    <t>Bi-State Development Agency of the Missouri-Illinois Metropolitan District, d.b.a.(St. Louis) Metro</t>
  </si>
  <si>
    <t>St. Louis</t>
  </si>
  <si>
    <t>Billings Metropolitan Transit</t>
  </si>
  <si>
    <t>Billings</t>
  </si>
  <si>
    <t>Birmingham-Jefferson County Transit Authority</t>
  </si>
  <si>
    <t>Birmingham</t>
  </si>
  <si>
    <t>Bloomington Public Transportation Corporation</t>
  </si>
  <si>
    <t>Bloomington</t>
  </si>
  <si>
    <t>Bloomington-Normal Public Transit System</t>
  </si>
  <si>
    <t>Normal</t>
  </si>
  <si>
    <t>Blue Water Area Transportation Commission</t>
  </si>
  <si>
    <t>Port Huron</t>
  </si>
  <si>
    <t>Valley Regional Transit</t>
  </si>
  <si>
    <t>Meridian</t>
  </si>
  <si>
    <t>Brazos Transit District</t>
  </si>
  <si>
    <t>Bryan</t>
  </si>
  <si>
    <t>Broome County Department of Public Transportation</t>
  </si>
  <si>
    <t>Vestal</t>
  </si>
  <si>
    <t>Broward County Transit Division</t>
  </si>
  <si>
    <t>Plantation</t>
  </si>
  <si>
    <t>Brunswick Transit Alternative</t>
  </si>
  <si>
    <t>Brunswick</t>
  </si>
  <si>
    <t>Syracuse</t>
  </si>
  <si>
    <t>Subsidiary Unit of a Transit Agency, Reporting Separately</t>
  </si>
  <si>
    <t>Council on Aging of St. Lucie, Inc.</t>
  </si>
  <si>
    <t>Fort Pierce</t>
  </si>
  <si>
    <t>Private Provider Reporting on Behalf of a Public Entity</t>
  </si>
  <si>
    <t>Cambria County Transit Authority</t>
  </si>
  <si>
    <t>Johnstown</t>
  </si>
  <si>
    <t>Capital Area Transit</t>
  </si>
  <si>
    <t>Raleigh</t>
  </si>
  <si>
    <t>Capital Area Transportation Authority</t>
  </si>
  <si>
    <t>Lansing</t>
  </si>
  <si>
    <t>Capital District Transportation Authority</t>
  </si>
  <si>
    <t>Capital Area Transit System</t>
  </si>
  <si>
    <t>Baton Rouge</t>
  </si>
  <si>
    <t>Casco Bay Island Transit District</t>
  </si>
  <si>
    <t>Portland</t>
  </si>
  <si>
    <t>Central Arkansas Transit Authority</t>
  </si>
  <si>
    <t>North Little Rock</t>
  </si>
  <si>
    <t>Central Contra Costa Transit Authority</t>
  </si>
  <si>
    <t>Concord</t>
  </si>
  <si>
    <t>Central Florida Regional Transportation Authority</t>
  </si>
  <si>
    <t>Orlando</t>
  </si>
  <si>
    <t>Central Ohio Transit Authority</t>
  </si>
  <si>
    <t>Columbus</t>
  </si>
  <si>
    <t>Central Oklahoma Transportation and Parking Authority</t>
  </si>
  <si>
    <t>Oklahoma City</t>
  </si>
  <si>
    <t>Central Puget Sound Regional Transit Authority</t>
  </si>
  <si>
    <t>Seattle</t>
  </si>
  <si>
    <t>Centre Area Transportation Authority</t>
  </si>
  <si>
    <t>State College</t>
  </si>
  <si>
    <t>Champaign-Urbana Mass Transit District</t>
  </si>
  <si>
    <t>Urbana</t>
  </si>
  <si>
    <t>Chapel Hill Transit</t>
  </si>
  <si>
    <t>Chapel Hill</t>
  </si>
  <si>
    <t>Charlotte Area Transit System</t>
  </si>
  <si>
    <t>Charlotte</t>
  </si>
  <si>
    <t>Chatham Area Transit Authority</t>
  </si>
  <si>
    <t>Savannah</t>
  </si>
  <si>
    <t>Chattanooga Area Regional Transportation Authority</t>
  </si>
  <si>
    <t>Chattanooga</t>
  </si>
  <si>
    <t>Chicago Transit Authority</t>
  </si>
  <si>
    <t>Chicago</t>
  </si>
  <si>
    <t>Chittenden County Transportation Authority</t>
  </si>
  <si>
    <t>City Transit Management Company, Inc.</t>
  </si>
  <si>
    <t>Lubbock</t>
  </si>
  <si>
    <t>Springfield</t>
  </si>
  <si>
    <t>Alexandria</t>
  </si>
  <si>
    <t>Appleton</t>
  </si>
  <si>
    <t>City of Brownsville - Brownsville Metro</t>
  </si>
  <si>
    <t>Brownsville</t>
  </si>
  <si>
    <t>City of Commerce Municipal Buslines</t>
  </si>
  <si>
    <t>Commerce</t>
  </si>
  <si>
    <t>City of Detroit Department of Transportation</t>
  </si>
  <si>
    <t>Detroit</t>
  </si>
  <si>
    <t>City of Fairfax CUE Bus</t>
  </si>
  <si>
    <t>Fairfax</t>
  </si>
  <si>
    <t>City of Gardena Transportation Department</t>
  </si>
  <si>
    <t>Gardena</t>
  </si>
  <si>
    <t>Glendale</t>
  </si>
  <si>
    <t>Huntsville</t>
  </si>
  <si>
    <t>Jackson</t>
  </si>
  <si>
    <t>City of Jackson Transportation Authority</t>
  </si>
  <si>
    <t>City of Kokomo</t>
  </si>
  <si>
    <t>Kokomo</t>
  </si>
  <si>
    <t>Lafayette Transit System</t>
  </si>
  <si>
    <t>Lafayette</t>
  </si>
  <si>
    <t>City of Long Beach</t>
  </si>
  <si>
    <t>Long Beach</t>
  </si>
  <si>
    <t>City of Riverside Special Transportation</t>
  </si>
  <si>
    <t>Riverside</t>
  </si>
  <si>
    <t>City of Rome Transit Department</t>
  </si>
  <si>
    <t>Rome</t>
  </si>
  <si>
    <t>City of Santa Rosa</t>
  </si>
  <si>
    <t>Santa Rosa</t>
  </si>
  <si>
    <t>City of Tallahassee</t>
  </si>
  <si>
    <t>Tallahassee</t>
  </si>
  <si>
    <t>Torrance Transit System</t>
  </si>
  <si>
    <t>Torrance</t>
  </si>
  <si>
    <t xml:space="preserve">Tucson   </t>
  </si>
  <si>
    <t>Clark County Public Transportation Benefit Area Authority</t>
  </si>
  <si>
    <t>Vancouver</t>
  </si>
  <si>
    <t>Mountain Metropolitan Transit</t>
  </si>
  <si>
    <t>Colorado Springs</t>
  </si>
  <si>
    <t>City of Columbia</t>
  </si>
  <si>
    <t>Columbia</t>
  </si>
  <si>
    <t>Ozark Regional Transit</t>
  </si>
  <si>
    <t>Springdale</t>
  </si>
  <si>
    <t>RiverCities Transit</t>
  </si>
  <si>
    <t>Longview</t>
  </si>
  <si>
    <t>Connecticut Department of Transportation - CTTRANSIT - Hartford Division</t>
  </si>
  <si>
    <t>Hartford</t>
  </si>
  <si>
    <t>Connecticut Department of Transportation - CTTRANSIT New Haven Division</t>
  </si>
  <si>
    <t>Connecticut Department of Transportation - CTTRANSIT Stamford Division</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</si>
  <si>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</si>
  <si>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</si>
  <si>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</si>
  <si>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</si>
  <si>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</si>
  <si>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</si>
  <si>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</si>
  <si>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</si>
  <si>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</si>
  <si>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</si>
  <si>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</si>
  <si>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Harrisburg</t>
  </si>
  <si>
    <t>Dallas Area Rapid Transit</t>
  </si>
  <si>
    <t>Dallas</t>
  </si>
  <si>
    <t>Montclair</t>
  </si>
  <si>
    <t>Decatur Public Transit System</t>
  </si>
  <si>
    <t>Decatur</t>
  </si>
  <si>
    <t>Delaware Transit Corporation</t>
  </si>
  <si>
    <t>Dover</t>
  </si>
  <si>
    <t>Des Moines Area Regional Transit Authority</t>
  </si>
  <si>
    <t>Des Moines</t>
  </si>
  <si>
    <t>Detroit Transportation Corporation</t>
  </si>
  <si>
    <t>Douglas County Rideshare</t>
  </si>
  <si>
    <t>Douglasville</t>
  </si>
  <si>
    <t>Duluth Transit Authority</t>
  </si>
  <si>
    <t>Duluth</t>
  </si>
  <si>
    <t>Dutchess County Division of Mass Transportation</t>
  </si>
  <si>
    <t>Poughkeepsie</t>
  </si>
  <si>
    <t>East Chicago Transit</t>
  </si>
  <si>
    <t>East Chicago</t>
  </si>
  <si>
    <t>Eau Claire Transit</t>
  </si>
  <si>
    <t>Eau Claire</t>
  </si>
  <si>
    <t>Erie Metropolitan Transit Authority</t>
  </si>
  <si>
    <t>Erie</t>
  </si>
  <si>
    <t>Everett Transit</t>
  </si>
  <si>
    <t>Everett</t>
  </si>
  <si>
    <t>Fayetteville Area System of Transit</t>
  </si>
  <si>
    <t>Fayetteville</t>
  </si>
  <si>
    <t>Cedar Rapids Transit</t>
  </si>
  <si>
    <t>Cedar Rapids</t>
  </si>
  <si>
    <t>Fort Wayne Public Transportation Corporation</t>
  </si>
  <si>
    <t>Fort Wayne</t>
  </si>
  <si>
    <t>Fort Worth Transportation Authority</t>
  </si>
  <si>
    <t>Fort Worth</t>
  </si>
  <si>
    <t>Frederick</t>
  </si>
  <si>
    <t>Fresno Area Express</t>
  </si>
  <si>
    <t>Fresno</t>
  </si>
  <si>
    <t>Gainesville Regional Transit System</t>
  </si>
  <si>
    <t>Gainesville</t>
  </si>
  <si>
    <t>Gary Public Transportation Corporation</t>
  </si>
  <si>
    <t>Gary</t>
  </si>
  <si>
    <t>Golden Empire Transit District</t>
  </si>
  <si>
    <t>Bakersfield</t>
  </si>
  <si>
    <t>Golden Gate Bridge, Highway and Transportation District</t>
  </si>
  <si>
    <t>San Francisco</t>
  </si>
  <si>
    <t>Cities Area Transit</t>
  </si>
  <si>
    <t>Grand Forks</t>
  </si>
  <si>
    <t>Interurban Transit Partnership</t>
  </si>
  <si>
    <t>Grand Rapids</t>
  </si>
  <si>
    <t>Greater Bridgeport Transit Authority</t>
  </si>
  <si>
    <t>Bridgeport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</si>
  <si>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</si>
  <si>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</si>
  <si>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</si>
  <si>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</si>
  <si>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</si>
  <si>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</si>
  <si>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</si>
  <si>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</si>
  <si>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Other Publicly-Owned or Privately Chartered Corporation</t>
  </si>
  <si>
    <t>Greater Roanoke Transit Company</t>
  </si>
  <si>
    <t>Roanoke</t>
  </si>
  <si>
    <t>Green Bay Metro</t>
  </si>
  <si>
    <t>Green Bay</t>
  </si>
  <si>
    <t>Greenville Transit Authority</t>
  </si>
  <si>
    <t>Greenville</t>
  </si>
  <si>
    <t>Handitran Special Transit Division - City of Arlington</t>
  </si>
  <si>
    <t>Arlington</t>
  </si>
  <si>
    <t>Hillsborough Area Regional Transit Authority</t>
  </si>
  <si>
    <t>Tampa</t>
  </si>
  <si>
    <t>Danbury</t>
  </si>
  <si>
    <t>Hudson Transit Lines, Inc.</t>
  </si>
  <si>
    <t>Mahwah</t>
  </si>
  <si>
    <t>Huntington Area Rapid Transit</t>
  </si>
  <si>
    <t>Huntington Station</t>
  </si>
  <si>
    <t>Indianapolis and Marion County Public Transportation</t>
  </si>
  <si>
    <t>Indianapolis</t>
  </si>
  <si>
    <t>Intercity Transit</t>
  </si>
  <si>
    <t>Olympia</t>
  </si>
  <si>
    <t>Iowa City Transit</t>
  </si>
  <si>
    <t>Iowa City</t>
  </si>
  <si>
    <t>Jackson Transit Authority</t>
  </si>
  <si>
    <t>Jacksonville Transportation Authority</t>
  </si>
  <si>
    <t>Jacksonville</t>
  </si>
  <si>
    <t>Williamsburg Area Transit Authority</t>
  </si>
  <si>
    <t>Williamsburg</t>
  </si>
  <si>
    <t>Kalamazoo Metro Transit System</t>
  </si>
  <si>
    <t>Kalamazoo</t>
  </si>
  <si>
    <t>Kanawha Valley Regional Transportation Authority</t>
  </si>
  <si>
    <t>Charleston</t>
  </si>
  <si>
    <t>Kansas City Area Transportation Authority</t>
  </si>
  <si>
    <t>Kansas City</t>
  </si>
  <si>
    <t>Kenosha Transit</t>
  </si>
  <si>
    <t>Kenosha</t>
  </si>
  <si>
    <t>Bremerton</t>
  </si>
  <si>
    <t>Knoxville Area Transit</t>
  </si>
  <si>
    <t>Knoxville</t>
  </si>
  <si>
    <t>Grand River</t>
  </si>
  <si>
    <t>LaCrosse Municipal Transit Utility</t>
  </si>
  <si>
    <t>La Crosse</t>
  </si>
  <si>
    <t>Lakeland</t>
  </si>
  <si>
    <t>Lane Transit District</t>
  </si>
  <si>
    <t>Eugene</t>
  </si>
  <si>
    <t>Laredo Transit Management, Inc.</t>
  </si>
  <si>
    <t>Laredo</t>
  </si>
  <si>
    <t>Lee County Transit</t>
  </si>
  <si>
    <t>Fort Myers</t>
  </si>
  <si>
    <t>Lehigh and Northampton Transportation Authority</t>
  </si>
  <si>
    <t>Allentown</t>
  </si>
  <si>
    <t>Long Beach Transit</t>
  </si>
  <si>
    <t>MTA Long Island Rail Road</t>
  </si>
  <si>
    <t>Jamaica</t>
  </si>
  <si>
    <t>Los Angeles County Metropolitan Transportation Authority dba: Metro</t>
  </si>
  <si>
    <t>Los Angeles</t>
  </si>
  <si>
    <t>Lowell Regional Transit Authority</t>
  </si>
  <si>
    <t>Lowell</t>
  </si>
  <si>
    <t>Luzerne County Transportation Authority</t>
  </si>
  <si>
    <t>Madison County Transit District</t>
  </si>
  <si>
    <t>Granite City</t>
  </si>
  <si>
    <t>Metro Transit System</t>
  </si>
  <si>
    <t>Madison</t>
  </si>
  <si>
    <t>Manatee County Area Transit</t>
  </si>
  <si>
    <t>Bradenton</t>
  </si>
  <si>
    <t>Maryland Transit Administration</t>
  </si>
  <si>
    <t>Baltimore</t>
  </si>
  <si>
    <t>Mass Transit Department - City of El Paso</t>
  </si>
  <si>
    <t>El Paso</t>
  </si>
  <si>
    <t>Flint</t>
  </si>
  <si>
    <t>Massachusetts Bay Transportation Authority</t>
  </si>
  <si>
    <t>Boston</t>
  </si>
  <si>
    <t>Memphis Area Transit Authority</t>
  </si>
  <si>
    <t>Memphis</t>
  </si>
  <si>
    <t>Akron</t>
  </si>
  <si>
    <t>The Wave Transit System</t>
  </si>
  <si>
    <t>Mobile</t>
  </si>
  <si>
    <t>Minneapolis</t>
  </si>
  <si>
    <t>Metro-North Commuter Railroad Company, dba: MTA Metro-North Railroad</t>
  </si>
  <si>
    <t>New York</t>
  </si>
  <si>
    <t>Metropolitan Atlanta Rapid Transit Authority</t>
  </si>
  <si>
    <t>Atlanta</t>
  </si>
  <si>
    <t>Metropolitan Bus Authority</t>
  </si>
  <si>
    <t>San Juan</t>
  </si>
  <si>
    <t>Metropolitan Evansville Transit System</t>
  </si>
  <si>
    <t>Evansville</t>
  </si>
  <si>
    <t>Metropolitan Transit Authority</t>
  </si>
  <si>
    <t>Nashville</t>
  </si>
  <si>
    <t>Houston</t>
  </si>
  <si>
    <t>Metropolitan Tulsa Transit Authority</t>
  </si>
  <si>
    <t>Tulsa</t>
  </si>
  <si>
    <t>Greater Dayton Regional Transit Authority</t>
  </si>
  <si>
    <t>Dayton</t>
  </si>
  <si>
    <t>Miami-Dade Transit</t>
  </si>
  <si>
    <t>Miami</t>
  </si>
  <si>
    <t>Middletown Transit District</t>
  </si>
  <si>
    <t>Middletown</t>
  </si>
  <si>
    <t>Milford Transit District</t>
  </si>
  <si>
    <t>Milford</t>
  </si>
  <si>
    <t>Milwaukee County Transit System</t>
  </si>
  <si>
    <t>Milwaukee</t>
  </si>
  <si>
    <t>Ms Coast Transportation Authority</t>
  </si>
  <si>
    <t>Gulfport</t>
  </si>
  <si>
    <t>Missoula Urban Transportation District</t>
  </si>
  <si>
    <t>Missoula</t>
  </si>
  <si>
    <t>Spring Valley</t>
  </si>
  <si>
    <t>Montebello Bus Lines</t>
  </si>
  <si>
    <t>Montebello</t>
  </si>
  <si>
    <t>Monterey-Salinas Transit</t>
  </si>
  <si>
    <t>Monterey</t>
  </si>
  <si>
    <t>City of Montgomery-Montgomery Area Transit System</t>
  </si>
  <si>
    <t>Montgomery</t>
  </si>
  <si>
    <t>Muncie Indiana Transit System</t>
  </si>
  <si>
    <t>Muncie</t>
  </si>
  <si>
    <t>Municipality of Anchorage - Public Transportation Department</t>
  </si>
  <si>
    <t>Newark</t>
  </si>
  <si>
    <t>New Jersey Transit Corporation</t>
  </si>
  <si>
    <t>New York City Department of Transportation</t>
  </si>
  <si>
    <t>MTA New York City Transit</t>
  </si>
  <si>
    <t>Niagara Frontier Transportation Authority</t>
  </si>
  <si>
    <t>Buffalo</t>
  </si>
  <si>
    <t>Hammond</t>
  </si>
  <si>
    <t>Northeast Illinois Regional Commuter Railroad Corporation dba: Metra Rail</t>
  </si>
  <si>
    <t>Northern Indiana Commuter Transportation District</t>
  </si>
  <si>
    <t>Chesterton</t>
  </si>
  <si>
    <t>Northwest Alabama Council of Local Governments</t>
  </si>
  <si>
    <t>Muscle Shoals</t>
  </si>
  <si>
    <t>Norwalk</t>
  </si>
  <si>
    <t>Norwalk Transit System</t>
  </si>
  <si>
    <t>Omnitrans</t>
  </si>
  <si>
    <t>San Bernardino</t>
  </si>
  <si>
    <t>Ohio Valley Regional Transportation Authority</t>
  </si>
  <si>
    <t>Wheeling</t>
  </si>
  <si>
    <t>Elizabeth</t>
  </si>
  <si>
    <t>Opportunity Enterprises, Inc.</t>
  </si>
  <si>
    <t>Valparaiso</t>
  </si>
  <si>
    <t>Orange County Transportation Authority</t>
  </si>
  <si>
    <t>Orange</t>
  </si>
  <si>
    <t>Orange-Newark-Elizabeth, Inc.</t>
  </si>
  <si>
    <t>Oshkosh</t>
  </si>
  <si>
    <t>Pace - Suburban Bus Division</t>
  </si>
  <si>
    <t>Arlington Heights</t>
  </si>
  <si>
    <t>Board of County Commissioners, Palm Beach County, PalmTran, Inc.</t>
  </si>
  <si>
    <t>West Palm Beach</t>
  </si>
  <si>
    <t>Pasco County Public Transportation</t>
  </si>
  <si>
    <t>Port Richey</t>
  </si>
  <si>
    <t>Pierce County Transportation Benefit Area Authority</t>
  </si>
  <si>
    <t>Tacoma</t>
  </si>
  <si>
    <t>Pinellas Suncoast Transit Authority</t>
  </si>
  <si>
    <t>St. Petersburg</t>
  </si>
  <si>
    <t>Port Authority Trans-Hudson Corporation</t>
  </si>
  <si>
    <t>Jersey City</t>
  </si>
  <si>
    <t>Port Authority Transit Corporation</t>
  </si>
  <si>
    <t>Lindenwold</t>
  </si>
  <si>
    <t>Port Authority of Allegheny County</t>
  </si>
  <si>
    <t>Pittsburgh</t>
  </si>
  <si>
    <t>Portage Area Regional Transportation Authority</t>
  </si>
  <si>
    <t>Kent</t>
  </si>
  <si>
    <t>Pueblo Transit System</t>
  </si>
  <si>
    <t>Pueblo</t>
  </si>
  <si>
    <t>Red Rose Transit Authority</t>
  </si>
  <si>
    <t>Lancaster</t>
  </si>
  <si>
    <t>Denver Regional Transportation District</t>
  </si>
  <si>
    <t>Denver</t>
  </si>
  <si>
    <t>Research Triangle Park</t>
  </si>
  <si>
    <t>Rhode Island Public Transit Authority</t>
  </si>
  <si>
    <t>Providence</t>
  </si>
  <si>
    <t>Rockville</t>
  </si>
  <si>
    <t>Riverside Transit Agency</t>
  </si>
  <si>
    <t>Rock Island County Metropolitan Mass Transit District</t>
  </si>
  <si>
    <t xml:space="preserve">Moline </t>
  </si>
  <si>
    <t>Rockford Mass Transit District</t>
  </si>
  <si>
    <t>Rockford</t>
  </si>
  <si>
    <t>Rogue Valley Transportation District</t>
  </si>
  <si>
    <t>Medford</t>
  </si>
  <si>
    <t>San Mateo County Transit District</t>
  </si>
  <si>
    <t>San Carlos</t>
  </si>
  <si>
    <t>Sacramento Regional Transit District</t>
  </si>
  <si>
    <t>Sacramento</t>
  </si>
  <si>
    <t>Saginaw Transit Authority Regional Service</t>
  </si>
  <si>
    <t>Saginaw</t>
  </si>
  <si>
    <t>Salem Area Mass Transit District</t>
  </si>
  <si>
    <t>Salem</t>
  </si>
  <si>
    <t>San Diego Metropolitan Transit System</t>
  </si>
  <si>
    <t>San Diego</t>
  </si>
  <si>
    <t>San Francisco Bay Area Rapid Transit District</t>
  </si>
  <si>
    <t>San Francisco Municipal Railway</t>
  </si>
  <si>
    <t>San Joaquin Regional Transit District</t>
  </si>
  <si>
    <t>Stockton</t>
  </si>
  <si>
    <t>Santa Barbara Metropolitan Transit District</t>
  </si>
  <si>
    <t>Santa Barbara</t>
  </si>
  <si>
    <t>Santa Clara Valley Transportation Authority</t>
  </si>
  <si>
    <t>San Jose</t>
  </si>
  <si>
    <t>Santa Cruz Metropolitan Transit District</t>
  </si>
  <si>
    <t>Santa Cruz</t>
  </si>
  <si>
    <t>Santee Wateree Regional Transportation Authority</t>
  </si>
  <si>
    <t>Sumter</t>
  </si>
  <si>
    <t>Sarasota County Area Transit</t>
  </si>
  <si>
    <t>Sarasota</t>
  </si>
  <si>
    <t>Sheboygan</t>
  </si>
  <si>
    <t>Shenango Valley Shuttle Service</t>
  </si>
  <si>
    <t>Hermitage</t>
  </si>
  <si>
    <t>Shreveport Area Transit System</t>
  </si>
  <si>
    <t>Shreveport</t>
  </si>
  <si>
    <t>Sioux City Transit System</t>
  </si>
  <si>
    <t>Sioux City</t>
  </si>
  <si>
    <t>Su Tran LLC dba: Sioux Area Metro</t>
  </si>
  <si>
    <t>Sioux Falls</t>
  </si>
  <si>
    <t>Snohomish County Public Transportation Benefit Area Corporation</t>
  </si>
  <si>
    <t>Sonoma County Transit</t>
  </si>
  <si>
    <t>South Bend Public Transportation Corporation</t>
  </si>
  <si>
    <t>South Bend</t>
  </si>
  <si>
    <t>Gold Coast Transit</t>
  </si>
  <si>
    <t>Oxnard</t>
  </si>
  <si>
    <t>Southeastern Pennsylvania Transportation Authority</t>
  </si>
  <si>
    <t>Philadelphia</t>
  </si>
  <si>
    <t>Southwest Ohio Regional Transit Authority</t>
  </si>
  <si>
    <t>Cincinnati</t>
  </si>
  <si>
    <t>Space Coast Area Transit</t>
  </si>
  <si>
    <t>Cocoa</t>
  </si>
  <si>
    <t>Spokane Transit Authority</t>
  </si>
  <si>
    <t>Spokane</t>
  </si>
  <si>
    <t>Springfield Mass Transit District</t>
  </si>
  <si>
    <t>St. Cloud Metropolitan Transit Commission</t>
  </si>
  <si>
    <t>St. Cloud</t>
  </si>
  <si>
    <t>Lincoln</t>
  </si>
  <si>
    <t>Stark Area Regional Transit Authority</t>
  </si>
  <si>
    <t>Canton</t>
  </si>
  <si>
    <t>Staten Island Rapid Transit Operating Authority, dba: MTA Staten Island Railway</t>
  </si>
  <si>
    <t>Staten Island</t>
  </si>
  <si>
    <t>Suburban Mobility Authority for Regional Transportation</t>
  </si>
  <si>
    <t>Suburban Transit Corporation</t>
  </si>
  <si>
    <t>New Brunswick</t>
  </si>
  <si>
    <t>City of Albuquerque Transit Department</t>
  </si>
  <si>
    <t>Albuquerque</t>
  </si>
  <si>
    <t>SunLine Transit Agency</t>
  </si>
  <si>
    <t>Thousand Palms</t>
  </si>
  <si>
    <t>Terre Haute Transit Utility</t>
  </si>
  <si>
    <t>Terre Haute</t>
  </si>
  <si>
    <t>The Greater Cleveland Regional Transit Authority</t>
  </si>
  <si>
    <t>Cleveland</t>
  </si>
  <si>
    <t>The Greater New Haven Transit District</t>
  </si>
  <si>
    <t>Hamden</t>
  </si>
  <si>
    <t>The Gulf Coast Center</t>
  </si>
  <si>
    <t>Texas City</t>
  </si>
  <si>
    <t>The Tri-State Transit Authority</t>
  </si>
  <si>
    <t>Huntington</t>
  </si>
  <si>
    <t>Toledo Area Regional Transit Authority</t>
  </si>
  <si>
    <t>Toledo</t>
  </si>
  <si>
    <t>Tompkins Consolidated Area Transit</t>
  </si>
  <si>
    <t>Ithaca</t>
  </si>
  <si>
    <t>Topeka Metropolitan Transit Authority</t>
  </si>
  <si>
    <t>Topeka</t>
  </si>
  <si>
    <t>Bethlehem</t>
  </si>
  <si>
    <t>Fort Collins</t>
  </si>
  <si>
    <t>Lexington Transit Authority</t>
  </si>
  <si>
    <t>Lexington</t>
  </si>
  <si>
    <t>Transit Authority of Northern Kentucky</t>
  </si>
  <si>
    <t>Fort Wright</t>
  </si>
  <si>
    <t>Transit Authority of Omaha</t>
  </si>
  <si>
    <t>Omaha</t>
  </si>
  <si>
    <t>Transit Authority of River City</t>
  </si>
  <si>
    <t>Louisville</t>
  </si>
  <si>
    <t>Santa Fe Trails - City of Santa Fe</t>
  </si>
  <si>
    <t>Santa Fe</t>
  </si>
  <si>
    <t>Transport of Rockland</t>
  </si>
  <si>
    <t>Pomona</t>
  </si>
  <si>
    <t>Tri-County Metropolitan Transportation District of Oregon</t>
  </si>
  <si>
    <t>Unitrans - City of Davis/ASUCD</t>
  </si>
  <si>
    <t>Davis</t>
  </si>
  <si>
    <t>University of Iowa</t>
  </si>
  <si>
    <t>Utah Transit Authority</t>
  </si>
  <si>
    <t>Salt Lake City</t>
  </si>
  <si>
    <t>VIA Metropolitan Transit</t>
  </si>
  <si>
    <t>San Antonio</t>
  </si>
  <si>
    <t>Phoenix</t>
  </si>
  <si>
    <t>Valley Transit District</t>
  </si>
  <si>
    <t>Derby</t>
  </si>
  <si>
    <t>Waco Transit System, Inc.</t>
  </si>
  <si>
    <t>Waco</t>
  </si>
  <si>
    <t>Washington Metropolitan Area Transit Authority</t>
  </si>
  <si>
    <t>Washington</t>
  </si>
  <si>
    <t>Washington State Ferries</t>
  </si>
  <si>
    <t>City of Waukesha Transit Commission</t>
  </si>
  <si>
    <t>Waukesha</t>
  </si>
  <si>
    <t>Western Reserve Transit Authority</t>
  </si>
  <si>
    <t>Youngstown</t>
  </si>
  <si>
    <t>Whatcom Transportation Authority</t>
  </si>
  <si>
    <t>Bellingham</t>
  </si>
  <si>
    <t>Wichita Transit</t>
  </si>
  <si>
    <t>Wichita</t>
  </si>
  <si>
    <t>Williamsport Bureau of Transportation</t>
  </si>
  <si>
    <t>Williamsport</t>
  </si>
  <si>
    <t>Cape Fear Public Transportation Authority</t>
  </si>
  <si>
    <t>Wilmington</t>
  </si>
  <si>
    <t>Winston-Salem Transit Authority - Trans-Aid of Forsyth County</t>
  </si>
  <si>
    <t>Winston-Salem</t>
  </si>
  <si>
    <t>Wiregrass Transit Authority</t>
  </si>
  <si>
    <t>Dothan</t>
  </si>
  <si>
    <t>Worcester Regional Transit Authority</t>
  </si>
  <si>
    <t>Worcester</t>
  </si>
  <si>
    <t>Yakima Transit</t>
  </si>
  <si>
    <t>Yakima</t>
  </si>
  <si>
    <t>York County Transportation Authority</t>
  </si>
  <si>
    <t>York</t>
  </si>
  <si>
    <t>Great Falls Transit District</t>
  </si>
  <si>
    <t>Great Falls</t>
  </si>
  <si>
    <t>Punta Gorda</t>
  </si>
  <si>
    <t>University of Michigan Parking and Transportation Services</t>
  </si>
  <si>
    <t>Ozaukee County Transit Services</t>
  </si>
  <si>
    <t>Port Washington</t>
  </si>
  <si>
    <t>Transportation District Commission of Hampton Roads</t>
  </si>
  <si>
    <t>Hampton</t>
  </si>
  <si>
    <t>City of Harrisonburg Department of Public Transportation</t>
  </si>
  <si>
    <t>Harrisonburg</t>
  </si>
  <si>
    <t>County of Lebanon Transit Authority</t>
  </si>
  <si>
    <t>Lebanon</t>
  </si>
  <si>
    <t>Auburn</t>
  </si>
  <si>
    <t>The Tri-County Council for the Lower Eastern Shore of Maryland</t>
  </si>
  <si>
    <t>Salisbury</t>
  </si>
  <si>
    <t>Miami Lakes</t>
  </si>
  <si>
    <t>San Luis Obispo Regional Transit Authority</t>
  </si>
  <si>
    <t>San Luis Obispo</t>
  </si>
  <si>
    <t>MTA Bus Company</t>
  </si>
  <si>
    <t>Porter County Aging and Community Services, Inc.</t>
  </si>
  <si>
    <t>Denton County Transportation Authority</t>
  </si>
  <si>
    <t>Lewisville</t>
  </si>
  <si>
    <t>Concho Valley Transit District</t>
  </si>
  <si>
    <t>San Angelo</t>
  </si>
  <si>
    <t>Cache Valley Transit District</t>
  </si>
  <si>
    <t>Logan</t>
  </si>
  <si>
    <t>Weehawken</t>
  </si>
  <si>
    <t>Knoxville-Knox County Community Action Committee</t>
  </si>
  <si>
    <t>Macatawa Area Express Transportation Authority</t>
  </si>
  <si>
    <t>Holland</t>
  </si>
  <si>
    <t>Conover</t>
  </si>
  <si>
    <t>Charlottesville</t>
  </si>
  <si>
    <t>Johnson County SEATS</t>
  </si>
  <si>
    <t>Northern Arizona Intergovernmental Public Transportation Authority</t>
  </si>
  <si>
    <t>Flagstaff</t>
  </si>
  <si>
    <t>Piedmont Authority for Regional Transportation</t>
  </si>
  <si>
    <t>Greensboro</t>
  </si>
  <si>
    <t>The Transportation Management Association Group</t>
  </si>
  <si>
    <t>Franklin</t>
  </si>
  <si>
    <t>Puerto Real</t>
  </si>
  <si>
    <t>University Of New Hampshire - University Transportation Services</t>
  </si>
  <si>
    <t>Durham</t>
  </si>
  <si>
    <t>North Front Range Metropolitan Planning Organization</t>
  </si>
  <si>
    <t>University of Georgia Transit System</t>
  </si>
  <si>
    <t>The University of Montana - ASUM Transportation</t>
  </si>
  <si>
    <t>Rio Metro Regional Transit District</t>
  </si>
  <si>
    <t>STAR Transit</t>
  </si>
  <si>
    <t>Terrell</t>
  </si>
  <si>
    <t>Kentuckiana Regional Planning and Development Agency</t>
  </si>
  <si>
    <t>Transit Authority of Central Kentucky</t>
  </si>
  <si>
    <t>Elizabethtown</t>
  </si>
  <si>
    <t>Bergen County Community Transportation</t>
  </si>
  <si>
    <t>Lodi</t>
  </si>
  <si>
    <t>Cumberland Area Transit System</t>
  </si>
  <si>
    <t>Bridgeton</t>
  </si>
  <si>
    <t>Middlesex County Area Transit</t>
  </si>
  <si>
    <t>Senior Citizens United Community Services of Camden County, Inc.</t>
  </si>
  <si>
    <t>Audubon</t>
  </si>
  <si>
    <t>County of Atlantic</t>
  </si>
  <si>
    <t>Northfield</t>
  </si>
  <si>
    <t>River Bend Transit</t>
  </si>
  <si>
    <t>Davenport</t>
  </si>
  <si>
    <t>Farmington Hills</t>
  </si>
  <si>
    <t>California Vanpool Authority</t>
  </si>
  <si>
    <t>Hanford</t>
  </si>
  <si>
    <t>Central Oregon Intergovernmental Council</t>
  </si>
  <si>
    <t>Bend</t>
  </si>
  <si>
    <t>Morgantown</t>
  </si>
  <si>
    <t>Medina County Public Transit</t>
  </si>
  <si>
    <t>Medina</t>
  </si>
  <si>
    <t>Plaquemines Parish Government</t>
  </si>
  <si>
    <t>Belle Chasse</t>
  </si>
  <si>
    <t>Delaware County Transit Board</t>
  </si>
  <si>
    <t>Delaware</t>
  </si>
  <si>
    <t>Rides Mass Transit District</t>
  </si>
  <si>
    <t>McKinney Avenue Transit Authority</t>
  </si>
  <si>
    <t>Southampton</t>
  </si>
  <si>
    <t>Scotrun</t>
  </si>
  <si>
    <t>3R04-012</t>
  </si>
  <si>
    <t>Alamo Area Council of Governments</t>
  </si>
  <si>
    <t xml:space="preserve">San Antonio </t>
  </si>
  <si>
    <t>All Employee Types:</t>
  </si>
  <si>
    <t>Full Time Employees:</t>
  </si>
  <si>
    <t>Part Time Employees:</t>
  </si>
  <si>
    <t>Salary Expenses:</t>
  </si>
  <si>
    <t>Average Hourly Wage:</t>
  </si>
  <si>
    <t>Las Vegas</t>
  </si>
  <si>
    <t>NV</t>
  </si>
  <si>
    <t>HI</t>
  </si>
  <si>
    <t>Spartanburg</t>
  </si>
  <si>
    <t>Las Vegas Monorail Company</t>
  </si>
  <si>
    <t>General Admin Hours</t>
  </si>
  <si>
    <t>Vehicle Operations Employee Count</t>
  </si>
  <si>
    <t>Vehicle Maintenance Employee Count</t>
  </si>
  <si>
    <t>Facility Maintenance Employee Count</t>
  </si>
  <si>
    <t>General Admin Employee Count</t>
  </si>
  <si>
    <t>Capital Labor Employee Count</t>
  </si>
  <si>
    <t>Vehicle Operations Salaries</t>
  </si>
  <si>
    <t>Vehicle Maintenance Salaries</t>
  </si>
  <si>
    <t>Facility Maintenance Salaries</t>
  </si>
  <si>
    <t>General Admin Salaries</t>
  </si>
  <si>
    <t>Total Operating Salaries</t>
  </si>
  <si>
    <t>Vehicle Operations Wage</t>
  </si>
  <si>
    <t>Vehicle Maintenance Wage</t>
  </si>
  <si>
    <t>Facility Maintenance Wage</t>
  </si>
  <si>
    <t>General Admin Wage</t>
  </si>
  <si>
    <t>Total Operating Wage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</si>
  <si>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</si>
  <si>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</si>
  <si>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</si>
  <si>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</si>
  <si>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</si>
  <si>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</si>
  <si>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</si>
  <si>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</si>
  <si>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</si>
  <si>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</si>
  <si>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</si>
  <si>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</si>
  <si>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</si>
  <si>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</si>
  <si>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</si>
  <si>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</si>
  <si>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</si>
  <si>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</si>
  <si>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</si>
  <si>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</si>
  <si>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</si>
  <si>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</si>
  <si>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</si>
  <si>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</si>
  <si>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</si>
  <si>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</si>
  <si>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</si>
  <si>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</si>
  <si>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</si>
  <si>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</si>
  <si>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</si>
  <si>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</si>
  <si>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</si>
  <si>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</si>
  <si>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</si>
  <si>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</si>
  <si>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</si>
  <si>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</si>
  <si>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</si>
  <si>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</si>
  <si>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</si>
  <si>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</si>
  <si>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</si>
  <si>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</si>
  <si>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</si>
  <si>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</si>
  <si>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</si>
  <si>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</si>
  <si>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</si>
  <si>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</si>
  <si>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</si>
  <si>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</si>
  <si>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</si>
  <si>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</si>
  <si>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</si>
  <si>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</si>
  <si>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</si>
  <si>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</si>
  <si>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</si>
  <si>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</si>
  <si>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</si>
  <si>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</si>
  <si>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</si>
  <si>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</si>
  <si>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</si>
  <si>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</si>
  <si>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</si>
  <si>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</si>
  <si>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</si>
  <si>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</si>
  <si>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</si>
  <si>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</si>
  <si>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</si>
  <si>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</si>
  <si>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</si>
  <si>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</si>
  <si>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</si>
  <si>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</si>
  <si>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</si>
  <si>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</si>
  <si>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</si>
  <si>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</si>
  <si>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Capital Labor</t>
  </si>
  <si>
    <t>Employee Work Hours</t>
  </si>
  <si>
    <t>Employee Count</t>
  </si>
  <si>
    <t>The Vehicle Operations function includes wages, salaries and expenses related to all activities associated with dispatching and running vehicles to carry passengers, including management, administrative and clerical support.</t>
  </si>
  <si>
    <t>ONLY APPLIES TO: Full Reporters, Separate Service Reporters</t>
  </si>
  <si>
    <t>The Vehicle Maintenance function includes wages, salaries and expenses incurred during all activities related to keeping vehicles operational and in good repair, including administrative and clerical support.</t>
  </si>
  <si>
    <t>The Facility Maintenance function includes all activities related to keeping buildings, structures, roadways, track, and other non-vehicle assets operational and in good repair, including administrative and clerical support.</t>
  </si>
  <si>
    <t>The General Administration function includes wages, salaries, and expenses incurred to perform support and administrative activities.</t>
  </si>
  <si>
    <t>ONLY APPLIES TO: Full Reporters</t>
  </si>
  <si>
    <t>Labor performed by transit agency employees on capital projects.</t>
  </si>
  <si>
    <t>Labor hours that include all work performed during the report year, excluding fringe benefit hours such as: 
• Sick leave 
• Holidays 
• Vacations 
Work hours include: 
• Only labor hours for employees of the transit agency 
• Both full time and part time 
• Permanent and temporary employees</t>
  </si>
  <si>
    <t>The number of people employed by the transit agency at the end of the fiscal year.</t>
  </si>
  <si>
    <t>Salaries include the cost of labor, excluding paid absences and fringe benefits, for the transit agency's employees.</t>
  </si>
  <si>
    <t>Vehicle Operations Hours Questionable</t>
  </si>
  <si>
    <t>Vehicle Maintenance Hours Questionable</t>
  </si>
  <si>
    <t>Facility Maintenance Hours Questionable</t>
  </si>
  <si>
    <t>General Admin Hours Questionable</t>
  </si>
  <si>
    <t>Capital Labor Hours Questionable</t>
  </si>
  <si>
    <t>Total Hours Questionable</t>
  </si>
  <si>
    <t>Vehicle Operations Employee Count Questionable</t>
  </si>
  <si>
    <t>Vehicle Maintenance Employee Count Questionable</t>
  </si>
  <si>
    <t>Facility Maintenance Employee Count Questionable</t>
  </si>
  <si>
    <t>General Admin Employee Count Questionable</t>
  </si>
  <si>
    <t>Capital Labor Employee Count Questionable</t>
  </si>
  <si>
    <t>Total Employee Count Questionable</t>
  </si>
  <si>
    <t>Vehicle Operations Salaries Questionable</t>
  </si>
  <si>
    <t>Vehicle Maintenance Salaries Questionable</t>
  </si>
  <si>
    <t>Facility Maintenance Salaries Questionable</t>
  </si>
  <si>
    <t>General Admin Salaries Questionable</t>
  </si>
  <si>
    <t>Total Operating Salaries Questionable</t>
  </si>
  <si>
    <t>Vehicle Operations Wage Questionable</t>
  </si>
  <si>
    <t>Vehicle Maintenance Wage Questionable</t>
  </si>
  <si>
    <t>Facility Maintenance Wage Questionable</t>
  </si>
  <si>
    <t>General Admin Wage Questionable</t>
  </si>
  <si>
    <t>Total Operating Wage Questionable</t>
  </si>
  <si>
    <t>Any data questionable?</t>
  </si>
  <si>
    <t>General Administration Hours Questionable</t>
  </si>
  <si>
    <t>Vehicle Operations Count Questionable</t>
  </si>
  <si>
    <t>Vehicle Maintenance Count Questionable</t>
  </si>
  <si>
    <t>Facility Maintenance Count Questionable</t>
  </si>
  <si>
    <t>General Administration Count Questionable</t>
  </si>
  <si>
    <t>Capital Labor Count Questionable</t>
  </si>
  <si>
    <t>Any questionable data?</t>
  </si>
  <si>
    <t>Vehicle Operations Salary Expenses Questionable</t>
  </si>
  <si>
    <t>Vehicle Maintenance Salary Expenses Questionable</t>
  </si>
  <si>
    <t>Facility Maintenance Salary Expenses Questionable</t>
  </si>
  <si>
    <t>General Administration Salary Expenses Questionable</t>
  </si>
  <si>
    <t>Total Operating Salary Expenses Questionable</t>
  </si>
  <si>
    <t>Vehicle Operations Average Hourly Wage Questionable</t>
  </si>
  <si>
    <t>Vehicle Maintenance Average Hourly Wage Questionable</t>
  </si>
  <si>
    <t>Facility Maintenance Average Hourly Wage Questionable</t>
  </si>
  <si>
    <t>General Administration Average Hourly Wage Questionable</t>
  </si>
  <si>
    <t>Total Operating Average Hourly Wage Questionable</t>
  </si>
  <si>
    <t>Include questionable data</t>
  </si>
  <si>
    <t>Exclude questionable data</t>
  </si>
  <si>
    <t>By Mode</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</si>
  <si>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</si>
  <si>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</si>
  <si>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</si>
  <si>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</si>
  <si>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</si>
  <si>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</si>
  <si>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</si>
  <si>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</si>
  <si>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</si>
  <si>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</si>
  <si>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</si>
  <si>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</si>
  <si>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</si>
  <si>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</si>
  <si>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</si>
  <si>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</si>
  <si>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</si>
  <si>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</si>
  <si>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</si>
  <si>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</si>
  <si>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</si>
  <si>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</si>
  <si>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</si>
  <si>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</si>
  <si>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</si>
  <si>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</si>
  <si>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</si>
  <si>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</si>
  <si>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</si>
  <si>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</si>
  <si>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</si>
  <si>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</si>
  <si>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</si>
  <si>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</si>
  <si>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</si>
  <si>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</si>
  <si>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</si>
  <si>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</si>
  <si>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</si>
  <si>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</si>
  <si>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</si>
  <si>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</si>
  <si>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</si>
  <si>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</si>
  <si>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</si>
  <si>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</si>
  <si>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</si>
  <si>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</si>
  <si>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</si>
  <si>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</si>
  <si>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</si>
  <si>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</si>
  <si>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</si>
  <si>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</si>
  <si>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</si>
  <si>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</si>
  <si>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</si>
  <si>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</si>
  <si>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</si>
  <si>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</si>
  <si>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</si>
  <si>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Hide questionable data tags</t>
  </si>
  <si>
    <t>Show questionable data tags</t>
  </si>
  <si>
    <t>By Urbanized Area Size</t>
  </si>
  <si>
    <t>edit bins below</t>
  </si>
  <si>
    <t>Description</t>
  </si>
  <si>
    <t>General Administration 
Hours</t>
  </si>
  <si>
    <t>FT Vehicle Operations Hours</t>
  </si>
  <si>
    <t>FT Vehicle Operations Hours Questionable</t>
  </si>
  <si>
    <t>FT Vehicle Maintenance Hours</t>
  </si>
  <si>
    <t>FT Vehicle Maintenance Hours Questionable</t>
  </si>
  <si>
    <t>FT Facility Maintenance Hours</t>
  </si>
  <si>
    <t>FT Facility Maintenance Hours Questionable</t>
  </si>
  <si>
    <t>FT General Admin Hours</t>
  </si>
  <si>
    <t>FT General Admin Hours Questionable</t>
  </si>
  <si>
    <t>FT Capital Labor Hours</t>
  </si>
  <si>
    <t>FT Capital Labor Hours Questionable</t>
  </si>
  <si>
    <t>FT Total Hours</t>
  </si>
  <si>
    <t>FT Total Hours Questionable</t>
  </si>
  <si>
    <t>FT Vehicle Operations Employee Count</t>
  </si>
  <si>
    <t>FT Vehicle Operations Employee Count Questionable</t>
  </si>
  <si>
    <t>FT Vehicle Maintenance Employee Count</t>
  </si>
  <si>
    <t>FT Vehicle Maintenance Employee Count Questionable</t>
  </si>
  <si>
    <t>FT Facility Maintenance Employee Count</t>
  </si>
  <si>
    <t>FT Facility Maintenance Employee Count Questionable</t>
  </si>
  <si>
    <t>FT General Admin Employee Count</t>
  </si>
  <si>
    <t>FT General Admin Employee Count Questionable</t>
  </si>
  <si>
    <t>FT Capital Labor Employee Count</t>
  </si>
  <si>
    <t>FT Capital Labor Employee Count Questionable</t>
  </si>
  <si>
    <t>FT Total Employee Count</t>
  </si>
  <si>
    <t>FT Total Employee Count Questionable</t>
  </si>
  <si>
    <t>PT Vehicle Operations Hours</t>
  </si>
  <si>
    <t>PT Vehicle Operations Hours Questionable</t>
  </si>
  <si>
    <t>PT Vehicle Maintenance Hours</t>
  </si>
  <si>
    <t>PT Vehicle Maintenance Hours Questionable</t>
  </si>
  <si>
    <t>PT Facility Maintenance Hours</t>
  </si>
  <si>
    <t>PT Facility Maintenance Hours Questionable</t>
  </si>
  <si>
    <t>PT General Admin Hours</t>
  </si>
  <si>
    <t>PT General Admin Hours Questionable</t>
  </si>
  <si>
    <t>PT Capital Labor Hours</t>
  </si>
  <si>
    <t>PT Capital Labor Hours Questionable</t>
  </si>
  <si>
    <t>PT Total Hours</t>
  </si>
  <si>
    <t>PT Total Hours Questionable</t>
  </si>
  <si>
    <t>PT Vehicle Operations Employee Count</t>
  </si>
  <si>
    <t>PT Vehicle Operations Employee Count Questionable</t>
  </si>
  <si>
    <t>PT Vehicle Maintenance Employee Count</t>
  </si>
  <si>
    <t>PT Vehicle Maintenance Employee Count Questionable</t>
  </si>
  <si>
    <t>PT Facility Maintenance Employee Count</t>
  </si>
  <si>
    <t>PT Facility Maintenance Employee Count Questionable</t>
  </si>
  <si>
    <t>PT General Admin Employee Count</t>
  </si>
  <si>
    <t>PT General Admin Employee Count Questionable</t>
  </si>
  <si>
    <t>PT Capital Labor Employee Count</t>
  </si>
  <si>
    <t>PT Capital Labor Employee Count Questionable</t>
  </si>
  <si>
    <t>PT Total Employee Count</t>
  </si>
  <si>
    <t>PT Total Employee Count Questionable</t>
  </si>
  <si>
    <t xml:space="preserve">Employee Work Hours               </t>
  </si>
  <si>
    <t xml:space="preserve">Employee Count                        </t>
  </si>
  <si>
    <t xml:space="preserve">Salary Expenses                                </t>
  </si>
  <si>
    <t xml:space="preserve">Average Hourly Wage                             </t>
  </si>
  <si>
    <t>Column1</t>
  </si>
  <si>
    <t>Column2</t>
  </si>
  <si>
    <t>Column3</t>
  </si>
  <si>
    <t>Vehicle Operations
Employee Work Hours</t>
  </si>
  <si>
    <t>Vehicle Maintenance
Employee Work Hours</t>
  </si>
  <si>
    <t>Facility Maintenance
Employee Work Hours</t>
  </si>
  <si>
    <t>General Administration
Employee Work Hours</t>
  </si>
  <si>
    <t>Capital
Employee Work Hours</t>
  </si>
  <si>
    <t>Vehicle Operations
Employee Count</t>
  </si>
  <si>
    <t>Vehicle Maintenance
Employee Count</t>
  </si>
  <si>
    <t>Facility Maintenance
Employee Count</t>
  </si>
  <si>
    <t>General Administration
Employee Count</t>
  </si>
  <si>
    <t>Capital
Employee Count</t>
  </si>
  <si>
    <t>Vehicle Operations
Salary Expenses</t>
  </si>
  <si>
    <t>Vehicle Maintenance
Salary Expenses</t>
  </si>
  <si>
    <t>Facility Maintenance
Salary Expenses</t>
  </si>
  <si>
    <t>General Administration
Salary Expenses</t>
  </si>
  <si>
    <t>Vehicle Operations
Average Hourly Wage</t>
  </si>
  <si>
    <t>Vehicle Maintenance
Average Hourly Wage</t>
  </si>
  <si>
    <t>Facility Maintenance
Average Hourly Wage</t>
  </si>
  <si>
    <t>General Administration
Average Hourly Wage</t>
  </si>
  <si>
    <t>Total Operating
Average Hourly Wage</t>
  </si>
  <si>
    <t xml:space="preserve">
Total Hours</t>
  </si>
  <si>
    <t xml:space="preserve">
VOMS</t>
  </si>
  <si>
    <t xml:space="preserve">
Total Count</t>
  </si>
  <si>
    <t xml:space="preserve">
Total Operating
Salary Expenses</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</si>
  <si>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</si>
  <si>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</si>
  <si>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Cooperative Alliance for Seacoast Transportation</t>
  </si>
  <si>
    <t>Woods Hole, Martha's Vineyard and Nantucket Steamship Authority</t>
  </si>
  <si>
    <t>Woods Hole</t>
  </si>
  <si>
    <t>Somerset County Transportation</t>
  </si>
  <si>
    <t>Somerville</t>
  </si>
  <si>
    <t>City of Atlanta - Department of Public Works - Transit Division</t>
  </si>
  <si>
    <t>Spartanburg Regional Health Services, Inc.</t>
  </si>
  <si>
    <t>Clay County Council on Aging, Inc., dba Clay Transit</t>
  </si>
  <si>
    <t>Green Cove Springs</t>
  </si>
  <si>
    <t>Flagler Co. Public Transportation</t>
  </si>
  <si>
    <t>Bunnell</t>
  </si>
  <si>
    <t>4R02-028</t>
  </si>
  <si>
    <t>University of Minnesota Transit</t>
  </si>
  <si>
    <t>Ft.Worth - vRide, Inc.</t>
  </si>
  <si>
    <t>Lower Rio Grande Valley Development Council</t>
  </si>
  <si>
    <t>Weslaco</t>
  </si>
  <si>
    <t>Alameda-Contra Costa Transit District</t>
  </si>
  <si>
    <t>Placer County Department of Public Works and Facilities</t>
  </si>
  <si>
    <t>Legacy NTD ID</t>
  </si>
  <si>
    <t>NTD ID</t>
  </si>
  <si>
    <t>King County Department of Transportation</t>
  </si>
  <si>
    <t>Metropolitan Transit Authority of Harris County, Texas</t>
  </si>
  <si>
    <t>Metro Transit</t>
  </si>
  <si>
    <t>RTS - Monroe County</t>
  </si>
  <si>
    <t>Central New York Regional Transportation Authority</t>
  </si>
  <si>
    <t>METRO Regional Transit Authority</t>
  </si>
  <si>
    <t>Mass Transportation Authority</t>
  </si>
  <si>
    <t>City of Alexandria</t>
  </si>
  <si>
    <t>Audubon Area Community Services, Inc.</t>
  </si>
  <si>
    <t>Owensboro</t>
  </si>
  <si>
    <t>4R04-020</t>
  </si>
  <si>
    <t>Lakeland Area Mass Transit District</t>
  </si>
  <si>
    <t>Transfort</t>
  </si>
  <si>
    <t>Trans-Bridge Lines, Inc.</t>
  </si>
  <si>
    <t>Western Piedmont Regional Transit Authority</t>
  </si>
  <si>
    <t>Housatonic Area Regional Transit</t>
  </si>
  <si>
    <t>Monroe County Transportation Authority</t>
  </si>
  <si>
    <t>Martz Trailways</t>
  </si>
  <si>
    <t>Wilkes Barre</t>
  </si>
  <si>
    <t>Baldwin County Commission</t>
  </si>
  <si>
    <t xml:space="preserve">Bay Minette </t>
  </si>
  <si>
    <t>4R01-005</t>
  </si>
  <si>
    <t>Anne Arundel County</t>
  </si>
  <si>
    <t>Annapolis</t>
  </si>
  <si>
    <t>3R03-018</t>
  </si>
  <si>
    <t>El Dorado County Transit Authority</t>
  </si>
  <si>
    <t>Diamond Springs</t>
  </si>
  <si>
    <t>Western Maine Transportation Services, Inc.</t>
  </si>
  <si>
    <t>City Utilities of Springfield</t>
  </si>
  <si>
    <t>City of Clemson/ Clemson Area Transit</t>
  </si>
  <si>
    <t>Clemson</t>
  </si>
  <si>
    <t>Puerto Rico Maritime Transport Authority</t>
  </si>
  <si>
    <t>Jolley Trolley Transportation of Clearwater, Inc.</t>
  </si>
  <si>
    <t>Clearwater</t>
  </si>
  <si>
    <t>Martz Group, National Coach Works of Virginia</t>
  </si>
  <si>
    <t>Fredericksburg</t>
  </si>
  <si>
    <t>The Looper Group, Inc.</t>
  </si>
  <si>
    <t>City of Tuscon</t>
  </si>
  <si>
    <t>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</si>
</sst>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0"/>
    <numFmt numFmtId="165" formatCode="0000"/>
    <numFmt numFmtId="166" formatCode="00000"/>
    <numFmt numFmtId="167" formatCode="&quot;$&quot;#,##0"/>
    <numFmt numFmtId="168" formatCode="&quot;$&quot;#,##0.00"/>
    <numFmt numFmtId="169" formatCode="0000#"/>
    <numFmt numFmtId="170" formatCode="000#"/>
  </numFmts>
  <fonts count="15">
    <font>
      <sz val="10"/>
      <name val="Arial"/>
      <family val="2"/>
    </font>
    <font>
      <sz val="10"/>
      <name val="Arial"/>
      <family val="2"/>
    </font>
    <font>
      <b/>
      <sz val="9"/>
      <name val="Arial"/>
      <family val="2"/>
    </font>
    <font>
      <sz val="9"/>
      <name val="Arial"/>
      <family val="2"/>
    </font>
    <font>
      <sz val="8"/>
      <name val="Arial"/>
      <family val="2"/>
    </font>
    <font>
      <b/>
      <sz val="8"/>
      <name val="Arial"/>
      <family val="2"/>
    </font>
    <font>
      <sz val="8"/>
      <name val="sansserif"/>
    </font>
    <font>
      <b/>
      <u/>
      <sz val="8"/>
      <name val="Arial"/>
      <family val="2"/>
    </font>
    <font>
      <b/>
      <sz val="9"/>
      <name val="Arial"/>
      <family val="2"/>
    </font>
    <font>
      <sz val="8"/>
      <color theme="1"/>
      <name val="Arial"/>
      <family val="2"/>
    </font>
    <font>
      <b/>
      <i/>
      <sz val="9"/>
      <color rgb="FF000000"/>
      <name val="Arial"/>
      <family val="2"/>
    </font>
    <font>
      <b/>
      <sz val="8"/>
      <color theme="0"/>
      <name val="Arial"/>
      <family val="2"/>
    </font>
    <font>
      <sz val="10"/>
      <color theme="0"/>
      <name val="Arial"/>
      <family val="2"/>
    </font>
    <font>
      <b/>
      <sz val="8"/>
      <color theme="1"/>
      <name val="Arial"/>
      <family val="2"/>
    </font>
    <font>
      <sz val="8"/>
      <color theme="0"/>
      <name val="Arial"/>
      <family val="2"/>
    </font>
  </fonts>
  <fills count="9">
    <fill>
      <patternFill patternType="none"/>
    </fill>
    <fill>
      <patternFill patternType="gray125"/>
    </fill>
    <fill>
      <patternFill patternType="solid">
        <fgColor theme="0"/>
        <bgColor indexed="64"/>
      </patternFill>
    </fill>
    <fill>
      <patternFill patternType="solid">
        <fgColor rgb="FFBBBBBB"/>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7" tint="-0.499984740745262"/>
        <bgColor indexed="64"/>
      </patternFill>
    </fill>
    <fill>
      <patternFill patternType="solid">
        <fgColor theme="0" tint="-0.34998626667073579"/>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top/>
      <bottom style="thin">
        <color auto="1"/>
      </bottom>
      <diagonal/>
    </border>
    <border>
      <left/>
      <right style="medium">
        <color auto="1"/>
      </right>
      <top/>
      <bottom/>
      <diagonal/>
    </border>
    <border>
      <left/>
      <right style="medium">
        <color auto="1"/>
      </right>
      <top/>
      <bottom style="medium">
        <color auto="1"/>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diagonal/>
    </border>
    <border>
      <left/>
      <right/>
      <top style="thin">
        <color auto="1"/>
      </top>
      <bottom/>
      <diagonal/>
    </border>
    <border>
      <left/>
      <right/>
      <top/>
      <bottom style="thick">
        <color auto="1"/>
      </bottom>
      <diagonal/>
    </border>
    <border>
      <left/>
      <right/>
      <top style="thin">
        <color auto="1"/>
      </top>
      <bottom style="thick">
        <color auto="1"/>
      </bottom>
      <diagonal/>
    </border>
    <border>
      <left style="thick">
        <color auto="1"/>
      </left>
      <right/>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ck">
        <color auto="1"/>
      </top>
      <bottom/>
      <diagonal/>
    </border>
    <border>
      <left/>
      <right style="thick">
        <color auto="1"/>
      </right>
      <top style="thick">
        <color auto="1"/>
      </top>
      <bottom style="medium">
        <color auto="1"/>
      </bottom>
      <diagonal/>
    </border>
    <border>
      <left/>
      <right/>
      <top style="thick">
        <color auto="1"/>
      </top>
      <bottom style="medium">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style="thin">
        <color auto="1"/>
      </right>
      <top/>
      <bottom style="thin">
        <color auto="1"/>
      </bottom>
      <diagonal/>
    </border>
    <border>
      <left style="medium">
        <color auto="1"/>
      </left>
      <right/>
      <top style="thin">
        <color theme="0" tint="-0.24994659260841701"/>
      </top>
      <bottom/>
      <diagonal/>
    </border>
    <border>
      <left/>
      <right style="thick">
        <color auto="1"/>
      </right>
      <top/>
      <bottom style="thin">
        <color auto="1"/>
      </bottom>
      <diagonal/>
    </border>
    <border>
      <left style="thin">
        <color auto="1"/>
      </left>
      <right/>
      <top style="thick">
        <color auto="1"/>
      </top>
      <bottom/>
      <diagonal/>
    </border>
    <border>
      <left style="medium">
        <color auto="1"/>
      </left>
      <right/>
      <top style="thick">
        <color auto="1"/>
      </top>
      <bottom/>
      <diagonal/>
    </border>
    <border>
      <left style="medium">
        <color auto="1"/>
      </left>
      <right/>
      <top style="thin">
        <color auto="1"/>
      </top>
      <bottom style="thin">
        <color theme="0" tint="-0.24994659260841701"/>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auto="1"/>
      </left>
      <right/>
      <top style="thin">
        <color auto="1"/>
      </top>
      <bottom/>
      <diagonal/>
    </border>
    <border>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style="thick">
        <color auto="1"/>
      </right>
      <top style="thick">
        <color auto="1"/>
      </top>
      <bottom style="thin">
        <color auto="1"/>
      </bottom>
      <diagonal/>
    </border>
    <border>
      <left/>
      <right style="thick">
        <color auto="1"/>
      </right>
      <top style="medium">
        <color auto="1"/>
      </top>
      <bottom style="thin">
        <color auto="1"/>
      </bottom>
      <diagonal/>
    </border>
    <border>
      <left/>
      <right style="thick">
        <color auto="1"/>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right style="thick">
        <color auto="1"/>
      </right>
      <top/>
      <bottom style="thick">
        <color auto="1"/>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n">
        <color auto="1"/>
      </right>
      <top style="medium">
        <color auto="1"/>
      </top>
      <bottom/>
      <diagonal/>
    </border>
    <border>
      <left/>
      <right/>
      <top style="thin">
        <color theme="4" tint="0.39997558519241921"/>
      </top>
      <bottom style="thin">
        <color theme="4" tint="0.39997558519241921"/>
      </bottom>
      <diagonal/>
    </border>
    <border>
      <left style="thin">
        <color auto="1"/>
      </left>
      <right style="thin">
        <color auto="1"/>
      </right>
      <top style="thin">
        <color auto="1"/>
      </top>
      <bottom style="thin">
        <color theme="4" tint="0.39997558519241921"/>
      </bottom>
      <diagonal/>
    </border>
    <border>
      <left/>
      <right style="thin">
        <color auto="1"/>
      </right>
      <top style="thin">
        <color auto="1"/>
      </top>
      <bottom style="thin">
        <color theme="4" tint="0.39997558519241921"/>
      </bottom>
      <diagonal/>
    </border>
    <border>
      <left style="thin">
        <color auto="1"/>
      </left>
      <right/>
      <top style="thin">
        <color auto="1"/>
      </top>
      <bottom style="thin">
        <color auto="1"/>
      </bottom>
      <diagonal/>
    </border>
    <border>
      <left style="thin">
        <color theme="0" tint="-0.24994659260841701"/>
      </left>
      <right/>
      <top style="thin">
        <color auto="1"/>
      </top>
      <bottom/>
      <diagonal/>
    </border>
    <border>
      <left style="thin">
        <color auto="1"/>
      </left>
      <right style="thin">
        <color auto="1"/>
      </right>
      <top style="thin">
        <color theme="4" tint="0.39997558519241921"/>
      </top>
      <bottom style="thin">
        <color auto="1"/>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top style="thin">
        <color auto="1"/>
      </top>
      <bottom style="thin">
        <color theme="0" tint="-0.24994659260841701"/>
      </bottom>
      <diagonal/>
    </border>
    <border>
      <left style="hair">
        <color auto="1"/>
      </left>
      <right/>
      <top/>
      <bottom/>
      <diagonal/>
    </border>
    <border>
      <left/>
      <right style="thin">
        <color auto="1"/>
      </right>
      <top style="thin">
        <color auto="1"/>
      </top>
      <bottom style="thin">
        <color indexed="64"/>
      </bottom>
      <diagonal/>
    </border>
    <border>
      <left style="thick">
        <color auto="1"/>
      </left>
      <right style="thin">
        <color auto="1"/>
      </right>
      <top style="thin">
        <color indexed="64"/>
      </top>
      <bottom style="thin">
        <color auto="1"/>
      </bottom>
      <diagonal/>
    </border>
  </borders>
  <cellStyleXfs count="3">
    <xf numFmtId="0" fontId="0" fillId="0" borderId="0"/>
    <xf numFmtId="0" fontId="1" fillId="0" borderId="0"/>
    <xf numFmtId="43" fontId="1" fillId="0" borderId="0" applyFont="0" applyFill="0" applyBorder="0" applyAlignment="0" applyProtection="0"/>
  </cellStyleXfs>
  <cellXfs count="312">
    <xf numFmtId="0" fontId="0" fillId="0" borderId="0" xfId="0"/>
    <xf numFmtId="0" fontId="4" fillId="0" borderId="0" xfId="0" applyFont="1" applyFill="1"/>
    <xf numFmtId="0" fontId="4" fillId="0" borderId="0" xfId="0" applyFont="1" applyFill="1" applyAlignment="1">
      <alignment horizontal="center"/>
    </xf>
    <xf numFmtId="0" fontId="4" fillId="0" borderId="0" xfId="0" applyFont="1" applyFill="1" applyAlignment="1"/>
    <xf numFmtId="164" fontId="4" fillId="0" borderId="0" xfId="0" applyNumberFormat="1" applyFont="1" applyFill="1"/>
    <xf numFmtId="164" fontId="4" fillId="0" borderId="0" xfId="0" applyNumberFormat="1" applyFont="1" applyFill="1" applyAlignment="1">
      <alignment horizontal="center"/>
    </xf>
    <xf numFmtId="3" fontId="4" fillId="0" borderId="0" xfId="0" applyNumberFormat="1" applyFont="1" applyFill="1"/>
    <xf numFmtId="0" fontId="4" fillId="0" borderId="0" xfId="0" applyFont="1"/>
    <xf numFmtId="3" fontId="4" fillId="0" borderId="0" xfId="0" applyNumberFormat="1" applyFont="1"/>
    <xf numFmtId="164" fontId="4" fillId="0" borderId="0" xfId="0" applyNumberFormat="1" applyFont="1"/>
    <xf numFmtId="3" fontId="5" fillId="0" borderId="0" xfId="0" applyNumberFormat="1" applyFont="1" applyFill="1"/>
    <xf numFmtId="0" fontId="4" fillId="0" borderId="0" xfId="0" applyFont="1" applyFill="1" applyAlignment="1">
      <alignment horizontal="center" wrapText="1"/>
    </xf>
    <xf numFmtId="0" fontId="4" fillId="0" borderId="2" xfId="0" applyFont="1" applyBorder="1"/>
    <xf numFmtId="0" fontId="4" fillId="0" borderId="2" xfId="0" applyFont="1" applyFill="1" applyBorder="1"/>
    <xf numFmtId="3" fontId="4" fillId="0" borderId="0" xfId="0" applyNumberFormat="1" applyFont="1" applyFill="1" applyAlignment="1">
      <alignment horizontal="center"/>
    </xf>
    <xf numFmtId="0" fontId="9" fillId="0" borderId="0" xfId="0" applyFont="1" applyAlignment="1">
      <alignment wrapText="1"/>
    </xf>
    <xf numFmtId="165" fontId="9" fillId="0" borderId="0" xfId="0" applyNumberFormat="1" applyFont="1" applyAlignment="1">
      <alignment wrapText="1"/>
    </xf>
    <xf numFmtId="166" fontId="9" fillId="0" borderId="0" xfId="0" applyNumberFormat="1" applyFont="1" applyAlignment="1">
      <alignment wrapText="1"/>
    </xf>
    <xf numFmtId="3" fontId="9" fillId="0" borderId="0" xfId="0" applyNumberFormat="1" applyFont="1" applyAlignment="1">
      <alignment wrapText="1"/>
    </xf>
    <xf numFmtId="4" fontId="4" fillId="0" borderId="0" xfId="0" applyNumberFormat="1" applyFont="1" applyBorder="1"/>
    <xf numFmtId="4" fontId="4" fillId="0" borderId="0" xfId="0" applyNumberFormat="1" applyFont="1" applyFill="1"/>
    <xf numFmtId="0" fontId="11" fillId="4" borderId="0" xfId="0" applyFont="1" applyFill="1" applyAlignment="1">
      <alignment wrapText="1"/>
    </xf>
    <xf numFmtId="167" fontId="4" fillId="0" borderId="0" xfId="0" applyNumberFormat="1" applyFont="1" applyFill="1"/>
    <xf numFmtId="168" fontId="4" fillId="0" borderId="0" xfId="0" applyNumberFormat="1" applyFont="1" applyFill="1"/>
    <xf numFmtId="168" fontId="5" fillId="0" borderId="0" xfId="0" applyNumberFormat="1" applyFont="1" applyFill="1"/>
    <xf numFmtId="0" fontId="12" fillId="4" borderId="0" xfId="0" applyFont="1" applyFill="1"/>
    <xf numFmtId="167" fontId="5" fillId="0" borderId="0" xfId="0" applyNumberFormat="1" applyFont="1" applyFill="1"/>
    <xf numFmtId="0" fontId="4" fillId="0" borderId="0" xfId="0" applyFont="1" applyAlignment="1">
      <alignment horizontal="left"/>
    </xf>
    <xf numFmtId="0" fontId="4" fillId="0" borderId="0" xfId="0" applyFont="1" applyFill="1" applyAlignment="1">
      <alignment horizontal="left"/>
    </xf>
    <xf numFmtId="3" fontId="4" fillId="0" borderId="0" xfId="0" applyNumberFormat="1" applyFont="1" applyFill="1" applyAlignment="1">
      <alignment horizontal="center" wrapText="1"/>
    </xf>
    <xf numFmtId="4" fontId="4" fillId="0" borderId="0" xfId="0" applyNumberFormat="1" applyFont="1"/>
    <xf numFmtId="4" fontId="4" fillId="0" borderId="0" xfId="0" applyNumberFormat="1" applyFont="1" applyFill="1" applyAlignment="1">
      <alignment horizontal="center"/>
    </xf>
    <xf numFmtId="4" fontId="5" fillId="0" borderId="0" xfId="0" applyNumberFormat="1" applyFont="1"/>
    <xf numFmtId="3" fontId="5" fillId="0" borderId="0" xfId="0" applyNumberFormat="1" applyFont="1"/>
    <xf numFmtId="0" fontId="4" fillId="0" borderId="0" xfId="0" applyFont="1" applyBorder="1"/>
    <xf numFmtId="3" fontId="4" fillId="0" borderId="0" xfId="0" applyNumberFormat="1" applyFont="1" applyAlignment="1">
      <alignment horizontal="right" wrapText="1"/>
    </xf>
    <xf numFmtId="3" fontId="4" fillId="0" borderId="0" xfId="0" applyNumberFormat="1" applyFont="1" applyFill="1" applyAlignment="1">
      <alignment horizontal="right" wrapText="1"/>
    </xf>
    <xf numFmtId="0" fontId="4" fillId="0" borderId="0" xfId="0" applyFont="1" applyAlignment="1">
      <alignment horizontal="left" wrapText="1"/>
    </xf>
    <xf numFmtId="0" fontId="4" fillId="0" borderId="0" xfId="0" applyFont="1" applyFill="1" applyAlignment="1">
      <alignment horizontal="left" wrapText="1"/>
    </xf>
    <xf numFmtId="168" fontId="4" fillId="0" borderId="0" xfId="0" applyNumberFormat="1" applyFont="1"/>
    <xf numFmtId="0" fontId="4" fillId="0" borderId="15" xfId="0" applyFont="1" applyBorder="1"/>
    <xf numFmtId="167" fontId="4" fillId="0" borderId="0" xfId="0" applyNumberFormat="1" applyFont="1"/>
    <xf numFmtId="0" fontId="4" fillId="0" borderId="6" xfId="0" applyFont="1" applyBorder="1"/>
    <xf numFmtId="167" fontId="5" fillId="0" borderId="0" xfId="0" applyNumberFormat="1" applyFont="1"/>
    <xf numFmtId="168" fontId="5" fillId="0" borderId="0" xfId="0" applyNumberFormat="1" applyFont="1"/>
    <xf numFmtId="43" fontId="4" fillId="0" borderId="6" xfId="2" applyFont="1" applyBorder="1"/>
    <xf numFmtId="43" fontId="4" fillId="0" borderId="0" xfId="2" applyFont="1"/>
    <xf numFmtId="43" fontId="4" fillId="0" borderId="0" xfId="2" applyFont="1" applyBorder="1"/>
    <xf numFmtId="43" fontId="4" fillId="0" borderId="18" xfId="2" applyFont="1" applyBorder="1"/>
    <xf numFmtId="43" fontId="4" fillId="0" borderId="15" xfId="2" applyFont="1" applyBorder="1"/>
    <xf numFmtId="0" fontId="11" fillId="4" borderId="52" xfId="0" applyFont="1" applyFill="1" applyBorder="1" applyAlignment="1">
      <alignment horizontal="left"/>
    </xf>
    <xf numFmtId="0" fontId="11" fillId="4" borderId="18" xfId="0" applyFont="1" applyFill="1" applyBorder="1" applyAlignment="1">
      <alignment horizontal="left"/>
    </xf>
    <xf numFmtId="0" fontId="11" fillId="4" borderId="18" xfId="0" applyFont="1" applyFill="1" applyBorder="1" applyAlignment="1">
      <alignment horizontal="left" wrapText="1"/>
    </xf>
    <xf numFmtId="0" fontId="11" fillId="4" borderId="18" xfId="0" applyFont="1" applyFill="1" applyBorder="1" applyAlignment="1"/>
    <xf numFmtId="3" fontId="11" fillId="4" borderId="18" xfId="0" applyNumberFormat="1" applyFont="1" applyFill="1" applyBorder="1" applyAlignment="1">
      <alignment wrapText="1"/>
    </xf>
    <xf numFmtId="3" fontId="11" fillId="4" borderId="9" xfId="0" applyNumberFormat="1" applyFont="1" applyFill="1" applyBorder="1" applyAlignment="1">
      <alignment wrapText="1"/>
    </xf>
    <xf numFmtId="164" fontId="11" fillId="4" borderId="9" xfId="0" applyNumberFormat="1" applyFont="1" applyFill="1" applyBorder="1" applyAlignment="1">
      <alignment wrapText="1"/>
    </xf>
    <xf numFmtId="43" fontId="11" fillId="4" borderId="9" xfId="2" applyFont="1" applyFill="1" applyBorder="1" applyAlignment="1">
      <alignment wrapText="1"/>
    </xf>
    <xf numFmtId="43" fontId="11" fillId="7" borderId="9" xfId="2" applyFont="1" applyFill="1" applyBorder="1" applyAlignment="1">
      <alignment wrapText="1"/>
    </xf>
    <xf numFmtId="43" fontId="11" fillId="7" borderId="0" xfId="2" applyFont="1" applyFill="1" applyBorder="1" applyAlignment="1">
      <alignment wrapText="1"/>
    </xf>
    <xf numFmtId="164" fontId="11" fillId="4" borderId="0" xfId="0" applyNumberFormat="1" applyFont="1" applyFill="1" applyBorder="1" applyAlignment="1">
      <alignment wrapText="1"/>
    </xf>
    <xf numFmtId="43" fontId="11" fillId="4" borderId="0" xfId="2" applyFont="1" applyFill="1" applyBorder="1" applyAlignment="1">
      <alignment wrapText="1"/>
    </xf>
    <xf numFmtId="164" fontId="11" fillId="7" borderId="0" xfId="0" applyNumberFormat="1" applyFont="1" applyFill="1" applyBorder="1" applyAlignment="1">
      <alignment wrapText="1"/>
    </xf>
    <xf numFmtId="167" fontId="11" fillId="7" borderId="0" xfId="0" applyNumberFormat="1" applyFont="1" applyFill="1" applyBorder="1" applyAlignment="1">
      <alignment wrapText="1"/>
    </xf>
    <xf numFmtId="168" fontId="11" fillId="4" borderId="0" xfId="0" applyNumberFormat="1" applyFont="1" applyFill="1" applyBorder="1" applyAlignment="1">
      <alignment wrapText="1"/>
    </xf>
    <xf numFmtId="0" fontId="11" fillId="4" borderId="3" xfId="0" applyFont="1" applyFill="1" applyBorder="1" applyAlignment="1">
      <alignment horizontal="left"/>
    </xf>
    <xf numFmtId="0" fontId="11" fillId="4" borderId="3" xfId="0" applyFont="1" applyFill="1" applyBorder="1" applyAlignment="1">
      <alignment wrapText="1"/>
    </xf>
    <xf numFmtId="164" fontId="11" fillId="4" borderId="3" xfId="0" applyNumberFormat="1" applyFont="1" applyFill="1" applyBorder="1" applyAlignment="1">
      <alignment wrapText="1"/>
    </xf>
    <xf numFmtId="167" fontId="11" fillId="4" borderId="3" xfId="0" applyNumberFormat="1" applyFont="1" applyFill="1" applyBorder="1" applyAlignment="1">
      <alignment wrapText="1"/>
    </xf>
    <xf numFmtId="3" fontId="11" fillId="4" borderId="3" xfId="0" applyNumberFormat="1" applyFont="1" applyFill="1" applyBorder="1" applyAlignment="1">
      <alignment wrapText="1"/>
    </xf>
    <xf numFmtId="4" fontId="11" fillId="4" borderId="3" xfId="0" applyNumberFormat="1" applyFont="1" applyFill="1" applyBorder="1" applyAlignment="1">
      <alignment wrapText="1"/>
    </xf>
    <xf numFmtId="4" fontId="5" fillId="0" borderId="0" xfId="0" applyNumberFormat="1" applyFont="1" applyFill="1"/>
    <xf numFmtId="0" fontId="11" fillId="4" borderId="3" xfId="0" applyFont="1" applyFill="1" applyBorder="1" applyAlignment="1">
      <alignment horizontal="left" wrapText="1"/>
    </xf>
    <xf numFmtId="0" fontId="4" fillId="0" borderId="0" xfId="0" applyFont="1" applyAlignment="1">
      <alignment horizontal="center"/>
    </xf>
    <xf numFmtId="167" fontId="11" fillId="7" borderId="3" xfId="0" applyNumberFormat="1" applyFont="1" applyFill="1" applyBorder="1" applyAlignment="1">
      <alignment wrapText="1"/>
    </xf>
    <xf numFmtId="3" fontId="11" fillId="4" borderId="3" xfId="0" applyNumberFormat="1" applyFont="1" applyFill="1" applyBorder="1" applyAlignment="1">
      <alignment horizontal="left" wrapText="1"/>
    </xf>
    <xf numFmtId="164" fontId="11" fillId="4" borderId="3" xfId="0" applyNumberFormat="1" applyFont="1" applyFill="1" applyBorder="1" applyAlignment="1">
      <alignment horizontal="left" wrapText="1"/>
    </xf>
    <xf numFmtId="3" fontId="11" fillId="4" borderId="18" xfId="0" applyNumberFormat="1" applyFont="1" applyFill="1" applyBorder="1" applyAlignment="1">
      <alignment horizontal="left" wrapText="1"/>
    </xf>
    <xf numFmtId="4" fontId="11" fillId="4" borderId="9" xfId="0" applyNumberFormat="1" applyFont="1" applyFill="1" applyBorder="1" applyAlignment="1">
      <alignment wrapText="1"/>
    </xf>
    <xf numFmtId="4" fontId="11" fillId="4" borderId="9" xfId="2" applyNumberFormat="1" applyFont="1" applyFill="1" applyBorder="1" applyAlignment="1">
      <alignment wrapText="1"/>
    </xf>
    <xf numFmtId="4" fontId="4" fillId="0" borderId="0" xfId="2" applyNumberFormat="1" applyFont="1"/>
    <xf numFmtId="4" fontId="4" fillId="0" borderId="0" xfId="2" applyNumberFormat="1" applyFont="1" applyFill="1"/>
    <xf numFmtId="37" fontId="11" fillId="7" borderId="9" xfId="2" applyNumberFormat="1" applyFont="1" applyFill="1" applyBorder="1" applyAlignment="1">
      <alignment wrapText="1"/>
    </xf>
    <xf numFmtId="37" fontId="4" fillId="0" borderId="0" xfId="2" applyNumberFormat="1" applyFont="1"/>
    <xf numFmtId="37" fontId="11" fillId="7" borderId="0" xfId="2" applyNumberFormat="1" applyFont="1" applyFill="1" applyBorder="1" applyAlignment="1">
      <alignment wrapText="1"/>
    </xf>
    <xf numFmtId="37" fontId="5" fillId="0" borderId="0" xfId="2" applyNumberFormat="1" applyFont="1"/>
    <xf numFmtId="37" fontId="11" fillId="4" borderId="0" xfId="2" applyNumberFormat="1" applyFont="1" applyFill="1" applyBorder="1" applyAlignment="1">
      <alignment wrapText="1"/>
    </xf>
    <xf numFmtId="3" fontId="5" fillId="0" borderId="0" xfId="0" applyNumberFormat="1" applyFont="1" applyFill="1" applyAlignment="1">
      <alignment horizontal="center"/>
    </xf>
    <xf numFmtId="4" fontId="5" fillId="0" borderId="0" xfId="2" applyNumberFormat="1" applyFont="1" applyBorder="1"/>
    <xf numFmtId="4" fontId="5" fillId="0" borderId="2" xfId="2" applyNumberFormat="1" applyFont="1" applyFill="1" applyBorder="1"/>
    <xf numFmtId="0" fontId="2" fillId="2" borderId="20" xfId="0" applyFont="1" applyFill="1" applyBorder="1" applyAlignment="1" applyProtection="1">
      <protection locked="0"/>
    </xf>
    <xf numFmtId="0" fontId="3" fillId="2" borderId="20" xfId="0" applyFont="1" applyFill="1" applyBorder="1" applyAlignment="1" applyProtection="1">
      <protection locked="0"/>
    </xf>
    <xf numFmtId="0" fontId="4" fillId="2" borderId="19" xfId="0" applyFont="1" applyFill="1" applyBorder="1" applyProtection="1">
      <protection locked="0"/>
    </xf>
    <xf numFmtId="0" fontId="4" fillId="2" borderId="21" xfId="0" applyFont="1" applyFill="1" applyBorder="1" applyProtection="1">
      <protection locked="0"/>
    </xf>
    <xf numFmtId="0" fontId="4" fillId="2" borderId="0" xfId="0" applyFont="1" applyFill="1" applyProtection="1">
      <protection locked="0"/>
    </xf>
    <xf numFmtId="0" fontId="4" fillId="0" borderId="0" xfId="0" applyFont="1" applyFill="1" applyProtection="1">
      <protection locked="0"/>
    </xf>
    <xf numFmtId="0" fontId="0" fillId="5" borderId="0" xfId="0" applyFill="1" applyProtection="1">
      <protection locked="0"/>
    </xf>
    <xf numFmtId="0" fontId="0" fillId="2" borderId="21" xfId="0" applyFill="1" applyBorder="1" applyProtection="1">
      <protection locked="0"/>
    </xf>
    <xf numFmtId="0" fontId="0" fillId="2" borderId="0" xfId="0" applyFill="1" applyProtection="1">
      <protection locked="0"/>
    </xf>
    <xf numFmtId="0" fontId="0" fillId="0" borderId="0" xfId="0" applyFill="1" applyProtection="1">
      <protection locked="0"/>
    </xf>
    <xf numFmtId="0" fontId="0" fillId="0" borderId="0" xfId="0" applyProtection="1">
      <protection locked="0"/>
    </xf>
    <xf numFmtId="0" fontId="0" fillId="2" borderId="23" xfId="0" applyFill="1" applyBorder="1" applyProtection="1">
      <protection locked="0"/>
    </xf>
    <xf numFmtId="0" fontId="0" fillId="2" borderId="22" xfId="0" applyFill="1" applyBorder="1" applyProtection="1">
      <protection locked="0"/>
    </xf>
    <xf numFmtId="0" fontId="8" fillId="5" borderId="0" xfId="0" applyFont="1" applyFill="1" applyProtection="1">
      <protection locked="0"/>
    </xf>
    <xf numFmtId="0" fontId="5" fillId="5" borderId="24" xfId="0" applyFont="1" applyFill="1" applyBorder="1" applyAlignment="1" applyProtection="1">
      <alignment wrapText="1"/>
      <protection locked="0"/>
    </xf>
    <xf numFmtId="0" fontId="5" fillId="5" borderId="25" xfId="0" applyFont="1" applyFill="1" applyBorder="1" applyAlignment="1" applyProtection="1">
      <alignment wrapText="1"/>
      <protection locked="0"/>
    </xf>
    <xf numFmtId="0" fontId="7" fillId="0" borderId="25" xfId="0" applyFont="1" applyFill="1" applyBorder="1" applyAlignment="1" applyProtection="1">
      <alignment horizontal="center"/>
      <protection locked="0"/>
    </xf>
    <xf numFmtId="4" fontId="4" fillId="2" borderId="0" xfId="0" applyNumberFormat="1" applyFont="1" applyFill="1" applyProtection="1">
      <protection locked="0"/>
    </xf>
    <xf numFmtId="0" fontId="9" fillId="2" borderId="0" xfId="0" applyFont="1" applyFill="1" applyProtection="1">
      <protection locked="0"/>
    </xf>
    <xf numFmtId="0" fontId="6" fillId="3" borderId="6" xfId="0" applyFont="1" applyFill="1" applyBorder="1" applyAlignment="1" applyProtection="1">
      <alignment horizontal="center" vertical="top" wrapText="1"/>
      <protection locked="0"/>
    </xf>
    <xf numFmtId="0" fontId="6" fillId="3" borderId="0" xfId="0" applyFont="1" applyFill="1" applyBorder="1" applyAlignment="1" applyProtection="1">
      <alignment horizontal="center" vertical="top" wrapText="1"/>
      <protection locked="0"/>
    </xf>
    <xf numFmtId="0" fontId="4" fillId="3" borderId="13" xfId="0" applyFont="1" applyFill="1" applyBorder="1" applyAlignment="1" applyProtection="1">
      <alignment horizontal="left" wrapText="1"/>
      <protection locked="0"/>
    </xf>
    <xf numFmtId="0" fontId="6" fillId="2" borderId="0" xfId="0" applyFont="1" applyFill="1" applyBorder="1" applyAlignment="1" applyProtection="1">
      <alignment horizontal="center" vertical="top" wrapText="1"/>
      <protection locked="0"/>
    </xf>
    <xf numFmtId="0" fontId="6" fillId="2" borderId="8" xfId="0" applyFont="1" applyFill="1" applyBorder="1" applyAlignment="1" applyProtection="1">
      <alignment horizontal="center" vertical="top" wrapText="1"/>
      <protection locked="0"/>
    </xf>
    <xf numFmtId="0" fontId="4" fillId="2" borderId="8" xfId="0" applyFont="1" applyFill="1" applyBorder="1" applyAlignment="1" applyProtection="1">
      <alignment horizontal="left" wrapText="1"/>
      <protection locked="0"/>
    </xf>
    <xf numFmtId="0" fontId="4" fillId="2" borderId="18" xfId="0" applyFont="1" applyFill="1" applyBorder="1" applyAlignment="1" applyProtection="1">
      <alignment horizontal="center" wrapText="1"/>
      <protection locked="0"/>
    </xf>
    <xf numFmtId="3" fontId="4" fillId="2" borderId="0" xfId="0" applyNumberFormat="1" applyFont="1" applyFill="1" applyBorder="1" applyProtection="1">
      <protection locked="0"/>
    </xf>
    <xf numFmtId="164" fontId="4" fillId="2" borderId="0" xfId="0" applyNumberFormat="1" applyFont="1" applyFill="1" applyBorder="1" applyProtection="1">
      <protection locked="0"/>
    </xf>
    <xf numFmtId="164" fontId="5" fillId="2" borderId="0" xfId="0" applyNumberFormat="1" applyFont="1" applyFill="1" applyBorder="1" applyProtection="1">
      <protection locked="0"/>
    </xf>
    <xf numFmtId="0" fontId="5" fillId="2" borderId="0" xfId="0" applyFont="1" applyFill="1" applyBorder="1" applyAlignment="1" applyProtection="1">
      <alignment horizontal="center" wrapText="1"/>
      <protection locked="0"/>
    </xf>
    <xf numFmtId="0" fontId="5" fillId="2" borderId="0" xfId="0" applyFont="1" applyFill="1" applyBorder="1" applyProtection="1">
      <protection locked="0"/>
    </xf>
    <xf numFmtId="0" fontId="4" fillId="2" borderId="0" xfId="0" applyFont="1" applyFill="1" applyBorder="1" applyProtection="1">
      <protection locked="0"/>
    </xf>
    <xf numFmtId="0" fontId="4" fillId="0" borderId="0" xfId="0" applyFont="1" applyFill="1" applyBorder="1" applyProtection="1">
      <protection locked="0"/>
    </xf>
    <xf numFmtId="0" fontId="8" fillId="2" borderId="38" xfId="0" applyFont="1" applyFill="1" applyBorder="1" applyAlignment="1" applyProtection="1">
      <alignment horizontal="left" wrapText="1"/>
      <protection locked="0"/>
    </xf>
    <xf numFmtId="0" fontId="5" fillId="2" borderId="38" xfId="0" applyFont="1" applyFill="1" applyBorder="1" applyAlignment="1" applyProtection="1">
      <alignment horizontal="center" wrapText="1"/>
      <protection locked="0"/>
    </xf>
    <xf numFmtId="0" fontId="5" fillId="2" borderId="38" xfId="0" applyFont="1" applyFill="1" applyBorder="1" applyProtection="1">
      <protection locked="0"/>
    </xf>
    <xf numFmtId="0" fontId="4" fillId="2" borderId="38" xfId="0" applyFont="1" applyFill="1" applyBorder="1" applyProtection="1">
      <protection locked="0"/>
    </xf>
    <xf numFmtId="0" fontId="4" fillId="2" borderId="37" xfId="0" applyFont="1" applyFill="1" applyBorder="1" applyProtection="1">
      <protection locked="0"/>
    </xf>
    <xf numFmtId="0" fontId="8" fillId="2" borderId="10" xfId="0" applyFont="1" applyFill="1" applyBorder="1" applyAlignment="1" applyProtection="1">
      <alignment horizontal="left" wrapText="1"/>
      <protection locked="0"/>
    </xf>
    <xf numFmtId="0" fontId="5" fillId="2" borderId="11" xfId="0" applyFont="1" applyFill="1" applyBorder="1" applyAlignment="1" applyProtection="1">
      <alignment horizontal="center" wrapText="1"/>
      <protection locked="0"/>
    </xf>
    <xf numFmtId="0" fontId="5" fillId="2" borderId="11" xfId="0" applyFont="1" applyFill="1" applyBorder="1" applyProtection="1">
      <protection locked="0"/>
    </xf>
    <xf numFmtId="0" fontId="5" fillId="2" borderId="10" xfId="0" applyFont="1" applyFill="1" applyBorder="1" applyProtection="1">
      <protection locked="0"/>
    </xf>
    <xf numFmtId="0" fontId="5" fillId="0" borderId="43" xfId="0" applyFont="1" applyFill="1" applyBorder="1" applyAlignment="1" applyProtection="1">
      <alignment wrapText="1"/>
      <protection locked="0"/>
    </xf>
    <xf numFmtId="0" fontId="5" fillId="2" borderId="3" xfId="0" applyFont="1" applyFill="1" applyBorder="1" applyAlignment="1" applyProtection="1">
      <alignment wrapText="1"/>
      <protection locked="0"/>
    </xf>
    <xf numFmtId="0" fontId="5" fillId="2" borderId="5" xfId="0" applyFont="1" applyFill="1" applyBorder="1" applyAlignment="1" applyProtection="1">
      <alignment horizontal="center" wrapText="1"/>
      <protection locked="0"/>
    </xf>
    <xf numFmtId="0" fontId="8" fillId="2" borderId="23" xfId="0" applyFont="1" applyFill="1" applyBorder="1" applyAlignment="1" applyProtection="1">
      <alignment horizontal="left"/>
      <protection locked="0"/>
    </xf>
    <xf numFmtId="0" fontId="5" fillId="5" borderId="36" xfId="0" applyFont="1" applyFill="1" applyBorder="1" applyAlignment="1" applyProtection="1">
      <alignment horizontal="left"/>
      <protection locked="0"/>
    </xf>
    <xf numFmtId="0" fontId="5" fillId="5" borderId="36" xfId="0" applyFont="1" applyFill="1" applyBorder="1" applyAlignment="1" applyProtection="1">
      <alignment horizontal="center" wrapText="1"/>
      <protection locked="0"/>
    </xf>
    <xf numFmtId="0" fontId="5" fillId="0" borderId="36" xfId="0" applyFont="1" applyFill="1" applyBorder="1" applyProtection="1">
      <protection locked="0"/>
    </xf>
    <xf numFmtId="0" fontId="5" fillId="0" borderId="0" xfId="0" applyFont="1" applyFill="1" applyBorder="1" applyProtection="1">
      <protection locked="0"/>
    </xf>
    <xf numFmtId="0" fontId="6" fillId="0" borderId="6" xfId="0" applyFont="1" applyFill="1" applyBorder="1" applyAlignment="1" applyProtection="1">
      <alignment horizontal="center" vertical="top" wrapText="1"/>
      <protection locked="0"/>
    </xf>
    <xf numFmtId="0" fontId="6" fillId="0" borderId="0" xfId="0" applyFont="1" applyFill="1" applyBorder="1" applyAlignment="1" applyProtection="1">
      <alignment horizontal="center" vertical="top" wrapText="1"/>
      <protection locked="0"/>
    </xf>
    <xf numFmtId="0" fontId="6" fillId="0" borderId="7" xfId="0" applyFont="1" applyFill="1" applyBorder="1" applyAlignment="1" applyProtection="1">
      <alignment horizontal="center" vertical="top" wrapText="1"/>
      <protection locked="0"/>
    </xf>
    <xf numFmtId="0" fontId="6" fillId="0" borderId="8" xfId="0" applyFont="1" applyFill="1" applyBorder="1" applyAlignment="1" applyProtection="1">
      <alignment horizontal="center" vertical="top" wrapText="1"/>
      <protection locked="0"/>
    </xf>
    <xf numFmtId="0" fontId="4" fillId="3" borderId="14" xfId="0" applyFont="1" applyFill="1" applyBorder="1" applyAlignment="1" applyProtection="1">
      <alignment horizontal="left" wrapText="1"/>
      <protection locked="0"/>
    </xf>
    <xf numFmtId="0" fontId="4" fillId="5" borderId="12" xfId="0" applyFont="1" applyFill="1" applyBorder="1" applyAlignment="1" applyProtection="1">
      <alignment horizontal="center" wrapText="1"/>
      <protection locked="0"/>
    </xf>
    <xf numFmtId="3" fontId="4" fillId="5" borderId="3" xfId="0" applyNumberFormat="1" applyFont="1" applyFill="1" applyBorder="1" applyProtection="1">
      <protection locked="0"/>
    </xf>
    <xf numFmtId="164" fontId="4" fillId="5" borderId="3" xfId="0" applyNumberFormat="1" applyFont="1" applyFill="1" applyBorder="1" applyProtection="1">
      <protection locked="0"/>
    </xf>
    <xf numFmtId="164" fontId="5" fillId="5" borderId="3" xfId="0" applyNumberFormat="1" applyFont="1" applyFill="1" applyBorder="1" applyProtection="1">
      <protection locked="0"/>
    </xf>
    <xf numFmtId="0" fontId="4" fillId="5" borderId="3" xfId="0" applyFont="1" applyFill="1" applyBorder="1" applyProtection="1">
      <protection locked="0"/>
    </xf>
    <xf numFmtId="0" fontId="4" fillId="5" borderId="45" xfId="0" applyFont="1" applyFill="1" applyBorder="1" applyProtection="1">
      <protection locked="0"/>
    </xf>
    <xf numFmtId="0" fontId="0" fillId="2" borderId="47" xfId="0" applyFill="1" applyBorder="1" applyProtection="1">
      <protection locked="0"/>
    </xf>
    <xf numFmtId="0" fontId="0" fillId="2" borderId="46" xfId="0" applyFill="1" applyBorder="1" applyProtection="1">
      <protection locked="0"/>
    </xf>
    <xf numFmtId="0" fontId="5" fillId="2" borderId="43" xfId="0" applyFont="1" applyFill="1" applyBorder="1" applyAlignment="1" applyProtection="1">
      <alignment wrapText="1"/>
      <protection locked="0"/>
    </xf>
    <xf numFmtId="0" fontId="0" fillId="2" borderId="36" xfId="0" applyFill="1" applyBorder="1" applyProtection="1">
      <protection locked="0"/>
    </xf>
    <xf numFmtId="3" fontId="4" fillId="6" borderId="30" xfId="0" applyNumberFormat="1" applyFont="1" applyFill="1" applyBorder="1" applyProtection="1"/>
    <xf numFmtId="3" fontId="4" fillId="6" borderId="31" xfId="0" applyNumberFormat="1" applyFont="1" applyFill="1" applyBorder="1" applyProtection="1"/>
    <xf numFmtId="167" fontId="4" fillId="6" borderId="31" xfId="0" applyNumberFormat="1" applyFont="1" applyFill="1" applyBorder="1" applyProtection="1"/>
    <xf numFmtId="168" fontId="4" fillId="6" borderId="31" xfId="0" applyNumberFormat="1" applyFont="1" applyFill="1" applyBorder="1" applyProtection="1"/>
    <xf numFmtId="3" fontId="4" fillId="6" borderId="32" xfId="0" applyNumberFormat="1" applyFont="1" applyFill="1" applyBorder="1" applyProtection="1"/>
    <xf numFmtId="3" fontId="4" fillId="6" borderId="33" xfId="0" applyNumberFormat="1" applyFont="1" applyFill="1" applyBorder="1" applyProtection="1"/>
    <xf numFmtId="167" fontId="4" fillId="6" borderId="33" xfId="0" applyNumberFormat="1" applyFont="1" applyFill="1" applyBorder="1" applyProtection="1"/>
    <xf numFmtId="168" fontId="4" fillId="6" borderId="33" xfId="0" applyNumberFormat="1" applyFont="1" applyFill="1" applyBorder="1" applyProtection="1"/>
    <xf numFmtId="3" fontId="4" fillId="6" borderId="34" xfId="0" applyNumberFormat="1" applyFont="1" applyFill="1" applyBorder="1" applyProtection="1"/>
    <xf numFmtId="3" fontId="4" fillId="6" borderId="35" xfId="0" applyNumberFormat="1" applyFont="1" applyFill="1" applyBorder="1" applyProtection="1"/>
    <xf numFmtId="167" fontId="4" fillId="6" borderId="35" xfId="0" applyNumberFormat="1" applyFont="1" applyFill="1" applyBorder="1" applyProtection="1"/>
    <xf numFmtId="168" fontId="4" fillId="6" borderId="35" xfId="0" applyNumberFormat="1" applyFont="1" applyFill="1" applyBorder="1" applyProtection="1"/>
    <xf numFmtId="0" fontId="6" fillId="5" borderId="26" xfId="0" applyFont="1" applyFill="1" applyBorder="1" applyAlignment="1" applyProtection="1">
      <alignment horizontal="left" vertical="top" wrapText="1"/>
    </xf>
    <xf numFmtId="3" fontId="6" fillId="5" borderId="27" xfId="0" applyNumberFormat="1" applyFont="1" applyFill="1" applyBorder="1" applyAlignment="1" applyProtection="1">
      <alignment horizontal="right" vertical="top" wrapText="1"/>
    </xf>
    <xf numFmtId="0" fontId="6" fillId="5" borderId="27" xfId="0" applyFont="1" applyFill="1" applyBorder="1" applyAlignment="1" applyProtection="1">
      <alignment horizontal="center" vertical="top" wrapText="1"/>
    </xf>
    <xf numFmtId="0" fontId="6" fillId="5" borderId="28" xfId="0" applyFont="1" applyFill="1" applyBorder="1" applyAlignment="1" applyProtection="1">
      <alignment horizontal="left" vertical="top" wrapText="1"/>
    </xf>
    <xf numFmtId="3" fontId="6" fillId="5" borderId="29" xfId="0" applyNumberFormat="1" applyFont="1" applyFill="1" applyBorder="1" applyAlignment="1" applyProtection="1">
      <alignment horizontal="right" vertical="top" wrapText="1"/>
    </xf>
    <xf numFmtId="0" fontId="6" fillId="5" borderId="29" xfId="0" applyFont="1" applyFill="1" applyBorder="1" applyAlignment="1" applyProtection="1">
      <alignment horizontal="center" vertical="top" wrapText="1"/>
    </xf>
    <xf numFmtId="0" fontId="4" fillId="6" borderId="41" xfId="0" applyFont="1" applyFill="1" applyBorder="1" applyAlignment="1" applyProtection="1">
      <alignment wrapText="1"/>
    </xf>
    <xf numFmtId="0" fontId="4" fillId="6" borderId="41" xfId="0" applyFont="1" applyFill="1" applyBorder="1" applyAlignment="1" applyProtection="1"/>
    <xf numFmtId="0" fontId="4" fillId="6" borderId="41" xfId="0" applyFont="1" applyFill="1" applyBorder="1" applyProtection="1"/>
    <xf numFmtId="0" fontId="6" fillId="6" borderId="39" xfId="0" applyFont="1" applyFill="1" applyBorder="1" applyAlignment="1" applyProtection="1">
      <alignment horizontal="center" vertical="top" wrapText="1"/>
    </xf>
    <xf numFmtId="0" fontId="4" fillId="6" borderId="27" xfId="0" applyFont="1" applyFill="1" applyBorder="1" applyAlignment="1" applyProtection="1">
      <alignment wrapText="1"/>
    </xf>
    <xf numFmtId="0" fontId="4" fillId="6" borderId="27" xfId="0" applyFont="1" applyFill="1" applyBorder="1" applyAlignment="1" applyProtection="1"/>
    <xf numFmtId="0" fontId="4" fillId="6" borderId="27" xfId="0" applyFont="1" applyFill="1" applyBorder="1" applyProtection="1"/>
    <xf numFmtId="0" fontId="6" fillId="6" borderId="32" xfId="0" applyFont="1" applyFill="1" applyBorder="1" applyAlignment="1" applyProtection="1">
      <alignment horizontal="center" vertical="top" wrapText="1"/>
    </xf>
    <xf numFmtId="0" fontId="4" fillId="6" borderId="42" xfId="0" applyFont="1" applyFill="1" applyBorder="1" applyAlignment="1" applyProtection="1">
      <alignment wrapText="1"/>
    </xf>
    <xf numFmtId="0" fontId="4" fillId="6" borderId="42" xfId="0" applyFont="1" applyFill="1" applyBorder="1" applyAlignment="1" applyProtection="1"/>
    <xf numFmtId="0" fontId="4" fillId="6" borderId="42" xfId="0" applyFont="1" applyFill="1" applyBorder="1" applyProtection="1"/>
    <xf numFmtId="0" fontId="6" fillId="6" borderId="34" xfId="0" applyFont="1" applyFill="1" applyBorder="1" applyAlignment="1" applyProtection="1">
      <alignment horizontal="center" vertical="top" wrapText="1"/>
    </xf>
    <xf numFmtId="0" fontId="6" fillId="5" borderId="44" xfId="0" applyFont="1" applyFill="1" applyBorder="1" applyAlignment="1" applyProtection="1">
      <alignment horizontal="left" vertical="top" wrapText="1"/>
    </xf>
    <xf numFmtId="3" fontId="6" fillId="5" borderId="42" xfId="0" applyNumberFormat="1" applyFont="1" applyFill="1" applyBorder="1" applyAlignment="1" applyProtection="1">
      <alignment horizontal="right" vertical="top" wrapText="1"/>
    </xf>
    <xf numFmtId="0" fontId="6" fillId="5" borderId="42" xfId="0" applyFont="1" applyFill="1" applyBorder="1" applyAlignment="1" applyProtection="1">
      <alignment horizontal="center" vertical="top" wrapText="1"/>
    </xf>
    <xf numFmtId="0" fontId="9" fillId="5" borderId="48" xfId="0" applyFont="1" applyFill="1" applyBorder="1" applyProtection="1"/>
    <xf numFmtId="0" fontId="9" fillId="5" borderId="41" xfId="0" applyFont="1" applyFill="1" applyBorder="1" applyAlignment="1" applyProtection="1"/>
    <xf numFmtId="0" fontId="0" fillId="5" borderId="41" xfId="0" applyFill="1" applyBorder="1" applyProtection="1"/>
    <xf numFmtId="3" fontId="4" fillId="6" borderId="49" xfId="0" applyNumberFormat="1" applyFont="1" applyFill="1" applyBorder="1" applyProtection="1"/>
    <xf numFmtId="3" fontId="4" fillId="6" borderId="40" xfId="0" applyNumberFormat="1" applyFont="1" applyFill="1" applyBorder="1" applyProtection="1"/>
    <xf numFmtId="167" fontId="4" fillId="6" borderId="40" xfId="0" applyNumberFormat="1" applyFont="1" applyFill="1" applyBorder="1" applyProtection="1"/>
    <xf numFmtId="168" fontId="4" fillId="6" borderId="40" xfId="0" applyNumberFormat="1" applyFont="1" applyFill="1" applyBorder="1" applyProtection="1"/>
    <xf numFmtId="0" fontId="9" fillId="5" borderId="26" xfId="0" applyFont="1" applyFill="1" applyBorder="1" applyProtection="1"/>
    <xf numFmtId="0" fontId="9" fillId="5" borderId="27" xfId="0" applyFont="1" applyFill="1" applyBorder="1" applyAlignment="1" applyProtection="1"/>
    <xf numFmtId="0" fontId="0" fillId="5" borderId="27" xfId="0" applyFill="1" applyBorder="1" applyProtection="1"/>
    <xf numFmtId="3" fontId="4" fillId="6" borderId="50" xfId="0" applyNumberFormat="1" applyFont="1" applyFill="1" applyBorder="1" applyProtection="1"/>
    <xf numFmtId="0" fontId="9" fillId="5" borderId="44" xfId="0" applyFont="1" applyFill="1" applyBorder="1" applyProtection="1"/>
    <xf numFmtId="0" fontId="9" fillId="5" borderId="42" xfId="0" applyFont="1" applyFill="1" applyBorder="1" applyAlignment="1" applyProtection="1"/>
    <xf numFmtId="0" fontId="0" fillId="5" borderId="42" xfId="0" applyFill="1" applyBorder="1" applyProtection="1"/>
    <xf numFmtId="3" fontId="4" fillId="6" borderId="51" xfId="0" applyNumberFormat="1" applyFont="1" applyFill="1" applyBorder="1" applyProtection="1"/>
    <xf numFmtId="37" fontId="11" fillId="7" borderId="2" xfId="2" applyNumberFormat="1" applyFont="1" applyFill="1" applyBorder="1" applyAlignment="1">
      <alignment wrapText="1"/>
    </xf>
    <xf numFmtId="37" fontId="5" fillId="0" borderId="2" xfId="2" applyNumberFormat="1" applyFont="1" applyBorder="1"/>
    <xf numFmtId="4" fontId="4" fillId="0" borderId="0" xfId="0" applyNumberFormat="1" applyFont="1" applyFill="1" applyBorder="1"/>
    <xf numFmtId="43" fontId="4" fillId="0" borderId="0" xfId="2" applyFont="1" applyFill="1"/>
    <xf numFmtId="0" fontId="11" fillId="4" borderId="0" xfId="0" applyFont="1" applyFill="1" applyBorder="1" applyAlignment="1"/>
    <xf numFmtId="39" fontId="11" fillId="7" borderId="0" xfId="2" applyNumberFormat="1" applyFont="1" applyFill="1" applyBorder="1" applyAlignment="1">
      <alignment wrapText="1"/>
    </xf>
    <xf numFmtId="39" fontId="5" fillId="0" borderId="0" xfId="2" applyNumberFormat="1" applyFont="1"/>
    <xf numFmtId="39" fontId="11" fillId="4" borderId="0" xfId="2" applyNumberFormat="1" applyFont="1" applyFill="1" applyBorder="1" applyAlignment="1">
      <alignment wrapText="1"/>
    </xf>
    <xf numFmtId="0" fontId="5" fillId="2" borderId="3" xfId="0" applyFont="1" applyFill="1" applyBorder="1" applyAlignment="1" applyProtection="1">
      <alignment horizontal="center"/>
      <protection locked="0"/>
    </xf>
    <xf numFmtId="0" fontId="5" fillId="2" borderId="53" xfId="0" applyFont="1" applyFill="1" applyBorder="1" applyAlignment="1" applyProtection="1">
      <alignment horizontal="center"/>
      <protection locked="0"/>
    </xf>
    <xf numFmtId="0" fontId="5" fillId="2" borderId="16" xfId="0" applyFont="1" applyFill="1" applyBorder="1" applyAlignment="1" applyProtection="1">
      <alignment horizontal="right"/>
      <protection locked="0"/>
    </xf>
    <xf numFmtId="0" fontId="5" fillId="2" borderId="54" xfId="0" applyFont="1" applyFill="1" applyBorder="1" applyAlignment="1" applyProtection="1">
      <alignment horizontal="center"/>
      <protection locked="0"/>
    </xf>
    <xf numFmtId="0" fontId="5" fillId="2" borderId="55" xfId="0" applyFont="1" applyFill="1" applyBorder="1" applyAlignment="1" applyProtection="1">
      <alignment horizontal="center"/>
      <protection locked="0"/>
    </xf>
    <xf numFmtId="0" fontId="5" fillId="2" borderId="56" xfId="0" applyFont="1" applyFill="1" applyBorder="1" applyAlignment="1" applyProtection="1">
      <alignment horizontal="center"/>
      <protection locked="0"/>
    </xf>
    <xf numFmtId="0" fontId="5" fillId="2" borderId="57" xfId="0" applyFont="1" applyFill="1" applyBorder="1" applyAlignment="1" applyProtection="1">
      <alignment horizontal="center"/>
      <protection locked="0"/>
    </xf>
    <xf numFmtId="0" fontId="5" fillId="2" borderId="58" xfId="0" applyFont="1" applyFill="1" applyBorder="1" applyAlignment="1" applyProtection="1">
      <alignment horizontal="center"/>
      <protection locked="0"/>
    </xf>
    <xf numFmtId="0" fontId="5" fillId="2" borderId="5" xfId="0" applyFont="1" applyFill="1" applyBorder="1" applyAlignment="1" applyProtection="1">
      <alignment horizontal="center"/>
      <protection locked="0"/>
    </xf>
    <xf numFmtId="0" fontId="5" fillId="2" borderId="3" xfId="0" applyFont="1" applyFill="1" applyBorder="1" applyAlignment="1" applyProtection="1">
      <alignment horizontal="right"/>
      <protection locked="0"/>
    </xf>
    <xf numFmtId="0" fontId="5" fillId="2" borderId="55" xfId="0" applyFont="1" applyFill="1" applyBorder="1" applyAlignment="1" applyProtection="1">
      <alignment horizontal="right"/>
      <protection locked="0"/>
    </xf>
    <xf numFmtId="0" fontId="5" fillId="2" borderId="59" xfId="0" applyFont="1" applyFill="1" applyBorder="1" applyAlignment="1" applyProtection="1">
      <alignment horizontal="center"/>
      <protection locked="0"/>
    </xf>
    <xf numFmtId="0" fontId="5" fillId="2" borderId="60" xfId="0" applyFont="1" applyFill="1" applyBorder="1" applyAlignment="1" applyProtection="1">
      <alignment horizontal="center"/>
      <protection locked="0"/>
    </xf>
    <xf numFmtId="0" fontId="4" fillId="2" borderId="36" xfId="0" applyFont="1" applyFill="1" applyBorder="1" applyProtection="1">
      <protection locked="0"/>
    </xf>
    <xf numFmtId="0" fontId="5" fillId="2" borderId="57" xfId="0" applyFont="1" applyFill="1" applyBorder="1" applyAlignment="1" applyProtection="1">
      <alignment horizontal="right"/>
      <protection locked="0"/>
    </xf>
    <xf numFmtId="0" fontId="5" fillId="2" borderId="15" xfId="0" applyFont="1" applyFill="1" applyBorder="1" applyAlignment="1" applyProtection="1">
      <protection locked="0"/>
    </xf>
    <xf numFmtId="0" fontId="5" fillId="2" borderId="0" xfId="0" applyFont="1" applyFill="1" applyBorder="1" applyAlignment="1" applyProtection="1">
      <protection locked="0"/>
    </xf>
    <xf numFmtId="0" fontId="0" fillId="2" borderId="0" xfId="0" applyFill="1" applyBorder="1" applyProtection="1">
      <protection locked="0"/>
    </xf>
    <xf numFmtId="0" fontId="2" fillId="2" borderId="18" xfId="0" applyFont="1" applyFill="1" applyBorder="1" applyAlignment="1" applyProtection="1">
      <alignment wrapText="1"/>
      <protection locked="0"/>
    </xf>
    <xf numFmtId="0" fontId="3" fillId="2" borderId="18" xfId="0" applyFont="1" applyFill="1" applyBorder="1" applyAlignment="1" applyProtection="1">
      <protection locked="0"/>
    </xf>
    <xf numFmtId="0" fontId="0" fillId="2" borderId="19" xfId="0" applyFill="1" applyBorder="1" applyProtection="1">
      <protection locked="0"/>
    </xf>
    <xf numFmtId="0" fontId="5" fillId="2" borderId="61" xfId="0" applyFont="1" applyFill="1" applyBorder="1" applyAlignment="1" applyProtection="1">
      <protection locked="0"/>
    </xf>
    <xf numFmtId="0" fontId="0" fillId="2" borderId="61" xfId="0" applyFill="1" applyBorder="1" applyProtection="1">
      <protection locked="0"/>
    </xf>
    <xf numFmtId="3" fontId="4" fillId="5" borderId="62" xfId="0" applyNumberFormat="1" applyFont="1" applyFill="1" applyBorder="1" applyProtection="1"/>
    <xf numFmtId="3" fontId="4" fillId="5" borderId="63" xfId="0" applyNumberFormat="1" applyFont="1" applyFill="1" applyBorder="1" applyProtection="1"/>
    <xf numFmtId="167" fontId="4" fillId="5" borderId="63" xfId="0" applyNumberFormat="1" applyFont="1" applyFill="1" applyBorder="1" applyProtection="1"/>
    <xf numFmtId="168" fontId="4" fillId="5" borderId="63" xfId="0" applyNumberFormat="1" applyFont="1" applyFill="1" applyBorder="1" applyProtection="1"/>
    <xf numFmtId="0" fontId="2" fillId="2" borderId="19" xfId="0" applyFont="1" applyFill="1" applyBorder="1" applyProtection="1">
      <protection locked="0"/>
    </xf>
    <xf numFmtId="0" fontId="0" fillId="2" borderId="64" xfId="0" applyFill="1" applyBorder="1" applyProtection="1">
      <protection locked="0"/>
    </xf>
    <xf numFmtId="0" fontId="8" fillId="2" borderId="19" xfId="0" applyFont="1" applyFill="1" applyBorder="1" applyAlignment="1" applyProtection="1">
      <alignment horizontal="left"/>
      <protection locked="0"/>
    </xf>
    <xf numFmtId="0" fontId="5" fillId="2" borderId="19" xfId="0" applyFont="1" applyFill="1" applyBorder="1" applyAlignment="1" applyProtection="1">
      <alignment horizontal="center" wrapText="1"/>
      <protection locked="0"/>
    </xf>
    <xf numFmtId="0" fontId="5" fillId="2" borderId="19" xfId="0" applyFont="1" applyFill="1" applyBorder="1" applyProtection="1">
      <protection locked="0"/>
    </xf>
    <xf numFmtId="0" fontId="4" fillId="2" borderId="64" xfId="0" applyFont="1" applyFill="1" applyBorder="1" applyProtection="1">
      <protection locked="0"/>
    </xf>
    <xf numFmtId="0" fontId="5" fillId="2" borderId="36" xfId="0" applyFont="1" applyFill="1" applyBorder="1" applyAlignment="1" applyProtection="1">
      <alignment horizontal="center" wrapText="1"/>
      <protection locked="0"/>
    </xf>
    <xf numFmtId="0" fontId="0" fillId="2" borderId="0" xfId="0" applyFill="1"/>
    <xf numFmtId="0" fontId="0" fillId="8" borderId="0" xfId="0" applyFill="1"/>
    <xf numFmtId="0" fontId="4" fillId="2" borderId="65" xfId="0" applyFont="1" applyFill="1" applyBorder="1" applyAlignment="1" applyProtection="1">
      <protection locked="0"/>
    </xf>
    <xf numFmtId="0" fontId="4" fillId="2" borderId="66" xfId="0" applyFont="1" applyFill="1" applyBorder="1" applyAlignment="1" applyProtection="1">
      <protection locked="0"/>
    </xf>
    <xf numFmtId="0" fontId="4" fillId="2" borderId="67" xfId="0" applyFont="1" applyFill="1" applyBorder="1" applyAlignment="1" applyProtection="1">
      <protection locked="0"/>
    </xf>
    <xf numFmtId="3" fontId="7" fillId="0" borderId="27" xfId="0" applyNumberFormat="1" applyFont="1" applyFill="1" applyBorder="1" applyAlignment="1" applyProtection="1">
      <alignment horizontal="right" wrapText="1"/>
      <protection locked="0"/>
    </xf>
    <xf numFmtId="3" fontId="7" fillId="0" borderId="42" xfId="0" applyNumberFormat="1" applyFont="1" applyFill="1" applyBorder="1" applyAlignment="1" applyProtection="1">
      <alignment horizontal="right" wrapText="1"/>
      <protection locked="0"/>
    </xf>
    <xf numFmtId="3" fontId="7" fillId="0" borderId="29" xfId="0" applyNumberFormat="1" applyFont="1" applyFill="1" applyBorder="1" applyAlignment="1" applyProtection="1">
      <alignment horizontal="right" wrapText="1"/>
      <protection locked="0"/>
    </xf>
    <xf numFmtId="0" fontId="4" fillId="2" borderId="0" xfId="0" applyFont="1" applyFill="1" applyBorder="1" applyAlignment="1" applyProtection="1">
      <alignment wrapText="1"/>
      <protection locked="0"/>
    </xf>
    <xf numFmtId="168" fontId="4" fillId="5" borderId="72" xfId="0" applyNumberFormat="1" applyFont="1" applyFill="1" applyBorder="1" applyProtection="1"/>
    <xf numFmtId="0" fontId="13" fillId="2" borderId="4" xfId="0" applyFont="1" applyFill="1" applyBorder="1" applyAlignment="1" applyProtection="1">
      <alignment vertical="top" wrapText="1"/>
      <protection locked="0"/>
    </xf>
    <xf numFmtId="0" fontId="13" fillId="2" borderId="0" xfId="0" applyFont="1" applyFill="1" applyAlignment="1" applyProtection="1">
      <alignment vertical="top" wrapText="1"/>
      <protection locked="0"/>
    </xf>
    <xf numFmtId="164" fontId="13" fillId="2" borderId="4" xfId="0" applyNumberFormat="1" applyFont="1" applyFill="1" applyBorder="1" applyAlignment="1" applyProtection="1">
      <alignment vertical="top" wrapText="1"/>
      <protection locked="0"/>
    </xf>
    <xf numFmtId="0" fontId="13" fillId="2" borderId="17" xfId="0" applyFont="1" applyFill="1" applyBorder="1" applyAlignment="1" applyProtection="1">
      <alignment vertical="top" wrapText="1"/>
      <protection locked="0"/>
    </xf>
    <xf numFmtId="0" fontId="13" fillId="2" borderId="1" xfId="0" applyFont="1" applyFill="1" applyBorder="1" applyAlignment="1" applyProtection="1">
      <alignment vertical="top" wrapText="1"/>
      <protection locked="0"/>
    </xf>
    <xf numFmtId="0" fontId="13" fillId="2" borderId="71" xfId="0" applyFont="1" applyFill="1" applyBorder="1" applyAlignment="1" applyProtection="1">
      <alignment vertical="top" wrapText="1"/>
      <protection locked="0"/>
    </xf>
    <xf numFmtId="0" fontId="13" fillId="2" borderId="69" xfId="0" applyFont="1" applyFill="1" applyBorder="1" applyAlignment="1">
      <alignment vertical="top" wrapText="1"/>
    </xf>
    <xf numFmtId="0" fontId="13" fillId="2" borderId="68" xfId="0" applyFont="1" applyFill="1" applyBorder="1" applyAlignment="1">
      <alignment vertical="top" wrapText="1"/>
    </xf>
    <xf numFmtId="164" fontId="13" fillId="2" borderId="69" xfId="0" applyNumberFormat="1" applyFont="1" applyFill="1" applyBorder="1" applyAlignment="1">
      <alignment vertical="top" wrapText="1"/>
    </xf>
    <xf numFmtId="0" fontId="13" fillId="2" borderId="70" xfId="0" applyFont="1" applyFill="1" applyBorder="1" applyAlignment="1">
      <alignment vertical="top" wrapText="1"/>
    </xf>
    <xf numFmtId="0" fontId="13" fillId="2" borderId="1" xfId="0" applyFont="1" applyFill="1" applyBorder="1" applyAlignment="1">
      <alignment vertical="top" wrapText="1"/>
    </xf>
    <xf numFmtId="3" fontId="14" fillId="2" borderId="27" xfId="0" applyNumberFormat="1" applyFont="1" applyFill="1" applyBorder="1" applyProtection="1"/>
    <xf numFmtId="3" fontId="14" fillId="2" borderId="29" xfId="0" applyNumberFormat="1" applyFont="1" applyFill="1" applyBorder="1" applyProtection="1"/>
    <xf numFmtId="0" fontId="13" fillId="2" borderId="73" xfId="0" applyFont="1" applyFill="1" applyBorder="1" applyAlignment="1">
      <alignment vertical="top" wrapText="1"/>
    </xf>
    <xf numFmtId="0" fontId="13" fillId="2" borderId="71" xfId="0" applyFont="1" applyFill="1" applyBorder="1" applyAlignment="1">
      <alignment vertical="top" wrapText="1"/>
    </xf>
    <xf numFmtId="168" fontId="4" fillId="6" borderId="74" xfId="0" applyNumberFormat="1" applyFont="1" applyFill="1" applyBorder="1" applyProtection="1"/>
    <xf numFmtId="168" fontId="4" fillId="6" borderId="75" xfId="0" applyNumberFormat="1" applyFont="1" applyFill="1" applyBorder="1" applyProtection="1"/>
    <xf numFmtId="168" fontId="4" fillId="6" borderId="76" xfId="0" applyNumberFormat="1" applyFont="1" applyFill="1" applyBorder="1" applyProtection="1"/>
    <xf numFmtId="0" fontId="5" fillId="2" borderId="25" xfId="0" applyFont="1" applyFill="1" applyBorder="1" applyAlignment="1" applyProtection="1">
      <protection locked="0"/>
    </xf>
    <xf numFmtId="0" fontId="4" fillId="2" borderId="61" xfId="0" applyFont="1" applyFill="1" applyBorder="1" applyProtection="1">
      <protection locked="0"/>
    </xf>
    <xf numFmtId="0" fontId="13" fillId="2" borderId="3" xfId="0" applyFont="1" applyFill="1" applyBorder="1" applyAlignment="1" applyProtection="1">
      <alignment wrapText="1"/>
      <protection locked="0"/>
    </xf>
    <xf numFmtId="3" fontId="14" fillId="2" borderId="77" xfId="0" applyNumberFormat="1" applyFont="1" applyFill="1" applyBorder="1"/>
    <xf numFmtId="0" fontId="4" fillId="5" borderId="6" xfId="0" applyFont="1" applyFill="1" applyBorder="1" applyAlignment="1" applyProtection="1">
      <alignment horizontal="center" wrapText="1"/>
      <protection locked="0"/>
    </xf>
    <xf numFmtId="3" fontId="4" fillId="5" borderId="0" xfId="0" applyNumberFormat="1" applyFont="1" applyFill="1" applyBorder="1" applyProtection="1">
      <protection locked="0"/>
    </xf>
    <xf numFmtId="164" fontId="4" fillId="5" borderId="0" xfId="0" applyNumberFormat="1" applyFont="1" applyFill="1" applyBorder="1" applyProtection="1">
      <protection locked="0"/>
    </xf>
    <xf numFmtId="164" fontId="5" fillId="5" borderId="0" xfId="0" applyNumberFormat="1" applyFont="1" applyFill="1" applyBorder="1" applyProtection="1">
      <protection locked="0"/>
    </xf>
    <xf numFmtId="0" fontId="4" fillId="5" borderId="0" xfId="0" applyFont="1" applyFill="1" applyBorder="1" applyProtection="1">
      <protection locked="0"/>
    </xf>
    <xf numFmtId="0" fontId="4" fillId="5" borderId="61" xfId="0" applyFont="1" applyFill="1" applyBorder="1" applyProtection="1">
      <protection locked="0"/>
    </xf>
    <xf numFmtId="0" fontId="0" fillId="2" borderId="3" xfId="0" applyFill="1" applyBorder="1" applyProtection="1">
      <protection locked="0"/>
    </xf>
    <xf numFmtId="168" fontId="4" fillId="6" borderId="78" xfId="0" applyNumberFormat="1" applyFont="1" applyFill="1" applyBorder="1" applyProtection="1"/>
    <xf numFmtId="0" fontId="14" fillId="0" borderId="0" xfId="0" applyFont="1" applyAlignment="1" applyProtection="1">
      <alignment wrapText="1"/>
      <protection locked="0"/>
    </xf>
    <xf numFmtId="3" fontId="11" fillId="7" borderId="3" xfId="0" applyNumberFormat="1" applyFont="1" applyFill="1" applyBorder="1" applyAlignment="1">
      <alignment wrapText="1"/>
    </xf>
    <xf numFmtId="0" fontId="11" fillId="7" borderId="3" xfId="0" applyFont="1" applyFill="1" applyBorder="1" applyAlignment="1">
      <alignment wrapText="1"/>
    </xf>
    <xf numFmtId="168" fontId="11" fillId="4" borderId="3" xfId="0" applyNumberFormat="1" applyFont="1" applyFill="1" applyBorder="1" applyAlignment="1">
      <alignment wrapText="1"/>
    </xf>
    <xf numFmtId="3" fontId="11" fillId="7" borderId="3" xfId="0" applyNumberFormat="1" applyFont="1" applyFill="1" applyBorder="1" applyAlignment="1">
      <alignment horizontal="left" wrapText="1"/>
    </xf>
    <xf numFmtId="4" fontId="11" fillId="4" borderId="3" xfId="0" applyNumberFormat="1" applyFont="1" applyFill="1" applyBorder="1" applyAlignment="1">
      <alignment horizontal="left" wrapText="1"/>
    </xf>
    <xf numFmtId="0" fontId="11" fillId="4" borderId="79" xfId="0" applyFont="1" applyFill="1" applyBorder="1" applyAlignment="1">
      <alignment wrapText="1"/>
    </xf>
    <xf numFmtId="164" fontId="4" fillId="0" borderId="79" xfId="0" applyNumberFormat="1" applyFont="1" applyBorder="1"/>
    <xf numFmtId="0" fontId="4" fillId="0" borderId="79" xfId="0" applyFont="1" applyFill="1" applyBorder="1"/>
    <xf numFmtId="170" fontId="11" fillId="4" borderId="18" xfId="0" applyNumberFormat="1" applyFont="1" applyFill="1" applyBorder="1" applyAlignment="1">
      <alignment horizontal="left" wrapText="1"/>
    </xf>
    <xf numFmtId="169" fontId="11" fillId="4" borderId="18" xfId="0" applyNumberFormat="1" applyFont="1" applyFill="1" applyBorder="1" applyAlignment="1">
      <alignment horizontal="left" wrapText="1"/>
    </xf>
    <xf numFmtId="170" fontId="4" fillId="0" borderId="0" xfId="0" applyNumberFormat="1" applyFont="1" applyAlignment="1">
      <alignment horizontal="left" wrapText="1"/>
    </xf>
    <xf numFmtId="169" fontId="4" fillId="0" borderId="0" xfId="0" applyNumberFormat="1" applyFont="1" applyAlignment="1">
      <alignment horizontal="left"/>
    </xf>
    <xf numFmtId="170" fontId="4" fillId="0" borderId="0" xfId="0" applyNumberFormat="1" applyFont="1" applyFill="1" applyAlignment="1">
      <alignment horizontal="left" wrapText="1"/>
    </xf>
    <xf numFmtId="169" fontId="4" fillId="0" borderId="0" xfId="0" applyNumberFormat="1" applyFont="1" applyFill="1" applyAlignment="1">
      <alignment horizontal="left"/>
    </xf>
    <xf numFmtId="170" fontId="11" fillId="4" borderId="3" xfId="0" applyNumberFormat="1" applyFont="1" applyFill="1" applyBorder="1" applyAlignment="1">
      <alignment horizontal="left" wrapText="1"/>
    </xf>
    <xf numFmtId="169" fontId="11" fillId="4" borderId="3" xfId="0" applyNumberFormat="1" applyFont="1" applyFill="1" applyBorder="1" applyAlignment="1">
      <alignment horizontal="left" wrapText="1"/>
    </xf>
    <xf numFmtId="170" fontId="4" fillId="0" borderId="0" xfId="0" applyNumberFormat="1" applyFont="1" applyAlignment="1">
      <alignment horizontal="left"/>
    </xf>
    <xf numFmtId="0" fontId="14" fillId="2" borderId="0" xfId="0" applyFont="1" applyFill="1" applyProtection="1">
      <protection locked="0"/>
    </xf>
    <xf numFmtId="0" fontId="12" fillId="2" borderId="0" xfId="0" applyFont="1" applyFill="1" applyProtection="1">
      <protection locked="0"/>
    </xf>
    <xf numFmtId="0" fontId="14" fillId="2" borderId="0" xfId="0" applyFont="1" applyFill="1" applyBorder="1" applyProtection="1">
      <protection locked="0"/>
    </xf>
    <xf numFmtId="4" fontId="14" fillId="2" borderId="0" xfId="0" applyNumberFormat="1" applyFont="1" applyFill="1" applyProtection="1">
      <protection locked="0"/>
    </xf>
    <xf numFmtId="0" fontId="12" fillId="0" borderId="0" xfId="0" applyFont="1" applyProtection="1">
      <protection locked="0"/>
    </xf>
    <xf numFmtId="0" fontId="13" fillId="2" borderId="9" xfId="0" applyFont="1" applyFill="1" applyBorder="1" applyAlignment="1">
      <alignment vertical="top" wrapText="1"/>
    </xf>
    <xf numFmtId="164" fontId="13" fillId="2" borderId="1" xfId="0" applyNumberFormat="1" applyFont="1" applyFill="1" applyBorder="1" applyAlignment="1">
      <alignment vertical="top" wrapText="1"/>
    </xf>
    <xf numFmtId="0" fontId="13" fillId="2" borderId="80" xfId="0" applyFont="1" applyFill="1" applyBorder="1" applyAlignment="1">
      <alignment vertical="top" wrapText="1"/>
    </xf>
    <xf numFmtId="0" fontId="13" fillId="2" borderId="81" xfId="0" applyFont="1" applyFill="1" applyBorder="1" applyAlignment="1" applyProtection="1">
      <alignment vertical="top" wrapText="1"/>
      <protection locked="0"/>
    </xf>
  </cellXfs>
  <cellStyles count="3">
    <cellStyle name="Comma" xfId="2" builtinId="3"/>
    <cellStyle name="Normal" xfId="0" builtinId="0"/>
    <cellStyle name="Normal 2" xfId="1"/>
  </cellStyles>
  <dxfs count="154">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sansserif"/>
        <scheme val="none"/>
      </font>
      <fill>
        <patternFill patternType="solid">
          <fgColor indexed="64"/>
          <bgColor theme="0" tint="-0.14996795556505021"/>
        </patternFill>
      </fill>
      <alignment horizontal="center" vertical="top" textRotation="0" wrapText="1"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alignment horizontal="general"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style="thin">
          <color auto="1"/>
        </bottom>
        <vertical/>
        <horizontal style="thin">
          <color auto="1"/>
        </horizontal>
      </border>
      <protection locked="1" hidden="0"/>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53"/>
      <tableStyleElement type="headerRow" dxfId="15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Hourly Wage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Vehicle Operations</c:v>
          </c:tx>
          <c:spPr>
            <a:solidFill>
              <a:schemeClr val="accent1"/>
            </a:solidFill>
            <a:ln>
              <a:noFill/>
            </a:ln>
            <a:effectLst/>
          </c:spPr>
          <c:invertIfNegative val="0"/>
          <c:cat>
            <c:strRef>
              <c:f>'Summary Tables'!$AN$9:$AN$17</c:f>
              <c:strCache>
                <c:ptCount val="3"/>
                <c:pt idx="0">
                  <c:v>Under 200,000</c:v>
                </c:pt>
                <c:pt idx="1">
                  <c:v>200,000 to 1,000,000</c:v>
                </c:pt>
                <c:pt idx="2">
                  <c:v>Over 1,000,000</c:v>
                </c:pt>
              </c:strCache>
            </c:strRef>
          </c:cat>
          <c:val>
            <c:numRef>
              <c:f>'Summary Tables'!VO_UZA</c:f>
              <c:numCache>
                <c:formatCode>#,##0.00</c:formatCode>
                <c:ptCount val="3"/>
                <c:pt idx="0">
                  <c:v>20.493586876500189</c:v>
                </c:pt>
                <c:pt idx="1">
                  <c:v>21.393781331658811</c:v>
                </c:pt>
                <c:pt idx="2">
                  <c:v>31.626253773090056</c:v>
                </c:pt>
              </c:numCache>
            </c:numRef>
          </c:val>
          <c:extLst>
            <c:ext xmlns:c16="http://schemas.microsoft.com/office/drawing/2014/chart" uri="{C3380CC4-5D6E-409C-BE32-E72D297353CC}">
              <c16:uniqueId val="{00000002-DF50-4740-9E39-F78310654F36}"/>
            </c:ext>
          </c:extLst>
        </c:ser>
        <c:ser>
          <c:idx val="1"/>
          <c:order val="1"/>
          <c:tx>
            <c:v>Vehicle Maintenance</c:v>
          </c:tx>
          <c:spPr>
            <a:solidFill>
              <a:schemeClr val="accent2"/>
            </a:solidFill>
            <a:ln>
              <a:noFill/>
            </a:ln>
            <a:effectLst/>
          </c:spPr>
          <c:invertIfNegative val="0"/>
          <c:cat>
            <c:strRef>
              <c:f>'Summary Tables'!$AN$9:$AN$17</c:f>
              <c:strCache>
                <c:ptCount val="3"/>
                <c:pt idx="0">
                  <c:v>Under 200,000</c:v>
                </c:pt>
                <c:pt idx="1">
                  <c:v>200,000 to 1,000,000</c:v>
                </c:pt>
                <c:pt idx="2">
                  <c:v>Over 1,000,000</c:v>
                </c:pt>
              </c:strCache>
            </c:strRef>
          </c:cat>
          <c:val>
            <c:numRef>
              <c:f>'Summary Tables'!VM_UZA</c:f>
              <c:numCache>
                <c:formatCode>#,##0.00</c:formatCode>
                <c:ptCount val="3"/>
                <c:pt idx="0">
                  <c:v>23.835678230322493</c:v>
                </c:pt>
                <c:pt idx="1">
                  <c:v>24.35712610574603</c:v>
                </c:pt>
                <c:pt idx="2">
                  <c:v>33.057010937727291</c:v>
                </c:pt>
              </c:numCache>
            </c:numRef>
          </c:val>
          <c:extLst>
            <c:ext xmlns:c16="http://schemas.microsoft.com/office/drawing/2014/chart" uri="{C3380CC4-5D6E-409C-BE32-E72D297353CC}">
              <c16:uniqueId val="{00000003-DF50-4740-9E39-F78310654F36}"/>
            </c:ext>
          </c:extLst>
        </c:ser>
        <c:ser>
          <c:idx val="2"/>
          <c:order val="2"/>
          <c:tx>
            <c:v>Facility Maintenance</c:v>
          </c:tx>
          <c:spPr>
            <a:solidFill>
              <a:schemeClr val="accent3"/>
            </a:solidFill>
            <a:ln>
              <a:noFill/>
            </a:ln>
            <a:effectLst/>
          </c:spPr>
          <c:invertIfNegative val="0"/>
          <c:val>
            <c:numRef>
              <c:f>'Summary Tables'!FM_UZA</c:f>
              <c:numCache>
                <c:formatCode>#,##0.00</c:formatCode>
                <c:ptCount val="3"/>
                <c:pt idx="0">
                  <c:v>21.089268344909122</c:v>
                </c:pt>
                <c:pt idx="1">
                  <c:v>21.613698369201575</c:v>
                </c:pt>
                <c:pt idx="2">
                  <c:v>35.231765955017565</c:v>
                </c:pt>
              </c:numCache>
            </c:numRef>
          </c:val>
          <c:extLst>
            <c:ext xmlns:c16="http://schemas.microsoft.com/office/drawing/2014/chart" uri="{C3380CC4-5D6E-409C-BE32-E72D297353CC}">
              <c16:uniqueId val="{00000004-DF50-4740-9E39-F78310654F36}"/>
            </c:ext>
          </c:extLst>
        </c:ser>
        <c:ser>
          <c:idx val="3"/>
          <c:order val="3"/>
          <c:tx>
            <c:v>General Administration</c:v>
          </c:tx>
          <c:spPr>
            <a:solidFill>
              <a:schemeClr val="accent4"/>
            </a:solidFill>
            <a:ln>
              <a:noFill/>
            </a:ln>
            <a:effectLst/>
          </c:spPr>
          <c:invertIfNegative val="0"/>
          <c:val>
            <c:numRef>
              <c:f>'Summary Tables'!GA_UZA</c:f>
              <c:numCache>
                <c:formatCode>#,##0.00</c:formatCode>
                <c:ptCount val="3"/>
                <c:pt idx="0">
                  <c:v>27.550907716493697</c:v>
                </c:pt>
                <c:pt idx="1">
                  <c:v>28.367969996798955</c:v>
                </c:pt>
                <c:pt idx="2">
                  <c:v>41.655117522245099</c:v>
                </c:pt>
              </c:numCache>
            </c:numRef>
          </c:val>
          <c:extLst>
            <c:ext xmlns:c16="http://schemas.microsoft.com/office/drawing/2014/chart" uri="{C3380CC4-5D6E-409C-BE32-E72D297353CC}">
              <c16:uniqueId val="{00000005-DF50-4740-9E39-F78310654F36}"/>
            </c:ext>
          </c:extLst>
        </c:ser>
        <c:ser>
          <c:idx val="4"/>
          <c:order val="4"/>
          <c:tx>
            <c:v>Total</c:v>
          </c:tx>
          <c:spPr>
            <a:solidFill>
              <a:schemeClr val="accent5"/>
            </a:solidFill>
            <a:ln>
              <a:noFill/>
            </a:ln>
            <a:effectLst/>
          </c:spPr>
          <c:invertIfNegative val="0"/>
          <c:val>
            <c:numRef>
              <c:f>'Summary Tables'!Total_UZA</c:f>
              <c:numCache>
                <c:formatCode>#,##0.00</c:formatCode>
                <c:ptCount val="3"/>
                <c:pt idx="0">
                  <c:v>21.686955184867628</c:v>
                </c:pt>
                <c:pt idx="1">
                  <c:v>22.513112841135175</c:v>
                </c:pt>
                <c:pt idx="2">
                  <c:v>33.355558715631204</c:v>
                </c:pt>
              </c:numCache>
            </c:numRef>
          </c:val>
          <c:extLst>
            <c:ext xmlns:c16="http://schemas.microsoft.com/office/drawing/2014/chart" uri="{C3380CC4-5D6E-409C-BE32-E72D297353CC}">
              <c16:uniqueId val="{00000007-DF50-4740-9E39-F78310654F36}"/>
            </c:ext>
          </c:extLst>
        </c:ser>
        <c:dLbls>
          <c:showLegendKey val="0"/>
          <c:showVal val="0"/>
          <c:showCatName val="0"/>
          <c:showSerName val="0"/>
          <c:showPercent val="0"/>
          <c:showBubbleSize val="0"/>
        </c:dLbls>
        <c:gapWidth val="219"/>
        <c:overlap val="-27"/>
        <c:axId val="2140732896"/>
        <c:axId val="2140119296"/>
      </c:barChart>
      <c:catAx>
        <c:axId val="21407328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Urbanized Area Population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119296"/>
        <c:crosses val="autoZero"/>
        <c:auto val="1"/>
        <c:lblAlgn val="ctr"/>
        <c:lblOffset val="100"/>
        <c:noMultiLvlLbl val="0"/>
      </c:catAx>
      <c:valAx>
        <c:axId val="214011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73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Hourly Wage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Vehicle Operations</c:v>
          </c:tx>
          <c:spPr>
            <a:solidFill>
              <a:schemeClr val="accent1"/>
            </a:solidFill>
            <a:ln>
              <a:noFill/>
            </a:ln>
            <a:effectLst/>
          </c:spPr>
          <c:invertIfNegative val="0"/>
          <c:cat>
            <c:strRef>
              <c:f>'Summary Tables'!$AT$43:$AT$51</c:f>
              <c:strCache>
                <c:ptCount val="9"/>
                <c:pt idx="0">
                  <c:v>Under 10</c:v>
                </c:pt>
                <c:pt idx="1">
                  <c:v>10 to 25</c:v>
                </c:pt>
                <c:pt idx="2">
                  <c:v>25 to 50</c:v>
                </c:pt>
                <c:pt idx="3">
                  <c:v>50 to 100</c:v>
                </c:pt>
                <c:pt idx="4">
                  <c:v>100 to 250</c:v>
                </c:pt>
                <c:pt idx="5">
                  <c:v>250 to 500</c:v>
                </c:pt>
                <c:pt idx="6">
                  <c:v>500 to 1,000</c:v>
                </c:pt>
                <c:pt idx="7">
                  <c:v>1,000 to 2,000</c:v>
                </c:pt>
                <c:pt idx="8">
                  <c:v>Over 2,000</c:v>
                </c:pt>
              </c:strCache>
            </c:strRef>
          </c:cat>
          <c:val>
            <c:numRef>
              <c:f>'Summary Tables'!VO_Vehicles</c:f>
              <c:numCache>
                <c:formatCode>#,##0.00</c:formatCode>
                <c:ptCount val="9"/>
                <c:pt idx="0">
                  <c:v>21.665508939174572</c:v>
                </c:pt>
                <c:pt idx="1">
                  <c:v>27.41235852622313</c:v>
                </c:pt>
                <c:pt idx="2">
                  <c:v>22.057582650054115</c:v>
                </c:pt>
                <c:pt idx="3">
                  <c:v>21.069496245516248</c:v>
                </c:pt>
                <c:pt idx="4">
                  <c:v>23.283245235066563</c:v>
                </c:pt>
                <c:pt idx="5">
                  <c:v>24.730314673473806</c:v>
                </c:pt>
                <c:pt idx="6">
                  <c:v>29.148332099487916</c:v>
                </c:pt>
                <c:pt idx="7">
                  <c:v>29.849299109434373</c:v>
                </c:pt>
                <c:pt idx="8">
                  <c:v>35.372776256367288</c:v>
                </c:pt>
              </c:numCache>
            </c:numRef>
          </c:val>
          <c:extLst>
            <c:ext xmlns:c16="http://schemas.microsoft.com/office/drawing/2014/chart" uri="{C3380CC4-5D6E-409C-BE32-E72D297353CC}">
              <c16:uniqueId val="{00000000-7BD6-407C-90BF-760CB97E30C3}"/>
            </c:ext>
          </c:extLst>
        </c:ser>
        <c:ser>
          <c:idx val="1"/>
          <c:order val="1"/>
          <c:tx>
            <c:v>Vehicle Maintenance</c:v>
          </c:tx>
          <c:spPr>
            <a:solidFill>
              <a:schemeClr val="accent2"/>
            </a:solidFill>
            <a:ln>
              <a:noFill/>
            </a:ln>
            <a:effectLst/>
          </c:spPr>
          <c:invertIfNegative val="0"/>
          <c:val>
            <c:numRef>
              <c:f>'Summary Tables'!VM_Vehicles</c:f>
              <c:numCache>
                <c:formatCode>#,##0.00</c:formatCode>
                <c:ptCount val="9"/>
                <c:pt idx="0">
                  <c:v>22.886190476190475</c:v>
                </c:pt>
                <c:pt idx="1">
                  <c:v>31.699724409401828</c:v>
                </c:pt>
                <c:pt idx="2">
                  <c:v>27.758573004978839</c:v>
                </c:pt>
                <c:pt idx="3">
                  <c:v>24.298356043427418</c:v>
                </c:pt>
                <c:pt idx="4">
                  <c:v>25.147077931309376</c:v>
                </c:pt>
                <c:pt idx="5">
                  <c:v>28.525877649561995</c:v>
                </c:pt>
                <c:pt idx="6">
                  <c:v>34.412982244808539</c:v>
                </c:pt>
                <c:pt idx="7">
                  <c:v>32.328780090886916</c:v>
                </c:pt>
                <c:pt idx="8">
                  <c:v>34.036343857927292</c:v>
                </c:pt>
              </c:numCache>
            </c:numRef>
          </c:val>
          <c:extLst>
            <c:ext xmlns:c16="http://schemas.microsoft.com/office/drawing/2014/chart" uri="{C3380CC4-5D6E-409C-BE32-E72D297353CC}">
              <c16:uniqueId val="{00000001-7BD6-407C-90BF-760CB97E30C3}"/>
            </c:ext>
          </c:extLst>
        </c:ser>
        <c:ser>
          <c:idx val="2"/>
          <c:order val="2"/>
          <c:tx>
            <c:v>Facility Maintenance</c:v>
          </c:tx>
          <c:spPr>
            <a:solidFill>
              <a:schemeClr val="accent3"/>
            </a:solidFill>
            <a:ln>
              <a:noFill/>
            </a:ln>
            <a:effectLst/>
          </c:spPr>
          <c:invertIfNegative val="0"/>
          <c:val>
            <c:numRef>
              <c:f>'Summary Tables'!FM_Vehicles</c:f>
              <c:numCache>
                <c:formatCode>#,##0.00</c:formatCode>
                <c:ptCount val="9"/>
                <c:pt idx="0">
                  <c:v>17.170901219095363</c:v>
                </c:pt>
                <c:pt idx="1">
                  <c:v>31.422394615995039</c:v>
                </c:pt>
                <c:pt idx="2">
                  <c:v>29.380976270622181</c:v>
                </c:pt>
                <c:pt idx="3">
                  <c:v>21.814233803382404</c:v>
                </c:pt>
                <c:pt idx="4">
                  <c:v>21.958508222252107</c:v>
                </c:pt>
                <c:pt idx="5">
                  <c:v>29.468101399987063</c:v>
                </c:pt>
                <c:pt idx="6">
                  <c:v>34.522806395318376</c:v>
                </c:pt>
                <c:pt idx="7">
                  <c:v>33.712281621585113</c:v>
                </c:pt>
                <c:pt idx="8">
                  <c:v>36.520121358064358</c:v>
                </c:pt>
              </c:numCache>
            </c:numRef>
          </c:val>
          <c:extLst>
            <c:ext xmlns:c16="http://schemas.microsoft.com/office/drawing/2014/chart" uri="{C3380CC4-5D6E-409C-BE32-E72D297353CC}">
              <c16:uniqueId val="{00000002-7BD6-407C-90BF-760CB97E30C3}"/>
            </c:ext>
          </c:extLst>
        </c:ser>
        <c:ser>
          <c:idx val="3"/>
          <c:order val="3"/>
          <c:tx>
            <c:v>General Administration</c:v>
          </c:tx>
          <c:spPr>
            <a:solidFill>
              <a:schemeClr val="accent4"/>
            </a:solidFill>
            <a:ln>
              <a:noFill/>
            </a:ln>
            <a:effectLst/>
          </c:spPr>
          <c:invertIfNegative val="0"/>
          <c:val>
            <c:numRef>
              <c:f>'Summary Tables'!GA_Vehicles</c:f>
              <c:numCache>
                <c:formatCode>#,##0.00</c:formatCode>
                <c:ptCount val="9"/>
                <c:pt idx="0">
                  <c:v>25.68694213313162</c:v>
                </c:pt>
                <c:pt idx="1">
                  <c:v>28.849040484618449</c:v>
                </c:pt>
                <c:pt idx="2">
                  <c:v>31.15832390968168</c:v>
                </c:pt>
                <c:pt idx="3">
                  <c:v>26.989225701456835</c:v>
                </c:pt>
                <c:pt idx="4">
                  <c:v>29.168250318632385</c:v>
                </c:pt>
                <c:pt idx="5">
                  <c:v>32.631050845063044</c:v>
                </c:pt>
                <c:pt idx="6">
                  <c:v>38.056014658713089</c:v>
                </c:pt>
                <c:pt idx="7">
                  <c:v>37.236532127031147</c:v>
                </c:pt>
                <c:pt idx="8">
                  <c:v>48.435976919611541</c:v>
                </c:pt>
              </c:numCache>
            </c:numRef>
          </c:val>
          <c:extLst>
            <c:ext xmlns:c16="http://schemas.microsoft.com/office/drawing/2014/chart" uri="{C3380CC4-5D6E-409C-BE32-E72D297353CC}">
              <c16:uniqueId val="{00000003-7BD6-407C-90BF-760CB97E30C3}"/>
            </c:ext>
          </c:extLst>
        </c:ser>
        <c:ser>
          <c:idx val="4"/>
          <c:order val="4"/>
          <c:tx>
            <c:v>Total</c:v>
          </c:tx>
          <c:spPr>
            <a:solidFill>
              <a:schemeClr val="accent5"/>
            </a:solidFill>
            <a:ln>
              <a:noFill/>
            </a:ln>
            <a:effectLst/>
          </c:spPr>
          <c:invertIfNegative val="0"/>
          <c:val>
            <c:numRef>
              <c:f>'Summary Tables'!Total_Vehicles</c:f>
              <c:numCache>
                <c:formatCode>#,##0.00</c:formatCode>
                <c:ptCount val="9"/>
                <c:pt idx="0">
                  <c:v>22.276570663659854</c:v>
                </c:pt>
                <c:pt idx="1">
                  <c:v>28.119478285833424</c:v>
                </c:pt>
                <c:pt idx="2">
                  <c:v>24.057048909729186</c:v>
                </c:pt>
                <c:pt idx="3">
                  <c:v>22.168784349636425</c:v>
                </c:pt>
                <c:pt idx="4">
                  <c:v>24.172712584735716</c:v>
                </c:pt>
                <c:pt idx="5">
                  <c:v>26.343287707787809</c:v>
                </c:pt>
                <c:pt idx="6">
                  <c:v>31.512590392500449</c:v>
                </c:pt>
                <c:pt idx="7">
                  <c:v>31.731775407023147</c:v>
                </c:pt>
                <c:pt idx="8">
                  <c:v>36.475157175849048</c:v>
                </c:pt>
              </c:numCache>
            </c:numRef>
          </c:val>
          <c:extLst>
            <c:ext xmlns:c16="http://schemas.microsoft.com/office/drawing/2014/chart" uri="{C3380CC4-5D6E-409C-BE32-E72D297353CC}">
              <c16:uniqueId val="{00000004-7BD6-407C-90BF-760CB97E30C3}"/>
            </c:ext>
          </c:extLst>
        </c:ser>
        <c:dLbls>
          <c:showLegendKey val="0"/>
          <c:showVal val="0"/>
          <c:showCatName val="0"/>
          <c:showSerName val="0"/>
          <c:showPercent val="0"/>
          <c:showBubbleSize val="0"/>
        </c:dLbls>
        <c:gapWidth val="219"/>
        <c:overlap val="-27"/>
        <c:axId val="2139396128"/>
        <c:axId val="2139392080"/>
      </c:barChart>
      <c:catAx>
        <c:axId val="2139396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Agency Size (Vehicles)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392080"/>
        <c:crosses val="autoZero"/>
        <c:auto val="1"/>
        <c:lblAlgn val="ctr"/>
        <c:lblOffset val="100"/>
        <c:noMultiLvlLbl val="0"/>
      </c:catAx>
      <c:valAx>
        <c:axId val="2139392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396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5" dropStyle="combo" dx="31" fmlaLink="$BJ$4" fmlaRange="$BJ$2:$BJ$3" sel="1" val="0"/>
</file>

<file path=xl/ctrlProps/ctrlProp2.xml><?xml version="1.0" encoding="utf-8"?>
<formControlPr xmlns="http://schemas.microsoft.com/office/spreadsheetml/2009/9/main" objectType="Drop" dropLines="115" dropStyle="combo" dx="31" fmlaLink="$AP$4" fmlaRange="$AP$2:$AP$3" sel="1" val="0"/>
</file>

<file path=xl/ctrlProps/ctrlProp3.xml><?xml version="1.0" encoding="utf-8"?>
<formControlPr xmlns="http://schemas.microsoft.com/office/spreadsheetml/2009/9/main" objectType="Drop" dropLines="115" dropStyle="combo" dx="31" fmlaLink="$AP$4" fmlaRange="$AP$2:$AP$3" sel="1" val="0"/>
</file>

<file path=xl/ctrlProps/ctrlProp4.xml><?xml version="1.0" encoding="utf-8"?>
<formControlPr xmlns="http://schemas.microsoft.com/office/spreadsheetml/2009/9/main" objectType="Drop" dropLines="45" dropStyle="combo" dx="31" fmlaLink="$DG$4" fmlaRange="$DG$2:$DG$3" sel="1" val="0"/>
</file>

<file path=xl/ctrlProps/ctrlProp5.xml><?xml version="1.0" encoding="utf-8"?>
<formControlPr xmlns="http://schemas.microsoft.com/office/spreadsheetml/2009/9/main" objectType="Drop" dropLines="115" dropStyle="combo" dx="31" fmlaLink="$AF$4" fmlaRange="$AF$2:$AF$3"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82550</xdr:colOff>
      <xdr:row>0</xdr:row>
      <xdr:rowOff>82550</xdr:rowOff>
    </xdr:from>
    <xdr:to>
      <xdr:col>13</xdr:col>
      <xdr:colOff>107950</xdr:colOff>
      <xdr:row>14</xdr:row>
      <xdr:rowOff>50800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82550" y="82550"/>
          <a:ext cx="8032750"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bar graphs will automatically update to reflect the bins you have selected.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If you wish to exclude data that NTD has deemed questionable, select "Exclude Questionable Data".</a:t>
          </a:r>
          <a:endParaRPr lang="en-US">
            <a:effectLst/>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95250</xdr:colOff>
      <xdr:row>15</xdr:row>
      <xdr:rowOff>6350</xdr:rowOff>
    </xdr:from>
    <xdr:to>
      <xdr:col>13</xdr:col>
      <xdr:colOff>76200</xdr:colOff>
      <xdr:row>29</xdr:row>
      <xdr:rowOff>12700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95250" y="2387600"/>
          <a:ext cx="7988300" cy="222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a:t>
          </a:r>
          <a:r>
            <a:rPr lang="en-US" sz="1100" baseline="0"/>
            <a:t> report data on employees, and only for Directly Operated modes. Other reporter types, and Purchased Transportation service, do not appear in this file.</a:t>
          </a:r>
        </a:p>
        <a:p>
          <a:endParaRPr lang="en-US" sz="1100" baseline="0"/>
        </a:p>
        <a:p>
          <a:r>
            <a:rPr lang="en-US" sz="1100" baseline="0"/>
            <a:t>NTD does not collect salary data separated by full time vs. part time, so salary data appear only in the All Employees, Agency Totals, and Summary tabs.</a:t>
          </a:r>
        </a:p>
        <a:p>
          <a:endParaRPr lang="en-US" sz="1100" baseline="0"/>
        </a:p>
        <a:p>
          <a:r>
            <a:rPr lang="en-US" sz="1100" baseline="0">
              <a:solidFill>
                <a:schemeClr val="dk1"/>
              </a:solidFill>
              <a:effectLst/>
              <a:latin typeface="+mn-lt"/>
              <a:ea typeface="+mn-ea"/>
              <a:cs typeface="+mn-cs"/>
            </a:rPr>
            <a:t>In versions of the data tables from before 2014, you can find data on employees in the file called "Employee Work Hours and Employee Counts", and data on salaries in "Transit Operating Expenses by Mode, Type of Service and Object Class."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57</xdr:col>
          <xdr:colOff>38100</xdr:colOff>
          <xdr:row>0</xdr:row>
          <xdr:rowOff>276225</xdr:rowOff>
        </xdr:from>
        <xdr:to>
          <xdr:col>60</xdr:col>
          <xdr:colOff>200025</xdr:colOff>
          <xdr:row>0</xdr:row>
          <xdr:rowOff>533400</xdr:rowOff>
        </xdr:to>
        <xdr:sp macro="" textlink="">
          <xdr:nvSpPr>
            <xdr:cNvPr id="1081" name="Drop Down 57" descr="This drop-down menu shows or hides columns indicating the presence of &quot;questionable&quot; data." hidden="1">
              <a:extLst>
                <a:ext uri="{63B3BB69-23CF-44E3-9099-C40C66FF867C}">
                  <a14:compatExt spid="_x0000_s1081"/>
                </a:ext>
                <a:ext uri="{FF2B5EF4-FFF2-40B4-BE49-F238E27FC236}">
                  <a16:creationId xmlns:a16="http://schemas.microsoft.com/office/drawing/2014/main" id="{00000000-0008-0000-02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266700</xdr:rowOff>
        </xdr:from>
        <xdr:to>
          <xdr:col>40</xdr:col>
          <xdr:colOff>485775</xdr:colOff>
          <xdr:row>0</xdr:row>
          <xdr:rowOff>523875</xdr:rowOff>
        </xdr:to>
        <xdr:sp macro="" textlink="">
          <xdr:nvSpPr>
            <xdr:cNvPr id="2088" name="Drop Down 40" descr="This drop-down menu shows or hides columns indicating the presence of &quot;questionable&quot; data." hidden="1">
              <a:extLst>
                <a:ext uri="{63B3BB69-23CF-44E3-9099-C40C66FF867C}">
                  <a14:compatExt spid="_x0000_s2088"/>
                </a:ext>
                <a:ext uri="{FF2B5EF4-FFF2-40B4-BE49-F238E27FC236}">
                  <a16:creationId xmlns:a16="http://schemas.microsoft.com/office/drawing/2014/main" id="{00000000-0008-0000-03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142875</xdr:colOff>
          <xdr:row>0</xdr:row>
          <xdr:rowOff>104775</xdr:rowOff>
        </xdr:from>
        <xdr:to>
          <xdr:col>40</xdr:col>
          <xdr:colOff>200025</xdr:colOff>
          <xdr:row>0</xdr:row>
          <xdr:rowOff>352425</xdr:rowOff>
        </xdr:to>
        <xdr:sp macro="" textlink="">
          <xdr:nvSpPr>
            <xdr:cNvPr id="3112" name="Drop Down 40" descr="This drop-down menu shows or hides columns indicating the presence of &quot;questionable&quot; data." hidden="1">
              <a:extLst>
                <a:ext uri="{63B3BB69-23CF-44E3-9099-C40C66FF867C}">
                  <a14:compatExt spid="_x0000_s3112"/>
                </a:ext>
                <a:ext uri="{FF2B5EF4-FFF2-40B4-BE49-F238E27FC236}">
                  <a16:creationId xmlns:a16="http://schemas.microsoft.com/office/drawing/2014/main" id="{00000000-0008-0000-0400-00002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107</xdr:col>
          <xdr:colOff>47625</xdr:colOff>
          <xdr:row>0</xdr:row>
          <xdr:rowOff>228600</xdr:rowOff>
        </xdr:from>
        <xdr:to>
          <xdr:col>111</xdr:col>
          <xdr:colOff>66675</xdr:colOff>
          <xdr:row>0</xdr:row>
          <xdr:rowOff>466725</xdr:rowOff>
        </xdr:to>
        <xdr:sp macro="" textlink="">
          <xdr:nvSpPr>
            <xdr:cNvPr id="4203" name="Drop Down 107" descr="This drop-down menu shows or hides columns indicating the presence of &quot;questionable&quot; data." hidden="1">
              <a:extLst>
                <a:ext uri="{63B3BB69-23CF-44E3-9099-C40C66FF867C}">
                  <a14:compatExt spid="_x0000_s4203"/>
                </a:ext>
                <a:ext uri="{FF2B5EF4-FFF2-40B4-BE49-F238E27FC236}">
                  <a16:creationId xmlns:a16="http://schemas.microsoft.com/office/drawing/2014/main" id="{00000000-0008-0000-05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114300</xdr:rowOff>
        </xdr:from>
        <xdr:to>
          <xdr:col>2</xdr:col>
          <xdr:colOff>638175</xdr:colOff>
          <xdr:row>2</xdr:row>
          <xdr:rowOff>190500</xdr:rowOff>
        </xdr:to>
        <xdr:sp macro="" textlink="">
          <xdr:nvSpPr>
            <xdr:cNvPr id="7169" name="Drop Down 1" descr="This drop-down menu includes or excludes &quot;questionable&quot; data from the calculated totals."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17</xdr:row>
          <xdr:rowOff>0</xdr:rowOff>
        </xdr:from>
        <xdr:to>
          <xdr:col>3</xdr:col>
          <xdr:colOff>1905000</xdr:colOff>
          <xdr:row>18</xdr:row>
          <xdr:rowOff>9525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51</xdr:row>
          <xdr:rowOff>0</xdr:rowOff>
        </xdr:from>
        <xdr:to>
          <xdr:col>3</xdr:col>
          <xdr:colOff>1876425</xdr:colOff>
          <xdr:row>52</xdr:row>
          <xdr:rowOff>114300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149224</xdr:colOff>
      <xdr:row>18</xdr:row>
      <xdr:rowOff>161925</xdr:rowOff>
    </xdr:from>
    <xdr:to>
      <xdr:col>10</xdr:col>
      <xdr:colOff>152399</xdr:colOff>
      <xdr:row>19</xdr:row>
      <xdr:rowOff>53975</xdr:rowOff>
    </xdr:to>
    <xdr:graphicFrame macro="">
      <xdr:nvGraphicFramePr>
        <xdr:cNvPr id="2" name="Chart 1" descr="Under 200,000:&#10;Vehicle Operations: $20.49&#10;Vehicle Maintenance: $23.84&#10;Facility Maintenance: $21.09&#10;General Administration: $27.55&#10;Total: $21.69&#10;200,000 to 1,000,000:&#10;Vehicle Operations: $21.39&#10;Vehicle Maintenance: $24.36&#10;Facility Maintenance: $21.61&#10;General Administration: $28.37&#10;Total: $22.51&#10;Over 1,000,000:&#10;Vehicle Operations: $31.63&#10;Vehicle Maintenance: $33.06&#10;Facility Maintenance: $35.23&#10;General Administration: $41.66&#10;Total: $33.36&#10;&#10;&#10;&#10;&#10;&#10;" title="This bar chart shows average hourly wages by expense function for all UZA size bins, from the table above called &quot;By Urbanized Area Size&quo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104774</xdr:colOff>
      <xdr:row>53</xdr:row>
      <xdr:rowOff>111124</xdr:rowOff>
    </xdr:from>
    <xdr:to>
      <xdr:col>9</xdr:col>
      <xdr:colOff>76199</xdr:colOff>
      <xdr:row>53</xdr:row>
      <xdr:rowOff>3225799</xdr:rowOff>
    </xdr:to>
    <xdr:graphicFrame macro="">
      <xdr:nvGraphicFramePr>
        <xdr:cNvPr id="3" name="Chart 2" descr="Under 10:&#10;Vehicle Operations: $21.67&#10;Vehicle Maintenance: $22.89&#10;Facility Maintenance: $17.17&#10;General Administration: $25.69&#10;Total: $22.28&#10;10 to 25:&#10;Vehicle Operations: $27.41&#10;Vehicle Maintenance: $31.70&#10;Facility Maintenance: $31.42&#10;General Administration: $28.85&#10;Total: $28.12&#10;25 to 50:&#10;Vehicle Operations: $22.06&#10;Vehicle Maintenance: $27.76&#10;Facility Maintenance: $29.38&#10;General Administration: $31.16&#10;Total: $24.06&#10;50 to 100:&#10;Vehicle Operations: $21.07&#10;Vehicle Maintenance: $24.30&#10;Facility Maintenance: $21.81&#10;General Administration: $26.99&#10;Total: $22.17&#10;100 to 250:&#10;Vehicle Operations: $23.28&#10;Vehicle Maintenance: $25.15&#10;Facility Maintenance: $21.96&#10;General Administration: $29.17&#10;Total: $24.17&#10;250 to 500:&#10;Vehicle Operations: $24.73&#10;Vehicle Maintenance: $28.53&#10;Facility Maintenance: $29.47&#10;General Administration: $32.63&#10;Total: $26.34&#10;500 to 1,000:&#10;Vehicle Operations: $29.15&#10;Vehicle Maintenance: $34.41&#10;Facility Maintenance: $34.52&#10;General Administration: $38.06&#10;Total: $31.51&#10;1,000 to 2,000:&#10;Vehicle Operations: $29.85&#10;Vehicle Maintenance: $32.33&#10;Facility Maintenance: $33.71&#10;General Administration: $37.24&#10;Total: $31.73&#10;Over 2,000:&#10;Vehicle Operations: $35.37&#10;Vehicle Maintenance: $34.04&#10;Facility Maintenance: $36.52&#10;General Administration: $48.44&#10;Total: $36.48" title="This bar chart shows average hourly wages by expense function for all agency size bins, from the table above called &quot;By Agency Size (Vehicles)&quot;.">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id="2" name="Table2" displayName="Table2" ref="F3:AB4" totalsRowShown="0" headerRowDxfId="137" dataDxfId="136" tableBorderDxfId="135">
  <autoFilter ref="F3:AB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_x000a_VOMS" dataDxfId="134">
      <calculatedColumnFormula>IF($AF$1,SUMIFS('All Employees by Mode'!L:L,'All Employees by Mode'!$BE:$BE,"=No"),SUM('All Employees by Mode'!L:L))</calculatedColumnFormula>
    </tableColumn>
    <tableColumn id="2" name="Vehicle Operations_x000a_Employee Work Hours" dataDxfId="133">
      <calculatedColumnFormula>IF($AF$1,SUMIFS('All Employees by Mode'!M:M,'All Employees by Mode'!$BE:$BE,"=No"),SUM('All Employees by Mode'!M:M))</calculatedColumnFormula>
    </tableColumn>
    <tableColumn id="3" name="Vehicle Maintenance_x000a_Employee Work Hours" dataDxfId="132">
      <calculatedColumnFormula>IF($AF$1,SUMIFS('All Employees by Mode'!O:O,'All Employees by Mode'!$BE:$BE,"=No"),SUM('All Employees by Mode'!O:O))</calculatedColumnFormula>
    </tableColumn>
    <tableColumn id="4" name="Facility Maintenance_x000a_Employee Work Hours" dataDxfId="131">
      <calculatedColumnFormula>IF($AF$1,SUMIFS('All Employees by Mode'!Q:Q,'All Employees by Mode'!$BE:$BE,"=No"),SUM('All Employees by Mode'!Q:Q))</calculatedColumnFormula>
    </tableColumn>
    <tableColumn id="5" name="General Administration_x000a_Employee Work Hours" dataDxfId="130">
      <calculatedColumnFormula>IF($AF$1,SUMIFS('All Employees by Mode'!S:S,'All Employees by Mode'!$BE:$BE,"=No"),SUM('All Employees by Mode'!S:S))</calculatedColumnFormula>
    </tableColumn>
    <tableColumn id="6" name="Capital_x000a_Employee Work Hours" dataDxfId="129">
      <calculatedColumnFormula>IF($AF$1,SUMIFS('All Employees by Mode'!U:U,'All Employees by Mode'!$BE:$BE,"=No"),SUM('All Employees by Mode'!U:U))</calculatedColumnFormula>
    </tableColumn>
    <tableColumn id="7" name="_x000a_Total Hours" dataDxfId="128">
      <calculatedColumnFormula>IF($AF$1,SUMIFS('All Employees by Mode'!W:W,'All Employees by Mode'!$BE:$BE,"=No"),SUM('All Employees by Mode'!W:W))</calculatedColumnFormula>
    </tableColumn>
    <tableColumn id="8" name="Vehicle Operations_x000a_Employee Count" dataDxfId="127">
      <calculatedColumnFormula>IF($AF$1,SUMIFS('All Employees by Mode'!Y:Y,'All Employees by Mode'!$BE:$BE,"=No"),SUM('All Employees by Mode'!Y:Y))</calculatedColumnFormula>
    </tableColumn>
    <tableColumn id="9" name="Vehicle Maintenance_x000a_Employee Count" dataDxfId="126">
      <calculatedColumnFormula>IF($AF$1,SUMIFS('All Employees by Mode'!AA:AA,'All Employees by Mode'!$BE:$BE,"=No"),SUM('All Employees by Mode'!AA:AA))</calculatedColumnFormula>
    </tableColumn>
    <tableColumn id="10" name="Facility Maintenance_x000a_Employee Count" dataDxfId="125">
      <calculatedColumnFormula>IF($AF$1,SUMIFS('All Employees by Mode'!AC:AC,'All Employees by Mode'!$BE:$BE,"=No"),SUM('All Employees by Mode'!AC:AC))</calculatedColumnFormula>
    </tableColumn>
    <tableColumn id="11" name="General Administration_x000a_Employee Count" dataDxfId="124">
      <calculatedColumnFormula>IF($AF$1,SUMIFS('All Employees by Mode'!AE:AE,'All Employees by Mode'!$BE:$BE,"=No"),SUM('All Employees by Mode'!AE:AE))</calculatedColumnFormula>
    </tableColumn>
    <tableColumn id="12" name="Capital_x000a_Employee Count" dataDxfId="123">
      <calculatedColumnFormula>IF($AF$1,SUMIFS('All Employees by Mode'!AG:AG,'All Employees by Mode'!$BE:$BE,"=No"),SUM('All Employees by Mode'!AG:AG))</calculatedColumnFormula>
    </tableColumn>
    <tableColumn id="13" name="_x000a_Total Count" dataDxfId="122">
      <calculatedColumnFormula>IF($AF$1,SUMIFS('All Employees by Mode'!AI:AI,'All Employees by Mode'!$BE:$BE,"=No"),SUM('All Employees by Mode'!AI:AI))</calculatedColumnFormula>
    </tableColumn>
    <tableColumn id="14" name="Vehicle Operations_x000a_Salary Expenses" dataDxfId="121">
      <calculatedColumnFormula>IF($AF$1,SUMIFS('All Employees by Mode'!AK:AK,'All Employees by Mode'!$BE:$BE,"=No"),SUM('All Employees by Mode'!AK:AK))</calculatedColumnFormula>
    </tableColumn>
    <tableColumn id="15" name="Vehicle Maintenance_x000a_Salary Expenses" dataDxfId="120">
      <calculatedColumnFormula>IF($AF$1,SUMIFS('All Employees by Mode'!AM:AM,'All Employees by Mode'!$BE:$BE,"=No"),SUM('All Employees by Mode'!AM:AM))</calculatedColumnFormula>
    </tableColumn>
    <tableColumn id="16" name="Facility Maintenance_x000a_Salary Expenses" dataDxfId="119">
      <calculatedColumnFormula>IF($AF$1,SUMIFS('All Employees by Mode'!AO:AO,'All Employees by Mode'!$BE:$BE,"=No"),SUM('All Employees by Mode'!AO:AO))</calculatedColumnFormula>
    </tableColumn>
    <tableColumn id="17" name="General Administration_x000a_Salary Expenses" dataDxfId="118">
      <calculatedColumnFormula>IF($AF$1,SUMIFS('All Employees by Mode'!AQ:AQ,'All Employees by Mode'!$BE:$BE,"=No"),SUM('All Employees by Mode'!AQ:AQ))</calculatedColumnFormula>
    </tableColumn>
    <tableColumn id="18" name="_x000a_Total Operating_x000a__x000a_Salary Expenses" dataDxfId="117">
      <calculatedColumnFormula>IF($AF$1,SUMIFS('All Employees by Mode'!AS:AS,'All Employees by Mode'!$BE:$BE,"=No"),SUM('All Employees by Mode'!AS:AS))</calculatedColumnFormula>
    </tableColumn>
    <tableColumn id="19" name="Vehicle Operations_x000a_Average Hourly Wage" dataDxfId="116">
      <calculatedColumnFormula>S4/G4</calculatedColumnFormula>
    </tableColumn>
    <tableColumn id="20" name="Vehicle Maintenance_x000a_Average Hourly Wage" dataDxfId="115">
      <calculatedColumnFormula>T4/H4</calculatedColumnFormula>
    </tableColumn>
    <tableColumn id="21" name="Facility Maintenance_x000a_Average Hourly Wage" dataDxfId="114">
      <calculatedColumnFormula>U4/I4</calculatedColumnFormula>
    </tableColumn>
    <tableColumn id="22" name="General Administration_x000a_Average Hourly Wage" dataDxfId="113">
      <calculatedColumnFormula>V4/J4</calculatedColumnFormula>
    </tableColumn>
    <tableColumn id="23" name="Total Operating_x000a_Average Hourly Wage" dataDxfId="112">
      <calculatedColumnFormula>W4/SUM(G4:J4)</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id="3" name="Table3" displayName="Table3" ref="E8:AB17" totalsRowShown="0" headerRowDxfId="111" dataDxfId="110" tableBorderDxfId="109">
  <autoFilter ref="E8:AB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Column1" dataDxfId="108">
      <calculatedColumnFormula>IFERROR(IF(A9="between",A9&amp;" "&amp;FIXED(B9,0,0)&amp;" "&amp;C9&amp;" "&amp;FIXED(D9,0,0),A9&amp;" "&amp;FIXED(B9,0,0)),"invalid bin")</calculatedColumnFormula>
    </tableColumn>
    <tableColumn id="2" name="_x000a_VOMS" dataDxfId="107">
      <calculatedColumnFormula>IF($AF$1,IF($A9="","",IF($A9="between",SUMIFS('All Employees by Mode'!L:L,'All Employees by Mode'!$H:$H,"&gt;="&amp;$B9,'All Employees by Mode'!$H:$H,"&lt;"&amp;$D9,'All Employees by Mode'!$BE:$BE,"=No"),SUMIFS('All Employees by Mode'!L:L,'All Employees by Mode'!$H:$H,"&gt;="&amp;$B9,'All Employees by Mode'!$BE:$BE,"=No"))),IF($A9="","",IF($A9="between",SUMIFS('All Employees by Mode'!L:L,'All Employees by Mode'!$H:$H,"&gt;="&amp;$B9,'All Employees by Mode'!$H:$H,"&lt;"&amp;$D9),SUMIFS('All Employees by Mode'!L:L,'All Employees by Mode'!$H:$H,"&gt;="&amp;$B9))))</calculatedColumnFormula>
    </tableColumn>
    <tableColumn id="3" name="Vehicle Operations_x000a_Employee Work Hours" dataDxfId="106">
      <calculatedColumnFormula>IF($AF$1,IF($A9="","",IF($A9="between",SUMIFS('All Employees by Mode'!M:M,'All Employees by Mode'!$H:$H,"&gt;="&amp;$B9,'All Employees by Mode'!$H:$H,"&lt;"&amp;$D9,'All Employees by Mode'!$BE:$BE,"=No"),SUMIFS('All Employees by Mode'!M:M,'All Employees by Mode'!$H:$H,"&gt;="&amp;$B9,'All Employees by Mode'!$BE:$BE,"=No"))),IF($A9="","",IF($A9="between",SUMIFS('All Employees by Mode'!M:M,'All Employees by Mode'!$H:$H,"&gt;="&amp;$B9,'All Employees by Mode'!$H:$H,"&lt;"&amp;$D9),SUMIFS('All Employees by Mode'!M:M,'All Employees by Mode'!$H:$H,"&gt;="&amp;$B9))))</calculatedColumnFormula>
    </tableColumn>
    <tableColumn id="4" name="Vehicle Maintenance_x000a_Employee Work Hours" dataDxfId="105">
      <calculatedColumnFormula>IF($AF$1,IF($A9="","",IF($A9="between",SUMIFS('All Employees by Mode'!O:O,'All Employees by Mode'!$H:$H,"&gt;="&amp;$B9,'All Employees by Mode'!$H:$H,"&lt;"&amp;$D9,'All Employees by Mode'!$BE:$BE,"=No"),SUMIFS('All Employees by Mode'!O:O,'All Employees by Mode'!$H:$H,"&gt;="&amp;$B9,'All Employees by Mode'!$BE:$BE,"=No"))),IF($A9="","",IF($A9="between",SUMIFS('All Employees by Mode'!O:O,'All Employees by Mode'!$H:$H,"&gt;="&amp;$B9,'All Employees by Mode'!$H:$H,"&lt;"&amp;$D9),SUMIFS('All Employees by Mode'!O:O,'All Employees by Mode'!$H:$H,"&gt;="&amp;$B9))))</calculatedColumnFormula>
    </tableColumn>
    <tableColumn id="5" name="Facility Maintenance_x000a_Employee Work Hours" dataDxfId="104">
      <calculatedColumnFormula>IF($AF$1,IF($A9="","",IF($A9="between",SUMIFS('All Employees by Mode'!Q:Q,'All Employees by Mode'!$H:$H,"&gt;="&amp;$B9,'All Employees by Mode'!$H:$H,"&lt;"&amp;$D9,'All Employees by Mode'!$BE:$BE,"=No"),SUMIFS('All Employees by Mode'!Q:Q,'All Employees by Mode'!$H:$H,"&gt;="&amp;$B9,'All Employees by Mode'!$BE:$BE,"=No"))),IF($A9="","",IF($A9="between",SUMIFS('All Employees by Mode'!Q:Q,'All Employees by Mode'!$H:$H,"&gt;="&amp;$B9,'All Employees by Mode'!$H:$H,"&lt;"&amp;$D9),SUMIFS('All Employees by Mode'!Q:Q,'All Employees by Mode'!$H:$H,"&gt;="&amp;$B9))))</calculatedColumnFormula>
    </tableColumn>
    <tableColumn id="6" name="General Administration_x000a_Employee Work Hours" dataDxfId="103">
      <calculatedColumnFormula>IF($AF$1,IF($A9="","",IF($A9="between",SUMIFS('All Employees by Mode'!S:S,'All Employees by Mode'!$H:$H,"&gt;="&amp;$B9,'All Employees by Mode'!$H:$H,"&lt;"&amp;$D9,'All Employees by Mode'!$BE:$BE,"=No"),SUMIFS('All Employees by Mode'!S:S,'All Employees by Mode'!$H:$H,"&gt;="&amp;$B9,'All Employees by Mode'!$BE:$BE,"=No"))),IF($A9="","",IF($A9="between",SUMIFS('All Employees by Mode'!S:S,'All Employees by Mode'!$H:$H,"&gt;="&amp;$B9,'All Employees by Mode'!$H:$H,"&lt;"&amp;$D9),SUMIFS('All Employees by Mode'!S:S,'All Employees by Mode'!$H:$H,"&gt;="&amp;$B9))))</calculatedColumnFormula>
    </tableColumn>
    <tableColumn id="7" name="Capital_x000a_Employee Work Hours" dataDxfId="102">
      <calculatedColumnFormula>IF($AF$1,IF($A9="","",IF($A9="between",SUMIFS('All Employees by Mode'!U:U,'All Employees by Mode'!$H:$H,"&gt;="&amp;$B9,'All Employees by Mode'!$H:$H,"&lt;"&amp;$D9,'All Employees by Mode'!$BE:$BE,"=No"),SUMIFS('All Employees by Mode'!U:U,'All Employees by Mode'!$H:$H,"&gt;="&amp;$B9,'All Employees by Mode'!$BE:$BE,"=No"))),IF($A9="","",IF($A9="between",SUMIFS('All Employees by Mode'!U:U,'All Employees by Mode'!$H:$H,"&gt;="&amp;$B9,'All Employees by Mode'!$H:$H,"&lt;"&amp;$D9),SUMIFS('All Employees by Mode'!U:U,'All Employees by Mode'!$H:$H,"&gt;="&amp;$B9))))</calculatedColumnFormula>
    </tableColumn>
    <tableColumn id="8" name="_x000a_Total Hours" dataDxfId="101">
      <calculatedColumnFormula>IF($AF$1,IF($A9="","",IF($A9="between",SUMIFS('All Employees by Mode'!W:W,'All Employees by Mode'!$H:$H,"&gt;="&amp;$B9,'All Employees by Mode'!$H:$H,"&lt;"&amp;$D9,'All Employees by Mode'!$BE:$BE,"=No"),SUMIFS('All Employees by Mode'!W:W,'All Employees by Mode'!$H:$H,"&gt;="&amp;$B9,'All Employees by Mode'!$BE:$BE,"=No"))),IF($A9="","",IF($A9="between",SUMIFS('All Employees by Mode'!W:W,'All Employees by Mode'!$H:$H,"&gt;="&amp;$B9,'All Employees by Mode'!$H:$H,"&lt;"&amp;$D9),SUMIFS('All Employees by Mode'!W:W,'All Employees by Mode'!$H:$H,"&gt;="&amp;$B9))))</calculatedColumnFormula>
    </tableColumn>
    <tableColumn id="9" name="Vehicle Operations_x000a_Employee Count" dataDxfId="100">
      <calculatedColumnFormula>IF($AF$1,IF($A9="","",IF($A9="between",SUMIFS('All Employees by Mode'!Y:Y,'All Employees by Mode'!$H:$H,"&gt;="&amp;$B9,'All Employees by Mode'!$H:$H,"&lt;"&amp;$D9,'All Employees by Mode'!$BE:$BE,"=No"),SUMIFS('All Employees by Mode'!Y:Y,'All Employees by Mode'!$H:$H,"&gt;="&amp;$B9,'All Employees by Mode'!$BE:$BE,"=No"))),IF($A9="","",IF($A9="between",SUMIFS('All Employees by Mode'!Y:Y,'All Employees by Mode'!$H:$H,"&gt;="&amp;$B9,'All Employees by Mode'!$H:$H,"&lt;"&amp;$D9),SUMIFS('All Employees by Mode'!Y:Y,'All Employees by Mode'!$H:$H,"&gt;="&amp;$B9))))</calculatedColumnFormula>
    </tableColumn>
    <tableColumn id="10" name="Vehicle Maintenance_x000a_Employee Count" dataDxfId="99">
      <calculatedColumnFormula>IF($AF$1,IF($A9="","",IF($A9="between",SUMIFS('All Employees by Mode'!AA:AA,'All Employees by Mode'!$H:$H,"&gt;="&amp;$B9,'All Employees by Mode'!$H:$H,"&lt;"&amp;$D9,'All Employees by Mode'!$BE:$BE,"=No"),SUMIFS('All Employees by Mode'!AA:AA,'All Employees by Mode'!$H:$H,"&gt;="&amp;$B9,'All Employees by Mode'!$BE:$BE,"=No"))),IF($A9="","",IF($A9="between",SUMIFS('All Employees by Mode'!AA:AA,'All Employees by Mode'!$H:$H,"&gt;="&amp;$B9,'All Employees by Mode'!$H:$H,"&lt;"&amp;$D9),SUMIFS('All Employees by Mode'!AA:AA,'All Employees by Mode'!$H:$H,"&gt;="&amp;$B9))))</calculatedColumnFormula>
    </tableColumn>
    <tableColumn id="11" name="Facility Maintenance_x000a_Employee Count" dataDxfId="98">
      <calculatedColumnFormula>IF($AF$1,IF($A9="","",IF($A9="between",SUMIFS('All Employees by Mode'!AC:AC,'All Employees by Mode'!$H:$H,"&gt;="&amp;$B9,'All Employees by Mode'!$H:$H,"&lt;"&amp;$D9,'All Employees by Mode'!$BE:$BE,"=No"),SUMIFS('All Employees by Mode'!AC:AC,'All Employees by Mode'!$H:$H,"&gt;="&amp;$B9,'All Employees by Mode'!$BE:$BE,"=No"))),IF($A9="","",IF($A9="between",SUMIFS('All Employees by Mode'!AC:AC,'All Employees by Mode'!$H:$H,"&gt;="&amp;$B9,'All Employees by Mode'!$H:$H,"&lt;"&amp;$D9),SUMIFS('All Employees by Mode'!AC:AC,'All Employees by Mode'!$H:$H,"&gt;="&amp;$B9))))</calculatedColumnFormula>
    </tableColumn>
    <tableColumn id="12" name="General Administration_x000a_Employee Count" dataDxfId="97">
      <calculatedColumnFormula>IF($AF$1,IF($A9="","",IF($A9="between",SUMIFS('All Employees by Mode'!AE:AE,'All Employees by Mode'!$H:$H,"&gt;="&amp;$B9,'All Employees by Mode'!$H:$H,"&lt;"&amp;$D9,'All Employees by Mode'!$BE:$BE,"=No"),SUMIFS('All Employees by Mode'!AE:AE,'All Employees by Mode'!$H:$H,"&gt;="&amp;$B9,'All Employees by Mode'!$BE:$BE,"=No"))),IF($A9="","",IF($A9="between",SUMIFS('All Employees by Mode'!AE:AE,'All Employees by Mode'!$H:$H,"&gt;="&amp;$B9,'All Employees by Mode'!$H:$H,"&lt;"&amp;$D9),SUMIFS('All Employees by Mode'!AE:AE,'All Employees by Mode'!$H:$H,"&gt;="&amp;$B9))))</calculatedColumnFormula>
    </tableColumn>
    <tableColumn id="13" name="Capital_x000a_Employee Count" dataDxfId="96">
      <calculatedColumnFormula>IF($AF$1,IF($A9="","",IF($A9="between",SUMIFS('All Employees by Mode'!AG:AG,'All Employees by Mode'!$H:$H,"&gt;="&amp;$B9,'All Employees by Mode'!$H:$H,"&lt;"&amp;$D9,'All Employees by Mode'!$BE:$BE,"=No"),SUMIFS('All Employees by Mode'!AG:AG,'All Employees by Mode'!$H:$H,"&gt;="&amp;$B9,'All Employees by Mode'!$BE:$BE,"=No"))),IF($A9="","",IF($A9="between",SUMIFS('All Employees by Mode'!AG:AG,'All Employees by Mode'!$H:$H,"&gt;="&amp;$B9,'All Employees by Mode'!$H:$H,"&lt;"&amp;$D9),SUMIFS('All Employees by Mode'!AG:AG,'All Employees by Mode'!$H:$H,"&gt;="&amp;$B9))))</calculatedColumnFormula>
    </tableColumn>
    <tableColumn id="14" name="_x000a_Total Count" dataDxfId="95">
      <calculatedColumnFormula>IF($AF$1,IF($A9="","",IF($A9="between",SUMIFS('All Employees by Mode'!AI:AI,'All Employees by Mode'!$H:$H,"&gt;="&amp;$B9,'All Employees by Mode'!$H:$H,"&lt;"&amp;$D9,'All Employees by Mode'!$BE:$BE,"=No"),SUMIFS('All Employees by Mode'!AI:AI,'All Employees by Mode'!$H:$H,"&gt;="&amp;$B9,'All Employees by Mode'!$BE:$BE,"=No"))),IF($A9="","",IF($A9="between",SUMIFS('All Employees by Mode'!AI:AI,'All Employees by Mode'!$H:$H,"&gt;="&amp;$B9,'All Employees by Mode'!$H:$H,"&lt;"&amp;$D9),SUMIFS('All Employees by Mode'!AI:AI,'All Employees by Mode'!$H:$H,"&gt;="&amp;$B9))))</calculatedColumnFormula>
    </tableColumn>
    <tableColumn id="15" name="Vehicle Operations_x000a_Salary Expenses" dataDxfId="94">
      <calculatedColumnFormula>IF($AF$1,IF($A9="","",IF($A9="between",SUMIFS('All Employees by Mode'!AK:AK,'All Employees by Mode'!$H:$H,"&gt;="&amp;$B9,'All Employees by Mode'!$H:$H,"&lt;"&amp;$D9,'All Employees by Mode'!$BE:$BE,"=No"),SUMIFS('All Employees by Mode'!AK:AK,'All Employees by Mode'!$H:$H,"&gt;="&amp;$B9,'All Employees by Mode'!$BE:$BE,"=No"))),IF($A9="","",IF($A9="between",SUMIFS('All Employees by Mode'!AK:AK,'All Employees by Mode'!$H:$H,"&gt;="&amp;$B9,'All Employees by Mode'!$H:$H,"&lt;"&amp;$D9),SUMIFS('All Employees by Mode'!AK:AK,'All Employees by Mode'!$H:$H,"&gt;="&amp;$B9))))</calculatedColumnFormula>
    </tableColumn>
    <tableColumn id="16" name="Vehicle Maintenance_x000a_Salary Expenses" dataDxfId="93">
      <calculatedColumnFormula>IF($AF$1,IF($A9="","",IF($A9="between",SUMIFS('All Employees by Mode'!AM:AM,'All Employees by Mode'!$H:$H,"&gt;="&amp;$B9,'All Employees by Mode'!$H:$H,"&lt;"&amp;$D9,'All Employees by Mode'!$BE:$BE,"=No"),SUMIFS('All Employees by Mode'!AM:AM,'All Employees by Mode'!$H:$H,"&gt;="&amp;$B9,'All Employees by Mode'!$BE:$BE,"=No"))),IF($A9="","",IF($A9="between",SUMIFS('All Employees by Mode'!AM:AM,'All Employees by Mode'!$H:$H,"&gt;="&amp;$B9,'All Employees by Mode'!$H:$H,"&lt;"&amp;$D9),SUMIFS('All Employees by Mode'!AM:AM,'All Employees by Mode'!$H:$H,"&gt;="&amp;$B9))))</calculatedColumnFormula>
    </tableColumn>
    <tableColumn id="17" name="Facility Maintenance_x000a_Salary Expenses" dataDxfId="92">
      <calculatedColumnFormula>IF($AF$1,IF($A9="","",IF($A9="between",SUMIFS('All Employees by Mode'!AO:AO,'All Employees by Mode'!$H:$H,"&gt;="&amp;$B9,'All Employees by Mode'!$H:$H,"&lt;"&amp;$D9,'All Employees by Mode'!$BE:$BE,"=No"),SUMIFS('All Employees by Mode'!AO:AO,'All Employees by Mode'!$H:$H,"&gt;="&amp;$B9,'All Employees by Mode'!$BE:$BE,"=No"))),IF($A9="","",IF($A9="between",SUMIFS('All Employees by Mode'!AO:AO,'All Employees by Mode'!$H:$H,"&gt;="&amp;$B9,'All Employees by Mode'!$H:$H,"&lt;"&amp;$D9),SUMIFS('All Employees by Mode'!AO:AO,'All Employees by Mode'!$H:$H,"&gt;="&amp;$B9))))</calculatedColumnFormula>
    </tableColumn>
    <tableColumn id="18" name="General Administration_x000a_Salary Expenses" dataDxfId="91">
      <calculatedColumnFormula>IF($AF$1,IF($A9="","",IF($A9="between",SUMIFS('All Employees by Mode'!AQ:AQ,'All Employees by Mode'!$H:$H,"&gt;="&amp;$B9,'All Employees by Mode'!$H:$H,"&lt;"&amp;$D9,'All Employees by Mode'!$BE:$BE,"=No"),SUMIFS('All Employees by Mode'!AQ:AQ,'All Employees by Mode'!$H:$H,"&gt;="&amp;$B9,'All Employees by Mode'!$BE:$BE,"=No"))),IF($A9="","",IF($A9="between",SUMIFS('All Employees by Mode'!AQ:AQ,'All Employees by Mode'!$H:$H,"&gt;="&amp;$B9,'All Employees by Mode'!$H:$H,"&lt;"&amp;$D9),SUMIFS('All Employees by Mode'!AQ:AQ,'All Employees by Mode'!$H:$H,"&gt;="&amp;$B9))))</calculatedColumnFormula>
    </tableColumn>
    <tableColumn id="19" name="_x000a_Total Operating_x000a__x000a_Salary Expenses" dataDxfId="90">
      <calculatedColumnFormula>IF($AF$1,IF($A9="","",IF($A9="between",SUMIFS('All Employees by Mode'!AS:AS,'All Employees by Mode'!$H:$H,"&gt;="&amp;$B9,'All Employees by Mode'!$H:$H,"&lt;"&amp;$D9,'All Employees by Mode'!$BE:$BE,"=No"),SUMIFS('All Employees by Mode'!AS:AS,'All Employees by Mode'!$H:$H,"&gt;="&amp;$B9,'All Employees by Mode'!$BE:$BE,"=No"))),IF($A9="","",IF($A9="between",SUMIFS('All Employees by Mode'!AS:AS,'All Employees by Mode'!$H:$H,"&gt;="&amp;$B9,'All Employees by Mode'!$H:$H,"&lt;"&amp;$D9),SUMIFS('All Employees by Mode'!AS:AS,'All Employees by Mode'!$H:$H,"&gt;="&amp;$B9))))</calculatedColumnFormula>
    </tableColumn>
    <tableColumn id="20" name="Vehicle Operations_x000a_Average Hourly Wage" dataDxfId="89">
      <calculatedColumnFormula>IFERROR(IF($A9="","",S9/G9),"-")</calculatedColumnFormula>
    </tableColumn>
    <tableColumn id="21" name="Vehicle Maintenance_x000a_Average Hourly Wage" dataDxfId="88">
      <calculatedColumnFormula>IFERROR(IF($A9="","",T9/H9),"-")</calculatedColumnFormula>
    </tableColumn>
    <tableColumn id="22" name="Facility Maintenance_x000a_Average Hourly Wage" dataDxfId="87">
      <calculatedColumnFormula>IFERROR(IF($A9="","",U9/I9),"-")</calculatedColumnFormula>
    </tableColumn>
    <tableColumn id="23" name="General Administration_x000a_Average Hourly Wage" dataDxfId="86">
      <calculatedColumnFormula>IFERROR(IF($A9="","",V9/J9),"-")</calculatedColumnFormula>
    </tableColumn>
    <tableColumn id="24" name="Total Operating_x000a_Average Hourly Wage" dataDxfId="85">
      <calculatedColumnFormula>IFERROR(IF($A9="","",W9/SUM(G9:J9)),"-")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id="4" name="Table4" displayName="Table4" ref="B23:AB38" totalsRowShown="0" headerRowDxfId="84" dataDxfId="83" tableBorderDxfId="82">
  <autoFilter ref="B23:AB3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Description" dataDxfId="81"/>
    <tableColumn id="2" name="Column1" dataDxfId="80"/>
    <tableColumn id="3" name="Column2" dataDxfId="79"/>
    <tableColumn id="4" name="Column3" dataDxfId="78"/>
    <tableColumn id="5" name="_x000a_VOMS" dataDxfId="77">
      <calculatedColumnFormula>IF($AF$1,SUMIFS('All Employees by Mode'!L:L,'All Employees by Mode'!$J:$J,"="&amp;$A24,'All Employees by Mode'!$BE:$BE,"=No"),SUMIFS('All Employees by Mode'!L:L,'All Employees by Mode'!$J:$J,"="&amp;$A24))</calculatedColumnFormula>
    </tableColumn>
    <tableColumn id="6" name="Vehicle Operations_x000a_Employee Work Hours" dataDxfId="76">
      <calculatedColumnFormula>IF($AF$1,SUMIFS('All Employees by Mode'!M:M,'All Employees by Mode'!$J:$J,"="&amp;$A24,'All Employees by Mode'!$BE:$BE,"=No"),SUMIFS('All Employees by Mode'!M:M,'All Employees by Mode'!$J:$J,"="&amp;$A24))</calculatedColumnFormula>
    </tableColumn>
    <tableColumn id="7" name="Vehicle Maintenance_x000a_Employee Work Hours" dataDxfId="75">
      <calculatedColumnFormula>IF($AF$1,SUMIFS('All Employees by Mode'!O:O,'All Employees by Mode'!$J:$J,"="&amp;$A24,'All Employees by Mode'!$BE:$BE,"=No"),SUMIFS('All Employees by Mode'!O:O,'All Employees by Mode'!$J:$J,"="&amp;$A24))</calculatedColumnFormula>
    </tableColumn>
    <tableColumn id="8" name="Facility Maintenance_x000a_Employee Work Hours" dataDxfId="74">
      <calculatedColumnFormula>IF($AF$1,SUMIFS('All Employees by Mode'!Q:Q,'All Employees by Mode'!$J:$J,"="&amp;$A24,'All Employees by Mode'!$BE:$BE,"=No"),SUMIFS('All Employees by Mode'!Q:Q,'All Employees by Mode'!$J:$J,"="&amp;$A24))</calculatedColumnFormula>
    </tableColumn>
    <tableColumn id="9" name="General Administration_x000a_Employee Work Hours" dataDxfId="73">
      <calculatedColumnFormula>IF($AF$1,SUMIFS('All Employees by Mode'!S:S,'All Employees by Mode'!$J:$J,"="&amp;$A24,'All Employees by Mode'!$BE:$BE,"=No"),SUMIFS('All Employees by Mode'!S:S,'All Employees by Mode'!$J:$J,"="&amp;$A24))</calculatedColumnFormula>
    </tableColumn>
    <tableColumn id="10" name="Capital_x000a_Employee Work Hours" dataDxfId="72">
      <calculatedColumnFormula>IF($AF$1,SUMIFS('All Employees by Mode'!U:U,'All Employees by Mode'!$J:$J,"="&amp;$A24,'All Employees by Mode'!$BE:$BE,"=No"),SUMIFS('All Employees by Mode'!U:U,'All Employees by Mode'!$J:$J,"="&amp;$A24))</calculatedColumnFormula>
    </tableColumn>
    <tableColumn id="11" name="_x000a_Total Hours" dataDxfId="71">
      <calculatedColumnFormula>IF($AF$1,SUMIFS('All Employees by Mode'!W:W,'All Employees by Mode'!$J:$J,"="&amp;$A24,'All Employees by Mode'!$BE:$BE,"=No"),SUMIFS('All Employees by Mode'!W:W,'All Employees by Mode'!$J:$J,"="&amp;$A24))</calculatedColumnFormula>
    </tableColumn>
    <tableColumn id="12" name="Vehicle Operations_x000a_Employee Count" dataDxfId="70">
      <calculatedColumnFormula>IF($AF$1,SUMIFS('All Employees by Mode'!Y:Y,'All Employees by Mode'!$J:$J,"="&amp;$A24,'All Employees by Mode'!$BE:$BE,"=No"),SUMIFS('All Employees by Mode'!Y:Y,'All Employees by Mode'!$J:$J,"="&amp;$A24))</calculatedColumnFormula>
    </tableColumn>
    <tableColumn id="13" name="Vehicle Maintenance_x000a_Employee Count" dataDxfId="69">
      <calculatedColumnFormula>IF($AF$1,SUMIFS('All Employees by Mode'!AA:AA,'All Employees by Mode'!$J:$J,"="&amp;$A24,'All Employees by Mode'!$BE:$BE,"=No"),SUMIFS('All Employees by Mode'!AA:AA,'All Employees by Mode'!$J:$J,"="&amp;$A24))</calculatedColumnFormula>
    </tableColumn>
    <tableColumn id="14" name="Facility Maintenance_x000a_Employee Count" dataDxfId="68">
      <calculatedColumnFormula>IF($AF$1,SUMIFS('All Employees by Mode'!AC:AC,'All Employees by Mode'!$J:$J,"="&amp;$A24,'All Employees by Mode'!$BE:$BE,"=No"),SUMIFS('All Employees by Mode'!AC:AC,'All Employees by Mode'!$J:$J,"="&amp;$A24))</calculatedColumnFormula>
    </tableColumn>
    <tableColumn id="15" name="General Administration_x000a_Employee Count" dataDxfId="67">
      <calculatedColumnFormula>IF($AF$1,SUMIFS('All Employees by Mode'!AE:AE,'All Employees by Mode'!$J:$J,"="&amp;$A24,'All Employees by Mode'!$BE:$BE,"=No"),SUMIFS('All Employees by Mode'!AE:AE,'All Employees by Mode'!$J:$J,"="&amp;$A24))</calculatedColumnFormula>
    </tableColumn>
    <tableColumn id="16" name="Capital_x000a_Employee Count" dataDxfId="66">
      <calculatedColumnFormula>IF($AF$1,SUMIFS('All Employees by Mode'!AG:AG,'All Employees by Mode'!$J:$J,"="&amp;$A24,'All Employees by Mode'!$BE:$BE,"=No"),SUMIFS('All Employees by Mode'!AG:AG,'All Employees by Mode'!$J:$J,"="&amp;$A24))</calculatedColumnFormula>
    </tableColumn>
    <tableColumn id="17" name="_x000a_Total Count" dataDxfId="65">
      <calculatedColumnFormula>IF($AF$1,SUMIFS('All Employees by Mode'!AI:AI,'All Employees by Mode'!$J:$J,"="&amp;$A24,'All Employees by Mode'!$BE:$BE,"=No"),SUMIFS('All Employees by Mode'!AI:AI,'All Employees by Mode'!$J:$J,"="&amp;$A24))</calculatedColumnFormula>
    </tableColumn>
    <tableColumn id="18" name="Vehicle Operations_x000a_Salary Expenses" dataDxfId="64">
      <calculatedColumnFormula>IF($AF$1,SUMIFS('All Employees by Mode'!AK:AK,'All Employees by Mode'!$J:$J,"="&amp;$A24,'All Employees by Mode'!$BE:$BE,"=No"),SUMIFS('All Employees by Mode'!AK:AK,'All Employees by Mode'!$J:$J,"="&amp;$A24))</calculatedColumnFormula>
    </tableColumn>
    <tableColumn id="19" name="Vehicle Maintenance_x000a_Salary Expenses" dataDxfId="63">
      <calculatedColumnFormula>IF($AF$1,SUMIFS('All Employees by Mode'!AM:AM,'All Employees by Mode'!$J:$J,"="&amp;$A24,'All Employees by Mode'!$BE:$BE,"=No"),SUMIFS('All Employees by Mode'!AM:AM,'All Employees by Mode'!$J:$J,"="&amp;$A24))</calculatedColumnFormula>
    </tableColumn>
    <tableColumn id="20" name="Facility Maintenance_x000a_Salary Expenses" dataDxfId="62">
      <calculatedColumnFormula>IF($AF$1,SUMIFS('All Employees by Mode'!AO:AO,'All Employees by Mode'!$J:$J,"="&amp;$A24,'All Employees by Mode'!$BE:$BE,"=No"),SUMIFS('All Employees by Mode'!AO:AO,'All Employees by Mode'!$J:$J,"="&amp;$A24))</calculatedColumnFormula>
    </tableColumn>
    <tableColumn id="21" name="General Administration_x000a_Salary Expenses" dataDxfId="61">
      <calculatedColumnFormula>IF($AF$1,SUMIFS('All Employees by Mode'!AQ:AQ,'All Employees by Mode'!$J:$J,"="&amp;$A24,'All Employees by Mode'!$BE:$BE,"=No"),SUMIFS('All Employees by Mode'!AQ:AQ,'All Employees by Mode'!$J:$J,"="&amp;$A24))</calculatedColumnFormula>
    </tableColumn>
    <tableColumn id="22" name="_x000a_Total Operating_x000a__x000a_Salary Expenses" dataDxfId="60">
      <calculatedColumnFormula>IF($AF$1,SUMIFS('All Employees by Mode'!AS:AS,'All Employees by Mode'!$J:$J,"="&amp;$A24,'All Employees by Mode'!$BE:$BE,"=No"),SUMIFS('All Employees by Mode'!AS:AS,'All Employees by Mode'!$J:$J,"="&amp;$A24))</calculatedColumnFormula>
    </tableColumn>
    <tableColumn id="23" name="Vehicle Operations_x000a_Average Hourly Wage" dataDxfId="59">
      <calculatedColumnFormula>IFERROR(S24/G24,"-")</calculatedColumnFormula>
    </tableColumn>
    <tableColumn id="24" name="Vehicle Maintenance_x000a_Average Hourly Wage" dataDxfId="58">
      <calculatedColumnFormula>IFERROR(T24/H24,"-")</calculatedColumnFormula>
    </tableColumn>
    <tableColumn id="25" name="Facility Maintenance_x000a_Average Hourly Wage" dataDxfId="57">
      <calculatedColumnFormula>IFERROR(U24/I24,"-")</calculatedColumnFormula>
    </tableColumn>
    <tableColumn id="26" name="General Administration_x000a_Average Hourly Wage" dataDxfId="56">
      <calculatedColumnFormula>IFERROR(V24/J24,"-")</calculatedColumnFormula>
    </tableColumn>
    <tableColumn id="27" name="Total Operating_x000a_Average Hourly Wage" dataDxfId="55">
      <calculatedColumnFormula>IFERROR(W24/SUM(G24:J24),"-")</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ltTextSummary="You can alter the content of this table to include or exclude questionable data using the accessible control panel."/>
    </ext>
  </extLst>
</table>
</file>

<file path=xl/tables/table4.xml><?xml version="1.0" encoding="utf-8"?>
<table xmlns="http://schemas.openxmlformats.org/spreadsheetml/2006/main" id="5" name="Table5" displayName="Table5" ref="E42:AB51" totalsRowShown="0" headerRowDxfId="54" dataDxfId="53" tableBorderDxfId="52">
  <autoFilter ref="E42:AB5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Column1" dataDxfId="51">
      <calculatedColumnFormula>IFERROR(IF(A43="between",A43&amp;" "&amp;FIXED(B43,0,0)&amp;" "&amp;C43&amp;" "&amp;FIXED(D43,0,0),A43&amp;" "&amp;FIXED(B43,0,0)),"invalid bin")</calculatedColumnFormula>
    </tableColumn>
    <tableColumn id="2" name="_x000a_VOMS" dataDxfId="50">
      <calculatedColumnFormula>IF($AF$1,IF($A43="","",IF($A43="between",SUMIFS('All Employees by Mode'!L:L,'All Employees by Mode'!$I:$I,"&gt;="&amp;$B43,'All Employees by Mode'!$I:$I,"&lt;"&amp;$D43,'All Employees by Mode'!$BE:$BE,"=No"),SUMIFS('All Employees by Mode'!L:L,'All Employees by Mode'!$I:$I,"&gt;="&amp;$B43,'All Employees by Mode'!$BE:$BE,"=No"))),IF($A43="","",IF($A43="between",SUMIFS('All Employees by Mode'!L:L,'All Employees by Mode'!$I:$I,"&gt;="&amp;$B43,'All Employees by Mode'!$I:$I,"&lt;"&amp;$D43),SUMIFS('All Employees by Mode'!L:L,'All Employees by Mode'!$I:$I,"&gt;="&amp;$B43))))</calculatedColumnFormula>
    </tableColumn>
    <tableColumn id="3" name="Vehicle Operations_x000a_Employee Work Hours" dataDxfId="49">
      <calculatedColumnFormula>IF($AF$1,IF($A43="","",IF($A43="between",SUMIFS('All Employees by Mode'!M:M,'All Employees by Mode'!$I:$I,"&gt;="&amp;$B43,'All Employees by Mode'!$I:$I,"&lt;"&amp;$D43,'All Employees by Mode'!$BE:$BE,"=No"),SUMIFS('All Employees by Mode'!M:M,'All Employees by Mode'!$I:$I,"&gt;="&amp;$B43,'All Employees by Mode'!$BE:$BE,"=No"))),IF($A43="","",IF($A43="between",SUMIFS('All Employees by Mode'!M:M,'All Employees by Mode'!$I:$I,"&gt;="&amp;$B43,'All Employees by Mode'!$I:$I,"&lt;"&amp;$D43),SUMIFS('All Employees by Mode'!M:M,'All Employees by Mode'!$I:$I,"&gt;="&amp;$B43))))</calculatedColumnFormula>
    </tableColumn>
    <tableColumn id="4" name="Vehicle Maintenance_x000a_Employee Work Hours" dataDxfId="48">
      <calculatedColumnFormula>IF($AF$1,IF($A43="","",IF($A43="between",SUMIFS('All Employees by Mode'!O:O,'All Employees by Mode'!$I:$I,"&gt;="&amp;$B43,'All Employees by Mode'!$I:$I,"&lt;"&amp;$D43,'All Employees by Mode'!$BE:$BE,"=No"),SUMIFS('All Employees by Mode'!O:O,'All Employees by Mode'!$I:$I,"&gt;="&amp;$B43,'All Employees by Mode'!$BE:$BE,"=No"))),IF($A43="","",IF($A43="between",SUMIFS('All Employees by Mode'!O:O,'All Employees by Mode'!$I:$I,"&gt;="&amp;$B43,'All Employees by Mode'!$I:$I,"&lt;"&amp;$D43),SUMIFS('All Employees by Mode'!O:O,'All Employees by Mode'!$I:$I,"&gt;="&amp;$B43))))</calculatedColumnFormula>
    </tableColumn>
    <tableColumn id="5" name="Facility Maintenance_x000a_Employee Work Hours" dataDxfId="47">
      <calculatedColumnFormula>IF($AF$1,IF($A43="","",IF($A43="between",SUMIFS('All Employees by Mode'!Q:Q,'All Employees by Mode'!$I:$I,"&gt;="&amp;$B43,'All Employees by Mode'!$I:$I,"&lt;"&amp;$D43,'All Employees by Mode'!$BE:$BE,"=No"),SUMIFS('All Employees by Mode'!Q:Q,'All Employees by Mode'!$I:$I,"&gt;="&amp;$B43,'All Employees by Mode'!$BE:$BE,"=No"))),IF($A43="","",IF($A43="between",SUMIFS('All Employees by Mode'!Q:Q,'All Employees by Mode'!$I:$I,"&gt;="&amp;$B43,'All Employees by Mode'!$I:$I,"&lt;"&amp;$D43),SUMIFS('All Employees by Mode'!Q:Q,'All Employees by Mode'!$I:$I,"&gt;="&amp;$B43))))</calculatedColumnFormula>
    </tableColumn>
    <tableColumn id="6" name="General Administration_x000a_Employee Work Hours" dataDxfId="46">
      <calculatedColumnFormula>IF($AF$1,IF($A43="","",IF($A43="between",SUMIFS('All Employees by Mode'!S:S,'All Employees by Mode'!$I:$I,"&gt;="&amp;$B43,'All Employees by Mode'!$I:$I,"&lt;"&amp;$D43,'All Employees by Mode'!$BE:$BE,"=No"),SUMIFS('All Employees by Mode'!S:S,'All Employees by Mode'!$I:$I,"&gt;="&amp;$B43,'All Employees by Mode'!$BE:$BE,"=No"))),IF($A43="","",IF($A43="between",SUMIFS('All Employees by Mode'!S:S,'All Employees by Mode'!$I:$I,"&gt;="&amp;$B43,'All Employees by Mode'!$I:$I,"&lt;"&amp;$D43),SUMIFS('All Employees by Mode'!S:S,'All Employees by Mode'!$I:$I,"&gt;="&amp;$B43))))</calculatedColumnFormula>
    </tableColumn>
    <tableColumn id="7" name="Capital_x000a_Employee Work Hours" dataDxfId="45">
      <calculatedColumnFormula>IF($AF$1,IF($A43="","",IF($A43="between",SUMIFS('All Employees by Mode'!U:U,'All Employees by Mode'!$I:$I,"&gt;="&amp;$B43,'All Employees by Mode'!$I:$I,"&lt;"&amp;$D43,'All Employees by Mode'!$BE:$BE,"=No"),SUMIFS('All Employees by Mode'!U:U,'All Employees by Mode'!$I:$I,"&gt;="&amp;$B43,'All Employees by Mode'!$BE:$BE,"=No"))),IF($A43="","",IF($A43="between",SUMIFS('All Employees by Mode'!U:U,'All Employees by Mode'!$I:$I,"&gt;="&amp;$B43,'All Employees by Mode'!$I:$I,"&lt;"&amp;$D43),SUMIFS('All Employees by Mode'!U:U,'All Employees by Mode'!$I:$I,"&gt;="&amp;$B43))))</calculatedColumnFormula>
    </tableColumn>
    <tableColumn id="8" name="_x000a_Total Hours" dataDxfId="44">
      <calculatedColumnFormula>IF($AF$1,IF($A43="","",IF($A43="between",SUMIFS('All Employees by Mode'!W:W,'All Employees by Mode'!$I:$I,"&gt;="&amp;$B43,'All Employees by Mode'!$I:$I,"&lt;"&amp;$D43,'All Employees by Mode'!$BE:$BE,"=No"),SUMIFS('All Employees by Mode'!W:W,'All Employees by Mode'!$I:$I,"&gt;="&amp;$B43,'All Employees by Mode'!$BE:$BE,"=No"))),IF($A43="","",IF($A43="between",SUMIFS('All Employees by Mode'!W:W,'All Employees by Mode'!$I:$I,"&gt;="&amp;$B43,'All Employees by Mode'!$I:$I,"&lt;"&amp;$D43),SUMIFS('All Employees by Mode'!W:W,'All Employees by Mode'!$I:$I,"&gt;="&amp;$B43))))</calculatedColumnFormula>
    </tableColumn>
    <tableColumn id="9" name="Vehicle Operations_x000a_Employee Count" dataDxfId="43">
      <calculatedColumnFormula>IF($AF$1,IF($A43="","",IF($A43="between",SUMIFS('All Employees by Mode'!Y:Y,'All Employees by Mode'!$I:$I,"&gt;="&amp;$B43,'All Employees by Mode'!$I:$I,"&lt;"&amp;$D43,'All Employees by Mode'!$BE:$BE,"=No"),SUMIFS('All Employees by Mode'!Y:Y,'All Employees by Mode'!$I:$I,"&gt;="&amp;$B43,'All Employees by Mode'!$BE:$BE,"=No"))),IF($A43="","",IF($A43="between",SUMIFS('All Employees by Mode'!Y:Y,'All Employees by Mode'!$I:$I,"&gt;="&amp;$B43,'All Employees by Mode'!$I:$I,"&lt;"&amp;$D43),SUMIFS('All Employees by Mode'!Y:Y,'All Employees by Mode'!$I:$I,"&gt;="&amp;$B43))))</calculatedColumnFormula>
    </tableColumn>
    <tableColumn id="10" name="Vehicle Maintenance_x000a_Employee Count" dataDxfId="42">
      <calculatedColumnFormula>IF($AF$1,IF($A43="","",IF($A43="between",SUMIFS('All Employees by Mode'!AA:AA,'All Employees by Mode'!$I:$I,"&gt;="&amp;$B43,'All Employees by Mode'!$I:$I,"&lt;"&amp;$D43,'All Employees by Mode'!$BE:$BE,"=No"),SUMIFS('All Employees by Mode'!AA:AA,'All Employees by Mode'!$I:$I,"&gt;="&amp;$B43,'All Employees by Mode'!$BE:$BE,"=No"))),IF($A43="","",IF($A43="between",SUMIFS('All Employees by Mode'!AA:AA,'All Employees by Mode'!$I:$I,"&gt;="&amp;$B43,'All Employees by Mode'!$I:$I,"&lt;"&amp;$D43),SUMIFS('All Employees by Mode'!AA:AA,'All Employees by Mode'!$I:$I,"&gt;="&amp;$B43))))</calculatedColumnFormula>
    </tableColumn>
    <tableColumn id="11" name="Facility Maintenance_x000a_Employee Count" dataDxfId="41">
      <calculatedColumnFormula>IF($AF$1,IF($A43="","",IF($A43="between",SUMIFS('All Employees by Mode'!AC:AC,'All Employees by Mode'!$I:$I,"&gt;="&amp;$B43,'All Employees by Mode'!$I:$I,"&lt;"&amp;$D43,'All Employees by Mode'!$BE:$BE,"=No"),SUMIFS('All Employees by Mode'!AC:AC,'All Employees by Mode'!$I:$I,"&gt;="&amp;$B43,'All Employees by Mode'!$BE:$BE,"=No"))),IF($A43="","",IF($A43="between",SUMIFS('All Employees by Mode'!AC:AC,'All Employees by Mode'!$I:$I,"&gt;="&amp;$B43,'All Employees by Mode'!$I:$I,"&lt;"&amp;$D43),SUMIFS('All Employees by Mode'!AC:AC,'All Employees by Mode'!$I:$I,"&gt;="&amp;$B43))))</calculatedColumnFormula>
    </tableColumn>
    <tableColumn id="12" name="General Administration_x000a_Employee Count" dataDxfId="40">
      <calculatedColumnFormula>IF($AF$1,IF($A43="","",IF($A43="between",SUMIFS('All Employees by Mode'!AE:AE,'All Employees by Mode'!$I:$I,"&gt;="&amp;$B43,'All Employees by Mode'!$I:$I,"&lt;"&amp;$D43,'All Employees by Mode'!$BE:$BE,"=No"),SUMIFS('All Employees by Mode'!AE:AE,'All Employees by Mode'!$I:$I,"&gt;="&amp;$B43,'All Employees by Mode'!$BE:$BE,"=No"))),IF($A43="","",IF($A43="between",SUMIFS('All Employees by Mode'!AE:AE,'All Employees by Mode'!$I:$I,"&gt;="&amp;$B43,'All Employees by Mode'!$I:$I,"&lt;"&amp;$D43),SUMIFS('All Employees by Mode'!AE:AE,'All Employees by Mode'!$I:$I,"&gt;="&amp;$B43))))</calculatedColumnFormula>
    </tableColumn>
    <tableColumn id="13" name="Capital_x000a_Employee Count" dataDxfId="39">
      <calculatedColumnFormula>IF($AF$1,IF($A43="","",IF($A43="between",SUMIFS('All Employees by Mode'!AG:AG,'All Employees by Mode'!$I:$I,"&gt;="&amp;$B43,'All Employees by Mode'!$I:$I,"&lt;"&amp;$D43,'All Employees by Mode'!$BE:$BE,"=No"),SUMIFS('All Employees by Mode'!AG:AG,'All Employees by Mode'!$I:$I,"&gt;="&amp;$B43,'All Employees by Mode'!$BE:$BE,"=No"))),IF($A43="","",IF($A43="between",SUMIFS('All Employees by Mode'!AG:AG,'All Employees by Mode'!$I:$I,"&gt;="&amp;$B43,'All Employees by Mode'!$I:$I,"&lt;"&amp;$D43),SUMIFS('All Employees by Mode'!AG:AG,'All Employees by Mode'!$I:$I,"&gt;="&amp;$B43))))</calculatedColumnFormula>
    </tableColumn>
    <tableColumn id="14" name="_x000a_Total Count" dataDxfId="38">
      <calculatedColumnFormula>IF($AF$1,IF($A43="","",IF($A43="between",SUMIFS('All Employees by Mode'!AI:AI,'All Employees by Mode'!$I:$I,"&gt;="&amp;$B43,'All Employees by Mode'!$I:$I,"&lt;"&amp;$D43,'All Employees by Mode'!$BE:$BE,"=No"),SUMIFS('All Employees by Mode'!AI:AI,'All Employees by Mode'!$I:$I,"&gt;="&amp;$B43,'All Employees by Mode'!$BE:$BE,"=No"))),IF($A43="","",IF($A43="between",SUMIFS('All Employees by Mode'!AI:AI,'All Employees by Mode'!$I:$I,"&gt;="&amp;$B43,'All Employees by Mode'!$I:$I,"&lt;"&amp;$D43),SUMIFS('All Employees by Mode'!AI:AI,'All Employees by Mode'!$I:$I,"&gt;="&amp;$B43))))</calculatedColumnFormula>
    </tableColumn>
    <tableColumn id="15" name="Vehicle Operations_x000a_Salary Expenses" dataDxfId="37">
      <calculatedColumnFormula>IF($AF$1,IF($A43="","",IF($A43="between",SUMIFS('All Employees by Mode'!AK:AK,'All Employees by Mode'!$I:$I,"&gt;="&amp;$B43,'All Employees by Mode'!$I:$I,"&lt;"&amp;$D43,'All Employees by Mode'!$BE:$BE,"=No"),SUMIFS('All Employees by Mode'!AK:AK,'All Employees by Mode'!$I:$I,"&gt;="&amp;$B43,'All Employees by Mode'!$BE:$BE,"=No"))),IF($A43="","",IF($A43="between",SUMIFS('All Employees by Mode'!AK:AK,'All Employees by Mode'!$I:$I,"&gt;="&amp;$B43,'All Employees by Mode'!$I:$I,"&lt;"&amp;$D43),SUMIFS('All Employees by Mode'!AK:AK,'All Employees by Mode'!$I:$I,"&gt;="&amp;$B43))))</calculatedColumnFormula>
    </tableColumn>
    <tableColumn id="16" name="Vehicle Maintenance_x000a_Salary Expenses" dataDxfId="36">
      <calculatedColumnFormula>IF($AF$1,IF($A43="","",IF($A43="between",SUMIFS('All Employees by Mode'!AM:AM,'All Employees by Mode'!$I:$I,"&gt;="&amp;$B43,'All Employees by Mode'!$I:$I,"&lt;"&amp;$D43,'All Employees by Mode'!$BE:$BE,"=No"),SUMIFS('All Employees by Mode'!AM:AM,'All Employees by Mode'!$I:$I,"&gt;="&amp;$B43,'All Employees by Mode'!$BE:$BE,"=No"))),IF($A43="","",IF($A43="between",SUMIFS('All Employees by Mode'!AM:AM,'All Employees by Mode'!$I:$I,"&gt;="&amp;$B43,'All Employees by Mode'!$I:$I,"&lt;"&amp;$D43),SUMIFS('All Employees by Mode'!AM:AM,'All Employees by Mode'!$I:$I,"&gt;="&amp;$B43))))</calculatedColumnFormula>
    </tableColumn>
    <tableColumn id="17" name="Facility Maintenance_x000a_Salary Expenses" dataDxfId="35">
      <calculatedColumnFormula>IF($AF$1,IF($A43="","",IF($A43="between",SUMIFS('All Employees by Mode'!AO:AO,'All Employees by Mode'!$I:$I,"&gt;="&amp;$B43,'All Employees by Mode'!$I:$I,"&lt;"&amp;$D43,'All Employees by Mode'!$BE:$BE,"=No"),SUMIFS('All Employees by Mode'!AO:AO,'All Employees by Mode'!$I:$I,"&gt;="&amp;$B43,'All Employees by Mode'!$BE:$BE,"=No"))),IF($A43="","",IF($A43="between",SUMIFS('All Employees by Mode'!AO:AO,'All Employees by Mode'!$I:$I,"&gt;="&amp;$B43,'All Employees by Mode'!$I:$I,"&lt;"&amp;$D43),SUMIFS('All Employees by Mode'!AO:AO,'All Employees by Mode'!$I:$I,"&gt;="&amp;$B43))))</calculatedColumnFormula>
    </tableColumn>
    <tableColumn id="18" name="General Administration_x000a_Salary Expenses" dataDxfId="34">
      <calculatedColumnFormula>IF($AF$1,IF($A43="","",IF($A43="between",SUMIFS('All Employees by Mode'!AQ:AQ,'All Employees by Mode'!$I:$I,"&gt;="&amp;$B43,'All Employees by Mode'!$I:$I,"&lt;"&amp;$D43,'All Employees by Mode'!$BE:$BE,"=No"),SUMIFS('All Employees by Mode'!AQ:AQ,'All Employees by Mode'!$I:$I,"&gt;="&amp;$B43,'All Employees by Mode'!$BE:$BE,"=No"))),IF($A43="","",IF($A43="between",SUMIFS('All Employees by Mode'!AQ:AQ,'All Employees by Mode'!$I:$I,"&gt;="&amp;$B43,'All Employees by Mode'!$I:$I,"&lt;"&amp;$D43),SUMIFS('All Employees by Mode'!AQ:AQ,'All Employees by Mode'!$I:$I,"&gt;="&amp;$B43))))</calculatedColumnFormula>
    </tableColumn>
    <tableColumn id="19" name="_x000a_Total Operating_x000a__x000a_Salary Expenses" dataDxfId="33">
      <calculatedColumnFormula>IF($AF$1,IF($A43="","",IF($A43="between",SUMIFS('All Employees by Mode'!AS:AS,'All Employees by Mode'!$I:$I,"&gt;="&amp;$B43,'All Employees by Mode'!$I:$I,"&lt;"&amp;$D43,'All Employees by Mode'!$BE:$BE,"=No"),SUMIFS('All Employees by Mode'!AS:AS,'All Employees by Mode'!$I:$I,"&gt;="&amp;$B43,'All Employees by Mode'!$BE:$BE,"=No"))),IF($A43="","",IF($A43="between",SUMIFS('All Employees by Mode'!AS:AS,'All Employees by Mode'!$I:$I,"&gt;="&amp;$B43,'All Employees by Mode'!$I:$I,"&lt;"&amp;$D43),SUMIFS('All Employees by Mode'!AS:AS,'All Employees by Mode'!$I:$I,"&gt;="&amp;$B43))))</calculatedColumnFormula>
    </tableColumn>
    <tableColumn id="20" name="Vehicle Operations_x000a_Average Hourly Wage" dataDxfId="32">
      <calculatedColumnFormula>IFERROR(IF($A43="","",S43/G43),"-")</calculatedColumnFormula>
    </tableColumn>
    <tableColumn id="21" name="Vehicle Maintenance_x000a_Average Hourly Wage" dataDxfId="31">
      <calculatedColumnFormula>IFERROR(IF($A43="","",T43/H43),"-")</calculatedColumnFormula>
    </tableColumn>
    <tableColumn id="22" name="Facility Maintenance_x000a_Average Hourly Wage" dataDxfId="30">
      <calculatedColumnFormula>IFERROR(IF($A43="","",U43/I43),"-")</calculatedColumnFormula>
    </tableColumn>
    <tableColumn id="23" name="General Administration_x000a_Average Hourly Wage" dataDxfId="29">
      <calculatedColumnFormula>IFERROR(IF($A43="","",V43/J43),"-")</calculatedColumnFormula>
    </tableColumn>
    <tableColumn id="24" name="Total Operating_x000a_Average Hourly Wage" dataDxfId="28">
      <calculatedColumnFormula>IFERROR(IF(A43="","",W43/SUM(G43:J43)),"-")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43 to D51."/>
    </ext>
  </extLst>
</table>
</file>

<file path=xl/tables/table5.xml><?xml version="1.0" encoding="utf-8"?>
<table xmlns="http://schemas.openxmlformats.org/spreadsheetml/2006/main" id="6" name="Table6" displayName="Table6" ref="D57:AB113" totalsRowShown="0" headerRowDxfId="27" dataDxfId="26" tableBorderDxfId="25">
  <autoFilter ref="D57:AB11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name="State" dataDxfId="24"/>
    <tableColumn id="2" name="Column1" dataDxfId="23"/>
    <tableColumn id="3" name="_x000a_VOMS" dataDxfId="22">
      <calculatedColumnFormula>IF($AF$1,SUMIFS('All Employees by Mode'!L:L,'All Employees by Mode'!$C:$C,"="&amp;$C58,'All Employees by Mode'!$BE:$BE,"=No"),SUMIFS('All Employees by Mode'!L:L,'All Employees by Mode'!$C:$C,"="&amp;$C58))</calculatedColumnFormula>
    </tableColumn>
    <tableColumn id="4" name="Vehicle Operations_x000a_Employee Work Hours" dataDxfId="21">
      <calculatedColumnFormula>IF($AF$1,SUMIFS('All Employees by Mode'!M:M,'All Employees by Mode'!$C:$C,"="&amp;$C58,'All Employees by Mode'!$BE:$BE,"=No"),SUMIFS('All Employees by Mode'!M:M,'All Employees by Mode'!$C:$C,"="&amp;$C58))</calculatedColumnFormula>
    </tableColumn>
    <tableColumn id="5" name="Vehicle Maintenance_x000a_Employee Work Hours" dataDxfId="20">
      <calculatedColumnFormula>IF($AF$1,SUMIFS('All Employees by Mode'!O:O,'All Employees by Mode'!$C:$C,"="&amp;$C58,'All Employees by Mode'!$BE:$BE,"=No"),SUMIFS('All Employees by Mode'!O:O,'All Employees by Mode'!$C:$C,"="&amp;$C58))</calculatedColumnFormula>
    </tableColumn>
    <tableColumn id="6" name="Facility Maintenance_x000a_Employee Work Hours" dataDxfId="19">
      <calculatedColumnFormula>IF($AF$1,SUMIFS('All Employees by Mode'!Q:Q,'All Employees by Mode'!$C:$C,"="&amp;$C58,'All Employees by Mode'!$BE:$BE,"=No"),SUMIFS('All Employees by Mode'!Q:Q,'All Employees by Mode'!$C:$C,"="&amp;$C58))</calculatedColumnFormula>
    </tableColumn>
    <tableColumn id="7" name="General Administration_x000a_Employee Work Hours" dataDxfId="18">
      <calculatedColumnFormula>IF($AF$1,SUMIFS('All Employees by Mode'!S:S,'All Employees by Mode'!$C:$C,"="&amp;$C58,'All Employees by Mode'!$BE:$BE,"=No"),SUMIFS('All Employees by Mode'!S:S,'All Employees by Mode'!$C:$C,"="&amp;$C58))</calculatedColumnFormula>
    </tableColumn>
    <tableColumn id="8" name="Capital_x000a_Employee Work Hours" dataDxfId="17">
      <calculatedColumnFormula>IF($AF$1,SUMIFS('All Employees by Mode'!U:U,'All Employees by Mode'!$C:$C,"="&amp;$C58,'All Employees by Mode'!$BE:$BE,"=No"),SUMIFS('All Employees by Mode'!U:U,'All Employees by Mode'!$C:$C,"="&amp;$C58))</calculatedColumnFormula>
    </tableColumn>
    <tableColumn id="9" name="_x000a_Total Hours" dataDxfId="16">
      <calculatedColumnFormula>IF($AF$1,SUMIFS('All Employees by Mode'!W:W,'All Employees by Mode'!$C:$C,"="&amp;$C58,'All Employees by Mode'!$BE:$BE,"=No"),SUMIFS('All Employees by Mode'!W:W,'All Employees by Mode'!$C:$C,"="&amp;$C58))</calculatedColumnFormula>
    </tableColumn>
    <tableColumn id="10" name="Vehicle Operations_x000a_Employee Count" dataDxfId="15">
      <calculatedColumnFormula>IF($AF$1,SUMIFS('All Employees by Mode'!Y:Y,'All Employees by Mode'!$C:$C,"="&amp;$C58,'All Employees by Mode'!$BE:$BE,"=No"),SUMIFS('All Employees by Mode'!Y:Y,'All Employees by Mode'!$C:$C,"="&amp;$C58))</calculatedColumnFormula>
    </tableColumn>
    <tableColumn id="11" name="Vehicle Maintenance_x000a_Employee Count" dataDxfId="14">
      <calculatedColumnFormula>IF($AF$1,SUMIFS('All Employees by Mode'!AA:AA,'All Employees by Mode'!$C:$C,"="&amp;$C58,'All Employees by Mode'!$BE:$BE,"=No"),SUMIFS('All Employees by Mode'!AA:AA,'All Employees by Mode'!$C:$C,"="&amp;$C58))</calculatedColumnFormula>
    </tableColumn>
    <tableColumn id="12" name="Facility Maintenance_x000a_Employee Count" dataDxfId="13">
      <calculatedColumnFormula>IF($AF$1,SUMIFS('All Employees by Mode'!AC:AC,'All Employees by Mode'!$C:$C,"="&amp;$C58,'All Employees by Mode'!$BE:$BE,"=No"),SUMIFS('All Employees by Mode'!AC:AC,'All Employees by Mode'!$C:$C,"="&amp;$C58))</calculatedColumnFormula>
    </tableColumn>
    <tableColumn id="13" name="General Administration_x000a_Employee Count" dataDxfId="12">
      <calculatedColumnFormula>IF($AF$1,SUMIFS('All Employees by Mode'!AE:AE,'All Employees by Mode'!$C:$C,"="&amp;$C58,'All Employees by Mode'!$BE:$BE,"=No"),SUMIFS('All Employees by Mode'!AE:AE,'All Employees by Mode'!$C:$C,"="&amp;$C58))</calculatedColumnFormula>
    </tableColumn>
    <tableColumn id="14" name="Capital_x000a_Employee Count" dataDxfId="11">
      <calculatedColumnFormula>IF($AF$1,SUMIFS('All Employees by Mode'!AG:AG,'All Employees by Mode'!$C:$C,"="&amp;$C58,'All Employees by Mode'!$BE:$BE,"=No"),SUMIFS('All Employees by Mode'!AG:AG,'All Employees by Mode'!$C:$C,"="&amp;$C58))</calculatedColumnFormula>
    </tableColumn>
    <tableColumn id="15" name="_x000a_Total Count" dataDxfId="10">
      <calculatedColumnFormula>IF($AF$1,SUMIFS('All Employees by Mode'!AI:AI,'All Employees by Mode'!$C:$C,"="&amp;$C58,'All Employees by Mode'!$BE:$BE,"=No"),SUMIFS('All Employees by Mode'!AI:AI,'All Employees by Mode'!$C:$C,"="&amp;$C58))</calculatedColumnFormula>
    </tableColumn>
    <tableColumn id="16" name="Vehicle Operations_x000a_Salary Expenses" dataDxfId="9">
      <calculatedColumnFormula>IF($AF$1,SUMIFS('All Employees by Mode'!AK:AK,'All Employees by Mode'!$C:$C,"="&amp;$C58,'All Employees by Mode'!$BE:$BE,"=No"),SUMIFS('All Employees by Mode'!AK:AK,'All Employees by Mode'!$C:$C,"="&amp;$C58))</calculatedColumnFormula>
    </tableColumn>
    <tableColumn id="17" name="Vehicle Maintenance_x000a_Salary Expenses" dataDxfId="8">
      <calculatedColumnFormula>IF($AF$1,SUMIFS('All Employees by Mode'!AM:AM,'All Employees by Mode'!$C:$C,"="&amp;$C58,'All Employees by Mode'!$BE:$BE,"=No"),SUMIFS('All Employees by Mode'!AM:AM,'All Employees by Mode'!$C:$C,"="&amp;$C58))</calculatedColumnFormula>
    </tableColumn>
    <tableColumn id="18" name="Facility Maintenance_x000a_Salary Expenses" dataDxfId="7">
      <calculatedColumnFormula>IF($AF$1,SUMIFS('All Employees by Mode'!AO:AO,'All Employees by Mode'!$C:$C,"="&amp;$C58,'All Employees by Mode'!$BE:$BE,"=No"),SUMIFS('All Employees by Mode'!AO:AO,'All Employees by Mode'!$C:$C,"="&amp;$C58))</calculatedColumnFormula>
    </tableColumn>
    <tableColumn id="19" name="General Administration_x000a_Salary Expenses" dataDxfId="6">
      <calculatedColumnFormula>IF($AF$1,SUMIFS('All Employees by Mode'!AQ:AQ,'All Employees by Mode'!$C:$C,"="&amp;$C58,'All Employees by Mode'!$BE:$BE,"=No"),SUMIFS('All Employees by Mode'!AQ:AQ,'All Employees by Mode'!$C:$C,"="&amp;$C58))</calculatedColumnFormula>
    </tableColumn>
    <tableColumn id="20" name="_x000a_Total Operating_x000a__x000a_Salary Expenses" dataDxfId="5">
      <calculatedColumnFormula>IF($AF$1,SUMIFS('All Employees by Mode'!AS:AS,'All Employees by Mode'!$C:$C,"="&amp;$C58,'All Employees by Mode'!$BE:$BE,"=No"),SUMIFS('All Employees by Mode'!AS:AS,'All Employees by Mode'!$C:$C,"="&amp;$C58))</calculatedColumnFormula>
    </tableColumn>
    <tableColumn id="21" name="Vehicle Operations_x000a_Average Hourly Wage" dataDxfId="4">
      <calculatedColumnFormula>IFERROR(S58/G58,"-")</calculatedColumnFormula>
    </tableColumn>
    <tableColumn id="22" name="Vehicle Maintenance_x000a_Average Hourly Wage" dataDxfId="3">
      <calculatedColumnFormula>IFERROR(T58/H58,"-")</calculatedColumnFormula>
    </tableColumn>
    <tableColumn id="23" name="Facility Maintenance_x000a_Average Hourly Wage" dataDxfId="2">
      <calculatedColumnFormula>IFERROR(U58/I58,"-")</calculatedColumnFormula>
    </tableColumn>
    <tableColumn id="24" name="General Administration_x000a_Average Hourly Wage" dataDxfId="1">
      <calculatedColumnFormula>IFERROR(V58/J58,"-")</calculatedColumnFormula>
    </tableColumn>
    <tableColumn id="25" name="Total Operating_x000a_Average Hourly Wage" dataDxfId="0">
      <calculatedColumnFormula>IFERROR(W58/SUM(G58:J58),"-")</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5.vml"/><Relationship Id="rId7"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table" Target="../tables/table5.xml"/><Relationship Id="rId5" Type="http://schemas.openxmlformats.org/officeDocument/2006/relationships/ctrlProp" Target="../ctrlProps/ctrlProp6.xml"/><Relationship Id="rId10" Type="http://schemas.openxmlformats.org/officeDocument/2006/relationships/table" Target="../tables/table4.xml"/><Relationship Id="rId4" Type="http://schemas.openxmlformats.org/officeDocument/2006/relationships/ctrlProp" Target="../ctrlProps/ctrlProp5.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31"/>
  <sheetViews>
    <sheetView tabSelected="1" workbookViewId="0"/>
  </sheetViews>
  <sheetFormatPr defaultColWidth="8.85546875" defaultRowHeight="12.75"/>
  <cols>
    <col min="1" max="16384" width="8.85546875" style="245"/>
  </cols>
  <sheetData>
    <row r="1" spans="1:14">
      <c r="A1" s="246"/>
      <c r="B1" s="246"/>
      <c r="C1" s="246"/>
      <c r="D1" s="246"/>
      <c r="E1" s="246"/>
      <c r="F1" s="246"/>
      <c r="G1" s="246"/>
      <c r="H1" s="246"/>
      <c r="I1" s="246"/>
      <c r="J1" s="246"/>
      <c r="K1" s="246"/>
      <c r="L1" s="246"/>
      <c r="M1" s="246"/>
      <c r="N1" s="246"/>
    </row>
    <row r="2" spans="1:14">
      <c r="A2" s="246"/>
      <c r="B2" s="246"/>
      <c r="C2" s="246"/>
      <c r="D2" s="246"/>
      <c r="E2" s="246"/>
      <c r="F2" s="246"/>
      <c r="G2" s="246"/>
      <c r="H2" s="246"/>
      <c r="I2" s="246"/>
      <c r="J2" s="246"/>
      <c r="K2" s="246"/>
      <c r="L2" s="246"/>
      <c r="M2" s="246"/>
      <c r="N2" s="246"/>
    </row>
    <row r="3" spans="1:14">
      <c r="A3" s="246"/>
      <c r="B3" s="246"/>
      <c r="C3" s="246"/>
      <c r="D3" s="246"/>
      <c r="E3" s="246"/>
      <c r="F3" s="246"/>
      <c r="G3" s="246"/>
      <c r="H3" s="246"/>
      <c r="I3" s="246"/>
      <c r="J3" s="246"/>
      <c r="K3" s="246"/>
      <c r="L3" s="246"/>
      <c r="M3" s="246"/>
      <c r="N3" s="246"/>
    </row>
    <row r="4" spans="1:14">
      <c r="A4" s="246"/>
      <c r="B4" s="246"/>
      <c r="C4" s="246"/>
      <c r="D4" s="246"/>
      <c r="E4" s="246"/>
      <c r="F4" s="246"/>
      <c r="G4" s="246"/>
      <c r="H4" s="246"/>
      <c r="I4" s="246"/>
      <c r="J4" s="246"/>
      <c r="K4" s="246"/>
      <c r="L4" s="246"/>
      <c r="M4" s="246"/>
      <c r="N4" s="246"/>
    </row>
    <row r="5" spans="1:14">
      <c r="A5" s="246"/>
      <c r="B5" s="246"/>
      <c r="C5" s="246"/>
      <c r="D5" s="246"/>
      <c r="E5" s="246"/>
      <c r="F5" s="246"/>
      <c r="G5" s="246"/>
      <c r="H5" s="246"/>
      <c r="I5" s="246"/>
      <c r="J5" s="246"/>
      <c r="K5" s="246"/>
      <c r="L5" s="246"/>
      <c r="M5" s="246"/>
      <c r="N5" s="246"/>
    </row>
    <row r="6" spans="1:14">
      <c r="A6" s="246"/>
      <c r="B6" s="246"/>
      <c r="C6" s="246"/>
      <c r="D6" s="246"/>
      <c r="E6" s="246"/>
      <c r="F6" s="246"/>
      <c r="G6" s="246"/>
      <c r="H6" s="246"/>
      <c r="I6" s="246"/>
      <c r="J6" s="246"/>
      <c r="K6" s="246"/>
      <c r="L6" s="246"/>
      <c r="M6" s="246"/>
      <c r="N6" s="246"/>
    </row>
    <row r="7" spans="1:14">
      <c r="A7" s="246"/>
      <c r="B7" s="246"/>
      <c r="C7" s="246"/>
      <c r="D7" s="246"/>
      <c r="E7" s="246"/>
      <c r="F7" s="246"/>
      <c r="G7" s="246"/>
      <c r="H7" s="246"/>
      <c r="I7" s="246"/>
      <c r="J7" s="246"/>
      <c r="K7" s="246"/>
      <c r="L7" s="246"/>
      <c r="M7" s="246"/>
      <c r="N7" s="246"/>
    </row>
    <row r="8" spans="1:14">
      <c r="A8" s="246"/>
      <c r="B8" s="246"/>
      <c r="C8" s="246"/>
      <c r="D8" s="246"/>
      <c r="E8" s="246"/>
      <c r="F8" s="246"/>
      <c r="G8" s="246"/>
      <c r="H8" s="246"/>
      <c r="I8" s="246"/>
      <c r="J8" s="246"/>
      <c r="K8" s="246"/>
      <c r="L8" s="246"/>
      <c r="M8" s="246"/>
      <c r="N8" s="246"/>
    </row>
    <row r="9" spans="1:14">
      <c r="A9" s="246"/>
      <c r="B9" s="246"/>
      <c r="C9" s="246"/>
      <c r="D9" s="246"/>
      <c r="E9" s="246"/>
      <c r="F9" s="246"/>
      <c r="G9" s="246"/>
      <c r="H9" s="246"/>
      <c r="I9" s="246"/>
      <c r="J9" s="246"/>
      <c r="K9" s="246"/>
      <c r="L9" s="246"/>
      <c r="M9" s="246"/>
      <c r="N9" s="246"/>
    </row>
    <row r="10" spans="1:14">
      <c r="A10" s="246"/>
      <c r="B10" s="246"/>
      <c r="C10" s="246"/>
      <c r="D10" s="246"/>
      <c r="E10" s="246"/>
      <c r="F10" s="246"/>
      <c r="G10" s="246"/>
      <c r="H10" s="246"/>
      <c r="I10" s="246"/>
      <c r="J10" s="246"/>
      <c r="K10" s="246"/>
      <c r="L10" s="246"/>
      <c r="M10" s="246"/>
      <c r="N10" s="246"/>
    </row>
    <row r="11" spans="1:14">
      <c r="A11" s="246"/>
      <c r="B11" s="246"/>
      <c r="C11" s="246"/>
      <c r="D11" s="246"/>
      <c r="E11" s="246"/>
      <c r="F11" s="246"/>
      <c r="G11" s="246"/>
      <c r="H11" s="246"/>
      <c r="I11" s="246"/>
      <c r="J11" s="246"/>
      <c r="K11" s="246"/>
      <c r="L11" s="246"/>
      <c r="M11" s="246"/>
      <c r="N11" s="246"/>
    </row>
    <row r="12" spans="1:14">
      <c r="A12" s="246"/>
      <c r="B12" s="246"/>
      <c r="C12" s="246"/>
      <c r="D12" s="246"/>
      <c r="E12" s="246"/>
      <c r="F12" s="246"/>
      <c r="G12" s="246"/>
      <c r="H12" s="246"/>
      <c r="I12" s="246"/>
      <c r="J12" s="246"/>
      <c r="K12" s="246"/>
      <c r="L12" s="246"/>
      <c r="M12" s="246"/>
      <c r="N12" s="246"/>
    </row>
    <row r="13" spans="1:14">
      <c r="A13" s="246"/>
      <c r="B13" s="246"/>
      <c r="C13" s="246"/>
      <c r="D13" s="246"/>
      <c r="E13" s="246"/>
      <c r="F13" s="246"/>
      <c r="G13" s="246"/>
      <c r="H13" s="246"/>
      <c r="I13" s="246"/>
      <c r="J13" s="246"/>
      <c r="K13" s="246"/>
      <c r="L13" s="246"/>
      <c r="M13" s="246"/>
      <c r="N13" s="246"/>
    </row>
    <row r="14" spans="1:14">
      <c r="A14" s="246"/>
      <c r="B14" s="246"/>
      <c r="C14" s="246"/>
      <c r="D14" s="246"/>
      <c r="E14" s="246"/>
      <c r="F14" s="246"/>
      <c r="G14" s="246"/>
      <c r="H14" s="246"/>
      <c r="I14" s="246"/>
      <c r="J14" s="246"/>
      <c r="K14" s="246"/>
      <c r="L14" s="246"/>
      <c r="M14" s="246"/>
      <c r="N14" s="246"/>
    </row>
    <row r="15" spans="1:14">
      <c r="A15" s="246"/>
      <c r="B15" s="246"/>
      <c r="C15" s="246"/>
      <c r="D15" s="246"/>
      <c r="E15" s="246"/>
      <c r="F15" s="246"/>
      <c r="G15" s="246"/>
      <c r="H15" s="246"/>
      <c r="I15" s="246"/>
      <c r="J15" s="246"/>
      <c r="K15" s="246"/>
      <c r="L15" s="246"/>
      <c r="M15" s="246"/>
      <c r="N15" s="246"/>
    </row>
    <row r="16" spans="1:14">
      <c r="A16" s="246"/>
      <c r="B16" s="246"/>
      <c r="C16" s="246"/>
      <c r="D16" s="246"/>
      <c r="E16" s="246"/>
      <c r="F16" s="246"/>
      <c r="G16" s="246"/>
      <c r="H16" s="246"/>
      <c r="I16" s="246"/>
      <c r="J16" s="246"/>
      <c r="K16" s="246"/>
      <c r="L16" s="246"/>
      <c r="M16" s="246"/>
      <c r="N16" s="246"/>
    </row>
    <row r="17" spans="1:14">
      <c r="A17" s="246"/>
      <c r="B17" s="246"/>
      <c r="C17" s="246"/>
      <c r="D17" s="246"/>
      <c r="E17" s="246"/>
      <c r="F17" s="246"/>
      <c r="G17" s="246"/>
      <c r="H17" s="246"/>
      <c r="I17" s="246"/>
      <c r="J17" s="246"/>
      <c r="K17" s="246"/>
      <c r="L17" s="246"/>
      <c r="M17" s="246"/>
      <c r="N17" s="246"/>
    </row>
    <row r="18" spans="1:14">
      <c r="A18" s="246"/>
      <c r="B18" s="246"/>
      <c r="C18" s="246"/>
      <c r="D18" s="246"/>
      <c r="E18" s="246"/>
      <c r="F18" s="246"/>
      <c r="G18" s="246"/>
      <c r="H18" s="246"/>
      <c r="I18" s="246"/>
      <c r="J18" s="246"/>
      <c r="K18" s="246"/>
      <c r="L18" s="246"/>
      <c r="M18" s="246"/>
      <c r="N18" s="246"/>
    </row>
    <row r="19" spans="1:14">
      <c r="A19" s="246"/>
      <c r="B19" s="246"/>
      <c r="C19" s="246"/>
      <c r="D19" s="246"/>
      <c r="E19" s="246"/>
      <c r="F19" s="246"/>
      <c r="G19" s="246"/>
      <c r="H19" s="246"/>
      <c r="I19" s="246"/>
      <c r="J19" s="246"/>
      <c r="K19" s="246"/>
      <c r="L19" s="246"/>
      <c r="M19" s="246"/>
      <c r="N19" s="246"/>
    </row>
    <row r="20" spans="1:14">
      <c r="A20" s="246"/>
      <c r="B20" s="246"/>
      <c r="C20" s="246"/>
      <c r="D20" s="246"/>
      <c r="E20" s="246"/>
      <c r="F20" s="246"/>
      <c r="G20" s="246"/>
      <c r="H20" s="246"/>
      <c r="I20" s="246"/>
      <c r="J20" s="246"/>
      <c r="K20" s="246"/>
      <c r="L20" s="246"/>
      <c r="M20" s="246"/>
      <c r="N20" s="246"/>
    </row>
    <row r="21" spans="1:14">
      <c r="A21" s="246"/>
      <c r="B21" s="246"/>
      <c r="C21" s="246"/>
      <c r="D21" s="246"/>
      <c r="E21" s="246"/>
      <c r="F21" s="246"/>
      <c r="G21" s="246"/>
      <c r="H21" s="246"/>
      <c r="I21" s="246"/>
      <c r="J21" s="246"/>
      <c r="K21" s="246"/>
      <c r="L21" s="246"/>
      <c r="M21" s="246"/>
      <c r="N21" s="246"/>
    </row>
    <row r="22" spans="1:14">
      <c r="A22" s="246"/>
      <c r="B22" s="246"/>
      <c r="C22" s="246"/>
      <c r="D22" s="246"/>
      <c r="E22" s="246"/>
      <c r="F22" s="246"/>
      <c r="G22" s="246"/>
      <c r="H22" s="246"/>
      <c r="I22" s="246"/>
      <c r="J22" s="246"/>
      <c r="K22" s="246"/>
      <c r="L22" s="246"/>
      <c r="M22" s="246"/>
      <c r="N22" s="246"/>
    </row>
    <row r="23" spans="1:14">
      <c r="A23" s="246"/>
      <c r="B23" s="246"/>
      <c r="C23" s="246"/>
      <c r="D23" s="246"/>
      <c r="E23" s="246"/>
      <c r="F23" s="246"/>
      <c r="G23" s="246"/>
      <c r="H23" s="246"/>
      <c r="I23" s="246"/>
      <c r="J23" s="246"/>
      <c r="K23" s="246"/>
      <c r="L23" s="246"/>
      <c r="M23" s="246"/>
      <c r="N23" s="246"/>
    </row>
    <row r="24" spans="1:14">
      <c r="A24" s="246"/>
      <c r="B24" s="246"/>
      <c r="C24" s="246"/>
      <c r="D24" s="246"/>
      <c r="E24" s="246"/>
      <c r="F24" s="246"/>
      <c r="G24" s="246"/>
      <c r="H24" s="246"/>
      <c r="I24" s="246"/>
      <c r="J24" s="246"/>
      <c r="K24" s="246"/>
      <c r="L24" s="246"/>
      <c r="M24" s="246"/>
      <c r="N24" s="246"/>
    </row>
    <row r="25" spans="1:14">
      <c r="A25" s="246"/>
      <c r="B25" s="246"/>
      <c r="C25" s="246"/>
      <c r="D25" s="246"/>
      <c r="E25" s="246"/>
      <c r="F25" s="246"/>
      <c r="G25" s="246"/>
      <c r="H25" s="246"/>
      <c r="I25" s="246"/>
      <c r="J25" s="246"/>
      <c r="K25" s="246"/>
      <c r="L25" s="246"/>
      <c r="M25" s="246"/>
      <c r="N25" s="246"/>
    </row>
    <row r="26" spans="1:14">
      <c r="A26" s="246"/>
      <c r="B26" s="246"/>
      <c r="C26" s="246"/>
      <c r="D26" s="246"/>
      <c r="E26" s="246"/>
      <c r="F26" s="246"/>
      <c r="G26" s="246"/>
      <c r="H26" s="246"/>
      <c r="I26" s="246"/>
      <c r="J26" s="246"/>
      <c r="K26" s="246"/>
      <c r="L26" s="246"/>
      <c r="M26" s="246"/>
      <c r="N26" s="246"/>
    </row>
    <row r="27" spans="1:14">
      <c r="A27" s="246"/>
      <c r="B27" s="246"/>
      <c r="C27" s="246"/>
      <c r="D27" s="246"/>
      <c r="E27" s="246"/>
      <c r="F27" s="246"/>
      <c r="G27" s="246"/>
      <c r="H27" s="246"/>
      <c r="I27" s="246"/>
      <c r="J27" s="246"/>
      <c r="K27" s="246"/>
      <c r="L27" s="246"/>
      <c r="M27" s="246"/>
      <c r="N27" s="246"/>
    </row>
    <row r="28" spans="1:14">
      <c r="A28" s="246"/>
      <c r="B28" s="246"/>
      <c r="C28" s="246"/>
      <c r="D28" s="246"/>
      <c r="E28" s="246"/>
      <c r="F28" s="246"/>
      <c r="G28" s="246"/>
      <c r="H28" s="246"/>
      <c r="I28" s="246"/>
      <c r="J28" s="246"/>
      <c r="K28" s="246"/>
      <c r="L28" s="246"/>
      <c r="M28" s="246"/>
      <c r="N28" s="246"/>
    </row>
    <row r="29" spans="1:14">
      <c r="A29" s="246"/>
      <c r="B29" s="246"/>
      <c r="C29" s="246"/>
      <c r="D29" s="246"/>
      <c r="E29" s="246"/>
      <c r="F29" s="246"/>
      <c r="G29" s="246"/>
      <c r="H29" s="246"/>
      <c r="I29" s="246"/>
      <c r="J29" s="246"/>
      <c r="K29" s="246"/>
      <c r="L29" s="246"/>
      <c r="M29" s="246"/>
      <c r="N29" s="246"/>
    </row>
    <row r="30" spans="1:14">
      <c r="A30" s="246"/>
      <c r="B30" s="246"/>
      <c r="C30" s="246"/>
      <c r="D30" s="246"/>
      <c r="E30" s="246"/>
      <c r="F30" s="246"/>
      <c r="G30" s="246"/>
      <c r="H30" s="246"/>
      <c r="I30" s="246"/>
      <c r="J30" s="246"/>
      <c r="K30" s="246"/>
      <c r="L30" s="246"/>
      <c r="M30" s="246"/>
      <c r="N30" s="246"/>
    </row>
    <row r="31" spans="1:14">
      <c r="A31" s="246"/>
      <c r="B31" s="246"/>
      <c r="C31" s="246"/>
      <c r="D31" s="246"/>
      <c r="E31" s="246"/>
      <c r="F31" s="246"/>
      <c r="G31" s="246"/>
      <c r="H31" s="246"/>
      <c r="I31" s="246"/>
      <c r="J31" s="246"/>
      <c r="K31" s="246"/>
      <c r="L31" s="246"/>
      <c r="M31" s="246"/>
      <c r="N31" s="24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2"/>
  <sheetViews>
    <sheetView workbookViewId="0">
      <pane ySplit="1" topLeftCell="A2" activePane="bottomLeft" state="frozen"/>
      <selection pane="bottomLeft"/>
    </sheetView>
  </sheetViews>
  <sheetFormatPr defaultColWidth="8.85546875" defaultRowHeight="12.75"/>
  <cols>
    <col min="1" max="1" width="19" customWidth="1"/>
    <col min="2" max="2" width="27.42578125" customWidth="1"/>
    <col min="3" max="3" width="78.140625" customWidth="1"/>
  </cols>
  <sheetData>
    <row r="1" spans="1:3" s="25" customFormat="1">
      <c r="A1" s="21" t="s">
        <v>812</v>
      </c>
      <c r="B1" s="21" t="s">
        <v>813</v>
      </c>
      <c r="C1" s="21" t="s">
        <v>814</v>
      </c>
    </row>
    <row r="2" spans="1:3">
      <c r="A2" s="15" t="s">
        <v>815</v>
      </c>
      <c r="B2" s="15" t="s">
        <v>816</v>
      </c>
      <c r="C2" s="15" t="s">
        <v>817</v>
      </c>
    </row>
    <row r="3" spans="1:3">
      <c r="A3" s="15" t="s">
        <v>113</v>
      </c>
      <c r="B3" s="15" t="s">
        <v>816</v>
      </c>
      <c r="C3" s="15" t="s">
        <v>818</v>
      </c>
    </row>
    <row r="4" spans="1:3">
      <c r="A4" s="15" t="s">
        <v>0</v>
      </c>
      <c r="B4" s="15" t="s">
        <v>816</v>
      </c>
      <c r="C4" s="15" t="s">
        <v>819</v>
      </c>
    </row>
    <row r="5" spans="1:3">
      <c r="A5" s="16" t="s">
        <v>1115</v>
      </c>
      <c r="B5" s="16" t="s">
        <v>816</v>
      </c>
      <c r="C5" s="15" t="s">
        <v>820</v>
      </c>
    </row>
    <row r="6" spans="1:3">
      <c r="A6" s="17" t="s">
        <v>1116</v>
      </c>
      <c r="B6" s="17" t="s">
        <v>816</v>
      </c>
      <c r="C6" s="15" t="s">
        <v>821</v>
      </c>
    </row>
    <row r="7" spans="1:3">
      <c r="A7" s="17" t="s">
        <v>822</v>
      </c>
      <c r="B7" s="17" t="s">
        <v>816</v>
      </c>
      <c r="C7" s="15" t="s">
        <v>823</v>
      </c>
    </row>
    <row r="8" spans="1:3">
      <c r="A8" s="15" t="s">
        <v>118</v>
      </c>
      <c r="B8" s="15" t="s">
        <v>816</v>
      </c>
      <c r="C8" s="15" t="s">
        <v>824</v>
      </c>
    </row>
    <row r="9" spans="1:3" ht="33.75">
      <c r="A9" s="18" t="s">
        <v>127</v>
      </c>
      <c r="B9" s="18" t="s">
        <v>825</v>
      </c>
      <c r="C9" s="15" t="s">
        <v>826</v>
      </c>
    </row>
    <row r="10" spans="1:3" ht="56.25">
      <c r="A10" s="18" t="s">
        <v>132</v>
      </c>
      <c r="B10" s="18" t="s">
        <v>827</v>
      </c>
      <c r="C10" s="15" t="s">
        <v>828</v>
      </c>
    </row>
    <row r="11" spans="1:3" ht="33.75">
      <c r="A11" s="15" t="s">
        <v>3</v>
      </c>
      <c r="B11" s="18" t="s">
        <v>829</v>
      </c>
      <c r="C11" s="15" t="s">
        <v>830</v>
      </c>
    </row>
    <row r="12" spans="1:3" ht="33.75">
      <c r="A12" s="15" t="s">
        <v>831</v>
      </c>
      <c r="B12" s="18" t="s">
        <v>829</v>
      </c>
      <c r="C12" s="15" t="s">
        <v>832</v>
      </c>
    </row>
    <row r="13" spans="1:3" ht="56.25">
      <c r="A13" s="18" t="s">
        <v>133</v>
      </c>
      <c r="B13" s="18" t="s">
        <v>827</v>
      </c>
      <c r="C13" s="15" t="s">
        <v>833</v>
      </c>
    </row>
    <row r="14" spans="1:3" ht="22.5">
      <c r="A14" s="18" t="s">
        <v>834</v>
      </c>
      <c r="B14" s="18"/>
      <c r="C14" s="15" t="s">
        <v>835</v>
      </c>
    </row>
    <row r="15" spans="1:3">
      <c r="A15" s="18" t="s">
        <v>836</v>
      </c>
      <c r="B15" s="18"/>
      <c r="C15" s="15" t="s">
        <v>837</v>
      </c>
    </row>
    <row r="16" spans="1:3">
      <c r="A16" s="18" t="s">
        <v>838</v>
      </c>
      <c r="B16" s="18"/>
      <c r="C16" s="15" t="s">
        <v>839</v>
      </c>
    </row>
    <row r="17" spans="1:3">
      <c r="A17" s="18" t="s">
        <v>840</v>
      </c>
      <c r="B17" s="18"/>
      <c r="C17" s="15" t="s">
        <v>841</v>
      </c>
    </row>
    <row r="18" spans="1:3" ht="22.5">
      <c r="A18" s="18" t="s">
        <v>842</v>
      </c>
      <c r="B18" s="18"/>
      <c r="C18" s="15" t="s">
        <v>843</v>
      </c>
    </row>
    <row r="19" spans="1:3">
      <c r="A19" s="18" t="s">
        <v>844</v>
      </c>
      <c r="B19" s="18"/>
      <c r="C19" s="15" t="s">
        <v>845</v>
      </c>
    </row>
    <row r="20" spans="1:3" ht="33.75">
      <c r="A20" s="18" t="s">
        <v>158</v>
      </c>
      <c r="B20" s="18"/>
      <c r="C20" s="15" t="s">
        <v>846</v>
      </c>
    </row>
    <row r="21" spans="1:3" ht="33.75">
      <c r="A21" s="18" t="s">
        <v>847</v>
      </c>
      <c r="B21" s="18"/>
      <c r="C21" s="15" t="s">
        <v>848</v>
      </c>
    </row>
    <row r="22" spans="1:3" ht="67.5">
      <c r="A22" s="18" t="s">
        <v>849</v>
      </c>
      <c r="B22" s="18"/>
      <c r="C22" s="15" t="s">
        <v>850</v>
      </c>
    </row>
    <row r="23" spans="1:3" ht="22.5">
      <c r="A23" s="18" t="s">
        <v>851</v>
      </c>
      <c r="B23" s="18"/>
      <c r="C23" s="15" t="s">
        <v>852</v>
      </c>
    </row>
    <row r="24" spans="1:3" ht="67.5">
      <c r="A24" s="18" t="s">
        <v>853</v>
      </c>
      <c r="B24" s="18"/>
      <c r="C24" s="15" t="s">
        <v>854</v>
      </c>
    </row>
    <row r="25" spans="1:3" ht="112.5">
      <c r="A25" s="18" t="s">
        <v>855</v>
      </c>
      <c r="B25" s="18"/>
      <c r="C25" s="15" t="s">
        <v>856</v>
      </c>
    </row>
    <row r="26" spans="1:3" ht="33.75">
      <c r="A26" s="18" t="s">
        <v>857</v>
      </c>
      <c r="B26" s="18"/>
      <c r="C26" s="15" t="s">
        <v>858</v>
      </c>
    </row>
    <row r="27" spans="1:3" ht="45">
      <c r="A27" s="18" t="s">
        <v>859</v>
      </c>
      <c r="B27" s="18"/>
      <c r="C27" s="15" t="s">
        <v>860</v>
      </c>
    </row>
    <row r="28" spans="1:3" ht="202.5">
      <c r="A28" s="18" t="s">
        <v>861</v>
      </c>
      <c r="B28" s="18"/>
      <c r="C28" s="15" t="s">
        <v>862</v>
      </c>
    </row>
    <row r="29" spans="1:3" ht="168.75">
      <c r="A29" s="18" t="s">
        <v>863</v>
      </c>
      <c r="B29" s="18"/>
      <c r="C29" s="15" t="s">
        <v>864</v>
      </c>
    </row>
    <row r="30" spans="1:3" ht="33.75">
      <c r="A30" s="18" t="s">
        <v>865</v>
      </c>
      <c r="B30" s="18"/>
      <c r="C30" s="15" t="s">
        <v>866</v>
      </c>
    </row>
    <row r="31" spans="1:3" ht="78.75">
      <c r="A31" s="18" t="s">
        <v>867</v>
      </c>
      <c r="B31" s="18"/>
      <c r="C31" s="15" t="s">
        <v>868</v>
      </c>
    </row>
    <row r="32" spans="1:3" ht="67.5">
      <c r="A32" s="18" t="s">
        <v>869</v>
      </c>
      <c r="B32" s="18"/>
      <c r="C32" s="15" t="s">
        <v>870</v>
      </c>
    </row>
    <row r="33" spans="1:3" ht="45">
      <c r="A33" s="18" t="s">
        <v>871</v>
      </c>
      <c r="B33" s="18"/>
      <c r="C33" s="15" t="s">
        <v>872</v>
      </c>
    </row>
    <row r="34" spans="1:3" ht="45">
      <c r="A34" s="18" t="s">
        <v>873</v>
      </c>
      <c r="B34" s="18"/>
      <c r="C34" s="15" t="s">
        <v>874</v>
      </c>
    </row>
    <row r="35" spans="1:3" ht="67.5">
      <c r="A35" s="18" t="s">
        <v>875</v>
      </c>
      <c r="B35" s="18"/>
      <c r="C35" s="15" t="s">
        <v>876</v>
      </c>
    </row>
    <row r="36" spans="1:3" ht="22.5">
      <c r="A36" s="18" t="s">
        <v>877</v>
      </c>
      <c r="B36" s="18"/>
      <c r="C36" s="15" t="s">
        <v>878</v>
      </c>
    </row>
    <row r="37" spans="1:3" ht="22.5">
      <c r="A37" s="18" t="s">
        <v>879</v>
      </c>
      <c r="B37" s="18"/>
      <c r="C37" s="15" t="s">
        <v>880</v>
      </c>
    </row>
    <row r="38" spans="1:3" ht="33.75">
      <c r="A38" s="18" t="s">
        <v>881</v>
      </c>
      <c r="B38" s="18"/>
      <c r="C38" s="15" t="s">
        <v>882</v>
      </c>
    </row>
    <row r="39" spans="1:3" ht="33.75">
      <c r="A39" s="18" t="s">
        <v>883</v>
      </c>
      <c r="B39" s="18"/>
      <c r="C39" s="15" t="s">
        <v>884</v>
      </c>
    </row>
    <row r="40" spans="1:3" ht="22.5">
      <c r="A40" s="18" t="s">
        <v>885</v>
      </c>
      <c r="B40" s="18"/>
      <c r="C40" s="15" t="s">
        <v>886</v>
      </c>
    </row>
    <row r="41" spans="1:3" ht="33.75">
      <c r="A41" s="18" t="s">
        <v>887</v>
      </c>
      <c r="B41" s="18"/>
      <c r="C41" s="15" t="s">
        <v>888</v>
      </c>
    </row>
    <row r="42" spans="1:3" ht="67.5">
      <c r="A42" s="18" t="s">
        <v>889</v>
      </c>
      <c r="B42" s="18"/>
      <c r="C42" s="15" t="s">
        <v>1096</v>
      </c>
    </row>
    <row r="43" spans="1:3" ht="22.5">
      <c r="A43" s="18" t="s">
        <v>890</v>
      </c>
      <c r="B43" s="18"/>
      <c r="C43" s="15" t="s">
        <v>891</v>
      </c>
    </row>
    <row r="44" spans="1:3" ht="22.5">
      <c r="A44" s="18" t="s">
        <v>892</v>
      </c>
      <c r="B44" s="18"/>
      <c r="C44" s="15" t="s">
        <v>893</v>
      </c>
    </row>
    <row r="45" spans="1:3" ht="33.75">
      <c r="A45" s="15" t="s">
        <v>4</v>
      </c>
      <c r="B45" s="15" t="s">
        <v>898</v>
      </c>
      <c r="C45" s="15" t="s">
        <v>897</v>
      </c>
    </row>
    <row r="46" spans="1:3" ht="22.5">
      <c r="A46" s="15" t="s">
        <v>129</v>
      </c>
      <c r="B46" s="15" t="s">
        <v>898</v>
      </c>
      <c r="C46" s="15" t="s">
        <v>899</v>
      </c>
    </row>
    <row r="47" spans="1:3" ht="33.75">
      <c r="A47" s="15" t="s">
        <v>130</v>
      </c>
      <c r="B47" s="15" t="s">
        <v>898</v>
      </c>
      <c r="C47" s="15" t="s">
        <v>900</v>
      </c>
    </row>
    <row r="48" spans="1:3" ht="22.5">
      <c r="A48" s="15" t="s">
        <v>131</v>
      </c>
      <c r="B48" s="15" t="s">
        <v>898</v>
      </c>
      <c r="C48" s="15" t="s">
        <v>901</v>
      </c>
    </row>
    <row r="49" spans="1:3">
      <c r="A49" s="15" t="s">
        <v>894</v>
      </c>
      <c r="B49" s="15" t="s">
        <v>902</v>
      </c>
      <c r="C49" s="15" t="s">
        <v>903</v>
      </c>
    </row>
    <row r="50" spans="1:3" ht="90">
      <c r="A50" s="15" t="s">
        <v>895</v>
      </c>
      <c r="B50" s="15" t="s">
        <v>902</v>
      </c>
      <c r="C50" s="15" t="s">
        <v>904</v>
      </c>
    </row>
    <row r="51" spans="1:3">
      <c r="A51" s="15" t="s">
        <v>896</v>
      </c>
      <c r="B51" s="15" t="s">
        <v>902</v>
      </c>
      <c r="C51" s="15" t="s">
        <v>905</v>
      </c>
    </row>
    <row r="52" spans="1:3" ht="22.5">
      <c r="A52" s="15" t="s">
        <v>128</v>
      </c>
      <c r="B52" s="15" t="s">
        <v>898</v>
      </c>
      <c r="C52" s="15" t="s">
        <v>906</v>
      </c>
    </row>
  </sheetData>
  <conditionalFormatting sqref="A2:B13">
    <cfRule type="expression" dxfId="151" priority="5">
      <formula>MOD(ROW(),2)=0</formula>
    </cfRule>
  </conditionalFormatting>
  <conditionalFormatting sqref="C2:C13">
    <cfRule type="expression" dxfId="150" priority="4">
      <formula>MOD(ROW(),2)=0</formula>
    </cfRule>
  </conditionalFormatting>
  <conditionalFormatting sqref="C14:C44">
    <cfRule type="expression" dxfId="149" priority="3">
      <formula>MOD(ROW(),2)=0</formula>
    </cfRule>
  </conditionalFormatting>
  <conditionalFormatting sqref="A14:B44">
    <cfRule type="expression" dxfId="148" priority="2">
      <formula>MOD(ROW(),2)=0</formula>
    </cfRule>
  </conditionalFormatting>
  <conditionalFormatting sqref="A45:C52">
    <cfRule type="expression" dxfId="14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J700"/>
  <sheetViews>
    <sheetView zoomScaleNormal="100"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3" customWidth="1"/>
    <col min="3" max="3" width="7.28515625" style="38" customWidth="1"/>
    <col min="4" max="4" width="8.85546875" style="298" customWidth="1"/>
    <col min="5" max="5" width="8.85546875" style="299" customWidth="1"/>
    <col min="6" max="6" width="19.85546875" style="28" customWidth="1"/>
    <col min="7" max="7" width="14.7109375" style="2" customWidth="1"/>
    <col min="8" max="8" width="13" style="36" customWidth="1"/>
    <col min="9" max="9" width="9.28515625" style="36" customWidth="1"/>
    <col min="10" max="11" width="9.28515625" style="38" customWidth="1"/>
    <col min="12" max="12" width="9.28515625" style="6" customWidth="1"/>
    <col min="13" max="13" width="12" style="6" customWidth="1"/>
    <col min="14" max="14" width="11.42578125" style="2" hidden="1" customWidth="1"/>
    <col min="15" max="15" width="12.42578125" style="6" customWidth="1"/>
    <col min="16" max="16" width="15.140625" style="2" hidden="1" customWidth="1"/>
    <col min="17" max="17" width="11.85546875" style="6" customWidth="1"/>
    <col min="18" max="18" width="18.42578125" style="2" hidden="1" customWidth="1"/>
    <col min="19" max="19" width="12.42578125" style="6" customWidth="1"/>
    <col min="20" max="20" width="18.85546875" style="2" hidden="1" customWidth="1"/>
    <col min="21" max="21" width="12.85546875" style="6" customWidth="1"/>
    <col min="22" max="22" width="14.42578125" style="2" hidden="1" customWidth="1"/>
    <col min="23" max="23" width="13.42578125" style="10" bestFit="1" customWidth="1"/>
    <col min="24" max="24" width="14.42578125" style="2" hidden="1" customWidth="1"/>
    <col min="25" max="25" width="12.42578125" style="20" bestFit="1" customWidth="1"/>
    <col min="26" max="26" width="22.42578125" style="4" hidden="1" customWidth="1"/>
    <col min="27" max="27" width="12.5703125" style="20" bestFit="1" customWidth="1"/>
    <col min="28" max="28" width="18.42578125" style="5" hidden="1" customWidth="1"/>
    <col min="29" max="29" width="12.5703125" style="20" bestFit="1" customWidth="1"/>
    <col min="30" max="30" width="18.42578125" style="5" hidden="1" customWidth="1"/>
    <col min="31" max="31" width="13" style="20" bestFit="1" customWidth="1"/>
    <col min="32" max="32" width="18.85546875" style="5" hidden="1" customWidth="1"/>
    <col min="33" max="33" width="9.85546875" style="20" customWidth="1"/>
    <col min="34" max="34" width="14.42578125" style="4" hidden="1" customWidth="1"/>
    <col min="35" max="35" width="11.5703125" style="71" bestFit="1" customWidth="1"/>
    <col min="36" max="36" width="16" style="13" hidden="1" customWidth="1"/>
    <col min="37" max="37" width="14" style="22" bestFit="1" customWidth="1"/>
    <col min="38" max="38" width="15.42578125" style="22" hidden="1" customWidth="1"/>
    <col min="39" max="39" width="14" style="22" bestFit="1" customWidth="1"/>
    <col min="40" max="40" width="16.42578125" style="22" hidden="1" customWidth="1"/>
    <col min="41" max="41" width="14" style="22" bestFit="1" customWidth="1"/>
    <col min="42" max="42" width="16.42578125" style="22" hidden="1" customWidth="1"/>
    <col min="43" max="43" width="14" style="22" bestFit="1" customWidth="1"/>
    <col min="44" max="44" width="18.140625" style="22" hidden="1" customWidth="1"/>
    <col min="45" max="45" width="14" style="26" bestFit="1" customWidth="1"/>
    <col min="46" max="46" width="14" style="22" hidden="1" customWidth="1"/>
    <col min="47" max="47" width="15.42578125" style="23" bestFit="1" customWidth="1"/>
    <col min="48" max="48" width="15.85546875" style="23" hidden="1" customWidth="1"/>
    <col min="49" max="49" width="16.42578125" style="23" bestFit="1" customWidth="1"/>
    <col min="50" max="50" width="16.42578125" style="23" hidden="1" customWidth="1"/>
    <col min="51" max="51" width="16.42578125" style="23" bestFit="1" customWidth="1"/>
    <col min="52" max="52" width="16.42578125" style="23" hidden="1" customWidth="1"/>
    <col min="53" max="53" width="17.140625" style="23" bestFit="1" customWidth="1"/>
    <col min="54" max="54" width="18.140625" style="23" hidden="1" customWidth="1"/>
    <col min="55" max="55" width="13.42578125" style="24" bestFit="1" customWidth="1"/>
    <col min="56" max="56" width="15.85546875" style="1" hidden="1" customWidth="1"/>
    <col min="57" max="57" width="12.28515625" style="1" hidden="1" customWidth="1"/>
    <col min="58" max="60" width="9.140625" style="1"/>
    <col min="61" max="61" width="9.140625" style="1" customWidth="1"/>
    <col min="62" max="62" width="9.140625" style="1" hidden="1" customWidth="1"/>
    <col min="63" max="64" width="9.140625" style="1" customWidth="1"/>
    <col min="65" max="16384" width="9.140625" style="1"/>
  </cols>
  <sheetData>
    <row r="1" spans="1:62" s="66" customFormat="1" ht="51" customHeight="1">
      <c r="A1" s="66" t="s">
        <v>1</v>
      </c>
      <c r="B1" s="66" t="s">
        <v>113</v>
      </c>
      <c r="C1" s="72" t="s">
        <v>0</v>
      </c>
      <c r="D1" s="300" t="s">
        <v>1115</v>
      </c>
      <c r="E1" s="301" t="s">
        <v>1116</v>
      </c>
      <c r="F1" s="65" t="s">
        <v>822</v>
      </c>
      <c r="G1" s="66" t="s">
        <v>118</v>
      </c>
      <c r="H1" s="69" t="s">
        <v>127</v>
      </c>
      <c r="I1" s="69" t="s">
        <v>132</v>
      </c>
      <c r="J1" s="72" t="s">
        <v>3</v>
      </c>
      <c r="K1" s="72" t="s">
        <v>154</v>
      </c>
      <c r="L1" s="69" t="s">
        <v>133</v>
      </c>
      <c r="M1" s="286" t="s">
        <v>134</v>
      </c>
      <c r="N1" s="287" t="s">
        <v>907</v>
      </c>
      <c r="O1" s="286" t="s">
        <v>135</v>
      </c>
      <c r="P1" s="287" t="s">
        <v>908</v>
      </c>
      <c r="Q1" s="286" t="s">
        <v>136</v>
      </c>
      <c r="R1" s="287" t="s">
        <v>909</v>
      </c>
      <c r="S1" s="286" t="s">
        <v>137</v>
      </c>
      <c r="T1" s="287" t="s">
        <v>930</v>
      </c>
      <c r="U1" s="286" t="s">
        <v>138</v>
      </c>
      <c r="V1" s="287" t="s">
        <v>911</v>
      </c>
      <c r="W1" s="286" t="s">
        <v>116</v>
      </c>
      <c r="X1" s="66" t="s">
        <v>912</v>
      </c>
      <c r="Y1" s="70" t="s">
        <v>139</v>
      </c>
      <c r="Z1" s="67" t="s">
        <v>931</v>
      </c>
      <c r="AA1" s="70" t="s">
        <v>140</v>
      </c>
      <c r="AB1" s="67" t="s">
        <v>932</v>
      </c>
      <c r="AC1" s="70" t="s">
        <v>141</v>
      </c>
      <c r="AD1" s="67" t="s">
        <v>933</v>
      </c>
      <c r="AE1" s="70" t="s">
        <v>142</v>
      </c>
      <c r="AF1" s="67" t="s">
        <v>934</v>
      </c>
      <c r="AG1" s="70" t="s">
        <v>143</v>
      </c>
      <c r="AH1" s="67" t="s">
        <v>935</v>
      </c>
      <c r="AI1" s="70" t="s">
        <v>117</v>
      </c>
      <c r="AJ1" s="66" t="s">
        <v>918</v>
      </c>
      <c r="AK1" s="74" t="s">
        <v>144</v>
      </c>
      <c r="AL1" s="74" t="s">
        <v>937</v>
      </c>
      <c r="AM1" s="74" t="s">
        <v>145</v>
      </c>
      <c r="AN1" s="74" t="s">
        <v>938</v>
      </c>
      <c r="AO1" s="74" t="s">
        <v>146</v>
      </c>
      <c r="AP1" s="74" t="s">
        <v>939</v>
      </c>
      <c r="AQ1" s="74" t="s">
        <v>147</v>
      </c>
      <c r="AR1" s="74" t="s">
        <v>940</v>
      </c>
      <c r="AS1" s="74" t="s">
        <v>148</v>
      </c>
      <c r="AT1" s="68" t="s">
        <v>941</v>
      </c>
      <c r="AU1" s="288" t="s">
        <v>149</v>
      </c>
      <c r="AV1" s="288" t="s">
        <v>942</v>
      </c>
      <c r="AW1" s="288" t="s">
        <v>150</v>
      </c>
      <c r="AX1" s="288" t="s">
        <v>943</v>
      </c>
      <c r="AY1" s="288" t="s">
        <v>151</v>
      </c>
      <c r="AZ1" s="288" t="s">
        <v>944</v>
      </c>
      <c r="BA1" s="288" t="s">
        <v>152</v>
      </c>
      <c r="BB1" s="288" t="s">
        <v>945</v>
      </c>
      <c r="BC1" s="288" t="s">
        <v>153</v>
      </c>
      <c r="BD1" s="66" t="s">
        <v>946</v>
      </c>
      <c r="BE1" s="66" t="s">
        <v>929</v>
      </c>
      <c r="BJ1" s="66">
        <f>IF(BJ4=1,1,0)</f>
        <v>1</v>
      </c>
    </row>
    <row r="2" spans="1:62" ht="11.25" customHeight="1">
      <c r="A2" s="7" t="s">
        <v>518</v>
      </c>
      <c r="B2" s="7" t="s">
        <v>479</v>
      </c>
      <c r="C2" s="37" t="s">
        <v>70</v>
      </c>
      <c r="D2" s="296">
        <v>2008</v>
      </c>
      <c r="E2" s="297">
        <v>20008</v>
      </c>
      <c r="F2" s="27" t="s">
        <v>240</v>
      </c>
      <c r="G2" s="73" t="s">
        <v>158</v>
      </c>
      <c r="H2" s="35">
        <v>18351295</v>
      </c>
      <c r="I2" s="35">
        <v>11004</v>
      </c>
      <c r="J2" s="37" t="s">
        <v>20</v>
      </c>
      <c r="K2" s="37" t="s">
        <v>159</v>
      </c>
      <c r="L2" s="8">
        <v>5324</v>
      </c>
      <c r="M2" s="8">
        <v>21747606</v>
      </c>
      <c r="N2" s="9"/>
      <c r="O2" s="8">
        <v>8801541</v>
      </c>
      <c r="P2" s="9"/>
      <c r="Q2" s="8">
        <v>18298241</v>
      </c>
      <c r="R2" s="9"/>
      <c r="S2" s="8">
        <v>4378901</v>
      </c>
      <c r="T2" s="9"/>
      <c r="U2" s="8">
        <v>7417948</v>
      </c>
      <c r="V2" s="9"/>
      <c r="W2" s="33">
        <v>60644237</v>
      </c>
      <c r="X2" s="9"/>
      <c r="Y2" s="30">
        <v>10444</v>
      </c>
      <c r="Z2" s="9"/>
      <c r="AA2" s="30">
        <v>5309</v>
      </c>
      <c r="AB2" s="9"/>
      <c r="AC2" s="30">
        <v>9909</v>
      </c>
      <c r="AD2" s="9"/>
      <c r="AE2" s="30">
        <v>2460</v>
      </c>
      <c r="AF2" s="9"/>
      <c r="AG2" s="30">
        <v>3551</v>
      </c>
      <c r="AH2" s="9"/>
      <c r="AI2" s="32">
        <v>31673</v>
      </c>
      <c r="AJ2" s="12"/>
      <c r="AK2" s="22">
        <v>891086200</v>
      </c>
      <c r="AM2" s="22">
        <v>334417994</v>
      </c>
      <c r="AO2" s="22">
        <v>725839054</v>
      </c>
      <c r="AQ2" s="22">
        <v>323017380</v>
      </c>
      <c r="AS2" s="26">
        <v>2274360628</v>
      </c>
      <c r="AU2" s="23">
        <v>40.973999999999997</v>
      </c>
      <c r="AW2" s="23">
        <v>37.995399999999997</v>
      </c>
      <c r="AY2" s="23">
        <v>33.375599999999999</v>
      </c>
      <c r="BA2" s="23">
        <v>73.766800000000003</v>
      </c>
      <c r="BC2" s="24">
        <v>37.503300000000003</v>
      </c>
      <c r="BE2" s="1" t="str">
        <f t="shared" ref="BE2:BE65" si="0">IF(BD2&amp;BB2&amp;AZ2&amp;AX2&amp;AV2&amp;AT2&amp;AR2&amp;AP2&amp;AN2&amp;AL2&amp;AJ2&amp;AH2&amp;AF2&amp;AD2&amp;AB2&amp;Z2&amp;X2&amp;V2&amp;T2&amp;R2&amp;P2&amp;N2&lt;&gt;"","Yes","No")</f>
        <v>No</v>
      </c>
      <c r="BJ2" s="1" t="s">
        <v>1011</v>
      </c>
    </row>
    <row r="3" spans="1:62" ht="11.25" customHeight="1">
      <c r="A3" s="7" t="s">
        <v>518</v>
      </c>
      <c r="B3" s="7" t="s">
        <v>479</v>
      </c>
      <c r="C3" s="37" t="s">
        <v>70</v>
      </c>
      <c r="D3" s="296">
        <v>2008</v>
      </c>
      <c r="E3" s="297">
        <v>20008</v>
      </c>
      <c r="F3" s="27" t="s">
        <v>240</v>
      </c>
      <c r="G3" s="73" t="s">
        <v>158</v>
      </c>
      <c r="H3" s="35">
        <v>18351295</v>
      </c>
      <c r="I3" s="35">
        <v>11004</v>
      </c>
      <c r="J3" s="37" t="s">
        <v>7</v>
      </c>
      <c r="K3" s="37" t="s">
        <v>159</v>
      </c>
      <c r="L3" s="8">
        <v>3286</v>
      </c>
      <c r="M3" s="8">
        <v>19022612</v>
      </c>
      <c r="N3" s="9"/>
      <c r="O3" s="8">
        <v>6673757</v>
      </c>
      <c r="P3" s="9"/>
      <c r="Q3" s="8">
        <v>1539082</v>
      </c>
      <c r="R3" s="9"/>
      <c r="S3" s="8">
        <v>1643977</v>
      </c>
      <c r="T3" s="9"/>
      <c r="U3" s="8">
        <v>720256</v>
      </c>
      <c r="V3" s="9"/>
      <c r="W3" s="33">
        <v>29599684</v>
      </c>
      <c r="X3" s="9"/>
      <c r="Y3" s="30">
        <v>9326.7999999999993</v>
      </c>
      <c r="Z3" s="9"/>
      <c r="AA3" s="30">
        <v>3329.4</v>
      </c>
      <c r="AB3" s="9"/>
      <c r="AC3" s="30">
        <v>789.4</v>
      </c>
      <c r="AD3" s="9"/>
      <c r="AE3" s="30">
        <v>917.4</v>
      </c>
      <c r="AF3" s="9"/>
      <c r="AG3" s="30">
        <v>439.4</v>
      </c>
      <c r="AH3" s="9"/>
      <c r="AI3" s="32">
        <v>14802.4</v>
      </c>
      <c r="AJ3" s="12"/>
      <c r="AK3" s="22">
        <v>776156680</v>
      </c>
      <c r="AM3" s="22">
        <v>224265796</v>
      </c>
      <c r="AO3" s="22">
        <v>54825515</v>
      </c>
      <c r="AQ3" s="22">
        <v>79182136</v>
      </c>
      <c r="AS3" s="26">
        <v>1134430127</v>
      </c>
      <c r="AU3" s="23">
        <v>40.8018</v>
      </c>
      <c r="AW3" s="23">
        <v>33.604100000000003</v>
      </c>
      <c r="AY3" s="23">
        <v>2.8820999999999999</v>
      </c>
      <c r="BA3" s="23">
        <v>48.164999999999999</v>
      </c>
      <c r="BC3" s="24">
        <v>38.325800000000001</v>
      </c>
      <c r="BE3" s="1" t="str">
        <f t="shared" si="0"/>
        <v>No</v>
      </c>
      <c r="BJ3" s="1" t="s">
        <v>1012</v>
      </c>
    </row>
    <row r="4" spans="1:62" ht="11.25" customHeight="1">
      <c r="A4" s="7" t="s">
        <v>518</v>
      </c>
      <c r="B4" s="7" t="s">
        <v>479</v>
      </c>
      <c r="C4" s="37" t="s">
        <v>70</v>
      </c>
      <c r="D4" s="296">
        <v>2008</v>
      </c>
      <c r="E4" s="297">
        <v>20008</v>
      </c>
      <c r="F4" s="27" t="s">
        <v>240</v>
      </c>
      <c r="G4" s="73" t="s">
        <v>158</v>
      </c>
      <c r="H4" s="35">
        <v>18351295</v>
      </c>
      <c r="I4" s="35">
        <v>11004</v>
      </c>
      <c r="J4" s="37" t="s">
        <v>18</v>
      </c>
      <c r="K4" s="37" t="s">
        <v>159</v>
      </c>
      <c r="L4" s="8">
        <v>455</v>
      </c>
      <c r="M4" s="8">
        <v>1679091</v>
      </c>
      <c r="N4" s="9"/>
      <c r="O4" s="8">
        <v>589080</v>
      </c>
      <c r="P4" s="9"/>
      <c r="Q4" s="8">
        <v>135852</v>
      </c>
      <c r="R4" s="9"/>
      <c r="S4" s="8">
        <v>145111</v>
      </c>
      <c r="T4" s="9"/>
      <c r="U4" s="8">
        <v>63576</v>
      </c>
      <c r="V4" s="9"/>
      <c r="W4" s="33">
        <v>2612710</v>
      </c>
      <c r="X4" s="9"/>
      <c r="Y4" s="30">
        <v>823.3</v>
      </c>
      <c r="Z4" s="9"/>
      <c r="AA4" s="30">
        <v>293.89999999999998</v>
      </c>
      <c r="AB4" s="9"/>
      <c r="AC4" s="30">
        <v>69.7</v>
      </c>
      <c r="AD4" s="9"/>
      <c r="AE4" s="30">
        <v>80.900000000000006</v>
      </c>
      <c r="AF4" s="9"/>
      <c r="AG4" s="30">
        <v>38.799999999999997</v>
      </c>
      <c r="AH4" s="9"/>
      <c r="AI4" s="32">
        <v>1306.5999999999999</v>
      </c>
      <c r="AJ4" s="12"/>
      <c r="AK4" s="22">
        <v>68848027</v>
      </c>
      <c r="AM4" s="22">
        <v>19906739</v>
      </c>
      <c r="AO4" s="22">
        <v>4866534</v>
      </c>
      <c r="AQ4" s="22">
        <v>7028527</v>
      </c>
      <c r="AS4" s="26">
        <v>100649827</v>
      </c>
      <c r="AU4" s="23">
        <v>41.0032</v>
      </c>
      <c r="AW4" s="23">
        <v>33.792900000000003</v>
      </c>
      <c r="AY4" s="23">
        <v>2.8982999999999999</v>
      </c>
      <c r="BA4" s="23">
        <v>48.435499999999998</v>
      </c>
      <c r="BC4" s="24">
        <v>38.523200000000003</v>
      </c>
      <c r="BE4" s="1" t="str">
        <f t="shared" si="0"/>
        <v>No</v>
      </c>
      <c r="BJ4" s="1">
        <v>1</v>
      </c>
    </row>
    <row r="5" spans="1:62" ht="11.25" customHeight="1">
      <c r="A5" s="7" t="s">
        <v>518</v>
      </c>
      <c r="B5" s="7" t="s">
        <v>479</v>
      </c>
      <c r="C5" s="37" t="s">
        <v>70</v>
      </c>
      <c r="D5" s="296">
        <v>2008</v>
      </c>
      <c r="E5" s="297">
        <v>20008</v>
      </c>
      <c r="F5" s="27" t="s">
        <v>240</v>
      </c>
      <c r="G5" s="73" t="s">
        <v>158</v>
      </c>
      <c r="H5" s="35">
        <v>18351295</v>
      </c>
      <c r="I5" s="35">
        <v>11004</v>
      </c>
      <c r="J5" s="37" t="s">
        <v>22</v>
      </c>
      <c r="K5" s="37" t="s">
        <v>159</v>
      </c>
      <c r="L5" s="8">
        <v>145</v>
      </c>
      <c r="M5" s="8">
        <v>552612</v>
      </c>
      <c r="N5" s="9"/>
      <c r="O5" s="8">
        <v>193875</v>
      </c>
      <c r="P5" s="9"/>
      <c r="Q5" s="8">
        <v>44711</v>
      </c>
      <c r="R5" s="9"/>
      <c r="S5" s="8">
        <v>47758</v>
      </c>
      <c r="T5" s="9"/>
      <c r="U5" s="8">
        <v>20924</v>
      </c>
      <c r="V5" s="9"/>
      <c r="W5" s="33">
        <v>859880</v>
      </c>
      <c r="X5" s="9"/>
      <c r="Y5" s="30">
        <v>270.89999999999998</v>
      </c>
      <c r="Z5" s="9"/>
      <c r="AA5" s="30">
        <v>96.7</v>
      </c>
      <c r="AB5" s="9"/>
      <c r="AC5" s="30">
        <v>22.9</v>
      </c>
      <c r="AD5" s="9"/>
      <c r="AE5" s="30">
        <v>26.7</v>
      </c>
      <c r="AF5" s="9"/>
      <c r="AG5" s="30">
        <v>12.8</v>
      </c>
      <c r="AH5" s="9"/>
      <c r="AI5" s="32">
        <v>430</v>
      </c>
      <c r="AJ5" s="12"/>
      <c r="AK5" s="22">
        <v>27016314</v>
      </c>
      <c r="AM5" s="22">
        <v>7811505</v>
      </c>
      <c r="AO5" s="22">
        <v>1909653</v>
      </c>
      <c r="AQ5" s="22">
        <v>2758029</v>
      </c>
      <c r="AS5" s="26">
        <v>39495501</v>
      </c>
      <c r="AU5" s="23">
        <v>48.888399999999997</v>
      </c>
      <c r="AW5" s="23">
        <v>40.291499999999999</v>
      </c>
      <c r="AY5" s="23">
        <v>3.4557000000000002</v>
      </c>
      <c r="BA5" s="23">
        <v>57.750100000000003</v>
      </c>
      <c r="BC5" s="24">
        <v>45.931399999999996</v>
      </c>
      <c r="BE5" s="1" t="str">
        <f t="shared" si="0"/>
        <v>No</v>
      </c>
    </row>
    <row r="6" spans="1:62" ht="11.25" customHeight="1">
      <c r="A6" s="7" t="s">
        <v>516</v>
      </c>
      <c r="B6" s="7" t="s">
        <v>515</v>
      </c>
      <c r="C6" s="37" t="s">
        <v>63</v>
      </c>
      <c r="D6" s="296">
        <v>2080</v>
      </c>
      <c r="E6" s="297">
        <v>20080</v>
      </c>
      <c r="F6" s="27" t="s">
        <v>401</v>
      </c>
      <c r="G6" s="73" t="s">
        <v>158</v>
      </c>
      <c r="H6" s="35">
        <v>18351295</v>
      </c>
      <c r="I6" s="35">
        <v>4056</v>
      </c>
      <c r="J6" s="37" t="s">
        <v>7</v>
      </c>
      <c r="K6" s="37" t="s">
        <v>159</v>
      </c>
      <c r="L6" s="8">
        <v>1857</v>
      </c>
      <c r="M6" s="8">
        <v>6323610</v>
      </c>
      <c r="N6" s="9"/>
      <c r="O6" s="8">
        <v>1966292</v>
      </c>
      <c r="P6" s="9"/>
      <c r="Q6" s="8">
        <v>163513</v>
      </c>
      <c r="R6" s="9"/>
      <c r="S6" s="8">
        <v>1728442</v>
      </c>
      <c r="T6" s="9"/>
      <c r="U6" s="8">
        <v>96216</v>
      </c>
      <c r="V6" s="9"/>
      <c r="W6" s="33">
        <v>10278073</v>
      </c>
      <c r="X6" s="9"/>
      <c r="Y6" s="30">
        <v>3739</v>
      </c>
      <c r="Z6" s="9"/>
      <c r="AA6" s="30">
        <v>1191</v>
      </c>
      <c r="AB6" s="9"/>
      <c r="AC6" s="30">
        <v>91</v>
      </c>
      <c r="AD6" s="9"/>
      <c r="AE6" s="30">
        <v>1038</v>
      </c>
      <c r="AF6" s="9"/>
      <c r="AG6" s="30">
        <v>53</v>
      </c>
      <c r="AH6" s="9"/>
      <c r="AI6" s="32">
        <v>6112</v>
      </c>
      <c r="AJ6" s="12"/>
      <c r="AK6" s="22">
        <v>217765952</v>
      </c>
      <c r="AM6" s="22">
        <v>65964497</v>
      </c>
      <c r="AO6" s="22">
        <v>6304072</v>
      </c>
      <c r="AQ6" s="22">
        <v>60531891</v>
      </c>
      <c r="AS6" s="26">
        <v>350566412</v>
      </c>
      <c r="AU6" s="23">
        <v>34.436999999999998</v>
      </c>
      <c r="AW6" s="23">
        <v>33.547699999999999</v>
      </c>
      <c r="AY6" s="23">
        <v>0.99690000000000001</v>
      </c>
      <c r="BA6" s="23">
        <v>35.021099999999997</v>
      </c>
      <c r="BC6" s="24">
        <v>34.108199999999997</v>
      </c>
      <c r="BE6" s="1" t="str">
        <f t="shared" si="0"/>
        <v>No</v>
      </c>
    </row>
    <row r="7" spans="1:62" ht="11.25" customHeight="1">
      <c r="A7" s="7" t="s">
        <v>516</v>
      </c>
      <c r="B7" s="7" t="s">
        <v>515</v>
      </c>
      <c r="C7" s="37" t="s">
        <v>63</v>
      </c>
      <c r="D7" s="296">
        <v>2080</v>
      </c>
      <c r="E7" s="297">
        <v>20080</v>
      </c>
      <c r="F7" s="27" t="s">
        <v>401</v>
      </c>
      <c r="G7" s="73" t="s">
        <v>158</v>
      </c>
      <c r="H7" s="35">
        <v>18351295</v>
      </c>
      <c r="I7" s="35">
        <v>4056</v>
      </c>
      <c r="J7" s="37" t="s">
        <v>41</v>
      </c>
      <c r="K7" s="37" t="s">
        <v>159</v>
      </c>
      <c r="L7" s="8">
        <v>1267</v>
      </c>
      <c r="M7" s="8">
        <v>3934211</v>
      </c>
      <c r="N7" s="9"/>
      <c r="O7" s="8">
        <v>2382062</v>
      </c>
      <c r="P7" s="9"/>
      <c r="Q7" s="8">
        <v>1223819</v>
      </c>
      <c r="R7" s="9"/>
      <c r="S7" s="8">
        <v>1004044</v>
      </c>
      <c r="T7" s="9"/>
      <c r="U7" s="8">
        <v>674347</v>
      </c>
      <c r="V7" s="9"/>
      <c r="W7" s="33">
        <v>9218483</v>
      </c>
      <c r="X7" s="9"/>
      <c r="Y7" s="30">
        <v>1875</v>
      </c>
      <c r="Z7" s="9"/>
      <c r="AA7" s="30">
        <v>1318</v>
      </c>
      <c r="AB7" s="9"/>
      <c r="AC7" s="30">
        <v>616</v>
      </c>
      <c r="AD7" s="9"/>
      <c r="AE7" s="30">
        <v>567</v>
      </c>
      <c r="AF7" s="9"/>
      <c r="AG7" s="30">
        <v>443</v>
      </c>
      <c r="AH7" s="9"/>
      <c r="AI7" s="32">
        <v>4819</v>
      </c>
      <c r="AJ7" s="12"/>
      <c r="AK7" s="22">
        <v>154961109</v>
      </c>
      <c r="AM7" s="22">
        <v>76213813</v>
      </c>
      <c r="AO7" s="22">
        <v>50260161</v>
      </c>
      <c r="AQ7" s="22">
        <v>69622005</v>
      </c>
      <c r="AS7" s="26">
        <v>351057088</v>
      </c>
      <c r="AU7" s="23">
        <v>39.388100000000001</v>
      </c>
      <c r="AW7" s="23">
        <v>31.994900000000001</v>
      </c>
      <c r="AY7" s="23">
        <v>12.7752</v>
      </c>
      <c r="BA7" s="23">
        <v>69.3416</v>
      </c>
      <c r="BC7" s="24">
        <v>38.081899999999997</v>
      </c>
      <c r="BE7" s="1" t="str">
        <f t="shared" si="0"/>
        <v>No</v>
      </c>
    </row>
    <row r="8" spans="1:62" ht="11.25" customHeight="1">
      <c r="A8" s="7" t="s">
        <v>516</v>
      </c>
      <c r="B8" s="7" t="s">
        <v>515</v>
      </c>
      <c r="C8" s="37" t="s">
        <v>63</v>
      </c>
      <c r="D8" s="296">
        <v>2080</v>
      </c>
      <c r="E8" s="297">
        <v>20080</v>
      </c>
      <c r="F8" s="27" t="s">
        <v>401</v>
      </c>
      <c r="G8" s="73" t="s">
        <v>158</v>
      </c>
      <c r="H8" s="35">
        <v>18351295</v>
      </c>
      <c r="I8" s="35">
        <v>4056</v>
      </c>
      <c r="J8" s="37" t="s">
        <v>21</v>
      </c>
      <c r="K8" s="37" t="s">
        <v>159</v>
      </c>
      <c r="L8" s="8">
        <v>14</v>
      </c>
      <c r="M8" s="8">
        <v>85403</v>
      </c>
      <c r="N8" s="9"/>
      <c r="O8" s="8">
        <v>30102</v>
      </c>
      <c r="P8" s="9"/>
      <c r="Q8" s="8">
        <v>73072</v>
      </c>
      <c r="R8" s="9"/>
      <c r="S8" s="8">
        <v>36357</v>
      </c>
      <c r="T8" s="9"/>
      <c r="U8" s="8">
        <v>4678</v>
      </c>
      <c r="V8" s="9"/>
      <c r="W8" s="33">
        <v>229612</v>
      </c>
      <c r="X8" s="9"/>
      <c r="Y8" s="30">
        <v>47</v>
      </c>
      <c r="Z8" s="9"/>
      <c r="AA8" s="30">
        <v>16</v>
      </c>
      <c r="AB8" s="9"/>
      <c r="AC8" s="30">
        <v>36</v>
      </c>
      <c r="AD8" s="9"/>
      <c r="AE8" s="30">
        <v>25</v>
      </c>
      <c r="AF8" s="9"/>
      <c r="AG8" s="30">
        <v>7</v>
      </c>
      <c r="AH8" s="9"/>
      <c r="AI8" s="32">
        <v>131</v>
      </c>
      <c r="AJ8" s="12"/>
      <c r="AK8" s="22">
        <v>4104793</v>
      </c>
      <c r="AM8" s="22">
        <v>1257060</v>
      </c>
      <c r="AO8" s="22">
        <v>2457195</v>
      </c>
      <c r="AQ8" s="22">
        <v>1053096</v>
      </c>
      <c r="AS8" s="26">
        <v>8872144</v>
      </c>
      <c r="AU8" s="23">
        <v>48.063800000000001</v>
      </c>
      <c r="AW8" s="23">
        <v>41.76</v>
      </c>
      <c r="AY8" s="23">
        <v>28.771799999999999</v>
      </c>
      <c r="BA8" s="23">
        <v>28.965399999999999</v>
      </c>
      <c r="BC8" s="24">
        <v>38.639699999999998</v>
      </c>
      <c r="BE8" s="1" t="str">
        <f t="shared" si="0"/>
        <v>No</v>
      </c>
    </row>
    <row r="9" spans="1:62" ht="11.25" customHeight="1">
      <c r="A9" s="7" t="s">
        <v>454</v>
      </c>
      <c r="B9" s="7" t="s">
        <v>455</v>
      </c>
      <c r="C9" s="37" t="s">
        <v>17</v>
      </c>
      <c r="D9" s="296">
        <v>9154</v>
      </c>
      <c r="E9" s="297">
        <v>90154</v>
      </c>
      <c r="F9" s="27" t="s">
        <v>165</v>
      </c>
      <c r="G9" s="73" t="s">
        <v>158</v>
      </c>
      <c r="H9" s="35">
        <v>12150996</v>
      </c>
      <c r="I9" s="35">
        <v>3544</v>
      </c>
      <c r="J9" s="37" t="s">
        <v>7</v>
      </c>
      <c r="K9" s="37" t="s">
        <v>159</v>
      </c>
      <c r="L9" s="8">
        <v>1777</v>
      </c>
      <c r="M9" s="8">
        <v>8763922</v>
      </c>
      <c r="N9" s="9"/>
      <c r="O9" s="8">
        <v>3080194</v>
      </c>
      <c r="P9" s="9"/>
      <c r="Q9" s="8">
        <v>367484</v>
      </c>
      <c r="R9" s="9"/>
      <c r="S9" s="8">
        <v>1224022</v>
      </c>
      <c r="T9" s="9"/>
      <c r="U9" s="8">
        <v>0</v>
      </c>
      <c r="V9" s="9"/>
      <c r="W9" s="33">
        <v>13435622</v>
      </c>
      <c r="X9" s="9"/>
      <c r="Y9" s="30">
        <v>4221</v>
      </c>
      <c r="Z9" s="9"/>
      <c r="AA9" s="30">
        <v>1503</v>
      </c>
      <c r="AB9" s="9"/>
      <c r="AC9" s="30">
        <v>195</v>
      </c>
      <c r="AD9" s="9"/>
      <c r="AE9" s="30">
        <v>649</v>
      </c>
      <c r="AF9" s="9"/>
      <c r="AG9" s="30">
        <v>0</v>
      </c>
      <c r="AH9" s="9"/>
      <c r="AI9" s="32">
        <v>6568</v>
      </c>
      <c r="AJ9" s="12"/>
      <c r="AK9" s="22">
        <v>239083882</v>
      </c>
      <c r="AM9" s="22">
        <v>90342092</v>
      </c>
      <c r="AO9" s="22">
        <v>11972239</v>
      </c>
      <c r="AQ9" s="22">
        <v>47605661</v>
      </c>
      <c r="AS9" s="26">
        <v>389003874</v>
      </c>
      <c r="AU9" s="23">
        <v>27.2805</v>
      </c>
      <c r="AW9" s="23">
        <v>29.33</v>
      </c>
      <c r="AY9" s="23">
        <v>1.3661000000000001</v>
      </c>
      <c r="BA9" s="23">
        <v>38.892800000000001</v>
      </c>
      <c r="BC9" s="24">
        <v>28.953199999999999</v>
      </c>
      <c r="BE9" s="1" t="str">
        <f t="shared" si="0"/>
        <v>No</v>
      </c>
    </row>
    <row r="10" spans="1:62" ht="11.25" customHeight="1">
      <c r="A10" s="7" t="s">
        <v>454</v>
      </c>
      <c r="B10" s="7" t="s">
        <v>455</v>
      </c>
      <c r="C10" s="37" t="s">
        <v>17</v>
      </c>
      <c r="D10" s="296">
        <v>9154</v>
      </c>
      <c r="E10" s="297">
        <v>90154</v>
      </c>
      <c r="F10" s="27" t="s">
        <v>165</v>
      </c>
      <c r="G10" s="73" t="s">
        <v>158</v>
      </c>
      <c r="H10" s="35">
        <v>12150996</v>
      </c>
      <c r="I10" s="35">
        <v>3544</v>
      </c>
      <c r="J10" s="37" t="s">
        <v>21</v>
      </c>
      <c r="K10" s="37" t="s">
        <v>159</v>
      </c>
      <c r="L10" s="8">
        <v>161</v>
      </c>
      <c r="M10" s="8">
        <v>1178589</v>
      </c>
      <c r="N10" s="9"/>
      <c r="O10" s="8">
        <v>747180</v>
      </c>
      <c r="P10" s="9"/>
      <c r="Q10" s="8">
        <v>405608</v>
      </c>
      <c r="R10" s="9"/>
      <c r="S10" s="8">
        <v>435668</v>
      </c>
      <c r="T10" s="9"/>
      <c r="U10" s="8">
        <v>0</v>
      </c>
      <c r="V10" s="9"/>
      <c r="W10" s="33">
        <v>2767045</v>
      </c>
      <c r="X10" s="9"/>
      <c r="Y10" s="30">
        <v>573</v>
      </c>
      <c r="Z10" s="9"/>
      <c r="AA10" s="30">
        <v>348</v>
      </c>
      <c r="AB10" s="9"/>
      <c r="AC10" s="30">
        <v>213</v>
      </c>
      <c r="AD10" s="9"/>
      <c r="AE10" s="30">
        <v>209</v>
      </c>
      <c r="AF10" s="9"/>
      <c r="AG10" s="30">
        <v>0</v>
      </c>
      <c r="AH10" s="9"/>
      <c r="AI10" s="32">
        <v>1343</v>
      </c>
      <c r="AJ10" s="12"/>
      <c r="AK10" s="22">
        <v>34749486</v>
      </c>
      <c r="AM10" s="22">
        <v>26220108</v>
      </c>
      <c r="AO10" s="22">
        <v>13030639</v>
      </c>
      <c r="AQ10" s="22">
        <v>16450742</v>
      </c>
      <c r="AS10" s="26">
        <v>90450975</v>
      </c>
      <c r="AU10" s="23">
        <v>29.484000000000002</v>
      </c>
      <c r="AW10" s="23">
        <v>35.092100000000002</v>
      </c>
      <c r="AY10" s="23">
        <v>11.056100000000001</v>
      </c>
      <c r="BA10" s="23">
        <v>37.759799999999998</v>
      </c>
      <c r="BC10" s="24">
        <v>32.688699999999997</v>
      </c>
      <c r="BE10" s="1" t="str">
        <f t="shared" si="0"/>
        <v>No</v>
      </c>
    </row>
    <row r="11" spans="1:62" ht="11.25" customHeight="1">
      <c r="A11" s="7" t="s">
        <v>454</v>
      </c>
      <c r="B11" s="7" t="s">
        <v>455</v>
      </c>
      <c r="C11" s="37" t="s">
        <v>17</v>
      </c>
      <c r="D11" s="296">
        <v>9154</v>
      </c>
      <c r="E11" s="297">
        <v>90154</v>
      </c>
      <c r="F11" s="27" t="s">
        <v>165</v>
      </c>
      <c r="G11" s="73" t="s">
        <v>158</v>
      </c>
      <c r="H11" s="35">
        <v>12150996</v>
      </c>
      <c r="I11" s="35">
        <v>3544</v>
      </c>
      <c r="J11" s="37" t="s">
        <v>20</v>
      </c>
      <c r="K11" s="37" t="s">
        <v>159</v>
      </c>
      <c r="L11" s="8">
        <v>70</v>
      </c>
      <c r="M11" s="8">
        <v>435491</v>
      </c>
      <c r="N11" s="9"/>
      <c r="O11" s="8">
        <v>385805</v>
      </c>
      <c r="P11" s="9"/>
      <c r="Q11" s="8">
        <v>278506</v>
      </c>
      <c r="R11" s="9"/>
      <c r="S11" s="8">
        <v>177088</v>
      </c>
      <c r="T11" s="9"/>
      <c r="U11" s="8">
        <v>0</v>
      </c>
      <c r="V11" s="9"/>
      <c r="W11" s="33">
        <v>1276890</v>
      </c>
      <c r="X11" s="9"/>
      <c r="Y11" s="30">
        <v>206</v>
      </c>
      <c r="Z11" s="9"/>
      <c r="AA11" s="30">
        <v>197</v>
      </c>
      <c r="AB11" s="9"/>
      <c r="AC11" s="30">
        <v>146</v>
      </c>
      <c r="AD11" s="9"/>
      <c r="AE11" s="30">
        <v>94</v>
      </c>
      <c r="AF11" s="9"/>
      <c r="AG11" s="30">
        <v>0</v>
      </c>
      <c r="AH11" s="9"/>
      <c r="AI11" s="32">
        <v>643</v>
      </c>
      <c r="AJ11" s="12"/>
      <c r="AK11" s="22">
        <v>13143152</v>
      </c>
      <c r="AM11" s="22">
        <v>11317352</v>
      </c>
      <c r="AO11" s="22">
        <v>8806640</v>
      </c>
      <c r="AQ11" s="22">
        <v>6686809</v>
      </c>
      <c r="AS11" s="26">
        <v>39953953</v>
      </c>
      <c r="AU11" s="23">
        <v>30.180099999999999</v>
      </c>
      <c r="AW11" s="23">
        <v>29.334399999999999</v>
      </c>
      <c r="AY11" s="23">
        <v>20.222300000000001</v>
      </c>
      <c r="BA11" s="23">
        <v>37.759799999999998</v>
      </c>
      <c r="BC11" s="24">
        <v>31.290099999999999</v>
      </c>
      <c r="BE11" s="1" t="str">
        <f t="shared" si="0"/>
        <v>No</v>
      </c>
    </row>
    <row r="12" spans="1:62" ht="11.25" customHeight="1">
      <c r="A12" s="7" t="s">
        <v>454</v>
      </c>
      <c r="B12" s="7" t="s">
        <v>455</v>
      </c>
      <c r="C12" s="37" t="s">
        <v>17</v>
      </c>
      <c r="D12" s="296">
        <v>9154</v>
      </c>
      <c r="E12" s="297">
        <v>90154</v>
      </c>
      <c r="F12" s="27" t="s">
        <v>165</v>
      </c>
      <c r="G12" s="73" t="s">
        <v>158</v>
      </c>
      <c r="H12" s="35">
        <v>12150996</v>
      </c>
      <c r="I12" s="35">
        <v>3544</v>
      </c>
      <c r="J12" s="37" t="s">
        <v>22</v>
      </c>
      <c r="K12" s="37" t="s">
        <v>159</v>
      </c>
      <c r="L12" s="8">
        <v>33</v>
      </c>
      <c r="M12" s="8">
        <v>187263</v>
      </c>
      <c r="N12" s="9"/>
      <c r="O12" s="8">
        <v>20689</v>
      </c>
      <c r="P12" s="9"/>
      <c r="Q12" s="8">
        <v>12111</v>
      </c>
      <c r="R12" s="9"/>
      <c r="S12" s="8">
        <v>25103</v>
      </c>
      <c r="T12" s="9"/>
      <c r="U12" s="8">
        <v>0</v>
      </c>
      <c r="V12" s="9"/>
      <c r="W12" s="33">
        <v>245166</v>
      </c>
      <c r="X12" s="9"/>
      <c r="Y12" s="30">
        <v>95</v>
      </c>
      <c r="Z12" s="9"/>
      <c r="AA12" s="30">
        <v>11</v>
      </c>
      <c r="AB12" s="9"/>
      <c r="AC12" s="30">
        <v>6</v>
      </c>
      <c r="AD12" s="9"/>
      <c r="AE12" s="30">
        <v>13</v>
      </c>
      <c r="AF12" s="9"/>
      <c r="AG12" s="30">
        <v>0</v>
      </c>
      <c r="AH12" s="9"/>
      <c r="AI12" s="32">
        <v>125</v>
      </c>
      <c r="AJ12" s="12"/>
      <c r="AK12" s="22">
        <v>4768131</v>
      </c>
      <c r="AM12" s="22">
        <v>606908</v>
      </c>
      <c r="AO12" s="22">
        <v>371844</v>
      </c>
      <c r="AQ12" s="22">
        <v>947888</v>
      </c>
      <c r="AS12" s="26">
        <v>6694771</v>
      </c>
      <c r="AU12" s="23">
        <v>25.462199999999999</v>
      </c>
      <c r="AW12" s="23">
        <v>29.334800000000001</v>
      </c>
      <c r="AY12" s="23">
        <v>1.9857</v>
      </c>
      <c r="BA12" s="23">
        <v>37.759900000000002</v>
      </c>
      <c r="BC12" s="24">
        <v>27.307099999999998</v>
      </c>
      <c r="BE12" s="1" t="str">
        <f t="shared" si="0"/>
        <v>No</v>
      </c>
    </row>
    <row r="13" spans="1:62" ht="11.25" customHeight="1">
      <c r="A13" s="7" t="s">
        <v>680</v>
      </c>
      <c r="B13" s="7" t="s">
        <v>681</v>
      </c>
      <c r="C13" s="37" t="s">
        <v>30</v>
      </c>
      <c r="D13" s="296">
        <v>3030</v>
      </c>
      <c r="E13" s="297">
        <v>30030</v>
      </c>
      <c r="F13" s="27" t="s">
        <v>165</v>
      </c>
      <c r="G13" s="73" t="s">
        <v>158</v>
      </c>
      <c r="H13" s="35">
        <v>4586770</v>
      </c>
      <c r="I13" s="35">
        <v>3172</v>
      </c>
      <c r="J13" s="37" t="s">
        <v>7</v>
      </c>
      <c r="K13" s="37" t="s">
        <v>159</v>
      </c>
      <c r="L13" s="8">
        <v>1301</v>
      </c>
      <c r="M13" s="8">
        <v>6891639</v>
      </c>
      <c r="N13" s="9"/>
      <c r="O13" s="8">
        <v>1861037</v>
      </c>
      <c r="P13" s="9"/>
      <c r="Q13" s="8">
        <v>198198</v>
      </c>
      <c r="R13" s="9"/>
      <c r="S13" s="8">
        <v>370594</v>
      </c>
      <c r="T13" s="9"/>
      <c r="U13" s="8">
        <v>926008</v>
      </c>
      <c r="V13" s="9"/>
      <c r="W13" s="33">
        <v>10247476</v>
      </c>
      <c r="X13" s="9"/>
      <c r="Y13" s="30">
        <v>4520</v>
      </c>
      <c r="Z13" s="9"/>
      <c r="AA13" s="30">
        <v>1124</v>
      </c>
      <c r="AB13" s="9"/>
      <c r="AC13" s="30">
        <v>101</v>
      </c>
      <c r="AD13" s="9"/>
      <c r="AE13" s="30">
        <v>215</v>
      </c>
      <c r="AF13" s="9"/>
      <c r="AG13" s="30">
        <v>545</v>
      </c>
      <c r="AH13" s="9"/>
      <c r="AI13" s="32">
        <v>6505</v>
      </c>
      <c r="AJ13" s="12"/>
      <c r="AK13" s="22">
        <v>214217204</v>
      </c>
      <c r="AM13" s="22">
        <v>56184480</v>
      </c>
      <c r="AO13" s="22">
        <v>6573483</v>
      </c>
      <c r="AQ13" s="22">
        <v>15157710</v>
      </c>
      <c r="AS13" s="26">
        <v>292132877</v>
      </c>
      <c r="AU13" s="23">
        <v>31.083600000000001</v>
      </c>
      <c r="AW13" s="23">
        <v>30.189900000000002</v>
      </c>
      <c r="AY13" s="23">
        <v>0.95379999999999998</v>
      </c>
      <c r="BA13" s="23">
        <v>40.9011</v>
      </c>
      <c r="BC13" s="24">
        <v>28.5078</v>
      </c>
      <c r="BE13" s="1" t="str">
        <f t="shared" si="0"/>
        <v>No</v>
      </c>
    </row>
    <row r="14" spans="1:62" ht="11.25" customHeight="1">
      <c r="A14" s="7" t="s">
        <v>680</v>
      </c>
      <c r="B14" s="7" t="s">
        <v>681</v>
      </c>
      <c r="C14" s="37" t="s">
        <v>30</v>
      </c>
      <c r="D14" s="296">
        <v>3030</v>
      </c>
      <c r="E14" s="297">
        <v>30030</v>
      </c>
      <c r="F14" s="27" t="s">
        <v>165</v>
      </c>
      <c r="G14" s="73" t="s">
        <v>158</v>
      </c>
      <c r="H14" s="35">
        <v>4586770</v>
      </c>
      <c r="I14" s="35">
        <v>3172</v>
      </c>
      <c r="J14" s="37" t="s">
        <v>20</v>
      </c>
      <c r="K14" s="37" t="s">
        <v>159</v>
      </c>
      <c r="L14" s="8">
        <v>954</v>
      </c>
      <c r="M14" s="8">
        <v>4282374</v>
      </c>
      <c r="N14" s="9"/>
      <c r="O14" s="8">
        <v>2269335</v>
      </c>
      <c r="P14" s="9"/>
      <c r="Q14" s="8">
        <v>4997737</v>
      </c>
      <c r="R14" s="9"/>
      <c r="S14" s="8">
        <v>2139984</v>
      </c>
      <c r="T14" s="9"/>
      <c r="U14" s="8">
        <v>1360431</v>
      </c>
      <c r="V14" s="9"/>
      <c r="W14" s="33">
        <v>15049861</v>
      </c>
      <c r="X14" s="9"/>
      <c r="Y14" s="30">
        <v>2349</v>
      </c>
      <c r="Z14" s="9"/>
      <c r="AA14" s="30">
        <v>1243</v>
      </c>
      <c r="AB14" s="9"/>
      <c r="AC14" s="30">
        <v>3224</v>
      </c>
      <c r="AD14" s="9"/>
      <c r="AE14" s="30">
        <v>1362</v>
      </c>
      <c r="AF14" s="9"/>
      <c r="AG14" s="30">
        <v>800</v>
      </c>
      <c r="AH14" s="9"/>
      <c r="AI14" s="32">
        <v>8978</v>
      </c>
      <c r="AJ14" s="12"/>
      <c r="AK14" s="22">
        <v>155320123</v>
      </c>
      <c r="AM14" s="22">
        <v>76399711</v>
      </c>
      <c r="AO14" s="22">
        <v>133089422</v>
      </c>
      <c r="AQ14" s="22">
        <v>90203845</v>
      </c>
      <c r="AS14" s="26">
        <v>455013101</v>
      </c>
      <c r="AU14" s="23">
        <v>36.269599999999997</v>
      </c>
      <c r="AW14" s="23">
        <v>33.6661</v>
      </c>
      <c r="AY14" s="23">
        <v>31.078399999999998</v>
      </c>
      <c r="BA14" s="23">
        <v>42.151600000000002</v>
      </c>
      <c r="BC14" s="24">
        <v>30.233699999999999</v>
      </c>
      <c r="BE14" s="1" t="str">
        <f t="shared" si="0"/>
        <v>No</v>
      </c>
    </row>
    <row r="15" spans="1:62" ht="11.25" customHeight="1">
      <c r="A15" s="7" t="s">
        <v>1117</v>
      </c>
      <c r="B15" s="7" t="s">
        <v>266</v>
      </c>
      <c r="C15" s="37" t="s">
        <v>89</v>
      </c>
      <c r="D15" s="296">
        <v>1</v>
      </c>
      <c r="E15" s="297">
        <v>1</v>
      </c>
      <c r="F15" s="27" t="s">
        <v>162</v>
      </c>
      <c r="G15" s="73" t="s">
        <v>158</v>
      </c>
      <c r="H15" s="35">
        <v>3059393</v>
      </c>
      <c r="I15" s="35">
        <v>2818</v>
      </c>
      <c r="J15" s="37" t="s">
        <v>8</v>
      </c>
      <c r="K15" s="37" t="s">
        <v>159</v>
      </c>
      <c r="L15" s="8">
        <v>1469</v>
      </c>
      <c r="M15" s="8">
        <v>0</v>
      </c>
      <c r="N15" s="9"/>
      <c r="O15" s="8">
        <v>0</v>
      </c>
      <c r="P15" s="9"/>
      <c r="Q15" s="8">
        <v>951</v>
      </c>
      <c r="R15" s="9"/>
      <c r="S15" s="8">
        <v>52529</v>
      </c>
      <c r="T15" s="9"/>
      <c r="U15" s="8">
        <v>1492</v>
      </c>
      <c r="V15" s="9"/>
      <c r="W15" s="33">
        <v>54972</v>
      </c>
      <c r="X15" s="9"/>
      <c r="Y15" s="30">
        <v>0</v>
      </c>
      <c r="Z15" s="9"/>
      <c r="AA15" s="30">
        <v>0</v>
      </c>
      <c r="AB15" s="9"/>
      <c r="AC15" s="30">
        <v>0.61</v>
      </c>
      <c r="AD15" s="9"/>
      <c r="AE15" s="30">
        <v>40.69</v>
      </c>
      <c r="AF15" s="9"/>
      <c r="AG15" s="30">
        <v>0.97</v>
      </c>
      <c r="AH15" s="9"/>
      <c r="AI15" s="32">
        <v>42.27</v>
      </c>
      <c r="AJ15" s="12"/>
      <c r="AK15" s="22">
        <v>0</v>
      </c>
      <c r="AM15" s="22">
        <v>0</v>
      </c>
      <c r="AO15" s="22">
        <v>58223</v>
      </c>
      <c r="AQ15" s="22">
        <v>2947532</v>
      </c>
      <c r="AS15" s="26">
        <v>3005755</v>
      </c>
      <c r="BA15" s="23">
        <v>56.112499999999997</v>
      </c>
      <c r="BC15" s="24">
        <v>54.677900000000001</v>
      </c>
      <c r="BE15" s="1" t="str">
        <f t="shared" si="0"/>
        <v>No</v>
      </c>
    </row>
    <row r="16" spans="1:62" ht="11.25" customHeight="1">
      <c r="A16" s="7" t="s">
        <v>1117</v>
      </c>
      <c r="B16" s="7" t="s">
        <v>266</v>
      </c>
      <c r="C16" s="37" t="s">
        <v>89</v>
      </c>
      <c r="D16" s="296">
        <v>1</v>
      </c>
      <c r="E16" s="297">
        <v>1</v>
      </c>
      <c r="F16" s="27" t="s">
        <v>162</v>
      </c>
      <c r="G16" s="73" t="s">
        <v>158</v>
      </c>
      <c r="H16" s="35">
        <v>3059393</v>
      </c>
      <c r="I16" s="35">
        <v>2818</v>
      </c>
      <c r="J16" s="37" t="s">
        <v>7</v>
      </c>
      <c r="K16" s="37" t="s">
        <v>159</v>
      </c>
      <c r="L16" s="8">
        <v>949</v>
      </c>
      <c r="M16" s="8">
        <v>3376614</v>
      </c>
      <c r="N16" s="9"/>
      <c r="O16" s="8">
        <v>888285</v>
      </c>
      <c r="P16" s="9"/>
      <c r="Q16" s="8">
        <v>336811</v>
      </c>
      <c r="R16" s="9"/>
      <c r="S16" s="8">
        <v>309451</v>
      </c>
      <c r="T16" s="9"/>
      <c r="U16" s="8">
        <v>111831</v>
      </c>
      <c r="V16" s="9"/>
      <c r="W16" s="33">
        <v>5022992</v>
      </c>
      <c r="X16" s="9"/>
      <c r="Y16" s="30">
        <v>2593.2800000000002</v>
      </c>
      <c r="Z16" s="9"/>
      <c r="AA16" s="30">
        <v>573.80999999999995</v>
      </c>
      <c r="AB16" s="9"/>
      <c r="AC16" s="30">
        <v>223.26</v>
      </c>
      <c r="AD16" s="9"/>
      <c r="AE16" s="30">
        <v>216.41</v>
      </c>
      <c r="AF16" s="9"/>
      <c r="AG16" s="30">
        <v>74.16</v>
      </c>
      <c r="AH16" s="9"/>
      <c r="AI16" s="32">
        <v>3680.92</v>
      </c>
      <c r="AJ16" s="12"/>
      <c r="AK16" s="22">
        <v>159886077</v>
      </c>
      <c r="AM16" s="22">
        <v>43471455</v>
      </c>
      <c r="AO16" s="22">
        <v>14321158</v>
      </c>
      <c r="AQ16" s="22">
        <v>17422523</v>
      </c>
      <c r="AS16" s="26">
        <v>235101213</v>
      </c>
      <c r="AU16" s="23">
        <v>47.350999999999999</v>
      </c>
      <c r="AW16" s="23">
        <v>48.938600000000001</v>
      </c>
      <c r="AY16" s="23">
        <v>4.2412999999999998</v>
      </c>
      <c r="BA16" s="23">
        <v>56.301400000000001</v>
      </c>
      <c r="BC16" s="24">
        <v>46.805</v>
      </c>
      <c r="BE16" s="1" t="str">
        <f t="shared" si="0"/>
        <v>No</v>
      </c>
    </row>
    <row r="17" spans="1:57" ht="11.25" customHeight="1">
      <c r="A17" s="7" t="s">
        <v>1117</v>
      </c>
      <c r="B17" s="7" t="s">
        <v>266</v>
      </c>
      <c r="C17" s="37" t="s">
        <v>89</v>
      </c>
      <c r="D17" s="296">
        <v>1</v>
      </c>
      <c r="E17" s="297">
        <v>1</v>
      </c>
      <c r="F17" s="27" t="s">
        <v>162</v>
      </c>
      <c r="G17" s="73" t="s">
        <v>158</v>
      </c>
      <c r="H17" s="35">
        <v>3059393</v>
      </c>
      <c r="I17" s="35">
        <v>2818</v>
      </c>
      <c r="J17" s="37" t="s">
        <v>25</v>
      </c>
      <c r="K17" s="37" t="s">
        <v>159</v>
      </c>
      <c r="L17" s="8">
        <v>138</v>
      </c>
      <c r="M17" s="8">
        <v>478061</v>
      </c>
      <c r="N17" s="9"/>
      <c r="O17" s="8">
        <v>95650</v>
      </c>
      <c r="P17" s="9"/>
      <c r="Q17" s="8">
        <v>97421</v>
      </c>
      <c r="R17" s="9"/>
      <c r="S17" s="8">
        <v>44611</v>
      </c>
      <c r="T17" s="9"/>
      <c r="U17" s="8">
        <v>20691</v>
      </c>
      <c r="V17" s="9"/>
      <c r="W17" s="33">
        <v>736434</v>
      </c>
      <c r="X17" s="9"/>
      <c r="Y17" s="30">
        <v>367.16</v>
      </c>
      <c r="Z17" s="9"/>
      <c r="AA17" s="30">
        <v>61.79</v>
      </c>
      <c r="AB17" s="9"/>
      <c r="AC17" s="30">
        <v>67.739999999999995</v>
      </c>
      <c r="AD17" s="9"/>
      <c r="AE17" s="30">
        <v>31.3</v>
      </c>
      <c r="AF17" s="9"/>
      <c r="AG17" s="30">
        <v>14.17</v>
      </c>
      <c r="AH17" s="9"/>
      <c r="AI17" s="32">
        <v>542.16</v>
      </c>
      <c r="AJ17" s="12"/>
      <c r="AK17" s="22">
        <v>22625547</v>
      </c>
      <c r="AM17" s="22">
        <v>4690438</v>
      </c>
      <c r="AO17" s="22">
        <v>5764339</v>
      </c>
      <c r="AQ17" s="22">
        <v>2529228</v>
      </c>
      <c r="AS17" s="26">
        <v>35609552</v>
      </c>
      <c r="AU17" s="23">
        <v>47.3277</v>
      </c>
      <c r="AW17" s="23">
        <v>49.037500000000001</v>
      </c>
      <c r="AY17" s="23">
        <v>12.057700000000001</v>
      </c>
      <c r="BA17" s="23">
        <v>56.6952</v>
      </c>
      <c r="BC17" s="24">
        <v>48.353999999999999</v>
      </c>
      <c r="BE17" s="1" t="str">
        <f t="shared" si="0"/>
        <v>No</v>
      </c>
    </row>
    <row r="18" spans="1:57" ht="11.25" customHeight="1">
      <c r="A18" s="7" t="s">
        <v>1117</v>
      </c>
      <c r="B18" s="7" t="s">
        <v>266</v>
      </c>
      <c r="C18" s="37" t="s">
        <v>89</v>
      </c>
      <c r="D18" s="296">
        <v>1</v>
      </c>
      <c r="E18" s="297">
        <v>1</v>
      </c>
      <c r="F18" s="27" t="s">
        <v>162</v>
      </c>
      <c r="G18" s="73" t="s">
        <v>158</v>
      </c>
      <c r="H18" s="35">
        <v>3059393</v>
      </c>
      <c r="I18" s="35">
        <v>2818</v>
      </c>
      <c r="J18" s="37" t="s">
        <v>12</v>
      </c>
      <c r="K18" s="37" t="s">
        <v>159</v>
      </c>
      <c r="L18" s="8">
        <v>8</v>
      </c>
      <c r="M18" s="8">
        <v>68624</v>
      </c>
      <c r="N18" s="9"/>
      <c r="O18" s="8">
        <v>12252</v>
      </c>
      <c r="P18" s="9"/>
      <c r="Q18" s="8">
        <v>6188</v>
      </c>
      <c r="R18" s="9"/>
      <c r="S18" s="8">
        <v>13528</v>
      </c>
      <c r="T18" s="9"/>
      <c r="U18" s="8">
        <v>1502</v>
      </c>
      <c r="V18" s="9"/>
      <c r="W18" s="33">
        <v>102094</v>
      </c>
      <c r="X18" s="9"/>
      <c r="Y18" s="30">
        <v>44.7</v>
      </c>
      <c r="Z18" s="9"/>
      <c r="AA18" s="30">
        <v>8</v>
      </c>
      <c r="AB18" s="9"/>
      <c r="AC18" s="30">
        <v>4.53</v>
      </c>
      <c r="AD18" s="9"/>
      <c r="AE18" s="30">
        <v>9.59</v>
      </c>
      <c r="AF18" s="9"/>
      <c r="AG18" s="30">
        <v>1.05</v>
      </c>
      <c r="AH18" s="9"/>
      <c r="AI18" s="32">
        <v>67.87</v>
      </c>
      <c r="AJ18" s="12"/>
      <c r="AK18" s="22">
        <v>3097719</v>
      </c>
      <c r="AM18" s="22">
        <v>572678</v>
      </c>
      <c r="AO18" s="22">
        <v>525135</v>
      </c>
      <c r="AQ18" s="22">
        <v>783546</v>
      </c>
      <c r="AS18" s="26">
        <v>4979078</v>
      </c>
      <c r="AU18" s="23">
        <v>45.140500000000003</v>
      </c>
      <c r="AW18" s="23">
        <v>46.741599999999998</v>
      </c>
      <c r="AY18" s="23">
        <v>7.6524000000000001</v>
      </c>
      <c r="BA18" s="23">
        <v>57.920299999999997</v>
      </c>
      <c r="BC18" s="24">
        <v>48.769500000000001</v>
      </c>
      <c r="BE18" s="1" t="str">
        <f t="shared" si="0"/>
        <v>No</v>
      </c>
    </row>
    <row r="19" spans="1:57" ht="11.25" customHeight="1">
      <c r="A19" s="7" t="s">
        <v>1117</v>
      </c>
      <c r="B19" s="7" t="s">
        <v>266</v>
      </c>
      <c r="C19" s="37" t="s">
        <v>89</v>
      </c>
      <c r="D19" s="296">
        <v>1</v>
      </c>
      <c r="E19" s="297">
        <v>1</v>
      </c>
      <c r="F19" s="27" t="s">
        <v>162</v>
      </c>
      <c r="G19" s="73" t="s">
        <v>158</v>
      </c>
      <c r="H19" s="35">
        <v>3059393</v>
      </c>
      <c r="I19" s="35">
        <v>2818</v>
      </c>
      <c r="J19" s="37" t="s">
        <v>19</v>
      </c>
      <c r="K19" s="37" t="s">
        <v>159</v>
      </c>
      <c r="L19" s="8">
        <v>2</v>
      </c>
      <c r="M19" s="8">
        <v>24163</v>
      </c>
      <c r="N19" s="9"/>
      <c r="O19" s="8">
        <v>8097</v>
      </c>
      <c r="P19" s="9"/>
      <c r="Q19" s="8">
        <v>361</v>
      </c>
      <c r="R19" s="9"/>
      <c r="S19" s="8">
        <v>11437</v>
      </c>
      <c r="T19" s="9"/>
      <c r="U19" s="8">
        <v>1860</v>
      </c>
      <c r="V19" s="9"/>
      <c r="W19" s="33">
        <v>45918</v>
      </c>
      <c r="X19" s="9"/>
      <c r="Y19" s="30">
        <v>24.7</v>
      </c>
      <c r="Z19" s="9"/>
      <c r="AA19" s="30">
        <v>6.25</v>
      </c>
      <c r="AB19" s="9"/>
      <c r="AC19" s="30">
        <v>0.19</v>
      </c>
      <c r="AD19" s="9"/>
      <c r="AE19" s="30">
        <v>6.48</v>
      </c>
      <c r="AF19" s="9"/>
      <c r="AG19" s="30">
        <v>1.25</v>
      </c>
      <c r="AH19" s="9"/>
      <c r="AI19" s="32">
        <v>38.869999999999997</v>
      </c>
      <c r="AJ19" s="12"/>
      <c r="AK19" s="22">
        <v>918681</v>
      </c>
      <c r="AM19" s="22">
        <v>346795</v>
      </c>
      <c r="AO19" s="22">
        <v>16100</v>
      </c>
      <c r="AQ19" s="22">
        <v>513168</v>
      </c>
      <c r="AS19" s="26">
        <v>1794744</v>
      </c>
      <c r="AU19" s="23">
        <v>38.020200000000003</v>
      </c>
      <c r="AW19" s="23">
        <v>42.830100000000002</v>
      </c>
      <c r="AY19" s="23">
        <v>0.6663</v>
      </c>
      <c r="BA19" s="23">
        <v>44.869100000000003</v>
      </c>
      <c r="BC19" s="24">
        <v>39.085799999999999</v>
      </c>
      <c r="BE19" s="1" t="str">
        <f t="shared" si="0"/>
        <v>No</v>
      </c>
    </row>
    <row r="20" spans="1:57" ht="11.25" customHeight="1">
      <c r="A20" s="7" t="s">
        <v>279</v>
      </c>
      <c r="B20" s="7" t="s">
        <v>280</v>
      </c>
      <c r="C20" s="37" t="s">
        <v>40</v>
      </c>
      <c r="D20" s="296">
        <v>5066</v>
      </c>
      <c r="E20" s="297">
        <v>50066</v>
      </c>
      <c r="F20" s="27" t="s">
        <v>165</v>
      </c>
      <c r="G20" s="73" t="s">
        <v>158</v>
      </c>
      <c r="H20" s="35">
        <v>8608208</v>
      </c>
      <c r="I20" s="35">
        <v>2712</v>
      </c>
      <c r="J20" s="37" t="s">
        <v>7</v>
      </c>
      <c r="K20" s="37" t="s">
        <v>159</v>
      </c>
      <c r="L20" s="8">
        <v>1572</v>
      </c>
      <c r="M20" s="8">
        <v>8126751</v>
      </c>
      <c r="N20" s="9"/>
      <c r="O20" s="8">
        <v>1909971</v>
      </c>
      <c r="P20" s="9"/>
      <c r="Q20" s="8">
        <v>325346</v>
      </c>
      <c r="R20" s="9"/>
      <c r="S20" s="8">
        <v>527262</v>
      </c>
      <c r="T20" s="9"/>
      <c r="U20" s="8">
        <v>338220</v>
      </c>
      <c r="V20" s="9"/>
      <c r="W20" s="33">
        <v>11227550</v>
      </c>
      <c r="X20" s="9"/>
      <c r="Y20" s="30">
        <v>4533</v>
      </c>
      <c r="Z20" s="9"/>
      <c r="AA20" s="30">
        <v>1035</v>
      </c>
      <c r="AB20" s="9"/>
      <c r="AC20" s="30">
        <v>181</v>
      </c>
      <c r="AD20" s="9"/>
      <c r="AE20" s="30">
        <v>301</v>
      </c>
      <c r="AF20" s="9"/>
      <c r="AG20" s="30">
        <v>190</v>
      </c>
      <c r="AH20" s="9"/>
      <c r="AI20" s="32">
        <v>6240</v>
      </c>
      <c r="AJ20" s="12"/>
      <c r="AK20" s="22">
        <v>255900536</v>
      </c>
      <c r="AM20" s="22">
        <v>60423296</v>
      </c>
      <c r="AO20" s="22">
        <v>13933391</v>
      </c>
      <c r="AQ20" s="22">
        <v>15393103</v>
      </c>
      <c r="AS20" s="26">
        <v>345650326</v>
      </c>
      <c r="AU20" s="23">
        <v>31.488700000000001</v>
      </c>
      <c r="AW20" s="23">
        <v>31.6357</v>
      </c>
      <c r="AY20" s="23">
        <v>1.7144999999999999</v>
      </c>
      <c r="BA20" s="23">
        <v>29.194400000000002</v>
      </c>
      <c r="BC20" s="24">
        <v>30.785900000000002</v>
      </c>
      <c r="BE20" s="1" t="str">
        <f t="shared" si="0"/>
        <v>No</v>
      </c>
    </row>
    <row r="21" spans="1:57" ht="11.25" customHeight="1">
      <c r="A21" s="7" t="s">
        <v>279</v>
      </c>
      <c r="B21" s="7" t="s">
        <v>280</v>
      </c>
      <c r="C21" s="37" t="s">
        <v>40</v>
      </c>
      <c r="D21" s="296">
        <v>5066</v>
      </c>
      <c r="E21" s="297">
        <v>50066</v>
      </c>
      <c r="F21" s="27" t="s">
        <v>165</v>
      </c>
      <c r="G21" s="73" t="s">
        <v>158</v>
      </c>
      <c r="H21" s="35">
        <v>8608208</v>
      </c>
      <c r="I21" s="35">
        <v>2712</v>
      </c>
      <c r="J21" s="37" t="s">
        <v>20</v>
      </c>
      <c r="K21" s="37" t="s">
        <v>159</v>
      </c>
      <c r="L21" s="8">
        <v>1140</v>
      </c>
      <c r="M21" s="8">
        <v>4089140</v>
      </c>
      <c r="N21" s="9"/>
      <c r="O21" s="8">
        <v>1193179</v>
      </c>
      <c r="P21" s="9"/>
      <c r="Q21" s="8">
        <v>1889108</v>
      </c>
      <c r="R21" s="9"/>
      <c r="S21" s="8">
        <v>644927</v>
      </c>
      <c r="T21" s="9"/>
      <c r="U21" s="8">
        <v>555478</v>
      </c>
      <c r="V21" s="9"/>
      <c r="W21" s="33">
        <v>8371832</v>
      </c>
      <c r="X21" s="9"/>
      <c r="Y21" s="30">
        <v>2422</v>
      </c>
      <c r="Z21" s="9"/>
      <c r="AA21" s="30">
        <v>676</v>
      </c>
      <c r="AB21" s="9"/>
      <c r="AC21" s="30">
        <v>1070</v>
      </c>
      <c r="AD21" s="9"/>
      <c r="AE21" s="30">
        <v>371</v>
      </c>
      <c r="AF21" s="9"/>
      <c r="AG21" s="30">
        <v>313</v>
      </c>
      <c r="AH21" s="9"/>
      <c r="AI21" s="32">
        <v>4852</v>
      </c>
      <c r="AJ21" s="12"/>
      <c r="AK21" s="22">
        <v>115315867</v>
      </c>
      <c r="AM21" s="22">
        <v>37444708</v>
      </c>
      <c r="AO21" s="22">
        <v>77248453</v>
      </c>
      <c r="AQ21" s="22">
        <v>18562562</v>
      </c>
      <c r="AS21" s="26">
        <v>248571590</v>
      </c>
      <c r="AU21" s="23">
        <v>28.200500000000002</v>
      </c>
      <c r="AW21" s="23">
        <v>31.382300000000001</v>
      </c>
      <c r="AY21" s="23">
        <v>18.891100000000002</v>
      </c>
      <c r="BA21" s="23">
        <v>28.782399999999999</v>
      </c>
      <c r="BC21" s="24">
        <v>29.691400000000002</v>
      </c>
      <c r="BE21" s="1" t="str">
        <f t="shared" si="0"/>
        <v>No</v>
      </c>
    </row>
    <row r="22" spans="1:57" ht="11.25" customHeight="1">
      <c r="A22" s="7" t="s">
        <v>470</v>
      </c>
      <c r="B22" s="7" t="s">
        <v>471</v>
      </c>
      <c r="C22" s="37" t="s">
        <v>47</v>
      </c>
      <c r="D22" s="296">
        <v>1003</v>
      </c>
      <c r="E22" s="297">
        <v>10003</v>
      </c>
      <c r="F22" s="27" t="s">
        <v>165</v>
      </c>
      <c r="G22" s="73" t="s">
        <v>158</v>
      </c>
      <c r="H22" s="35">
        <v>4181019</v>
      </c>
      <c r="I22" s="35">
        <v>2374</v>
      </c>
      <c r="J22" s="37" t="s">
        <v>7</v>
      </c>
      <c r="K22" s="37" t="s">
        <v>159</v>
      </c>
      <c r="L22" s="8">
        <v>779</v>
      </c>
      <c r="M22" s="8">
        <v>3218966</v>
      </c>
      <c r="N22" s="9"/>
      <c r="O22" s="8">
        <v>949167</v>
      </c>
      <c r="P22" s="9"/>
      <c r="Q22" s="8">
        <v>101387</v>
      </c>
      <c r="R22" s="9"/>
      <c r="S22" s="8">
        <v>430895</v>
      </c>
      <c r="T22" s="9"/>
      <c r="U22" s="8">
        <v>14832</v>
      </c>
      <c r="V22" s="9"/>
      <c r="W22" s="33">
        <v>4715247</v>
      </c>
      <c r="X22" s="9"/>
      <c r="Y22" s="30">
        <v>1731</v>
      </c>
      <c r="Z22" s="9"/>
      <c r="AA22" s="30">
        <v>513</v>
      </c>
      <c r="AB22" s="9"/>
      <c r="AC22" s="30">
        <v>52</v>
      </c>
      <c r="AD22" s="9"/>
      <c r="AE22" s="30">
        <v>220</v>
      </c>
      <c r="AF22" s="9"/>
      <c r="AG22" s="30">
        <v>8</v>
      </c>
      <c r="AH22" s="9"/>
      <c r="AI22" s="32">
        <v>2524</v>
      </c>
      <c r="AJ22" s="12"/>
      <c r="AK22" s="22">
        <v>119402349</v>
      </c>
      <c r="AM22" s="22">
        <v>43538435</v>
      </c>
      <c r="AO22" s="22">
        <v>3478852</v>
      </c>
      <c r="AQ22" s="22">
        <v>16998379</v>
      </c>
      <c r="AS22" s="26">
        <v>183418015</v>
      </c>
      <c r="AU22" s="23">
        <v>37.093400000000003</v>
      </c>
      <c r="AW22" s="23">
        <v>45.870199999999997</v>
      </c>
      <c r="AY22" s="23">
        <v>1.0807</v>
      </c>
      <c r="BA22" s="23">
        <v>39.448999999999998</v>
      </c>
      <c r="BC22" s="24">
        <v>38.898899999999998</v>
      </c>
      <c r="BE22" s="1" t="str">
        <f t="shared" si="0"/>
        <v>No</v>
      </c>
    </row>
    <row r="23" spans="1:57" ht="11.25" customHeight="1">
      <c r="A23" s="7" t="s">
        <v>470</v>
      </c>
      <c r="B23" s="7" t="s">
        <v>471</v>
      </c>
      <c r="C23" s="37" t="s">
        <v>47</v>
      </c>
      <c r="D23" s="296">
        <v>1003</v>
      </c>
      <c r="E23" s="297">
        <v>10003</v>
      </c>
      <c r="F23" s="27" t="s">
        <v>165</v>
      </c>
      <c r="G23" s="73" t="s">
        <v>158</v>
      </c>
      <c r="H23" s="35">
        <v>4181019</v>
      </c>
      <c r="I23" s="35">
        <v>2374</v>
      </c>
      <c r="J23" s="37" t="s">
        <v>20</v>
      </c>
      <c r="K23" s="37" t="s">
        <v>159</v>
      </c>
      <c r="L23" s="8">
        <v>336</v>
      </c>
      <c r="M23" s="8">
        <v>1941009</v>
      </c>
      <c r="N23" s="9"/>
      <c r="O23" s="8">
        <v>720998</v>
      </c>
      <c r="P23" s="9"/>
      <c r="Q23" s="8">
        <v>1102174</v>
      </c>
      <c r="R23" s="9"/>
      <c r="S23" s="8">
        <v>404550</v>
      </c>
      <c r="T23" s="9"/>
      <c r="U23" s="8">
        <v>55490</v>
      </c>
      <c r="V23" s="9"/>
      <c r="W23" s="33">
        <v>4224221</v>
      </c>
      <c r="X23" s="9"/>
      <c r="Y23" s="30">
        <v>1107</v>
      </c>
      <c r="Z23" s="9"/>
      <c r="AA23" s="30">
        <v>401</v>
      </c>
      <c r="AB23" s="9"/>
      <c r="AC23" s="30">
        <v>613</v>
      </c>
      <c r="AD23" s="9"/>
      <c r="AE23" s="30">
        <v>225</v>
      </c>
      <c r="AF23" s="9"/>
      <c r="AG23" s="30">
        <v>31</v>
      </c>
      <c r="AH23" s="9"/>
      <c r="AI23" s="32">
        <v>2377</v>
      </c>
      <c r="AJ23" s="12"/>
      <c r="AK23" s="22">
        <v>66232991</v>
      </c>
      <c r="AM23" s="22">
        <v>28104865</v>
      </c>
      <c r="AO23" s="22">
        <v>40807979</v>
      </c>
      <c r="AQ23" s="22">
        <v>15953098</v>
      </c>
      <c r="AS23" s="26">
        <v>151098933</v>
      </c>
      <c r="AU23" s="23">
        <v>34.122999999999998</v>
      </c>
      <c r="AW23" s="23">
        <v>38.980499999999999</v>
      </c>
      <c r="AY23" s="23">
        <v>21.024100000000001</v>
      </c>
      <c r="BA23" s="23">
        <v>39.434199999999997</v>
      </c>
      <c r="BC23" s="24">
        <v>35.7697</v>
      </c>
      <c r="BE23" s="1" t="str">
        <f t="shared" si="0"/>
        <v>No</v>
      </c>
    </row>
    <row r="24" spans="1:57" ht="11.25" customHeight="1">
      <c r="A24" s="7" t="s">
        <v>470</v>
      </c>
      <c r="B24" s="7" t="s">
        <v>471</v>
      </c>
      <c r="C24" s="37" t="s">
        <v>47</v>
      </c>
      <c r="D24" s="296">
        <v>1003</v>
      </c>
      <c r="E24" s="297">
        <v>10003</v>
      </c>
      <c r="F24" s="27" t="s">
        <v>165</v>
      </c>
      <c r="G24" s="73" t="s">
        <v>158</v>
      </c>
      <c r="H24" s="35">
        <v>4181019</v>
      </c>
      <c r="I24" s="35">
        <v>2374</v>
      </c>
      <c r="J24" s="37" t="s">
        <v>21</v>
      </c>
      <c r="K24" s="37" t="s">
        <v>159</v>
      </c>
      <c r="L24" s="8">
        <v>156</v>
      </c>
      <c r="M24" s="8">
        <v>1206045</v>
      </c>
      <c r="N24" s="9"/>
      <c r="O24" s="8">
        <v>380052</v>
      </c>
      <c r="P24" s="9"/>
      <c r="Q24" s="8">
        <v>508834</v>
      </c>
      <c r="R24" s="9"/>
      <c r="S24" s="8">
        <v>228346</v>
      </c>
      <c r="T24" s="9"/>
      <c r="U24" s="8">
        <v>8990</v>
      </c>
      <c r="V24" s="9"/>
      <c r="W24" s="33">
        <v>2332267</v>
      </c>
      <c r="X24" s="9"/>
      <c r="Y24" s="30">
        <v>700</v>
      </c>
      <c r="Z24" s="9"/>
      <c r="AA24" s="30">
        <v>207</v>
      </c>
      <c r="AB24" s="9"/>
      <c r="AC24" s="30">
        <v>283</v>
      </c>
      <c r="AD24" s="9"/>
      <c r="AE24" s="30">
        <v>127</v>
      </c>
      <c r="AF24" s="9"/>
      <c r="AG24" s="30">
        <v>5</v>
      </c>
      <c r="AH24" s="9"/>
      <c r="AI24" s="32">
        <v>1322</v>
      </c>
      <c r="AJ24" s="12"/>
      <c r="AK24" s="22">
        <v>39358690</v>
      </c>
      <c r="AM24" s="22">
        <v>17445595</v>
      </c>
      <c r="AO24" s="22">
        <v>19331985</v>
      </c>
      <c r="AQ24" s="22">
        <v>7999363</v>
      </c>
      <c r="AS24" s="26">
        <v>84135633</v>
      </c>
      <c r="AU24" s="23">
        <v>32.634500000000003</v>
      </c>
      <c r="AW24" s="23">
        <v>45.903199999999998</v>
      </c>
      <c r="AY24" s="23">
        <v>16.029199999999999</v>
      </c>
      <c r="BA24" s="23">
        <v>35.031799999999997</v>
      </c>
      <c r="BC24" s="24">
        <v>36.074599999999997</v>
      </c>
      <c r="BE24" s="1" t="str">
        <f t="shared" si="0"/>
        <v>No</v>
      </c>
    </row>
    <row r="25" spans="1:57" ht="11.25" customHeight="1">
      <c r="A25" s="7" t="s">
        <v>470</v>
      </c>
      <c r="B25" s="7" t="s">
        <v>471</v>
      </c>
      <c r="C25" s="37" t="s">
        <v>47</v>
      </c>
      <c r="D25" s="296">
        <v>1003</v>
      </c>
      <c r="E25" s="297">
        <v>10003</v>
      </c>
      <c r="F25" s="27" t="s">
        <v>165</v>
      </c>
      <c r="G25" s="73" t="s">
        <v>158</v>
      </c>
      <c r="H25" s="35">
        <v>4181019</v>
      </c>
      <c r="I25" s="35">
        <v>2374</v>
      </c>
      <c r="J25" s="37" t="s">
        <v>22</v>
      </c>
      <c r="K25" s="37" t="s">
        <v>159</v>
      </c>
      <c r="L25" s="8">
        <v>30</v>
      </c>
      <c r="M25" s="8">
        <v>169333</v>
      </c>
      <c r="N25" s="9"/>
      <c r="O25" s="8">
        <v>38906</v>
      </c>
      <c r="P25" s="9"/>
      <c r="Q25" s="8">
        <v>12586</v>
      </c>
      <c r="R25" s="9"/>
      <c r="S25" s="8">
        <v>39010</v>
      </c>
      <c r="T25" s="9"/>
      <c r="U25" s="8">
        <v>0</v>
      </c>
      <c r="V25" s="9"/>
      <c r="W25" s="33">
        <v>259835</v>
      </c>
      <c r="X25" s="9"/>
      <c r="Y25" s="30">
        <v>95</v>
      </c>
      <c r="Z25" s="9"/>
      <c r="AA25" s="30">
        <v>21</v>
      </c>
      <c r="AB25" s="9"/>
      <c r="AC25" s="30">
        <v>7</v>
      </c>
      <c r="AD25" s="9"/>
      <c r="AE25" s="30">
        <v>21</v>
      </c>
      <c r="AF25" s="9"/>
      <c r="AG25" s="30">
        <v>0</v>
      </c>
      <c r="AH25" s="9"/>
      <c r="AI25" s="32">
        <v>144</v>
      </c>
      <c r="AJ25" s="12"/>
      <c r="AK25" s="22">
        <v>6064022</v>
      </c>
      <c r="AM25" s="22">
        <v>837961</v>
      </c>
      <c r="AO25" s="22">
        <v>446022</v>
      </c>
      <c r="AQ25" s="22">
        <v>1310889</v>
      </c>
      <c r="AS25" s="26">
        <v>8658894</v>
      </c>
      <c r="AU25" s="23">
        <v>35.811199999999999</v>
      </c>
      <c r="AW25" s="23">
        <v>21.5381</v>
      </c>
      <c r="AY25" s="23">
        <v>2.6339999999999999</v>
      </c>
      <c r="BA25" s="23">
        <v>33.603900000000003</v>
      </c>
      <c r="BC25" s="24">
        <v>33.324599999999997</v>
      </c>
      <c r="BE25" s="1" t="str">
        <f t="shared" si="0"/>
        <v>No</v>
      </c>
    </row>
    <row r="26" spans="1:57" ht="11.25" customHeight="1">
      <c r="A26" s="7" t="s">
        <v>470</v>
      </c>
      <c r="B26" s="7" t="s">
        <v>471</v>
      </c>
      <c r="C26" s="37" t="s">
        <v>47</v>
      </c>
      <c r="D26" s="296">
        <v>1003</v>
      </c>
      <c r="E26" s="297">
        <v>10003</v>
      </c>
      <c r="F26" s="27" t="s">
        <v>165</v>
      </c>
      <c r="G26" s="73" t="s">
        <v>158</v>
      </c>
      <c r="H26" s="35">
        <v>4181019</v>
      </c>
      <c r="I26" s="35">
        <v>2374</v>
      </c>
      <c r="J26" s="37" t="s">
        <v>25</v>
      </c>
      <c r="K26" s="37" t="s">
        <v>159</v>
      </c>
      <c r="L26" s="8">
        <v>22</v>
      </c>
      <c r="M26" s="8">
        <v>56289</v>
      </c>
      <c r="N26" s="9"/>
      <c r="O26" s="8">
        <v>25950</v>
      </c>
      <c r="P26" s="9"/>
      <c r="Q26" s="8">
        <v>15505</v>
      </c>
      <c r="R26" s="9"/>
      <c r="S26" s="8">
        <v>10357</v>
      </c>
      <c r="T26" s="9"/>
      <c r="U26" s="8">
        <v>0</v>
      </c>
      <c r="V26" s="9"/>
      <c r="W26" s="33">
        <v>108101</v>
      </c>
      <c r="X26" s="9"/>
      <c r="Y26" s="30">
        <v>36</v>
      </c>
      <c r="Z26" s="9"/>
      <c r="AA26" s="30">
        <v>13</v>
      </c>
      <c r="AB26" s="9"/>
      <c r="AC26" s="30">
        <v>8</v>
      </c>
      <c r="AD26" s="9"/>
      <c r="AE26" s="30">
        <v>6</v>
      </c>
      <c r="AF26" s="9"/>
      <c r="AG26" s="30">
        <v>0</v>
      </c>
      <c r="AH26" s="9"/>
      <c r="AI26" s="32">
        <v>63</v>
      </c>
      <c r="AJ26" s="12"/>
      <c r="AK26" s="22">
        <v>2137625</v>
      </c>
      <c r="AM26" s="22">
        <v>1262451</v>
      </c>
      <c r="AO26" s="22">
        <v>527754</v>
      </c>
      <c r="AQ26" s="22">
        <v>386190</v>
      </c>
      <c r="AS26" s="26">
        <v>4314020</v>
      </c>
      <c r="AU26" s="23">
        <v>37.975900000000003</v>
      </c>
      <c r="AW26" s="23">
        <v>48.6494</v>
      </c>
      <c r="AY26" s="23">
        <v>9.3757999999999999</v>
      </c>
      <c r="BA26" s="23">
        <v>37.287799999999997</v>
      </c>
      <c r="BC26" s="24">
        <v>39.907299999999999</v>
      </c>
      <c r="BE26" s="1" t="str">
        <f t="shared" si="0"/>
        <v>No</v>
      </c>
    </row>
    <row r="27" spans="1:57" ht="11.25" customHeight="1">
      <c r="A27" s="7" t="s">
        <v>614</v>
      </c>
      <c r="B27" s="7" t="s">
        <v>615</v>
      </c>
      <c r="C27" s="37" t="s">
        <v>77</v>
      </c>
      <c r="D27" s="296">
        <v>3019</v>
      </c>
      <c r="E27" s="297">
        <v>30019</v>
      </c>
      <c r="F27" s="27" t="s">
        <v>165</v>
      </c>
      <c r="G27" s="73" t="s">
        <v>158</v>
      </c>
      <c r="H27" s="35">
        <v>5441567</v>
      </c>
      <c r="I27" s="35">
        <v>2339</v>
      </c>
      <c r="J27" s="37" t="s">
        <v>7</v>
      </c>
      <c r="K27" s="37" t="s">
        <v>159</v>
      </c>
      <c r="L27" s="8">
        <v>1174</v>
      </c>
      <c r="M27" s="8">
        <v>6324054</v>
      </c>
      <c r="N27" s="9"/>
      <c r="O27" s="8">
        <v>1533571</v>
      </c>
      <c r="P27" s="9"/>
      <c r="Q27" s="8">
        <v>1105397</v>
      </c>
      <c r="R27" s="9"/>
      <c r="S27" s="8">
        <v>870135</v>
      </c>
      <c r="T27" s="9"/>
      <c r="U27" s="8">
        <v>696604</v>
      </c>
      <c r="V27" s="9"/>
      <c r="W27" s="33">
        <v>10529761</v>
      </c>
      <c r="X27" s="9"/>
      <c r="Y27" s="30">
        <v>3043</v>
      </c>
      <c r="Z27" s="9"/>
      <c r="AA27" s="30">
        <v>799</v>
      </c>
      <c r="AB27" s="9"/>
      <c r="AC27" s="30">
        <v>537</v>
      </c>
      <c r="AD27" s="9"/>
      <c r="AE27" s="30">
        <v>467</v>
      </c>
      <c r="AF27" s="9"/>
      <c r="AG27" s="30">
        <v>325</v>
      </c>
      <c r="AH27" s="9"/>
      <c r="AI27" s="32">
        <v>5171</v>
      </c>
      <c r="AJ27" s="12"/>
      <c r="AK27" s="22">
        <v>174916284</v>
      </c>
      <c r="AM27" s="22">
        <v>44665596</v>
      </c>
      <c r="AO27" s="22">
        <v>33581555</v>
      </c>
      <c r="AQ27" s="22">
        <v>25323836</v>
      </c>
      <c r="AS27" s="26">
        <v>278487271</v>
      </c>
      <c r="AU27" s="23">
        <v>27.658899999999999</v>
      </c>
      <c r="AW27" s="23">
        <v>29.1252</v>
      </c>
      <c r="AY27" s="23">
        <v>5.3101000000000003</v>
      </c>
      <c r="BA27" s="23">
        <v>29.103300000000001</v>
      </c>
      <c r="BC27" s="24">
        <v>26.447600000000001</v>
      </c>
      <c r="BE27" s="1" t="str">
        <f t="shared" si="0"/>
        <v>No</v>
      </c>
    </row>
    <row r="28" spans="1:57" ht="11.25" customHeight="1">
      <c r="A28" s="7" t="s">
        <v>614</v>
      </c>
      <c r="B28" s="7" t="s">
        <v>615</v>
      </c>
      <c r="C28" s="37" t="s">
        <v>77</v>
      </c>
      <c r="D28" s="296">
        <v>3019</v>
      </c>
      <c r="E28" s="297">
        <v>30019</v>
      </c>
      <c r="F28" s="27" t="s">
        <v>165</v>
      </c>
      <c r="G28" s="73" t="s">
        <v>158</v>
      </c>
      <c r="H28" s="35">
        <v>5441567</v>
      </c>
      <c r="I28" s="35">
        <v>2339</v>
      </c>
      <c r="J28" s="37" t="s">
        <v>41</v>
      </c>
      <c r="K28" s="37" t="s">
        <v>159</v>
      </c>
      <c r="L28" s="8">
        <v>339</v>
      </c>
      <c r="M28" s="8">
        <v>1948572</v>
      </c>
      <c r="N28" s="9"/>
      <c r="O28" s="8">
        <v>766876</v>
      </c>
      <c r="P28" s="9"/>
      <c r="Q28" s="8">
        <v>688414</v>
      </c>
      <c r="R28" s="9"/>
      <c r="S28" s="8">
        <v>262543</v>
      </c>
      <c r="T28" s="9"/>
      <c r="U28" s="8">
        <v>538527</v>
      </c>
      <c r="V28" s="9"/>
      <c r="W28" s="33">
        <v>4204932</v>
      </c>
      <c r="X28" s="9"/>
      <c r="Y28" s="30">
        <v>819</v>
      </c>
      <c r="Z28" s="9"/>
      <c r="AA28" s="30">
        <v>369</v>
      </c>
      <c r="AB28" s="9"/>
      <c r="AC28" s="30">
        <v>319</v>
      </c>
      <c r="AD28" s="9"/>
      <c r="AE28" s="30">
        <v>142</v>
      </c>
      <c r="AF28" s="9"/>
      <c r="AG28" s="30">
        <v>247</v>
      </c>
      <c r="AH28" s="9"/>
      <c r="AI28" s="32">
        <v>1896</v>
      </c>
      <c r="AJ28" s="12"/>
      <c r="AK28" s="22">
        <v>64012432</v>
      </c>
      <c r="AM28" s="22">
        <v>23372576</v>
      </c>
      <c r="AO28" s="22">
        <v>22724601</v>
      </c>
      <c r="AQ28" s="22">
        <v>9180040</v>
      </c>
      <c r="AS28" s="26">
        <v>119289649</v>
      </c>
      <c r="AU28" s="23">
        <v>32.850900000000003</v>
      </c>
      <c r="AW28" s="23">
        <v>30.477599999999999</v>
      </c>
      <c r="AY28" s="23">
        <v>11.6622</v>
      </c>
      <c r="BA28" s="23">
        <v>34.965899999999998</v>
      </c>
      <c r="BC28" s="24">
        <v>28.369</v>
      </c>
      <c r="BE28" s="1" t="str">
        <f t="shared" si="0"/>
        <v>No</v>
      </c>
    </row>
    <row r="29" spans="1:57" ht="11.25" customHeight="1">
      <c r="A29" s="7" t="s">
        <v>614</v>
      </c>
      <c r="B29" s="7" t="s">
        <v>615</v>
      </c>
      <c r="C29" s="37" t="s">
        <v>77</v>
      </c>
      <c r="D29" s="296">
        <v>3019</v>
      </c>
      <c r="E29" s="297">
        <v>30019</v>
      </c>
      <c r="F29" s="27" t="s">
        <v>165</v>
      </c>
      <c r="G29" s="73" t="s">
        <v>158</v>
      </c>
      <c r="H29" s="35">
        <v>5441567</v>
      </c>
      <c r="I29" s="35">
        <v>2339</v>
      </c>
      <c r="J29" s="37" t="s">
        <v>20</v>
      </c>
      <c r="K29" s="37" t="s">
        <v>159</v>
      </c>
      <c r="L29" s="8">
        <v>284</v>
      </c>
      <c r="M29" s="8">
        <v>1477776</v>
      </c>
      <c r="N29" s="9"/>
      <c r="O29" s="8">
        <v>586371</v>
      </c>
      <c r="P29" s="9"/>
      <c r="Q29" s="8">
        <v>638674</v>
      </c>
      <c r="R29" s="9"/>
      <c r="S29" s="8">
        <v>205528</v>
      </c>
      <c r="T29" s="9"/>
      <c r="U29" s="8">
        <v>331329</v>
      </c>
      <c r="V29" s="9"/>
      <c r="W29" s="33">
        <v>3239678</v>
      </c>
      <c r="X29" s="9"/>
      <c r="Y29" s="30">
        <v>727</v>
      </c>
      <c r="Z29" s="9"/>
      <c r="AA29" s="30">
        <v>276</v>
      </c>
      <c r="AB29" s="9"/>
      <c r="AC29" s="30">
        <v>310</v>
      </c>
      <c r="AD29" s="9"/>
      <c r="AE29" s="30">
        <v>110</v>
      </c>
      <c r="AF29" s="9"/>
      <c r="AG29" s="30">
        <v>159</v>
      </c>
      <c r="AH29" s="9"/>
      <c r="AI29" s="32">
        <v>1582</v>
      </c>
      <c r="AJ29" s="12"/>
      <c r="AK29" s="22">
        <v>45272017</v>
      </c>
      <c r="AM29" s="22">
        <v>17706688</v>
      </c>
      <c r="AO29" s="22">
        <v>19025078</v>
      </c>
      <c r="AQ29" s="22">
        <v>6100646</v>
      </c>
      <c r="AS29" s="26">
        <v>88104429</v>
      </c>
      <c r="AU29" s="23">
        <v>30.635200000000001</v>
      </c>
      <c r="AW29" s="23">
        <v>30.197099999999999</v>
      </c>
      <c r="AY29" s="23">
        <v>12.8741</v>
      </c>
      <c r="BA29" s="23">
        <v>29.6828</v>
      </c>
      <c r="BC29" s="24">
        <v>27.195399999999999</v>
      </c>
      <c r="BE29" s="1" t="str">
        <f t="shared" si="0"/>
        <v>No</v>
      </c>
    </row>
    <row r="30" spans="1:57" ht="11.25" customHeight="1">
      <c r="A30" s="7" t="s">
        <v>614</v>
      </c>
      <c r="B30" s="7" t="s">
        <v>615</v>
      </c>
      <c r="C30" s="37" t="s">
        <v>77</v>
      </c>
      <c r="D30" s="296">
        <v>3019</v>
      </c>
      <c r="E30" s="297">
        <v>30019</v>
      </c>
      <c r="F30" s="27" t="s">
        <v>165</v>
      </c>
      <c r="G30" s="73" t="s">
        <v>158</v>
      </c>
      <c r="H30" s="35">
        <v>5441567</v>
      </c>
      <c r="I30" s="35">
        <v>2339</v>
      </c>
      <c r="J30" s="37" t="s">
        <v>12</v>
      </c>
      <c r="K30" s="37" t="s">
        <v>159</v>
      </c>
      <c r="L30" s="8">
        <v>121</v>
      </c>
      <c r="M30" s="8">
        <v>667192</v>
      </c>
      <c r="N30" s="9"/>
      <c r="O30" s="8">
        <v>268870</v>
      </c>
      <c r="P30" s="9"/>
      <c r="Q30" s="8">
        <v>123982</v>
      </c>
      <c r="R30" s="9"/>
      <c r="S30" s="8">
        <v>85794</v>
      </c>
      <c r="T30" s="9"/>
      <c r="U30" s="8">
        <v>128546</v>
      </c>
      <c r="V30" s="9"/>
      <c r="W30" s="33">
        <v>1274384</v>
      </c>
      <c r="X30" s="9"/>
      <c r="Y30" s="30">
        <v>333</v>
      </c>
      <c r="Z30" s="9"/>
      <c r="AA30" s="30">
        <v>136</v>
      </c>
      <c r="AB30" s="9"/>
      <c r="AC30" s="30">
        <v>62</v>
      </c>
      <c r="AD30" s="9"/>
      <c r="AE30" s="30">
        <v>46</v>
      </c>
      <c r="AF30" s="9"/>
      <c r="AG30" s="30">
        <v>65</v>
      </c>
      <c r="AH30" s="9"/>
      <c r="AI30" s="32">
        <v>642</v>
      </c>
      <c r="AJ30" s="12"/>
      <c r="AK30" s="22">
        <v>18446825</v>
      </c>
      <c r="AM30" s="22">
        <v>8181650</v>
      </c>
      <c r="AO30" s="22">
        <v>3084316</v>
      </c>
      <c r="AQ30" s="22">
        <v>2599219</v>
      </c>
      <c r="AS30" s="26">
        <v>32312010</v>
      </c>
      <c r="AU30" s="23">
        <v>27.648499999999999</v>
      </c>
      <c r="AW30" s="23">
        <v>30.4298</v>
      </c>
      <c r="AY30" s="23">
        <v>4.6227999999999998</v>
      </c>
      <c r="BA30" s="23">
        <v>30.295999999999999</v>
      </c>
      <c r="BC30" s="24">
        <v>25.355</v>
      </c>
      <c r="BE30" s="1" t="str">
        <f t="shared" si="0"/>
        <v>No</v>
      </c>
    </row>
    <row r="31" spans="1:57" ht="11.25" customHeight="1">
      <c r="A31" s="7" t="s">
        <v>614</v>
      </c>
      <c r="B31" s="7" t="s">
        <v>615</v>
      </c>
      <c r="C31" s="37" t="s">
        <v>77</v>
      </c>
      <c r="D31" s="296">
        <v>3019</v>
      </c>
      <c r="E31" s="297">
        <v>30019</v>
      </c>
      <c r="F31" s="27" t="s">
        <v>165</v>
      </c>
      <c r="G31" s="73" t="s">
        <v>158</v>
      </c>
      <c r="H31" s="35">
        <v>5441567</v>
      </c>
      <c r="I31" s="35">
        <v>2339</v>
      </c>
      <c r="J31" s="37" t="s">
        <v>25</v>
      </c>
      <c r="K31" s="37" t="s">
        <v>159</v>
      </c>
      <c r="L31" s="8">
        <v>30</v>
      </c>
      <c r="M31" s="8">
        <v>159944</v>
      </c>
      <c r="N31" s="9"/>
      <c r="O31" s="8">
        <v>17224</v>
      </c>
      <c r="P31" s="9"/>
      <c r="Q31" s="8">
        <v>29873</v>
      </c>
      <c r="R31" s="9"/>
      <c r="S31" s="8">
        <v>22651</v>
      </c>
      <c r="T31" s="9"/>
      <c r="U31" s="8">
        <v>14205</v>
      </c>
      <c r="V31" s="9"/>
      <c r="W31" s="33">
        <v>243897</v>
      </c>
      <c r="X31" s="9"/>
      <c r="Y31" s="30">
        <v>77</v>
      </c>
      <c r="Z31" s="9"/>
      <c r="AA31" s="30">
        <v>8</v>
      </c>
      <c r="AB31" s="9"/>
      <c r="AC31" s="30">
        <v>15</v>
      </c>
      <c r="AD31" s="9"/>
      <c r="AE31" s="30">
        <v>12</v>
      </c>
      <c r="AF31" s="9"/>
      <c r="AG31" s="30">
        <v>7</v>
      </c>
      <c r="AH31" s="9"/>
      <c r="AI31" s="32">
        <v>119</v>
      </c>
      <c r="AJ31" s="12"/>
      <c r="AK31" s="22">
        <v>4511199</v>
      </c>
      <c r="AM31" s="22">
        <v>492546</v>
      </c>
      <c r="AO31" s="22">
        <v>663846</v>
      </c>
      <c r="AQ31" s="22">
        <v>644434</v>
      </c>
      <c r="AS31" s="26">
        <v>6312025</v>
      </c>
      <c r="AU31" s="23">
        <v>28.204899999999999</v>
      </c>
      <c r="AW31" s="23">
        <v>28.596499999999999</v>
      </c>
      <c r="AY31" s="23">
        <v>4.1505000000000001</v>
      </c>
      <c r="BA31" s="23">
        <v>28.450600000000001</v>
      </c>
      <c r="BC31" s="24">
        <v>25.879899999999999</v>
      </c>
      <c r="BE31" s="1" t="str">
        <f t="shared" si="0"/>
        <v>No</v>
      </c>
    </row>
    <row r="32" spans="1:57" ht="11.25" customHeight="1">
      <c r="A32" s="7" t="s">
        <v>1118</v>
      </c>
      <c r="B32" s="7" t="s">
        <v>488</v>
      </c>
      <c r="C32" s="37" t="s">
        <v>84</v>
      </c>
      <c r="D32" s="296">
        <v>6008</v>
      </c>
      <c r="E32" s="297">
        <v>60008</v>
      </c>
      <c r="F32" s="27" t="s">
        <v>165</v>
      </c>
      <c r="G32" s="73" t="s">
        <v>158</v>
      </c>
      <c r="H32" s="35">
        <v>4944332</v>
      </c>
      <c r="I32" s="35">
        <v>2206</v>
      </c>
      <c r="J32" s="37" t="s">
        <v>7</v>
      </c>
      <c r="K32" s="37" t="s">
        <v>159</v>
      </c>
      <c r="L32" s="8">
        <v>586</v>
      </c>
      <c r="M32" s="8">
        <v>3519724</v>
      </c>
      <c r="N32" s="9"/>
      <c r="O32" s="8">
        <v>1139781</v>
      </c>
      <c r="P32" s="9"/>
      <c r="Q32" s="8">
        <v>290224</v>
      </c>
      <c r="R32" s="9"/>
      <c r="S32" s="8">
        <v>696125</v>
      </c>
      <c r="T32" s="9"/>
      <c r="U32" s="8">
        <v>95254</v>
      </c>
      <c r="V32" s="9"/>
      <c r="W32" s="33">
        <v>5741108</v>
      </c>
      <c r="X32" s="9"/>
      <c r="Y32" s="30">
        <v>1682.97</v>
      </c>
      <c r="Z32" s="9"/>
      <c r="AA32" s="30">
        <v>560.79</v>
      </c>
      <c r="AB32" s="9"/>
      <c r="AC32" s="30">
        <v>149.19</v>
      </c>
      <c r="AD32" s="9"/>
      <c r="AE32" s="30">
        <v>361.95</v>
      </c>
      <c r="AF32" s="9"/>
      <c r="AG32" s="30">
        <v>49.61</v>
      </c>
      <c r="AH32" s="9"/>
      <c r="AI32" s="32">
        <v>2804.51</v>
      </c>
      <c r="AJ32" s="12"/>
      <c r="AK32" s="22">
        <v>71476403</v>
      </c>
      <c r="AM32" s="22">
        <v>23104683</v>
      </c>
      <c r="AO32" s="22">
        <v>4420484</v>
      </c>
      <c r="AQ32" s="22">
        <v>18701490</v>
      </c>
      <c r="AS32" s="26">
        <v>117703060</v>
      </c>
      <c r="AU32" s="23">
        <v>20.307400000000001</v>
      </c>
      <c r="AW32" s="23">
        <v>20.2712</v>
      </c>
      <c r="AY32" s="23">
        <v>1.2559</v>
      </c>
      <c r="BA32" s="23">
        <v>26.865100000000002</v>
      </c>
      <c r="BC32" s="24">
        <v>20.501799999999999</v>
      </c>
      <c r="BE32" s="1" t="str">
        <f t="shared" si="0"/>
        <v>No</v>
      </c>
    </row>
    <row r="33" spans="1:57" ht="11.25" customHeight="1">
      <c r="A33" s="7" t="s">
        <v>1118</v>
      </c>
      <c r="B33" s="7" t="s">
        <v>488</v>
      </c>
      <c r="C33" s="37" t="s">
        <v>84</v>
      </c>
      <c r="D33" s="296">
        <v>6008</v>
      </c>
      <c r="E33" s="297">
        <v>60008</v>
      </c>
      <c r="F33" s="27" t="s">
        <v>165</v>
      </c>
      <c r="G33" s="73" t="s">
        <v>158</v>
      </c>
      <c r="H33" s="35">
        <v>4944332</v>
      </c>
      <c r="I33" s="35">
        <v>2206</v>
      </c>
      <c r="J33" s="37" t="s">
        <v>18</v>
      </c>
      <c r="K33" s="37" t="s">
        <v>159</v>
      </c>
      <c r="L33" s="8">
        <v>235</v>
      </c>
      <c r="M33" s="8">
        <v>455123</v>
      </c>
      <c r="N33" s="9"/>
      <c r="O33" s="8">
        <v>147381</v>
      </c>
      <c r="P33" s="9"/>
      <c r="Q33" s="8">
        <v>37528</v>
      </c>
      <c r="R33" s="9"/>
      <c r="S33" s="8">
        <v>90013</v>
      </c>
      <c r="T33" s="9"/>
      <c r="U33" s="8">
        <v>12317</v>
      </c>
      <c r="V33" s="9"/>
      <c r="W33" s="33">
        <v>742362</v>
      </c>
      <c r="X33" s="9"/>
      <c r="Y33" s="30">
        <v>217.62</v>
      </c>
      <c r="Z33" s="9"/>
      <c r="AA33" s="30">
        <v>72.510000000000005</v>
      </c>
      <c r="AB33" s="9"/>
      <c r="AC33" s="30">
        <v>19.29</v>
      </c>
      <c r="AD33" s="9"/>
      <c r="AE33" s="30">
        <v>46.8</v>
      </c>
      <c r="AF33" s="9"/>
      <c r="AG33" s="30">
        <v>6.41</v>
      </c>
      <c r="AH33" s="9"/>
      <c r="AI33" s="32">
        <v>362.63</v>
      </c>
      <c r="AJ33" s="12"/>
      <c r="AK33" s="22">
        <v>9258435</v>
      </c>
      <c r="AM33" s="22">
        <v>5641827</v>
      </c>
      <c r="AO33" s="22">
        <v>1794662</v>
      </c>
      <c r="AQ33" s="22">
        <v>2738391</v>
      </c>
      <c r="AS33" s="26">
        <v>19433315</v>
      </c>
      <c r="AU33" s="23">
        <v>20.342700000000001</v>
      </c>
      <c r="AW33" s="23">
        <v>38.2806</v>
      </c>
      <c r="AY33" s="23">
        <v>3.9432</v>
      </c>
      <c r="BA33" s="23">
        <v>30.4222</v>
      </c>
      <c r="BC33" s="24">
        <v>26.177700000000002</v>
      </c>
      <c r="BE33" s="1" t="str">
        <f t="shared" si="0"/>
        <v>No</v>
      </c>
    </row>
    <row r="34" spans="1:57" ht="11.25" customHeight="1">
      <c r="A34" s="7" t="s">
        <v>1118</v>
      </c>
      <c r="B34" s="7" t="s">
        <v>488</v>
      </c>
      <c r="C34" s="37" t="s">
        <v>84</v>
      </c>
      <c r="D34" s="296">
        <v>6008</v>
      </c>
      <c r="E34" s="297">
        <v>60008</v>
      </c>
      <c r="F34" s="27" t="s">
        <v>165</v>
      </c>
      <c r="G34" s="73" t="s">
        <v>158</v>
      </c>
      <c r="H34" s="35">
        <v>4944332</v>
      </c>
      <c r="I34" s="35">
        <v>2206</v>
      </c>
      <c r="J34" s="37" t="s">
        <v>21</v>
      </c>
      <c r="K34" s="37" t="s">
        <v>159</v>
      </c>
      <c r="L34" s="8">
        <v>54</v>
      </c>
      <c r="M34" s="8">
        <v>460347</v>
      </c>
      <c r="N34" s="9"/>
      <c r="O34" s="8">
        <v>204723</v>
      </c>
      <c r="P34" s="9"/>
      <c r="Q34" s="8">
        <v>219498</v>
      </c>
      <c r="R34" s="9"/>
      <c r="S34" s="8">
        <v>95029</v>
      </c>
      <c r="T34" s="9"/>
      <c r="U34" s="8">
        <v>19849</v>
      </c>
      <c r="V34" s="9"/>
      <c r="W34" s="33">
        <v>999446</v>
      </c>
      <c r="X34" s="9"/>
      <c r="Y34" s="30">
        <v>207.86</v>
      </c>
      <c r="Z34" s="9"/>
      <c r="AA34" s="30">
        <v>96.63</v>
      </c>
      <c r="AB34" s="9"/>
      <c r="AC34" s="30">
        <v>97.95</v>
      </c>
      <c r="AD34" s="9"/>
      <c r="AE34" s="30">
        <v>49.61</v>
      </c>
      <c r="AF34" s="9"/>
      <c r="AG34" s="30">
        <v>9.8000000000000007</v>
      </c>
      <c r="AH34" s="9"/>
      <c r="AI34" s="32">
        <v>461.85</v>
      </c>
      <c r="AJ34" s="12"/>
      <c r="AK34" s="22">
        <v>11839100</v>
      </c>
      <c r="AM34" s="22">
        <v>5437997</v>
      </c>
      <c r="AO34" s="22">
        <v>5938414</v>
      </c>
      <c r="AQ34" s="22">
        <v>4974351</v>
      </c>
      <c r="AS34" s="26">
        <v>28189862</v>
      </c>
      <c r="AU34" s="23">
        <v>25.7178</v>
      </c>
      <c r="AW34" s="23">
        <v>26.5627</v>
      </c>
      <c r="AY34" s="23">
        <v>12.899900000000001</v>
      </c>
      <c r="BA34" s="23">
        <v>52.345599999999997</v>
      </c>
      <c r="BC34" s="24">
        <v>28.205500000000001</v>
      </c>
      <c r="BE34" s="1" t="str">
        <f t="shared" si="0"/>
        <v>No</v>
      </c>
    </row>
    <row r="35" spans="1:57" ht="11.25" customHeight="1">
      <c r="A35" s="7" t="s">
        <v>465</v>
      </c>
      <c r="B35" s="7" t="s">
        <v>466</v>
      </c>
      <c r="C35" s="37" t="s">
        <v>48</v>
      </c>
      <c r="D35" s="296">
        <v>3034</v>
      </c>
      <c r="E35" s="297">
        <v>30034</v>
      </c>
      <c r="F35" s="27" t="s">
        <v>157</v>
      </c>
      <c r="G35" s="73" t="s">
        <v>158</v>
      </c>
      <c r="H35" s="35">
        <v>2203663</v>
      </c>
      <c r="I35" s="35">
        <v>1634</v>
      </c>
      <c r="J35" s="37" t="s">
        <v>7</v>
      </c>
      <c r="K35" s="37" t="s">
        <v>159</v>
      </c>
      <c r="L35" s="8">
        <v>627</v>
      </c>
      <c r="M35" s="8">
        <v>3326323</v>
      </c>
      <c r="N35" s="9"/>
      <c r="O35" s="8">
        <v>847357</v>
      </c>
      <c r="P35" s="9"/>
      <c r="Q35" s="8">
        <v>174543</v>
      </c>
      <c r="R35" s="9"/>
      <c r="S35" s="8">
        <v>706420</v>
      </c>
      <c r="T35" s="9"/>
      <c r="U35" s="8">
        <v>58857</v>
      </c>
      <c r="V35" s="9"/>
      <c r="W35" s="33">
        <v>5113500</v>
      </c>
      <c r="X35" s="9"/>
      <c r="Y35" s="30">
        <v>1607</v>
      </c>
      <c r="Z35" s="9"/>
      <c r="AA35" s="30">
        <v>404</v>
      </c>
      <c r="AB35" s="9"/>
      <c r="AC35" s="30">
        <v>82</v>
      </c>
      <c r="AD35" s="9"/>
      <c r="AE35" s="30">
        <v>397</v>
      </c>
      <c r="AF35" s="9"/>
      <c r="AG35" s="30">
        <v>37</v>
      </c>
      <c r="AH35" s="9"/>
      <c r="AI35" s="32">
        <v>2527</v>
      </c>
      <c r="AJ35" s="12"/>
      <c r="AK35" s="22">
        <v>83686817</v>
      </c>
      <c r="AM35" s="22">
        <v>19541296</v>
      </c>
      <c r="AO35" s="22">
        <v>3617395</v>
      </c>
      <c r="AQ35" s="22">
        <v>18755565</v>
      </c>
      <c r="AS35" s="26">
        <v>125601073</v>
      </c>
      <c r="AU35" s="23">
        <v>25.158999999999999</v>
      </c>
      <c r="AW35" s="23">
        <v>23.061499999999999</v>
      </c>
      <c r="AY35" s="23">
        <v>1.0874999999999999</v>
      </c>
      <c r="BA35" s="23">
        <v>26.5502</v>
      </c>
      <c r="BC35" s="24">
        <v>24.5626</v>
      </c>
      <c r="BE35" s="1" t="str">
        <f t="shared" si="0"/>
        <v>No</v>
      </c>
    </row>
    <row r="36" spans="1:57" ht="11.25" customHeight="1">
      <c r="A36" s="7" t="s">
        <v>465</v>
      </c>
      <c r="B36" s="7" t="s">
        <v>466</v>
      </c>
      <c r="C36" s="37" t="s">
        <v>48</v>
      </c>
      <c r="D36" s="296">
        <v>3034</v>
      </c>
      <c r="E36" s="297">
        <v>30034</v>
      </c>
      <c r="F36" s="27" t="s">
        <v>157</v>
      </c>
      <c r="G36" s="73" t="s">
        <v>158</v>
      </c>
      <c r="H36" s="35">
        <v>2203663</v>
      </c>
      <c r="I36" s="35">
        <v>1634</v>
      </c>
      <c r="J36" s="37" t="s">
        <v>20</v>
      </c>
      <c r="K36" s="37" t="s">
        <v>159</v>
      </c>
      <c r="L36" s="8">
        <v>54</v>
      </c>
      <c r="M36" s="8">
        <v>345465</v>
      </c>
      <c r="N36" s="9"/>
      <c r="O36" s="8">
        <v>188190</v>
      </c>
      <c r="P36" s="9"/>
      <c r="Q36" s="8">
        <v>259892</v>
      </c>
      <c r="R36" s="9"/>
      <c r="S36" s="8">
        <v>101552</v>
      </c>
      <c r="T36" s="9"/>
      <c r="U36" s="8">
        <v>11470</v>
      </c>
      <c r="V36" s="9"/>
      <c r="W36" s="33">
        <v>906569</v>
      </c>
      <c r="X36" s="9"/>
      <c r="Y36" s="30">
        <v>159</v>
      </c>
      <c r="Z36" s="9"/>
      <c r="AA36" s="30">
        <v>80</v>
      </c>
      <c r="AB36" s="9"/>
      <c r="AC36" s="30">
        <v>98</v>
      </c>
      <c r="AD36" s="9"/>
      <c r="AE36" s="30">
        <v>51</v>
      </c>
      <c r="AF36" s="9"/>
      <c r="AG36" s="30">
        <v>7</v>
      </c>
      <c r="AH36" s="9"/>
      <c r="AI36" s="32">
        <v>395</v>
      </c>
      <c r="AJ36" s="12"/>
      <c r="AK36" s="22">
        <v>9077407</v>
      </c>
      <c r="AM36" s="22">
        <v>4014086</v>
      </c>
      <c r="AO36" s="22">
        <v>8035451</v>
      </c>
      <c r="AQ36" s="22">
        <v>2215626</v>
      </c>
      <c r="AS36" s="26">
        <v>23342570</v>
      </c>
      <c r="AU36" s="23">
        <v>26.2759</v>
      </c>
      <c r="AW36" s="23">
        <v>21.33</v>
      </c>
      <c r="AY36" s="23">
        <v>23.259799999999998</v>
      </c>
      <c r="BA36" s="23">
        <v>21.817699999999999</v>
      </c>
      <c r="BC36" s="24">
        <v>25.7483</v>
      </c>
      <c r="BE36" s="1" t="str">
        <f t="shared" si="0"/>
        <v>No</v>
      </c>
    </row>
    <row r="37" spans="1:57" ht="11.25" customHeight="1">
      <c r="A37" s="7" t="s">
        <v>465</v>
      </c>
      <c r="B37" s="7" t="s">
        <v>466</v>
      </c>
      <c r="C37" s="37" t="s">
        <v>48</v>
      </c>
      <c r="D37" s="296">
        <v>3034</v>
      </c>
      <c r="E37" s="297">
        <v>30034</v>
      </c>
      <c r="F37" s="27" t="s">
        <v>157</v>
      </c>
      <c r="G37" s="73" t="s">
        <v>158</v>
      </c>
      <c r="H37" s="35">
        <v>2203663</v>
      </c>
      <c r="I37" s="35">
        <v>1634</v>
      </c>
      <c r="J37" s="37" t="s">
        <v>21</v>
      </c>
      <c r="K37" s="37" t="s">
        <v>159</v>
      </c>
      <c r="L37" s="8">
        <v>38</v>
      </c>
      <c r="M37" s="8">
        <v>268308</v>
      </c>
      <c r="N37" s="9"/>
      <c r="O37" s="8">
        <v>177843</v>
      </c>
      <c r="P37" s="9"/>
      <c r="Q37" s="8">
        <v>79614</v>
      </c>
      <c r="R37" s="9"/>
      <c r="S37" s="8">
        <v>106164</v>
      </c>
      <c r="T37" s="9"/>
      <c r="U37" s="8">
        <v>9508</v>
      </c>
      <c r="V37" s="9"/>
      <c r="W37" s="33">
        <v>641437</v>
      </c>
      <c r="X37" s="9"/>
      <c r="Y37" s="30">
        <v>126</v>
      </c>
      <c r="Z37" s="9"/>
      <c r="AA37" s="30">
        <v>77</v>
      </c>
      <c r="AB37" s="9"/>
      <c r="AC37" s="30">
        <v>35</v>
      </c>
      <c r="AD37" s="9"/>
      <c r="AE37" s="30">
        <v>53</v>
      </c>
      <c r="AF37" s="9"/>
      <c r="AG37" s="30">
        <v>6</v>
      </c>
      <c r="AH37" s="9"/>
      <c r="AI37" s="32">
        <v>297</v>
      </c>
      <c r="AJ37" s="12"/>
      <c r="AK37" s="22">
        <v>6972586</v>
      </c>
      <c r="AM37" s="22">
        <v>3290094</v>
      </c>
      <c r="AO37" s="22">
        <v>3977986</v>
      </c>
      <c r="AQ37" s="22">
        <v>2075199</v>
      </c>
      <c r="AS37" s="26">
        <v>16315865</v>
      </c>
      <c r="AU37" s="23">
        <v>25.987200000000001</v>
      </c>
      <c r="AW37" s="23">
        <v>18.5</v>
      </c>
      <c r="AY37" s="23">
        <v>14.8262</v>
      </c>
      <c r="BA37" s="23">
        <v>19.5471</v>
      </c>
      <c r="BC37" s="24">
        <v>25.436399999999999</v>
      </c>
      <c r="BE37" s="1" t="str">
        <f t="shared" si="0"/>
        <v>No</v>
      </c>
    </row>
    <row r="38" spans="1:57" ht="11.25" customHeight="1">
      <c r="A38" s="7" t="s">
        <v>540</v>
      </c>
      <c r="B38" s="7" t="s">
        <v>541</v>
      </c>
      <c r="C38" s="37" t="s">
        <v>40</v>
      </c>
      <c r="D38" s="296">
        <v>5113</v>
      </c>
      <c r="E38" s="297">
        <v>50113</v>
      </c>
      <c r="F38" s="27" t="s">
        <v>165</v>
      </c>
      <c r="G38" s="73" t="s">
        <v>158</v>
      </c>
      <c r="H38" s="35">
        <v>8608208</v>
      </c>
      <c r="I38" s="35">
        <v>1619</v>
      </c>
      <c r="J38" s="37" t="s">
        <v>8</v>
      </c>
      <c r="K38" s="37" t="s">
        <v>159</v>
      </c>
      <c r="L38" s="8">
        <v>664</v>
      </c>
      <c r="M38" s="8">
        <v>0</v>
      </c>
      <c r="N38" s="9"/>
      <c r="O38" s="8">
        <v>0</v>
      </c>
      <c r="P38" s="9"/>
      <c r="Q38" s="8">
        <v>0</v>
      </c>
      <c r="R38" s="9"/>
      <c r="S38" s="8">
        <v>55809</v>
      </c>
      <c r="T38" s="9"/>
      <c r="U38" s="8">
        <v>0</v>
      </c>
      <c r="V38" s="9"/>
      <c r="W38" s="33">
        <v>55809</v>
      </c>
      <c r="X38" s="9"/>
      <c r="Y38" s="30">
        <v>0</v>
      </c>
      <c r="Z38" s="9"/>
      <c r="AA38" s="30">
        <v>0</v>
      </c>
      <c r="AB38" s="9"/>
      <c r="AC38" s="30">
        <v>0</v>
      </c>
      <c r="AD38" s="9"/>
      <c r="AE38" s="30">
        <v>29.5</v>
      </c>
      <c r="AF38" s="9"/>
      <c r="AG38" s="30">
        <v>0</v>
      </c>
      <c r="AH38" s="9"/>
      <c r="AI38" s="32">
        <v>29.5</v>
      </c>
      <c r="AJ38" s="12"/>
      <c r="AK38" s="22">
        <v>0</v>
      </c>
      <c r="AM38" s="22">
        <v>0</v>
      </c>
      <c r="AO38" s="22">
        <v>0</v>
      </c>
      <c r="AQ38" s="22">
        <v>1760295</v>
      </c>
      <c r="AS38" s="26">
        <v>1760295</v>
      </c>
      <c r="BA38" s="23">
        <v>31.541399999999999</v>
      </c>
      <c r="BC38" s="24">
        <v>31.541399999999999</v>
      </c>
      <c r="BE38" s="1" t="str">
        <f t="shared" si="0"/>
        <v>No</v>
      </c>
    </row>
    <row r="39" spans="1:57" ht="11.25" customHeight="1">
      <c r="A39" s="7" t="s">
        <v>540</v>
      </c>
      <c r="B39" s="7" t="s">
        <v>541</v>
      </c>
      <c r="C39" s="37" t="s">
        <v>40</v>
      </c>
      <c r="D39" s="296">
        <v>5113</v>
      </c>
      <c r="E39" s="297">
        <v>50113</v>
      </c>
      <c r="F39" s="27" t="s">
        <v>165</v>
      </c>
      <c r="G39" s="73" t="s">
        <v>158</v>
      </c>
      <c r="H39" s="35">
        <v>8608208</v>
      </c>
      <c r="I39" s="35">
        <v>1619</v>
      </c>
      <c r="J39" s="37" t="s">
        <v>7</v>
      </c>
      <c r="K39" s="37" t="s">
        <v>159</v>
      </c>
      <c r="L39" s="8">
        <v>545</v>
      </c>
      <c r="M39" s="8">
        <v>1961778</v>
      </c>
      <c r="N39" s="9"/>
      <c r="O39" s="8">
        <v>509846</v>
      </c>
      <c r="P39" s="9"/>
      <c r="Q39" s="8">
        <v>48950</v>
      </c>
      <c r="R39" s="9"/>
      <c r="S39" s="8">
        <v>276321</v>
      </c>
      <c r="T39" s="9"/>
      <c r="U39" s="8">
        <v>16228</v>
      </c>
      <c r="V39" s="9"/>
      <c r="W39" s="33">
        <v>2813123</v>
      </c>
      <c r="X39" s="9"/>
      <c r="Y39" s="30">
        <v>1134.4000000000001</v>
      </c>
      <c r="Z39" s="9"/>
      <c r="AA39" s="30">
        <v>270.8</v>
      </c>
      <c r="AB39" s="9"/>
      <c r="AC39" s="30">
        <v>26.7</v>
      </c>
      <c r="AD39" s="9"/>
      <c r="AE39" s="30">
        <v>153</v>
      </c>
      <c r="AF39" s="9"/>
      <c r="AG39" s="30">
        <v>8.27</v>
      </c>
      <c r="AH39" s="9"/>
      <c r="AI39" s="32">
        <v>1593.17</v>
      </c>
      <c r="AJ39" s="12"/>
      <c r="AK39" s="22">
        <v>54309096</v>
      </c>
      <c r="AM39" s="22">
        <v>14030339</v>
      </c>
      <c r="AO39" s="22">
        <v>1326379</v>
      </c>
      <c r="AQ39" s="22">
        <v>9571724</v>
      </c>
      <c r="AS39" s="26">
        <v>79237538</v>
      </c>
      <c r="AU39" s="23">
        <v>27.683599999999998</v>
      </c>
      <c r="AW39" s="23">
        <v>27.518799999999999</v>
      </c>
      <c r="AY39" s="23">
        <v>0.67610000000000003</v>
      </c>
      <c r="BA39" s="23">
        <v>34.639899999999997</v>
      </c>
      <c r="BC39" s="24">
        <v>28.167100000000001</v>
      </c>
      <c r="BE39" s="1" t="str">
        <f t="shared" si="0"/>
        <v>No</v>
      </c>
    </row>
    <row r="40" spans="1:57" ht="11.25" customHeight="1">
      <c r="A40" s="7" t="s">
        <v>540</v>
      </c>
      <c r="B40" s="7" t="s">
        <v>541</v>
      </c>
      <c r="C40" s="37" t="s">
        <v>40</v>
      </c>
      <c r="D40" s="296">
        <v>5113</v>
      </c>
      <c r="E40" s="297">
        <v>50113</v>
      </c>
      <c r="F40" s="27" t="s">
        <v>165</v>
      </c>
      <c r="G40" s="73" t="s">
        <v>158</v>
      </c>
      <c r="H40" s="35">
        <v>8608208</v>
      </c>
      <c r="I40" s="35">
        <v>1619</v>
      </c>
      <c r="J40" s="37" t="s">
        <v>10</v>
      </c>
      <c r="K40" s="37" t="s">
        <v>159</v>
      </c>
      <c r="L40" s="8">
        <v>8</v>
      </c>
      <c r="M40" s="8">
        <v>20089</v>
      </c>
      <c r="N40" s="9"/>
      <c r="O40" s="8">
        <v>2675</v>
      </c>
      <c r="P40" s="9"/>
      <c r="Q40" s="8">
        <v>373</v>
      </c>
      <c r="R40" s="9"/>
      <c r="S40" s="8">
        <v>1007</v>
      </c>
      <c r="T40" s="9"/>
      <c r="U40" s="8">
        <v>0</v>
      </c>
      <c r="V40" s="9"/>
      <c r="W40" s="33">
        <v>24144</v>
      </c>
      <c r="X40" s="9"/>
      <c r="Y40" s="30">
        <v>13.7</v>
      </c>
      <c r="Z40" s="9"/>
      <c r="AA40" s="30">
        <v>1.1000000000000001</v>
      </c>
      <c r="AB40" s="9"/>
      <c r="AC40" s="30">
        <v>0.2</v>
      </c>
      <c r="AD40" s="9"/>
      <c r="AE40" s="30">
        <v>0.6</v>
      </c>
      <c r="AF40" s="9"/>
      <c r="AG40" s="30">
        <v>0</v>
      </c>
      <c r="AH40" s="9"/>
      <c r="AI40" s="32">
        <v>15.6</v>
      </c>
      <c r="AJ40" s="12"/>
      <c r="AK40" s="22">
        <v>373077</v>
      </c>
      <c r="AM40" s="22">
        <v>75737</v>
      </c>
      <c r="AO40" s="22">
        <v>8804</v>
      </c>
      <c r="AQ40" s="22">
        <v>18319</v>
      </c>
      <c r="AS40" s="26">
        <v>475937</v>
      </c>
      <c r="AU40" s="23">
        <v>18.571200000000001</v>
      </c>
      <c r="AW40" s="23">
        <v>28.312899999999999</v>
      </c>
      <c r="AY40" s="23">
        <v>0.43819999999999998</v>
      </c>
      <c r="BA40" s="23">
        <v>18.191700000000001</v>
      </c>
      <c r="BC40" s="24">
        <v>19.712399999999999</v>
      </c>
      <c r="BE40" s="1" t="str">
        <f t="shared" si="0"/>
        <v>No</v>
      </c>
    </row>
    <row r="41" spans="1:57" ht="11.25" customHeight="1">
      <c r="A41" s="7" t="s">
        <v>536</v>
      </c>
      <c r="B41" s="7" t="s">
        <v>537</v>
      </c>
      <c r="C41" s="37" t="s">
        <v>17</v>
      </c>
      <c r="D41" s="296">
        <v>9036</v>
      </c>
      <c r="E41" s="297">
        <v>90036</v>
      </c>
      <c r="F41" s="27" t="s">
        <v>165</v>
      </c>
      <c r="G41" s="73" t="s">
        <v>158</v>
      </c>
      <c r="H41" s="35">
        <v>12150996</v>
      </c>
      <c r="I41" s="35">
        <v>1558</v>
      </c>
      <c r="J41" s="37" t="s">
        <v>7</v>
      </c>
      <c r="K41" s="37" t="s">
        <v>159</v>
      </c>
      <c r="L41" s="8">
        <v>266</v>
      </c>
      <c r="M41" s="8">
        <v>1417941</v>
      </c>
      <c r="N41" s="9"/>
      <c r="O41" s="8">
        <v>318105</v>
      </c>
      <c r="P41" s="9"/>
      <c r="Q41" s="8">
        <v>18172</v>
      </c>
      <c r="R41" s="9"/>
      <c r="S41" s="8">
        <v>201162</v>
      </c>
      <c r="T41" s="9"/>
      <c r="U41" s="8">
        <v>0</v>
      </c>
      <c r="V41" s="9"/>
      <c r="W41" s="33">
        <v>1955380</v>
      </c>
      <c r="X41" s="9"/>
      <c r="Y41" s="30">
        <v>718.32</v>
      </c>
      <c r="Z41" s="9"/>
      <c r="AA41" s="30">
        <v>168.33</v>
      </c>
      <c r="AB41" s="9"/>
      <c r="AC41" s="30">
        <v>9.52</v>
      </c>
      <c r="AD41" s="9"/>
      <c r="AE41" s="30">
        <v>111.61</v>
      </c>
      <c r="AF41" s="9"/>
      <c r="AG41" s="30">
        <v>0</v>
      </c>
      <c r="AH41" s="9"/>
      <c r="AI41" s="32">
        <v>1007.78</v>
      </c>
      <c r="AJ41" s="12"/>
      <c r="AK41" s="22">
        <v>37790171</v>
      </c>
      <c r="AM41" s="22">
        <v>9533269</v>
      </c>
      <c r="AO41" s="22">
        <v>588766</v>
      </c>
      <c r="AQ41" s="22">
        <v>7956705</v>
      </c>
      <c r="AS41" s="26">
        <v>55868911</v>
      </c>
      <c r="AU41" s="23">
        <v>26.651399999999999</v>
      </c>
      <c r="AW41" s="23">
        <v>29.968900000000001</v>
      </c>
      <c r="AY41" s="23">
        <v>0.41520000000000001</v>
      </c>
      <c r="BA41" s="23">
        <v>39.553699999999999</v>
      </c>
      <c r="BC41" s="24">
        <v>28.571899999999999</v>
      </c>
      <c r="BE41" s="1" t="str">
        <f t="shared" si="0"/>
        <v>No</v>
      </c>
    </row>
    <row r="42" spans="1:57" ht="11.25" customHeight="1">
      <c r="A42" s="7" t="s">
        <v>536</v>
      </c>
      <c r="B42" s="7" t="s">
        <v>537</v>
      </c>
      <c r="C42" s="37" t="s">
        <v>17</v>
      </c>
      <c r="D42" s="296">
        <v>9036</v>
      </c>
      <c r="E42" s="297">
        <v>90036</v>
      </c>
      <c r="F42" s="27" t="s">
        <v>165</v>
      </c>
      <c r="G42" s="73" t="s">
        <v>158</v>
      </c>
      <c r="H42" s="35">
        <v>12150996</v>
      </c>
      <c r="I42" s="35">
        <v>1558</v>
      </c>
      <c r="J42" s="37" t="s">
        <v>18</v>
      </c>
      <c r="K42" s="37" t="s">
        <v>159</v>
      </c>
      <c r="L42" s="8">
        <v>6</v>
      </c>
      <c r="M42" s="8">
        <v>15408</v>
      </c>
      <c r="N42" s="9"/>
      <c r="O42" s="8">
        <v>3671</v>
      </c>
      <c r="P42" s="9"/>
      <c r="Q42" s="8">
        <v>263</v>
      </c>
      <c r="R42" s="9"/>
      <c r="S42" s="8">
        <v>2991</v>
      </c>
      <c r="T42" s="9"/>
      <c r="U42" s="8">
        <v>0</v>
      </c>
      <c r="V42" s="9"/>
      <c r="W42" s="33">
        <v>22333</v>
      </c>
      <c r="X42" s="9"/>
      <c r="Y42" s="30">
        <v>7.64</v>
      </c>
      <c r="Z42" s="9"/>
      <c r="AA42" s="30">
        <v>1.93</v>
      </c>
      <c r="AB42" s="9"/>
      <c r="AC42" s="30">
        <v>0.14000000000000001</v>
      </c>
      <c r="AD42" s="9"/>
      <c r="AE42" s="30">
        <v>1.66</v>
      </c>
      <c r="AF42" s="9"/>
      <c r="AG42" s="30">
        <v>0</v>
      </c>
      <c r="AH42" s="9"/>
      <c r="AI42" s="32">
        <v>11.37</v>
      </c>
      <c r="AJ42" s="12"/>
      <c r="AK42" s="22">
        <v>405932</v>
      </c>
      <c r="AM42" s="22">
        <v>109407</v>
      </c>
      <c r="AO42" s="22">
        <v>8533</v>
      </c>
      <c r="AQ42" s="22">
        <v>116794</v>
      </c>
      <c r="AS42" s="26">
        <v>640666</v>
      </c>
      <c r="AU42" s="23">
        <v>26.345500000000001</v>
      </c>
      <c r="AW42" s="23">
        <v>29.803100000000001</v>
      </c>
      <c r="AY42" s="23">
        <v>0.55379999999999996</v>
      </c>
      <c r="BA42" s="23">
        <v>39.048499999999997</v>
      </c>
      <c r="BC42" s="24">
        <v>28.687000000000001</v>
      </c>
      <c r="BE42" s="1" t="str">
        <f t="shared" si="0"/>
        <v>No</v>
      </c>
    </row>
    <row r="43" spans="1:57" ht="11.25" customHeight="1">
      <c r="A43" s="7" t="s">
        <v>562</v>
      </c>
      <c r="B43" s="7" t="s">
        <v>563</v>
      </c>
      <c r="C43" s="37" t="s">
        <v>26</v>
      </c>
      <c r="D43" s="296">
        <v>8006</v>
      </c>
      <c r="E43" s="297">
        <v>80006</v>
      </c>
      <c r="F43" s="27" t="s">
        <v>165</v>
      </c>
      <c r="G43" s="73" t="s">
        <v>158</v>
      </c>
      <c r="H43" s="35">
        <v>2374203</v>
      </c>
      <c r="I43" s="35">
        <v>1435</v>
      </c>
      <c r="J43" s="37" t="s">
        <v>7</v>
      </c>
      <c r="K43" s="37" t="s">
        <v>159</v>
      </c>
      <c r="L43" s="8">
        <v>485</v>
      </c>
      <c r="M43" s="8">
        <v>2667335</v>
      </c>
      <c r="N43" s="9"/>
      <c r="O43" s="8">
        <v>797142</v>
      </c>
      <c r="P43" s="9"/>
      <c r="Q43" s="8">
        <v>322381</v>
      </c>
      <c r="R43" s="9"/>
      <c r="S43" s="8">
        <v>617074</v>
      </c>
      <c r="T43" s="9"/>
      <c r="U43" s="8">
        <v>24677</v>
      </c>
      <c r="V43" s="9"/>
      <c r="W43" s="33">
        <v>4428609</v>
      </c>
      <c r="X43" s="9"/>
      <c r="Y43" s="30">
        <v>1364</v>
      </c>
      <c r="Z43" s="9"/>
      <c r="AA43" s="30">
        <v>370</v>
      </c>
      <c r="AB43" s="9"/>
      <c r="AC43" s="30">
        <v>132</v>
      </c>
      <c r="AD43" s="9"/>
      <c r="AE43" s="30">
        <v>308</v>
      </c>
      <c r="AF43" s="9"/>
      <c r="AG43" s="30">
        <v>14.5</v>
      </c>
      <c r="AH43" s="9"/>
      <c r="AI43" s="32">
        <v>2188.5</v>
      </c>
      <c r="AJ43" s="12"/>
      <c r="AK43" s="22">
        <v>56762744</v>
      </c>
      <c r="AM43" s="22">
        <v>18802206</v>
      </c>
      <c r="AO43" s="22">
        <v>7674094</v>
      </c>
      <c r="AQ43" s="22">
        <v>22050271</v>
      </c>
      <c r="AS43" s="26">
        <v>105289315</v>
      </c>
      <c r="AU43" s="23">
        <v>21.2807</v>
      </c>
      <c r="AW43" s="23">
        <v>23.587</v>
      </c>
      <c r="AY43" s="23">
        <v>2.8771</v>
      </c>
      <c r="BA43" s="23">
        <v>35.733600000000003</v>
      </c>
      <c r="BC43" s="24">
        <v>23.774799999999999</v>
      </c>
      <c r="BE43" s="1" t="str">
        <f t="shared" si="0"/>
        <v>No</v>
      </c>
    </row>
    <row r="44" spans="1:57" ht="11.25" customHeight="1">
      <c r="A44" s="7" t="s">
        <v>562</v>
      </c>
      <c r="B44" s="7" t="s">
        <v>563</v>
      </c>
      <c r="C44" s="37" t="s">
        <v>26</v>
      </c>
      <c r="D44" s="296">
        <v>8006</v>
      </c>
      <c r="E44" s="297">
        <v>80006</v>
      </c>
      <c r="F44" s="27" t="s">
        <v>165</v>
      </c>
      <c r="G44" s="73" t="s">
        <v>158</v>
      </c>
      <c r="H44" s="35">
        <v>2374203</v>
      </c>
      <c r="I44" s="35">
        <v>1435</v>
      </c>
      <c r="J44" s="37" t="s">
        <v>21</v>
      </c>
      <c r="K44" s="37" t="s">
        <v>159</v>
      </c>
      <c r="L44" s="8">
        <v>140</v>
      </c>
      <c r="M44" s="8">
        <v>643023</v>
      </c>
      <c r="N44" s="9"/>
      <c r="O44" s="8">
        <v>302368</v>
      </c>
      <c r="P44" s="9"/>
      <c r="Q44" s="8">
        <v>253244</v>
      </c>
      <c r="R44" s="9"/>
      <c r="S44" s="8">
        <v>271865</v>
      </c>
      <c r="T44" s="9"/>
      <c r="U44" s="8">
        <v>85813</v>
      </c>
      <c r="V44" s="9"/>
      <c r="W44" s="33">
        <v>1556313</v>
      </c>
      <c r="X44" s="9"/>
      <c r="Y44" s="30">
        <v>263</v>
      </c>
      <c r="Z44" s="9"/>
      <c r="AA44" s="30">
        <v>135</v>
      </c>
      <c r="AB44" s="9"/>
      <c r="AC44" s="30">
        <v>95</v>
      </c>
      <c r="AD44" s="9"/>
      <c r="AE44" s="30">
        <v>124</v>
      </c>
      <c r="AF44" s="9"/>
      <c r="AG44" s="30">
        <v>49.7</v>
      </c>
      <c r="AH44" s="9"/>
      <c r="AI44" s="32">
        <v>666.7</v>
      </c>
      <c r="AJ44" s="12"/>
      <c r="AK44" s="22">
        <v>12805761</v>
      </c>
      <c r="AM44" s="22">
        <v>6853576</v>
      </c>
      <c r="AO44" s="22">
        <v>7008865</v>
      </c>
      <c r="AQ44" s="22">
        <v>9238151</v>
      </c>
      <c r="AS44" s="26">
        <v>35906353</v>
      </c>
      <c r="AU44" s="23">
        <v>19.914899999999999</v>
      </c>
      <c r="AW44" s="23">
        <v>22.6663</v>
      </c>
      <c r="AY44" s="23">
        <v>10.899900000000001</v>
      </c>
      <c r="BA44" s="23">
        <v>33.980699999999999</v>
      </c>
      <c r="BC44" s="24">
        <v>23.071400000000001</v>
      </c>
      <c r="BE44" s="1" t="str">
        <f t="shared" si="0"/>
        <v>No</v>
      </c>
    </row>
    <row r="45" spans="1:57" ht="11.25" customHeight="1">
      <c r="A45" s="7" t="s">
        <v>493</v>
      </c>
      <c r="B45" s="7" t="s">
        <v>494</v>
      </c>
      <c r="C45" s="37" t="s">
        <v>32</v>
      </c>
      <c r="D45" s="296">
        <v>4034</v>
      </c>
      <c r="E45" s="297">
        <v>40034</v>
      </c>
      <c r="F45" s="27" t="s">
        <v>162</v>
      </c>
      <c r="G45" s="73" t="s">
        <v>158</v>
      </c>
      <c r="H45" s="35">
        <v>5502379</v>
      </c>
      <c r="I45" s="35">
        <v>1181</v>
      </c>
      <c r="J45" s="37" t="s">
        <v>7</v>
      </c>
      <c r="K45" s="37" t="s">
        <v>159</v>
      </c>
      <c r="L45" s="8">
        <v>709</v>
      </c>
      <c r="M45" s="8">
        <v>3612259</v>
      </c>
      <c r="N45" s="9"/>
      <c r="O45" s="8">
        <v>963411</v>
      </c>
      <c r="P45" s="9"/>
      <c r="Q45" s="8">
        <v>161392</v>
      </c>
      <c r="R45" s="9"/>
      <c r="S45" s="8">
        <v>437889</v>
      </c>
      <c r="T45" s="9"/>
      <c r="U45" s="8">
        <v>4078</v>
      </c>
      <c r="V45" s="9"/>
      <c r="W45" s="33">
        <v>5179029</v>
      </c>
      <c r="X45" s="9"/>
      <c r="Y45" s="30">
        <v>2214</v>
      </c>
      <c r="Z45" s="9"/>
      <c r="AA45" s="30">
        <v>475</v>
      </c>
      <c r="AB45" s="9"/>
      <c r="AC45" s="30">
        <v>81</v>
      </c>
      <c r="AD45" s="9"/>
      <c r="AE45" s="30">
        <v>200</v>
      </c>
      <c r="AF45" s="9"/>
      <c r="AG45" s="30">
        <v>2</v>
      </c>
      <c r="AH45" s="9"/>
      <c r="AI45" s="32">
        <v>2972</v>
      </c>
      <c r="AJ45" s="12"/>
      <c r="AK45" s="22">
        <v>133931467</v>
      </c>
      <c r="AM45" s="22">
        <v>34342569</v>
      </c>
      <c r="AO45" s="22">
        <v>5071592</v>
      </c>
      <c r="AQ45" s="22">
        <v>21474444</v>
      </c>
      <c r="AS45" s="26">
        <v>194820072</v>
      </c>
      <c r="AU45" s="23">
        <v>37.076900000000002</v>
      </c>
      <c r="AW45" s="23">
        <v>35.646900000000002</v>
      </c>
      <c r="AY45" s="23">
        <v>1.4039999999999999</v>
      </c>
      <c r="BA45" s="23">
        <v>49.040799999999997</v>
      </c>
      <c r="BC45" s="24">
        <v>37.617100000000001</v>
      </c>
      <c r="BE45" s="1" t="str">
        <f t="shared" si="0"/>
        <v>No</v>
      </c>
    </row>
    <row r="46" spans="1:57" ht="11.25" customHeight="1">
      <c r="A46" s="7" t="s">
        <v>493</v>
      </c>
      <c r="B46" s="7" t="s">
        <v>494</v>
      </c>
      <c r="C46" s="37" t="s">
        <v>32</v>
      </c>
      <c r="D46" s="296">
        <v>4034</v>
      </c>
      <c r="E46" s="297">
        <v>40034</v>
      </c>
      <c r="F46" s="27" t="s">
        <v>162</v>
      </c>
      <c r="G46" s="73" t="s">
        <v>158</v>
      </c>
      <c r="H46" s="35">
        <v>5502379</v>
      </c>
      <c r="I46" s="35">
        <v>1181</v>
      </c>
      <c r="J46" s="37" t="s">
        <v>20</v>
      </c>
      <c r="K46" s="37" t="s">
        <v>159</v>
      </c>
      <c r="L46" s="8">
        <v>84</v>
      </c>
      <c r="M46" s="8">
        <v>263731</v>
      </c>
      <c r="N46" s="9"/>
      <c r="O46" s="8">
        <v>389999</v>
      </c>
      <c r="P46" s="9"/>
      <c r="Q46" s="8">
        <v>376011</v>
      </c>
      <c r="R46" s="9"/>
      <c r="S46" s="8">
        <v>178005</v>
      </c>
      <c r="T46" s="9"/>
      <c r="U46" s="8">
        <v>34014</v>
      </c>
      <c r="V46" s="9"/>
      <c r="W46" s="33">
        <v>1241760</v>
      </c>
      <c r="X46" s="9"/>
      <c r="Y46" s="30">
        <v>131</v>
      </c>
      <c r="Z46" s="9"/>
      <c r="AA46" s="30">
        <v>198</v>
      </c>
      <c r="AB46" s="9"/>
      <c r="AC46" s="30">
        <v>217</v>
      </c>
      <c r="AD46" s="9"/>
      <c r="AE46" s="30">
        <v>98</v>
      </c>
      <c r="AF46" s="9"/>
      <c r="AG46" s="30">
        <v>15</v>
      </c>
      <c r="AH46" s="9"/>
      <c r="AI46" s="32">
        <v>659</v>
      </c>
      <c r="AJ46" s="12"/>
      <c r="AK46" s="22">
        <v>14471847</v>
      </c>
      <c r="AM46" s="22">
        <v>8059708</v>
      </c>
      <c r="AO46" s="22">
        <v>8836449</v>
      </c>
      <c r="AQ46" s="22">
        <v>4674599</v>
      </c>
      <c r="AS46" s="26">
        <v>36042603</v>
      </c>
      <c r="AU46" s="23">
        <v>54.8735</v>
      </c>
      <c r="AW46" s="23">
        <v>20.666</v>
      </c>
      <c r="AY46" s="23">
        <v>33.505499999999998</v>
      </c>
      <c r="BA46" s="23">
        <v>26.261099999999999</v>
      </c>
      <c r="BC46" s="24">
        <v>29.025400000000001</v>
      </c>
      <c r="BE46" s="1" t="str">
        <f t="shared" si="0"/>
        <v>No</v>
      </c>
    </row>
    <row r="47" spans="1:57" ht="11.25" customHeight="1">
      <c r="A47" s="7" t="s">
        <v>493</v>
      </c>
      <c r="B47" s="7" t="s">
        <v>494</v>
      </c>
      <c r="C47" s="37" t="s">
        <v>32</v>
      </c>
      <c r="D47" s="296">
        <v>4034</v>
      </c>
      <c r="E47" s="297">
        <v>40034</v>
      </c>
      <c r="F47" s="27" t="s">
        <v>162</v>
      </c>
      <c r="G47" s="73" t="s">
        <v>158</v>
      </c>
      <c r="H47" s="35">
        <v>5502379</v>
      </c>
      <c r="I47" s="35">
        <v>1181</v>
      </c>
      <c r="J47" s="37" t="s">
        <v>34</v>
      </c>
      <c r="K47" s="37" t="s">
        <v>159</v>
      </c>
      <c r="L47" s="8">
        <v>23</v>
      </c>
      <c r="M47" s="8">
        <v>56219</v>
      </c>
      <c r="N47" s="9"/>
      <c r="O47" s="8">
        <v>168833</v>
      </c>
      <c r="P47" s="9"/>
      <c r="Q47" s="8">
        <v>104241</v>
      </c>
      <c r="R47" s="9"/>
      <c r="S47" s="8">
        <v>51649</v>
      </c>
      <c r="T47" s="9"/>
      <c r="U47" s="8">
        <v>0</v>
      </c>
      <c r="V47" s="9"/>
      <c r="W47" s="33">
        <v>380942</v>
      </c>
      <c r="X47" s="9"/>
      <c r="Y47" s="30">
        <v>34</v>
      </c>
      <c r="Z47" s="9"/>
      <c r="AA47" s="30">
        <v>76</v>
      </c>
      <c r="AB47" s="9"/>
      <c r="AC47" s="30">
        <v>47</v>
      </c>
      <c r="AD47" s="9"/>
      <c r="AE47" s="30">
        <v>27</v>
      </c>
      <c r="AF47" s="9"/>
      <c r="AG47" s="30">
        <v>0</v>
      </c>
      <c r="AH47" s="9"/>
      <c r="AI47" s="32">
        <v>184</v>
      </c>
      <c r="AJ47" s="12"/>
      <c r="AK47" s="22">
        <v>2539618</v>
      </c>
      <c r="AM47" s="22">
        <v>3315283</v>
      </c>
      <c r="AO47" s="22">
        <v>2667143</v>
      </c>
      <c r="AQ47" s="22">
        <v>1407316</v>
      </c>
      <c r="AS47" s="26">
        <v>9929360</v>
      </c>
      <c r="AU47" s="23">
        <v>45.173699999999997</v>
      </c>
      <c r="AW47" s="23">
        <v>19.636500000000002</v>
      </c>
      <c r="AY47" s="23">
        <v>47.442</v>
      </c>
      <c r="BA47" s="23">
        <v>27.247699999999998</v>
      </c>
      <c r="BC47" s="24">
        <v>26.065300000000001</v>
      </c>
      <c r="BE47" s="1" t="str">
        <f t="shared" si="0"/>
        <v>No</v>
      </c>
    </row>
    <row r="48" spans="1:57" ht="11.25" customHeight="1">
      <c r="A48" s="7" t="s">
        <v>478</v>
      </c>
      <c r="B48" s="7" t="s">
        <v>479</v>
      </c>
      <c r="C48" s="37" t="s">
        <v>70</v>
      </c>
      <c r="D48" s="296">
        <v>2078</v>
      </c>
      <c r="E48" s="297">
        <v>20078</v>
      </c>
      <c r="F48" s="27" t="s">
        <v>240</v>
      </c>
      <c r="G48" s="73" t="s">
        <v>158</v>
      </c>
      <c r="H48" s="35">
        <v>18351295</v>
      </c>
      <c r="I48" s="35">
        <v>1175</v>
      </c>
      <c r="J48" s="37" t="s">
        <v>41</v>
      </c>
      <c r="K48" s="37" t="s">
        <v>159</v>
      </c>
      <c r="L48" s="8">
        <v>1164</v>
      </c>
      <c r="M48" s="8">
        <v>3697556</v>
      </c>
      <c r="N48" s="9"/>
      <c r="O48" s="8">
        <v>2740059</v>
      </c>
      <c r="P48" s="9"/>
      <c r="Q48" s="8">
        <v>3470029</v>
      </c>
      <c r="R48" s="9"/>
      <c r="S48" s="8">
        <v>912253</v>
      </c>
      <c r="T48" s="9"/>
      <c r="U48" s="8">
        <v>695226</v>
      </c>
      <c r="V48" s="9"/>
      <c r="W48" s="33">
        <v>11515123</v>
      </c>
      <c r="X48" s="9"/>
      <c r="Y48" s="30">
        <v>1716</v>
      </c>
      <c r="Z48" s="9"/>
      <c r="AA48" s="30">
        <v>1723</v>
      </c>
      <c r="AB48" s="9"/>
      <c r="AC48" s="30">
        <v>2081</v>
      </c>
      <c r="AD48" s="9"/>
      <c r="AE48" s="30">
        <v>476</v>
      </c>
      <c r="AF48" s="9"/>
      <c r="AG48" s="30">
        <v>381</v>
      </c>
      <c r="AH48" s="9"/>
      <c r="AI48" s="32">
        <v>6377</v>
      </c>
      <c r="AJ48" s="12"/>
      <c r="AK48" s="22">
        <v>168011886</v>
      </c>
      <c r="AM48" s="22">
        <v>106090901</v>
      </c>
      <c r="AO48" s="22">
        <v>141361528</v>
      </c>
      <c r="AQ48" s="22">
        <v>40510592</v>
      </c>
      <c r="AS48" s="26">
        <v>455974907</v>
      </c>
      <c r="AU48" s="23">
        <v>45.438600000000001</v>
      </c>
      <c r="AW48" s="23">
        <v>38.718499999999999</v>
      </c>
      <c r="AY48" s="23">
        <v>38.231099999999998</v>
      </c>
      <c r="BA48" s="23">
        <v>44.407200000000003</v>
      </c>
      <c r="BC48" s="24">
        <v>39.597900000000003</v>
      </c>
      <c r="BE48" s="1" t="str">
        <f t="shared" si="0"/>
        <v>No</v>
      </c>
    </row>
    <row r="49" spans="1:57" ht="11.25" customHeight="1">
      <c r="A49" s="7" t="s">
        <v>723</v>
      </c>
      <c r="B49" s="7" t="s">
        <v>479</v>
      </c>
      <c r="C49" s="37" t="s">
        <v>70</v>
      </c>
      <c r="D49" s="296">
        <v>2188</v>
      </c>
      <c r="E49" s="297">
        <v>20188</v>
      </c>
      <c r="F49" s="27" t="s">
        <v>240</v>
      </c>
      <c r="G49" s="73" t="s">
        <v>158</v>
      </c>
      <c r="H49" s="35">
        <v>18351295</v>
      </c>
      <c r="I49" s="35">
        <v>1093</v>
      </c>
      <c r="J49" s="37" t="s">
        <v>7</v>
      </c>
      <c r="K49" s="37" t="s">
        <v>159</v>
      </c>
      <c r="L49" s="8">
        <v>1093</v>
      </c>
      <c r="M49" s="8">
        <v>5975300</v>
      </c>
      <c r="N49" s="9"/>
      <c r="O49" s="8">
        <v>2382377</v>
      </c>
      <c r="P49" s="9"/>
      <c r="Q49" s="8">
        <v>207907</v>
      </c>
      <c r="R49" s="9"/>
      <c r="S49" s="8">
        <v>250421</v>
      </c>
      <c r="T49" s="9"/>
      <c r="U49" s="8">
        <v>49886</v>
      </c>
      <c r="V49" s="9"/>
      <c r="W49" s="33">
        <v>8865891</v>
      </c>
      <c r="X49" s="9"/>
      <c r="Y49" s="30">
        <v>2783</v>
      </c>
      <c r="Z49" s="9"/>
      <c r="AA49" s="30">
        <v>1070</v>
      </c>
      <c r="AB49" s="9"/>
      <c r="AC49" s="30">
        <v>85</v>
      </c>
      <c r="AD49" s="9"/>
      <c r="AE49" s="30">
        <v>181</v>
      </c>
      <c r="AF49" s="9"/>
      <c r="AG49" s="30">
        <v>24</v>
      </c>
      <c r="AH49" s="9"/>
      <c r="AI49" s="32">
        <v>4143</v>
      </c>
      <c r="AJ49" s="12"/>
      <c r="AK49" s="22">
        <v>172906819</v>
      </c>
      <c r="AM49" s="22">
        <v>71960666</v>
      </c>
      <c r="AO49" s="22">
        <v>5995050</v>
      </c>
      <c r="AQ49" s="22">
        <v>13026440</v>
      </c>
      <c r="AS49" s="26">
        <v>263888975</v>
      </c>
      <c r="AU49" s="23">
        <v>28.936900000000001</v>
      </c>
      <c r="AW49" s="23">
        <v>30.205400000000001</v>
      </c>
      <c r="AY49" s="23">
        <v>1.0033000000000001</v>
      </c>
      <c r="BA49" s="23">
        <v>52.0182</v>
      </c>
      <c r="BC49" s="24">
        <v>29.764500000000002</v>
      </c>
      <c r="BE49" s="1" t="str">
        <f t="shared" si="0"/>
        <v>No</v>
      </c>
    </row>
    <row r="50" spans="1:57" ht="11.25" customHeight="1">
      <c r="A50" s="7" t="s">
        <v>671</v>
      </c>
      <c r="B50" s="7" t="s">
        <v>672</v>
      </c>
      <c r="C50" s="37" t="s">
        <v>85</v>
      </c>
      <c r="D50" s="296">
        <v>8001</v>
      </c>
      <c r="E50" s="297">
        <v>80001</v>
      </c>
      <c r="F50" s="27" t="s">
        <v>165</v>
      </c>
      <c r="G50" s="73" t="s">
        <v>158</v>
      </c>
      <c r="H50" s="35">
        <v>1021243</v>
      </c>
      <c r="I50" s="35">
        <v>1087</v>
      </c>
      <c r="J50" s="37" t="s">
        <v>8</v>
      </c>
      <c r="K50" s="37" t="s">
        <v>159</v>
      </c>
      <c r="L50" s="8">
        <v>406</v>
      </c>
      <c r="M50" s="8">
        <v>0</v>
      </c>
      <c r="N50" s="9"/>
      <c r="O50" s="8">
        <v>0</v>
      </c>
      <c r="P50" s="9"/>
      <c r="Q50" s="8">
        <v>3283</v>
      </c>
      <c r="R50" s="9"/>
      <c r="S50" s="8">
        <v>19691</v>
      </c>
      <c r="T50" s="9"/>
      <c r="U50" s="8">
        <v>542</v>
      </c>
      <c r="V50" s="9"/>
      <c r="W50" s="33">
        <v>23516</v>
      </c>
      <c r="X50" s="9"/>
      <c r="Y50" s="30">
        <v>0</v>
      </c>
      <c r="Z50" s="9"/>
      <c r="AA50" s="30">
        <v>0</v>
      </c>
      <c r="AB50" s="9"/>
      <c r="AC50" s="30">
        <v>1.9</v>
      </c>
      <c r="AD50" s="9"/>
      <c r="AE50" s="30">
        <v>10.9</v>
      </c>
      <c r="AF50" s="9"/>
      <c r="AG50" s="30">
        <v>1</v>
      </c>
      <c r="AH50" s="9"/>
      <c r="AI50" s="32">
        <v>13.8</v>
      </c>
      <c r="AJ50" s="12"/>
      <c r="AK50" s="22">
        <v>0</v>
      </c>
      <c r="AM50" s="22">
        <v>0</v>
      </c>
      <c r="AO50" s="22">
        <v>64179</v>
      </c>
      <c r="AQ50" s="22">
        <v>555100</v>
      </c>
      <c r="AS50" s="26">
        <v>619279</v>
      </c>
      <c r="BA50" s="23">
        <v>28.1905</v>
      </c>
      <c r="BC50" s="24">
        <v>26.334399999999999</v>
      </c>
      <c r="BE50" s="1" t="str">
        <f t="shared" si="0"/>
        <v>No</v>
      </c>
    </row>
    <row r="51" spans="1:57" ht="11.25" customHeight="1">
      <c r="A51" s="7" t="s">
        <v>671</v>
      </c>
      <c r="B51" s="7" t="s">
        <v>672</v>
      </c>
      <c r="C51" s="37" t="s">
        <v>85</v>
      </c>
      <c r="D51" s="296">
        <v>8001</v>
      </c>
      <c r="E51" s="297">
        <v>80001</v>
      </c>
      <c r="F51" s="27" t="s">
        <v>165</v>
      </c>
      <c r="G51" s="73" t="s">
        <v>158</v>
      </c>
      <c r="H51" s="35">
        <v>1021243</v>
      </c>
      <c r="I51" s="35">
        <v>1087</v>
      </c>
      <c r="J51" s="37" t="s">
        <v>7</v>
      </c>
      <c r="K51" s="37" t="s">
        <v>159</v>
      </c>
      <c r="L51" s="8">
        <v>391</v>
      </c>
      <c r="M51" s="8">
        <v>1497004</v>
      </c>
      <c r="N51" s="9"/>
      <c r="O51" s="8">
        <v>436413</v>
      </c>
      <c r="P51" s="9"/>
      <c r="Q51" s="8">
        <v>303092</v>
      </c>
      <c r="R51" s="9"/>
      <c r="S51" s="8">
        <v>298776</v>
      </c>
      <c r="T51" s="9"/>
      <c r="U51" s="8">
        <v>37152</v>
      </c>
      <c r="V51" s="9"/>
      <c r="W51" s="33">
        <v>2572437</v>
      </c>
      <c r="X51" s="9"/>
      <c r="Y51" s="30">
        <v>780</v>
      </c>
      <c r="Z51" s="9"/>
      <c r="AA51" s="30">
        <v>223.9</v>
      </c>
      <c r="AB51" s="9"/>
      <c r="AC51" s="30">
        <v>168.1</v>
      </c>
      <c r="AD51" s="9"/>
      <c r="AE51" s="30">
        <v>170.8</v>
      </c>
      <c r="AF51" s="9"/>
      <c r="AG51" s="30">
        <v>19.2</v>
      </c>
      <c r="AH51" s="9"/>
      <c r="AI51" s="32">
        <v>1362</v>
      </c>
      <c r="AJ51" s="12"/>
      <c r="AK51" s="22">
        <v>31366587</v>
      </c>
      <c r="AM51" s="22">
        <v>10688766</v>
      </c>
      <c r="AO51" s="22">
        <v>5040037</v>
      </c>
      <c r="AQ51" s="22">
        <v>11372876</v>
      </c>
      <c r="AS51" s="26">
        <v>58468266</v>
      </c>
      <c r="AU51" s="23">
        <v>20.9529</v>
      </c>
      <c r="AW51" s="23">
        <v>24.4923</v>
      </c>
      <c r="AY51" s="23">
        <v>3.3666999999999998</v>
      </c>
      <c r="BA51" s="23">
        <v>38.064900000000002</v>
      </c>
      <c r="BC51" s="24">
        <v>22.7287</v>
      </c>
      <c r="BE51" s="1" t="str">
        <f t="shared" si="0"/>
        <v>No</v>
      </c>
    </row>
    <row r="52" spans="1:57" ht="11.25" customHeight="1">
      <c r="A52" s="7" t="s">
        <v>671</v>
      </c>
      <c r="B52" s="7" t="s">
        <v>672</v>
      </c>
      <c r="C52" s="37" t="s">
        <v>85</v>
      </c>
      <c r="D52" s="296">
        <v>8001</v>
      </c>
      <c r="E52" s="297">
        <v>80001</v>
      </c>
      <c r="F52" s="27" t="s">
        <v>165</v>
      </c>
      <c r="G52" s="73" t="s">
        <v>158</v>
      </c>
      <c r="H52" s="35">
        <v>1021243</v>
      </c>
      <c r="I52" s="35">
        <v>1087</v>
      </c>
      <c r="J52" s="37" t="s">
        <v>21</v>
      </c>
      <c r="K52" s="37" t="s">
        <v>159</v>
      </c>
      <c r="L52" s="8">
        <v>91</v>
      </c>
      <c r="M52" s="8">
        <v>410509</v>
      </c>
      <c r="N52" s="9"/>
      <c r="O52" s="8">
        <v>236133</v>
      </c>
      <c r="P52" s="9"/>
      <c r="Q52" s="8">
        <v>205901</v>
      </c>
      <c r="R52" s="9"/>
      <c r="S52" s="8">
        <v>126917</v>
      </c>
      <c r="T52" s="9"/>
      <c r="U52" s="8">
        <v>16030</v>
      </c>
      <c r="V52" s="9"/>
      <c r="W52" s="33">
        <v>995490</v>
      </c>
      <c r="X52" s="9"/>
      <c r="Y52" s="30">
        <v>213.5</v>
      </c>
      <c r="Z52" s="9"/>
      <c r="AA52" s="30">
        <v>117</v>
      </c>
      <c r="AB52" s="9"/>
      <c r="AC52" s="30">
        <v>111.4</v>
      </c>
      <c r="AD52" s="9"/>
      <c r="AE52" s="30">
        <v>72</v>
      </c>
      <c r="AF52" s="9"/>
      <c r="AG52" s="30">
        <v>18.3</v>
      </c>
      <c r="AH52" s="9"/>
      <c r="AI52" s="32">
        <v>532.20000000000005</v>
      </c>
      <c r="AJ52" s="12"/>
      <c r="AK52" s="22">
        <v>9182147</v>
      </c>
      <c r="AM52" s="22">
        <v>5499641</v>
      </c>
      <c r="AO52" s="22">
        <v>4788763</v>
      </c>
      <c r="AQ52" s="22">
        <v>4792205</v>
      </c>
      <c r="AS52" s="26">
        <v>24262756</v>
      </c>
      <c r="AU52" s="23">
        <v>22.367699999999999</v>
      </c>
      <c r="AW52" s="23">
        <v>23.290400000000002</v>
      </c>
      <c r="AY52" s="23">
        <v>11.6654</v>
      </c>
      <c r="BA52" s="23">
        <v>37.758600000000001</v>
      </c>
      <c r="BC52" s="24">
        <v>24.372699999999998</v>
      </c>
      <c r="BE52" s="1" t="str">
        <f t="shared" si="0"/>
        <v>No</v>
      </c>
    </row>
    <row r="53" spans="1:57" ht="11.25" customHeight="1">
      <c r="A53" s="7" t="s">
        <v>671</v>
      </c>
      <c r="B53" s="7" t="s">
        <v>672</v>
      </c>
      <c r="C53" s="37" t="s">
        <v>85</v>
      </c>
      <c r="D53" s="296">
        <v>8001</v>
      </c>
      <c r="E53" s="297">
        <v>80001</v>
      </c>
      <c r="F53" s="27" t="s">
        <v>165</v>
      </c>
      <c r="G53" s="73" t="s">
        <v>158</v>
      </c>
      <c r="H53" s="35">
        <v>1021243</v>
      </c>
      <c r="I53" s="35">
        <v>1087</v>
      </c>
      <c r="J53" s="37" t="s">
        <v>10</v>
      </c>
      <c r="K53" s="37" t="s">
        <v>159</v>
      </c>
      <c r="L53" s="8">
        <v>61</v>
      </c>
      <c r="M53" s="8">
        <v>199802</v>
      </c>
      <c r="N53" s="9"/>
      <c r="O53" s="8">
        <v>41795</v>
      </c>
      <c r="P53" s="9"/>
      <c r="Q53" s="8">
        <v>27439</v>
      </c>
      <c r="R53" s="9"/>
      <c r="S53" s="8">
        <v>33446</v>
      </c>
      <c r="T53" s="9"/>
      <c r="U53" s="8">
        <v>4161</v>
      </c>
      <c r="V53" s="9"/>
      <c r="W53" s="33">
        <v>306643</v>
      </c>
      <c r="X53" s="9"/>
      <c r="Y53" s="30">
        <v>143.30000000000001</v>
      </c>
      <c r="Z53" s="9"/>
      <c r="AA53" s="30">
        <v>24.7</v>
      </c>
      <c r="AB53" s="9"/>
      <c r="AC53" s="30">
        <v>15.7</v>
      </c>
      <c r="AD53" s="9"/>
      <c r="AE53" s="30">
        <v>19.2</v>
      </c>
      <c r="AF53" s="9"/>
      <c r="AG53" s="30">
        <v>2.2000000000000002</v>
      </c>
      <c r="AH53" s="9"/>
      <c r="AI53" s="32">
        <v>205.1</v>
      </c>
      <c r="AJ53" s="12"/>
      <c r="AK53" s="22">
        <v>3554868</v>
      </c>
      <c r="AM53" s="22">
        <v>1024549</v>
      </c>
      <c r="AO53" s="22">
        <v>564282</v>
      </c>
      <c r="AQ53" s="22">
        <v>1104510</v>
      </c>
      <c r="AS53" s="26">
        <v>6248209</v>
      </c>
      <c r="AU53" s="23">
        <v>17.792000000000002</v>
      </c>
      <c r="AW53" s="23">
        <v>24.5137</v>
      </c>
      <c r="AY53" s="23">
        <v>2.8241999999999998</v>
      </c>
      <c r="BA53" s="23">
        <v>33.023699999999998</v>
      </c>
      <c r="BC53" s="24">
        <v>20.376200000000001</v>
      </c>
      <c r="BE53" s="1" t="str">
        <f t="shared" si="0"/>
        <v>No</v>
      </c>
    </row>
    <row r="54" spans="1:57" ht="11.25" customHeight="1">
      <c r="A54" s="7" t="s">
        <v>671</v>
      </c>
      <c r="B54" s="7" t="s">
        <v>672</v>
      </c>
      <c r="C54" s="37" t="s">
        <v>85</v>
      </c>
      <c r="D54" s="296">
        <v>8001</v>
      </c>
      <c r="E54" s="297">
        <v>80001</v>
      </c>
      <c r="F54" s="27" t="s">
        <v>165</v>
      </c>
      <c r="G54" s="73" t="s">
        <v>158</v>
      </c>
      <c r="H54" s="35">
        <v>1021243</v>
      </c>
      <c r="I54" s="35">
        <v>1087</v>
      </c>
      <c r="J54" s="37" t="s">
        <v>41</v>
      </c>
      <c r="K54" s="37" t="s">
        <v>159</v>
      </c>
      <c r="L54" s="8">
        <v>45</v>
      </c>
      <c r="M54" s="8">
        <v>221465</v>
      </c>
      <c r="N54" s="9"/>
      <c r="O54" s="8">
        <v>61730</v>
      </c>
      <c r="P54" s="9"/>
      <c r="Q54" s="8">
        <v>166763</v>
      </c>
      <c r="R54" s="9"/>
      <c r="S54" s="8">
        <v>79538</v>
      </c>
      <c r="T54" s="9"/>
      <c r="U54" s="8">
        <v>12982</v>
      </c>
      <c r="V54" s="9"/>
      <c r="W54" s="33">
        <v>542478</v>
      </c>
      <c r="X54" s="9"/>
      <c r="Y54" s="30">
        <v>115.1</v>
      </c>
      <c r="Z54" s="9"/>
      <c r="AA54" s="30">
        <v>33</v>
      </c>
      <c r="AB54" s="9"/>
      <c r="AC54" s="30">
        <v>91</v>
      </c>
      <c r="AD54" s="9"/>
      <c r="AE54" s="30">
        <v>45.3</v>
      </c>
      <c r="AF54" s="9"/>
      <c r="AG54" s="30">
        <v>16.7</v>
      </c>
      <c r="AH54" s="9"/>
      <c r="AI54" s="32">
        <v>301.10000000000002</v>
      </c>
      <c r="AJ54" s="12"/>
      <c r="AK54" s="22">
        <v>4527020</v>
      </c>
      <c r="AM54" s="22">
        <v>1648367</v>
      </c>
      <c r="AO54" s="22">
        <v>3878493</v>
      </c>
      <c r="AQ54" s="22">
        <v>3250654</v>
      </c>
      <c r="AS54" s="26">
        <v>13304534</v>
      </c>
      <c r="AU54" s="23">
        <v>20.441199999999998</v>
      </c>
      <c r="AW54" s="23">
        <v>26.7029</v>
      </c>
      <c r="AY54" s="23">
        <v>17.512899999999998</v>
      </c>
      <c r="BA54" s="23">
        <v>40.869199999999999</v>
      </c>
      <c r="BC54" s="24">
        <v>24.525500000000001</v>
      </c>
      <c r="BE54" s="1" t="str">
        <f t="shared" si="0"/>
        <v>No</v>
      </c>
    </row>
    <row r="55" spans="1:57" ht="11.25" customHeight="1">
      <c r="A55" s="7" t="s">
        <v>671</v>
      </c>
      <c r="B55" s="7" t="s">
        <v>672</v>
      </c>
      <c r="C55" s="37" t="s">
        <v>85</v>
      </c>
      <c r="D55" s="296">
        <v>8001</v>
      </c>
      <c r="E55" s="297">
        <v>80001</v>
      </c>
      <c r="F55" s="27" t="s">
        <v>165</v>
      </c>
      <c r="G55" s="73" t="s">
        <v>158</v>
      </c>
      <c r="H55" s="35">
        <v>1021243</v>
      </c>
      <c r="I55" s="35">
        <v>1087</v>
      </c>
      <c r="J55" s="37" t="s">
        <v>18</v>
      </c>
      <c r="K55" s="37" t="s">
        <v>159</v>
      </c>
      <c r="L55" s="8">
        <v>43</v>
      </c>
      <c r="M55" s="8">
        <v>89949</v>
      </c>
      <c r="N55" s="9"/>
      <c r="O55" s="8">
        <v>26754</v>
      </c>
      <c r="P55" s="9"/>
      <c r="Q55" s="8">
        <v>19537</v>
      </c>
      <c r="R55" s="9"/>
      <c r="S55" s="8">
        <v>18890</v>
      </c>
      <c r="T55" s="9"/>
      <c r="U55" s="8">
        <v>2396</v>
      </c>
      <c r="V55" s="9"/>
      <c r="W55" s="33">
        <v>157526</v>
      </c>
      <c r="X55" s="9"/>
      <c r="Y55" s="30">
        <v>49</v>
      </c>
      <c r="Z55" s="9"/>
      <c r="AA55" s="30">
        <v>14.4</v>
      </c>
      <c r="AB55" s="9"/>
      <c r="AC55" s="30">
        <v>10.8</v>
      </c>
      <c r="AD55" s="9"/>
      <c r="AE55" s="30">
        <v>10.8</v>
      </c>
      <c r="AF55" s="9"/>
      <c r="AG55" s="30">
        <v>8</v>
      </c>
      <c r="AH55" s="9"/>
      <c r="AI55" s="32">
        <v>93</v>
      </c>
      <c r="AJ55" s="12"/>
      <c r="AK55" s="22">
        <v>1909603</v>
      </c>
      <c r="AM55" s="22">
        <v>655073</v>
      </c>
      <c r="AO55" s="22">
        <v>324478</v>
      </c>
      <c r="AQ55" s="22">
        <v>732187</v>
      </c>
      <c r="AS55" s="26">
        <v>3621341</v>
      </c>
      <c r="AU55" s="23">
        <v>21.229800000000001</v>
      </c>
      <c r="AW55" s="23">
        <v>24.484999999999999</v>
      </c>
      <c r="AY55" s="23">
        <v>3.6074000000000002</v>
      </c>
      <c r="BA55" s="23">
        <v>38.760599999999997</v>
      </c>
      <c r="BC55" s="24">
        <v>22.988800000000001</v>
      </c>
      <c r="BE55" s="1" t="str">
        <f t="shared" si="0"/>
        <v>No</v>
      </c>
    </row>
    <row r="56" spans="1:57" ht="11.25" customHeight="1">
      <c r="A56" s="7" t="s">
        <v>344</v>
      </c>
      <c r="B56" s="7" t="s">
        <v>345</v>
      </c>
      <c r="C56" s="37" t="s">
        <v>84</v>
      </c>
      <c r="D56" s="296">
        <v>6056</v>
      </c>
      <c r="E56" s="297">
        <v>60056</v>
      </c>
      <c r="F56" s="27" t="s">
        <v>165</v>
      </c>
      <c r="G56" s="73" t="s">
        <v>158</v>
      </c>
      <c r="H56" s="35">
        <v>5121892</v>
      </c>
      <c r="I56" s="35">
        <v>1069</v>
      </c>
      <c r="J56" s="37" t="s">
        <v>7</v>
      </c>
      <c r="K56" s="37" t="s">
        <v>159</v>
      </c>
      <c r="L56" s="8">
        <v>533</v>
      </c>
      <c r="M56" s="8">
        <v>3594655</v>
      </c>
      <c r="N56" s="9"/>
      <c r="O56" s="8">
        <v>809505</v>
      </c>
      <c r="P56" s="9"/>
      <c r="Q56" s="8">
        <v>152873</v>
      </c>
      <c r="R56" s="9"/>
      <c r="S56" s="8">
        <v>412830</v>
      </c>
      <c r="T56" s="9"/>
      <c r="U56" s="8">
        <v>17307</v>
      </c>
      <c r="V56" s="9"/>
      <c r="W56" s="33">
        <v>4987170</v>
      </c>
      <c r="X56" s="9"/>
      <c r="Y56" s="30">
        <v>1674</v>
      </c>
      <c r="Z56" s="9"/>
      <c r="AA56" s="30">
        <v>425</v>
      </c>
      <c r="AB56" s="9"/>
      <c r="AC56" s="30">
        <v>90</v>
      </c>
      <c r="AD56" s="9"/>
      <c r="AE56" s="30">
        <v>247</v>
      </c>
      <c r="AF56" s="9"/>
      <c r="AG56" s="30">
        <v>11</v>
      </c>
      <c r="AH56" s="9"/>
      <c r="AI56" s="32">
        <v>2447</v>
      </c>
      <c r="AJ56" s="12"/>
      <c r="AK56" s="22">
        <v>77542573</v>
      </c>
      <c r="AM56" s="22">
        <v>25132744</v>
      </c>
      <c r="AO56" s="22">
        <v>3492173</v>
      </c>
      <c r="AQ56" s="22">
        <v>16071154</v>
      </c>
      <c r="AS56" s="26">
        <v>122238644</v>
      </c>
      <c r="AU56" s="23">
        <v>21.5716</v>
      </c>
      <c r="AW56" s="23">
        <v>31.0471</v>
      </c>
      <c r="AY56" s="23">
        <v>0.97150000000000003</v>
      </c>
      <c r="BA56" s="23">
        <v>38.929200000000002</v>
      </c>
      <c r="BC56" s="24">
        <v>24.5106</v>
      </c>
      <c r="BE56" s="1" t="str">
        <f t="shared" si="0"/>
        <v>No</v>
      </c>
    </row>
    <row r="57" spans="1:57" ht="11.25" customHeight="1">
      <c r="A57" s="7" t="s">
        <v>344</v>
      </c>
      <c r="B57" s="7" t="s">
        <v>345</v>
      </c>
      <c r="C57" s="37" t="s">
        <v>84</v>
      </c>
      <c r="D57" s="296">
        <v>6056</v>
      </c>
      <c r="E57" s="297">
        <v>60056</v>
      </c>
      <c r="F57" s="27" t="s">
        <v>165</v>
      </c>
      <c r="G57" s="73" t="s">
        <v>158</v>
      </c>
      <c r="H57" s="35">
        <v>5121892</v>
      </c>
      <c r="I57" s="35">
        <v>1069</v>
      </c>
      <c r="J57" s="37" t="s">
        <v>21</v>
      </c>
      <c r="K57" s="37" t="s">
        <v>159</v>
      </c>
      <c r="L57" s="8">
        <v>104</v>
      </c>
      <c r="M57" s="8">
        <v>1096708</v>
      </c>
      <c r="N57" s="9"/>
      <c r="O57" s="8">
        <v>405919</v>
      </c>
      <c r="P57" s="9"/>
      <c r="Q57" s="8">
        <v>588901</v>
      </c>
      <c r="R57" s="9"/>
      <c r="S57" s="8">
        <v>290040</v>
      </c>
      <c r="T57" s="9"/>
      <c r="U57" s="8">
        <v>52701</v>
      </c>
      <c r="V57" s="9"/>
      <c r="W57" s="33">
        <v>2434269</v>
      </c>
      <c r="X57" s="9"/>
      <c r="Y57" s="30">
        <v>632</v>
      </c>
      <c r="Z57" s="9"/>
      <c r="AA57" s="30">
        <v>213</v>
      </c>
      <c r="AB57" s="9"/>
      <c r="AC57" s="30">
        <v>320</v>
      </c>
      <c r="AD57" s="9"/>
      <c r="AE57" s="30">
        <v>166</v>
      </c>
      <c r="AF57" s="9"/>
      <c r="AG57" s="30">
        <v>30</v>
      </c>
      <c r="AH57" s="9"/>
      <c r="AI57" s="32">
        <v>1361</v>
      </c>
      <c r="AJ57" s="12"/>
      <c r="AK57" s="22">
        <v>36225000</v>
      </c>
      <c r="AM57" s="22">
        <v>15106422</v>
      </c>
      <c r="AO57" s="22">
        <v>18606825</v>
      </c>
      <c r="AQ57" s="22">
        <v>14299077</v>
      </c>
      <c r="AS57" s="26">
        <v>84237324</v>
      </c>
      <c r="AU57" s="23">
        <v>33.030700000000003</v>
      </c>
      <c r="AW57" s="23">
        <v>37.215400000000002</v>
      </c>
      <c r="AY57" s="23">
        <v>16.966100000000001</v>
      </c>
      <c r="BA57" s="23">
        <v>49.300400000000003</v>
      </c>
      <c r="BC57" s="24">
        <v>34.604799999999997</v>
      </c>
      <c r="BE57" s="1" t="str">
        <f t="shared" si="0"/>
        <v>No</v>
      </c>
    </row>
    <row r="58" spans="1:57" ht="11.25" customHeight="1">
      <c r="A58" s="7" t="s">
        <v>344</v>
      </c>
      <c r="B58" s="7" t="s">
        <v>345</v>
      </c>
      <c r="C58" s="37" t="s">
        <v>84</v>
      </c>
      <c r="D58" s="296">
        <v>6056</v>
      </c>
      <c r="E58" s="297">
        <v>60056</v>
      </c>
      <c r="F58" s="27" t="s">
        <v>165</v>
      </c>
      <c r="G58" s="73" t="s">
        <v>158</v>
      </c>
      <c r="H58" s="35">
        <v>5121892</v>
      </c>
      <c r="I58" s="35">
        <v>1069</v>
      </c>
      <c r="J58" s="37" t="s">
        <v>12</v>
      </c>
      <c r="K58" s="37" t="s">
        <v>159</v>
      </c>
      <c r="L58" s="8">
        <v>2</v>
      </c>
      <c r="M58" s="8">
        <v>9599</v>
      </c>
      <c r="N58" s="9"/>
      <c r="O58" s="8">
        <v>0</v>
      </c>
      <c r="P58" s="9"/>
      <c r="Q58" s="8">
        <v>0</v>
      </c>
      <c r="R58" s="9"/>
      <c r="S58" s="8">
        <v>533</v>
      </c>
      <c r="T58" s="9"/>
      <c r="U58" s="8">
        <v>0</v>
      </c>
      <c r="V58" s="9"/>
      <c r="W58" s="33">
        <v>10132</v>
      </c>
      <c r="X58" s="9"/>
      <c r="Y58" s="30">
        <v>32</v>
      </c>
      <c r="Z58" s="9"/>
      <c r="AA58" s="30">
        <v>0</v>
      </c>
      <c r="AB58" s="9"/>
      <c r="AC58" s="30">
        <v>0</v>
      </c>
      <c r="AD58" s="9"/>
      <c r="AE58" s="30">
        <v>1</v>
      </c>
      <c r="AF58" s="9"/>
      <c r="AG58" s="30">
        <v>0</v>
      </c>
      <c r="AH58" s="9"/>
      <c r="AI58" s="32">
        <v>33</v>
      </c>
      <c r="AJ58" s="12"/>
      <c r="AK58" s="22">
        <v>352749</v>
      </c>
      <c r="AM58" s="22">
        <v>0</v>
      </c>
      <c r="AO58" s="22">
        <v>0</v>
      </c>
      <c r="AQ58" s="22">
        <v>19268</v>
      </c>
      <c r="AS58" s="26">
        <v>372017</v>
      </c>
      <c r="AU58" s="23">
        <v>36.7485</v>
      </c>
      <c r="AY58" s="23">
        <v>0</v>
      </c>
      <c r="BA58" s="23">
        <v>36.150100000000002</v>
      </c>
      <c r="BC58" s="24">
        <v>36.716999999999999</v>
      </c>
      <c r="BE58" s="1" t="str">
        <f t="shared" si="0"/>
        <v>No</v>
      </c>
    </row>
    <row r="59" spans="1:57" ht="11.25" customHeight="1">
      <c r="A59" s="7" t="s">
        <v>522</v>
      </c>
      <c r="B59" s="7" t="s">
        <v>280</v>
      </c>
      <c r="C59" s="37" t="s">
        <v>40</v>
      </c>
      <c r="D59" s="296">
        <v>5118</v>
      </c>
      <c r="E59" s="297">
        <v>50118</v>
      </c>
      <c r="F59" s="27" t="s">
        <v>165</v>
      </c>
      <c r="G59" s="73" t="s">
        <v>158</v>
      </c>
      <c r="H59" s="35">
        <v>8608208</v>
      </c>
      <c r="I59" s="35">
        <v>1061</v>
      </c>
      <c r="J59" s="37" t="s">
        <v>41</v>
      </c>
      <c r="K59" s="37" t="s">
        <v>159</v>
      </c>
      <c r="L59" s="8">
        <v>1061</v>
      </c>
      <c r="M59" s="8">
        <v>3582260</v>
      </c>
      <c r="N59" s="9"/>
      <c r="O59" s="8">
        <v>2353720</v>
      </c>
      <c r="P59" s="9"/>
      <c r="Q59" s="8">
        <v>1768162</v>
      </c>
      <c r="R59" s="9"/>
      <c r="S59" s="8">
        <v>780435</v>
      </c>
      <c r="T59" s="9"/>
      <c r="U59" s="8">
        <v>951600</v>
      </c>
      <c r="V59" s="9"/>
      <c r="W59" s="33">
        <v>9436177</v>
      </c>
      <c r="X59" s="9"/>
      <c r="Y59" s="30">
        <v>1714</v>
      </c>
      <c r="Z59" s="9"/>
      <c r="AA59" s="30">
        <v>1304</v>
      </c>
      <c r="AB59" s="9"/>
      <c r="AC59" s="30">
        <v>898</v>
      </c>
      <c r="AD59" s="9"/>
      <c r="AE59" s="30">
        <v>423</v>
      </c>
      <c r="AF59" s="9"/>
      <c r="AG59" s="30">
        <v>488</v>
      </c>
      <c r="AH59" s="9"/>
      <c r="AI59" s="32">
        <v>4827</v>
      </c>
      <c r="AJ59" s="12"/>
      <c r="AK59" s="22">
        <v>128925179</v>
      </c>
      <c r="AM59" s="22">
        <v>75280971</v>
      </c>
      <c r="AO59" s="22">
        <v>56577110</v>
      </c>
      <c r="AQ59" s="22">
        <v>28857093</v>
      </c>
      <c r="AS59" s="26">
        <v>289640353</v>
      </c>
      <c r="AU59" s="23">
        <v>35.989899999999999</v>
      </c>
      <c r="AW59" s="23">
        <v>31.983799999999999</v>
      </c>
      <c r="AY59" s="23">
        <v>15.793699999999999</v>
      </c>
      <c r="BA59" s="23">
        <v>36.975700000000003</v>
      </c>
      <c r="BC59" s="24">
        <v>30.694700000000001</v>
      </c>
      <c r="BE59" s="1" t="str">
        <f t="shared" si="0"/>
        <v>No</v>
      </c>
    </row>
    <row r="60" spans="1:57" ht="11.25" customHeight="1">
      <c r="A60" s="7" t="s">
        <v>452</v>
      </c>
      <c r="B60" s="7" t="s">
        <v>453</v>
      </c>
      <c r="C60" s="37" t="s">
        <v>70</v>
      </c>
      <c r="D60" s="296">
        <v>2100</v>
      </c>
      <c r="E60" s="297">
        <v>20100</v>
      </c>
      <c r="F60" s="27" t="s">
        <v>240</v>
      </c>
      <c r="G60" s="73" t="s">
        <v>158</v>
      </c>
      <c r="H60" s="35">
        <v>18351295</v>
      </c>
      <c r="I60" s="35">
        <v>1020</v>
      </c>
      <c r="J60" s="37" t="s">
        <v>41</v>
      </c>
      <c r="K60" s="37" t="s">
        <v>159</v>
      </c>
      <c r="L60" s="8">
        <v>1020</v>
      </c>
      <c r="M60" s="8">
        <v>4693521</v>
      </c>
      <c r="N60" s="9"/>
      <c r="O60" s="8">
        <v>4432342</v>
      </c>
      <c r="P60" s="9"/>
      <c r="Q60" s="8">
        <v>2893860</v>
      </c>
      <c r="R60" s="9"/>
      <c r="S60" s="8">
        <v>857786</v>
      </c>
      <c r="T60" s="9"/>
      <c r="U60" s="8">
        <v>2444976</v>
      </c>
      <c r="V60" s="9"/>
      <c r="W60" s="33">
        <v>15322485</v>
      </c>
      <c r="X60" s="9"/>
      <c r="Y60" s="30">
        <v>2179</v>
      </c>
      <c r="Z60" s="9"/>
      <c r="AA60" s="30">
        <v>2054</v>
      </c>
      <c r="AB60" s="9"/>
      <c r="AC60" s="30">
        <v>1483</v>
      </c>
      <c r="AD60" s="9"/>
      <c r="AE60" s="30">
        <v>454</v>
      </c>
      <c r="AF60" s="9"/>
      <c r="AG60" s="30">
        <v>944</v>
      </c>
      <c r="AH60" s="9"/>
      <c r="AI60" s="32">
        <v>7114</v>
      </c>
      <c r="AJ60" s="12"/>
      <c r="AK60" s="22">
        <v>181678875</v>
      </c>
      <c r="AM60" s="22">
        <v>181076500</v>
      </c>
      <c r="AO60" s="22">
        <v>110896298</v>
      </c>
      <c r="AQ60" s="22">
        <v>36815849</v>
      </c>
      <c r="AS60" s="26">
        <v>510467522</v>
      </c>
      <c r="AU60" s="23">
        <v>38.708399999999997</v>
      </c>
      <c r="AW60" s="23">
        <v>40.853499999999997</v>
      </c>
      <c r="AY60" s="23">
        <v>23.627500000000001</v>
      </c>
      <c r="BA60" s="23">
        <v>42.919600000000003</v>
      </c>
      <c r="BC60" s="24">
        <v>33.314900000000002</v>
      </c>
      <c r="BE60" s="1" t="str">
        <f t="shared" si="0"/>
        <v>No</v>
      </c>
    </row>
    <row r="61" spans="1:57" ht="11.25" customHeight="1">
      <c r="A61" s="7" t="s">
        <v>480</v>
      </c>
      <c r="B61" s="7" t="s">
        <v>481</v>
      </c>
      <c r="C61" s="37" t="s">
        <v>36</v>
      </c>
      <c r="D61" s="296">
        <v>4022</v>
      </c>
      <c r="E61" s="297">
        <v>40022</v>
      </c>
      <c r="F61" s="27" t="s">
        <v>165</v>
      </c>
      <c r="G61" s="73" t="s">
        <v>158</v>
      </c>
      <c r="H61" s="35">
        <v>4515419</v>
      </c>
      <c r="I61" s="35">
        <v>1011</v>
      </c>
      <c r="J61" s="37" t="s">
        <v>7</v>
      </c>
      <c r="K61" s="37" t="s">
        <v>159</v>
      </c>
      <c r="L61" s="8">
        <v>465</v>
      </c>
      <c r="M61" s="8">
        <v>3016778</v>
      </c>
      <c r="N61" s="9"/>
      <c r="O61" s="8">
        <v>711449</v>
      </c>
      <c r="P61" s="9"/>
      <c r="Q61" s="8">
        <v>211795</v>
      </c>
      <c r="R61" s="9"/>
      <c r="S61" s="8">
        <v>679422</v>
      </c>
      <c r="T61" s="9"/>
      <c r="U61" s="8">
        <v>128</v>
      </c>
      <c r="V61" s="9"/>
      <c r="W61" s="33">
        <v>4619572</v>
      </c>
      <c r="X61" s="9"/>
      <c r="Y61" s="30">
        <v>1685.35</v>
      </c>
      <c r="Z61" s="9"/>
      <c r="AA61" s="30">
        <v>327</v>
      </c>
      <c r="AB61" s="9"/>
      <c r="AC61" s="30">
        <v>109.49</v>
      </c>
      <c r="AD61" s="9"/>
      <c r="AE61" s="30">
        <v>311.13</v>
      </c>
      <c r="AF61" s="9"/>
      <c r="AG61" s="30">
        <v>0.08</v>
      </c>
      <c r="AH61" s="9"/>
      <c r="AI61" s="32">
        <v>2433.0500000000002</v>
      </c>
      <c r="AJ61" s="12"/>
      <c r="AK61" s="22">
        <v>62099204</v>
      </c>
      <c r="AM61" s="22">
        <v>15310279</v>
      </c>
      <c r="AO61" s="22">
        <v>5489272</v>
      </c>
      <c r="AQ61" s="22">
        <v>21378185</v>
      </c>
      <c r="AS61" s="26">
        <v>104276940</v>
      </c>
      <c r="AU61" s="23">
        <v>20.584599999999998</v>
      </c>
      <c r="AW61" s="23">
        <v>21.5199</v>
      </c>
      <c r="AY61" s="23">
        <v>1.8196000000000001</v>
      </c>
      <c r="BA61" s="23">
        <v>31.465299999999999</v>
      </c>
      <c r="BC61" s="24">
        <v>22.572900000000001</v>
      </c>
      <c r="BE61" s="1" t="str">
        <f t="shared" si="0"/>
        <v>No</v>
      </c>
    </row>
    <row r="62" spans="1:57" ht="11.25" customHeight="1">
      <c r="A62" s="7" t="s">
        <v>480</v>
      </c>
      <c r="B62" s="7" t="s">
        <v>481</v>
      </c>
      <c r="C62" s="37" t="s">
        <v>36</v>
      </c>
      <c r="D62" s="296">
        <v>4022</v>
      </c>
      <c r="E62" s="297">
        <v>40022</v>
      </c>
      <c r="F62" s="27" t="s">
        <v>165</v>
      </c>
      <c r="G62" s="73" t="s">
        <v>158</v>
      </c>
      <c r="H62" s="35">
        <v>4515419</v>
      </c>
      <c r="I62" s="35">
        <v>1011</v>
      </c>
      <c r="J62" s="37" t="s">
        <v>20</v>
      </c>
      <c r="K62" s="37" t="s">
        <v>159</v>
      </c>
      <c r="L62" s="8">
        <v>208</v>
      </c>
      <c r="M62" s="8">
        <v>1636636</v>
      </c>
      <c r="N62" s="9"/>
      <c r="O62" s="8">
        <v>608719</v>
      </c>
      <c r="P62" s="9"/>
      <c r="Q62" s="8">
        <v>923524</v>
      </c>
      <c r="R62" s="9"/>
      <c r="S62" s="8">
        <v>782093</v>
      </c>
      <c r="T62" s="9"/>
      <c r="U62" s="8">
        <v>35519</v>
      </c>
      <c r="V62" s="9"/>
      <c r="W62" s="33">
        <v>3986491</v>
      </c>
      <c r="X62" s="9"/>
      <c r="Y62" s="30">
        <v>733.46</v>
      </c>
      <c r="Z62" s="9"/>
      <c r="AA62" s="30">
        <v>256</v>
      </c>
      <c r="AB62" s="9"/>
      <c r="AC62" s="30">
        <v>453.3</v>
      </c>
      <c r="AD62" s="9"/>
      <c r="AE62" s="30">
        <v>356.3</v>
      </c>
      <c r="AF62" s="9"/>
      <c r="AG62" s="30">
        <v>16.28</v>
      </c>
      <c r="AH62" s="9"/>
      <c r="AI62" s="32">
        <v>1815.34</v>
      </c>
      <c r="AJ62" s="12"/>
      <c r="AK62" s="22">
        <v>39180824</v>
      </c>
      <c r="AM62" s="22">
        <v>13925910</v>
      </c>
      <c r="AO62" s="22">
        <v>23728449</v>
      </c>
      <c r="AQ62" s="22">
        <v>24481998</v>
      </c>
      <c r="AS62" s="26">
        <v>101317181</v>
      </c>
      <c r="AU62" s="23">
        <v>23.939900000000002</v>
      </c>
      <c r="AW62" s="23">
        <v>22.877400000000002</v>
      </c>
      <c r="AY62" s="23">
        <v>14.4983</v>
      </c>
      <c r="BA62" s="23">
        <v>31.3032</v>
      </c>
      <c r="BC62" s="24">
        <v>25.415099999999999</v>
      </c>
      <c r="BE62" s="1" t="str">
        <f t="shared" si="0"/>
        <v>No</v>
      </c>
    </row>
    <row r="63" spans="1:57" ht="11.25" customHeight="1">
      <c r="A63" s="7" t="s">
        <v>480</v>
      </c>
      <c r="B63" s="7" t="s">
        <v>481</v>
      </c>
      <c r="C63" s="37" t="s">
        <v>36</v>
      </c>
      <c r="D63" s="296">
        <v>4022</v>
      </c>
      <c r="E63" s="297">
        <v>40022</v>
      </c>
      <c r="F63" s="27" t="s">
        <v>165</v>
      </c>
      <c r="G63" s="73" t="s">
        <v>158</v>
      </c>
      <c r="H63" s="35">
        <v>4515419</v>
      </c>
      <c r="I63" s="35">
        <v>1011</v>
      </c>
      <c r="J63" s="37" t="s">
        <v>10</v>
      </c>
      <c r="K63" s="37" t="s">
        <v>159</v>
      </c>
      <c r="L63" s="8">
        <v>169</v>
      </c>
      <c r="M63" s="8">
        <v>589815</v>
      </c>
      <c r="N63" s="9"/>
      <c r="O63" s="8">
        <v>128335</v>
      </c>
      <c r="P63" s="9"/>
      <c r="Q63" s="8">
        <v>6199</v>
      </c>
      <c r="R63" s="9"/>
      <c r="S63" s="8">
        <v>46314</v>
      </c>
      <c r="T63" s="9"/>
      <c r="U63" s="8">
        <v>0</v>
      </c>
      <c r="V63" s="9"/>
      <c r="W63" s="33">
        <v>770663</v>
      </c>
      <c r="X63" s="9"/>
      <c r="Y63" s="30">
        <v>327.18</v>
      </c>
      <c r="Z63" s="9"/>
      <c r="AA63" s="30">
        <v>59</v>
      </c>
      <c r="AB63" s="9"/>
      <c r="AC63" s="30">
        <v>3.2</v>
      </c>
      <c r="AD63" s="9"/>
      <c r="AE63" s="30">
        <v>22.58</v>
      </c>
      <c r="AF63" s="9"/>
      <c r="AG63" s="30">
        <v>0</v>
      </c>
      <c r="AH63" s="9"/>
      <c r="AI63" s="32">
        <v>411.96</v>
      </c>
      <c r="AJ63" s="12"/>
      <c r="AK63" s="22">
        <v>9925331</v>
      </c>
      <c r="AM63" s="22">
        <v>2652016</v>
      </c>
      <c r="AO63" s="22">
        <v>147268</v>
      </c>
      <c r="AQ63" s="22">
        <v>1551181</v>
      </c>
      <c r="AS63" s="26">
        <v>14275796</v>
      </c>
      <c r="AU63" s="23">
        <v>16.8279</v>
      </c>
      <c r="AW63" s="23">
        <v>20.6648</v>
      </c>
      <c r="AY63" s="23">
        <v>0.24970000000000001</v>
      </c>
      <c r="BA63" s="23">
        <v>33.492699999999999</v>
      </c>
      <c r="BC63" s="24">
        <v>18.524000000000001</v>
      </c>
      <c r="BE63" s="1" t="str">
        <f t="shared" si="0"/>
        <v>No</v>
      </c>
    </row>
    <row r="64" spans="1:57" ht="11.25" customHeight="1">
      <c r="A64" s="7" t="s">
        <v>586</v>
      </c>
      <c r="B64" s="7" t="s">
        <v>386</v>
      </c>
      <c r="C64" s="37" t="s">
        <v>17</v>
      </c>
      <c r="D64" s="296">
        <v>9015</v>
      </c>
      <c r="E64" s="297">
        <v>90015</v>
      </c>
      <c r="F64" s="27" t="s">
        <v>162</v>
      </c>
      <c r="G64" s="73" t="s">
        <v>158</v>
      </c>
      <c r="H64" s="35">
        <v>3281212</v>
      </c>
      <c r="I64" s="35">
        <v>985</v>
      </c>
      <c r="J64" s="37" t="s">
        <v>7</v>
      </c>
      <c r="K64" s="37" t="s">
        <v>159</v>
      </c>
      <c r="L64" s="8">
        <v>475</v>
      </c>
      <c r="M64" s="8">
        <v>2763707</v>
      </c>
      <c r="N64" s="9"/>
      <c r="O64" s="8">
        <v>662602</v>
      </c>
      <c r="P64" s="9"/>
      <c r="Q64" s="8">
        <v>40768</v>
      </c>
      <c r="R64" s="9"/>
      <c r="S64" s="8">
        <v>169364</v>
      </c>
      <c r="T64" s="9"/>
      <c r="U64" s="8">
        <v>0</v>
      </c>
      <c r="V64" s="9"/>
      <c r="W64" s="33">
        <v>3636441</v>
      </c>
      <c r="X64" s="9"/>
      <c r="Y64" s="30">
        <v>1454</v>
      </c>
      <c r="Z64" s="9"/>
      <c r="AA64" s="30">
        <v>341</v>
      </c>
      <c r="AB64" s="9"/>
      <c r="AC64" s="30">
        <v>24</v>
      </c>
      <c r="AD64" s="9"/>
      <c r="AE64" s="30">
        <v>109</v>
      </c>
      <c r="AF64" s="9"/>
      <c r="AG64" s="30">
        <v>0</v>
      </c>
      <c r="AH64" s="9"/>
      <c r="AI64" s="32">
        <v>1928</v>
      </c>
      <c r="AJ64" s="12"/>
      <c r="AK64" s="22">
        <v>87008574</v>
      </c>
      <c r="AM64" s="22">
        <v>28559121</v>
      </c>
      <c r="AO64" s="22">
        <v>1781152</v>
      </c>
      <c r="AQ64" s="22">
        <v>5454556</v>
      </c>
      <c r="AS64" s="26">
        <v>122803403</v>
      </c>
      <c r="AU64" s="23">
        <v>31.482600000000001</v>
      </c>
      <c r="AW64" s="23">
        <v>43.101500000000001</v>
      </c>
      <c r="AY64" s="23">
        <v>0.64449999999999996</v>
      </c>
      <c r="BA64" s="23">
        <v>32.206099999999999</v>
      </c>
      <c r="BC64" s="24">
        <v>33.770200000000003</v>
      </c>
      <c r="BE64" s="1" t="str">
        <f t="shared" si="0"/>
        <v>No</v>
      </c>
    </row>
    <row r="65" spans="1:57" ht="11.25" customHeight="1">
      <c r="A65" s="7" t="s">
        <v>586</v>
      </c>
      <c r="B65" s="7" t="s">
        <v>386</v>
      </c>
      <c r="C65" s="37" t="s">
        <v>17</v>
      </c>
      <c r="D65" s="296">
        <v>9015</v>
      </c>
      <c r="E65" s="297">
        <v>90015</v>
      </c>
      <c r="F65" s="27" t="s">
        <v>162</v>
      </c>
      <c r="G65" s="73" t="s">
        <v>158</v>
      </c>
      <c r="H65" s="35">
        <v>3281212</v>
      </c>
      <c r="I65" s="35">
        <v>985</v>
      </c>
      <c r="J65" s="37" t="s">
        <v>25</v>
      </c>
      <c r="K65" s="37" t="s">
        <v>159</v>
      </c>
      <c r="L65" s="8">
        <v>196</v>
      </c>
      <c r="M65" s="8">
        <v>1521384</v>
      </c>
      <c r="N65" s="9"/>
      <c r="O65" s="8">
        <v>278748</v>
      </c>
      <c r="P65" s="9"/>
      <c r="Q65" s="8">
        <v>170176</v>
      </c>
      <c r="R65" s="9"/>
      <c r="S65" s="8">
        <v>80629</v>
      </c>
      <c r="T65" s="9"/>
      <c r="U65" s="8">
        <v>0</v>
      </c>
      <c r="V65" s="9"/>
      <c r="W65" s="33">
        <v>2050937</v>
      </c>
      <c r="X65" s="9"/>
      <c r="Y65" s="30">
        <v>766</v>
      </c>
      <c r="Z65" s="9"/>
      <c r="AA65" s="30">
        <v>145</v>
      </c>
      <c r="AB65" s="9"/>
      <c r="AC65" s="30">
        <v>80</v>
      </c>
      <c r="AD65" s="9"/>
      <c r="AE65" s="30">
        <v>53</v>
      </c>
      <c r="AF65" s="9"/>
      <c r="AG65" s="30">
        <v>0</v>
      </c>
      <c r="AH65" s="9"/>
      <c r="AI65" s="32">
        <v>1044</v>
      </c>
      <c r="AJ65" s="12"/>
      <c r="AK65" s="22">
        <v>47988414</v>
      </c>
      <c r="AM65" s="22">
        <v>12198461</v>
      </c>
      <c r="AO65" s="22">
        <v>8777825</v>
      </c>
      <c r="AQ65" s="22">
        <v>3497530</v>
      </c>
      <c r="AS65" s="26">
        <v>72462230</v>
      </c>
      <c r="AU65" s="23">
        <v>31.5426</v>
      </c>
      <c r="AW65" s="23">
        <v>43.761600000000001</v>
      </c>
      <c r="AY65" s="23">
        <v>5.7695999999999996</v>
      </c>
      <c r="BA65" s="23">
        <v>43.378100000000003</v>
      </c>
      <c r="BC65" s="24">
        <v>35.331299999999999</v>
      </c>
      <c r="BE65" s="1" t="str">
        <f t="shared" si="0"/>
        <v>No</v>
      </c>
    </row>
    <row r="66" spans="1:57" ht="11.25" customHeight="1">
      <c r="A66" s="7" t="s">
        <v>586</v>
      </c>
      <c r="B66" s="7" t="s">
        <v>386</v>
      </c>
      <c r="C66" s="37" t="s">
        <v>17</v>
      </c>
      <c r="D66" s="296">
        <v>9015</v>
      </c>
      <c r="E66" s="297">
        <v>90015</v>
      </c>
      <c r="F66" s="27" t="s">
        <v>162</v>
      </c>
      <c r="G66" s="73" t="s">
        <v>158</v>
      </c>
      <c r="H66" s="35">
        <v>3281212</v>
      </c>
      <c r="I66" s="35">
        <v>985</v>
      </c>
      <c r="J66" s="37" t="s">
        <v>21</v>
      </c>
      <c r="K66" s="37" t="s">
        <v>159</v>
      </c>
      <c r="L66" s="8">
        <v>131</v>
      </c>
      <c r="M66" s="8">
        <v>973737</v>
      </c>
      <c r="N66" s="9"/>
      <c r="O66" s="8">
        <v>555155</v>
      </c>
      <c r="P66" s="9"/>
      <c r="Q66" s="8">
        <v>310922</v>
      </c>
      <c r="R66" s="9"/>
      <c r="S66" s="8">
        <v>136599</v>
      </c>
      <c r="T66" s="9"/>
      <c r="U66" s="8">
        <v>0</v>
      </c>
      <c r="V66" s="9"/>
      <c r="W66" s="33">
        <v>1976413</v>
      </c>
      <c r="X66" s="9"/>
      <c r="Y66" s="30">
        <v>476</v>
      </c>
      <c r="Z66" s="9"/>
      <c r="AA66" s="30">
        <v>274</v>
      </c>
      <c r="AB66" s="9"/>
      <c r="AC66" s="30">
        <v>169</v>
      </c>
      <c r="AD66" s="9"/>
      <c r="AE66" s="30">
        <v>87</v>
      </c>
      <c r="AF66" s="9"/>
      <c r="AG66" s="30">
        <v>0</v>
      </c>
      <c r="AH66" s="9"/>
      <c r="AI66" s="32">
        <v>1006</v>
      </c>
      <c r="AJ66" s="12"/>
      <c r="AK66" s="22">
        <v>35932573</v>
      </c>
      <c r="AM66" s="22">
        <v>26527820</v>
      </c>
      <c r="AO66" s="22">
        <v>15048297</v>
      </c>
      <c r="AQ66" s="22">
        <v>6780122</v>
      </c>
      <c r="AS66" s="26">
        <v>84288812</v>
      </c>
      <c r="AU66" s="23">
        <v>36.901699999999998</v>
      </c>
      <c r="AW66" s="23">
        <v>47.784500000000001</v>
      </c>
      <c r="AY66" s="23">
        <v>15.4542</v>
      </c>
      <c r="BA66" s="23">
        <v>49.635199999999998</v>
      </c>
      <c r="BC66" s="24">
        <v>42.647399999999998</v>
      </c>
      <c r="BE66" s="1" t="str">
        <f t="shared" ref="BE66:BE129" si="1">IF(BD66&amp;BB66&amp;AZ66&amp;AX66&amp;AV66&amp;AT66&amp;AR66&amp;AP66&amp;AN66&amp;AL66&amp;AJ66&amp;AH66&amp;AF66&amp;AD66&amp;AB66&amp;Z66&amp;X66&amp;V66&amp;T66&amp;R66&amp;P66&amp;N66&lt;&gt;"","Yes","No")</f>
        <v>No</v>
      </c>
    </row>
    <row r="67" spans="1:57" ht="11.25" customHeight="1">
      <c r="A67" s="7" t="s">
        <v>586</v>
      </c>
      <c r="B67" s="7" t="s">
        <v>386</v>
      </c>
      <c r="C67" s="37" t="s">
        <v>17</v>
      </c>
      <c r="D67" s="296">
        <v>9015</v>
      </c>
      <c r="E67" s="297">
        <v>90015</v>
      </c>
      <c r="F67" s="27" t="s">
        <v>162</v>
      </c>
      <c r="G67" s="73" t="s">
        <v>158</v>
      </c>
      <c r="H67" s="35">
        <v>3281212</v>
      </c>
      <c r="I67" s="35">
        <v>985</v>
      </c>
      <c r="J67" s="37" t="s">
        <v>24</v>
      </c>
      <c r="K67" s="37" t="s">
        <v>159</v>
      </c>
      <c r="L67" s="8">
        <v>27</v>
      </c>
      <c r="M67" s="8">
        <v>502251</v>
      </c>
      <c r="N67" s="9"/>
      <c r="O67" s="8">
        <v>103821</v>
      </c>
      <c r="P67" s="9"/>
      <c r="Q67" s="8">
        <v>138325</v>
      </c>
      <c r="R67" s="9"/>
      <c r="S67" s="8">
        <v>69762</v>
      </c>
      <c r="T67" s="9"/>
      <c r="U67" s="8">
        <v>0</v>
      </c>
      <c r="V67" s="9"/>
      <c r="W67" s="33">
        <v>814159</v>
      </c>
      <c r="X67" s="9"/>
      <c r="Y67" s="30">
        <v>225</v>
      </c>
      <c r="Z67" s="9"/>
      <c r="AA67" s="30">
        <v>52</v>
      </c>
      <c r="AB67" s="9"/>
      <c r="AC67" s="30">
        <v>64</v>
      </c>
      <c r="AD67" s="9"/>
      <c r="AE67" s="30">
        <v>44</v>
      </c>
      <c r="AF67" s="9"/>
      <c r="AG67" s="30">
        <v>0</v>
      </c>
      <c r="AH67" s="9"/>
      <c r="AI67" s="32">
        <v>385</v>
      </c>
      <c r="AJ67" s="12"/>
      <c r="AK67" s="22">
        <v>17644124</v>
      </c>
      <c r="AM67" s="22">
        <v>4420241</v>
      </c>
      <c r="AO67" s="22">
        <v>5170272</v>
      </c>
      <c r="AQ67" s="22">
        <v>2968052</v>
      </c>
      <c r="AS67" s="26">
        <v>30202689</v>
      </c>
      <c r="AU67" s="23">
        <v>35.130099999999999</v>
      </c>
      <c r="AW67" s="23">
        <v>42.575600000000001</v>
      </c>
      <c r="AY67" s="23">
        <v>10.2942</v>
      </c>
      <c r="BA67" s="23">
        <v>42.545400000000001</v>
      </c>
      <c r="BC67" s="24">
        <v>37.096800000000002</v>
      </c>
      <c r="BE67" s="1" t="str">
        <f t="shared" si="1"/>
        <v>No</v>
      </c>
    </row>
    <row r="68" spans="1:57" ht="11.25" customHeight="1">
      <c r="A68" s="7" t="s">
        <v>586</v>
      </c>
      <c r="B68" s="7" t="s">
        <v>386</v>
      </c>
      <c r="C68" s="37" t="s">
        <v>17</v>
      </c>
      <c r="D68" s="296">
        <v>9015</v>
      </c>
      <c r="E68" s="297">
        <v>90015</v>
      </c>
      <c r="F68" s="27" t="s">
        <v>162</v>
      </c>
      <c r="G68" s="73" t="s">
        <v>158</v>
      </c>
      <c r="H68" s="35">
        <v>3281212</v>
      </c>
      <c r="I68" s="35">
        <v>985</v>
      </c>
      <c r="J68" s="37" t="s">
        <v>12</v>
      </c>
      <c r="K68" s="37" t="s">
        <v>159</v>
      </c>
      <c r="L68" s="8">
        <v>24</v>
      </c>
      <c r="M68" s="8">
        <v>106514</v>
      </c>
      <c r="N68" s="9"/>
      <c r="O68" s="8">
        <v>53511</v>
      </c>
      <c r="P68" s="9"/>
      <c r="Q68" s="8">
        <v>43313</v>
      </c>
      <c r="R68" s="9"/>
      <c r="S68" s="8">
        <v>7513</v>
      </c>
      <c r="T68" s="9"/>
      <c r="U68" s="8">
        <v>0</v>
      </c>
      <c r="V68" s="9"/>
      <c r="W68" s="33">
        <v>210851</v>
      </c>
      <c r="X68" s="9"/>
      <c r="Y68" s="30">
        <v>52</v>
      </c>
      <c r="Z68" s="9"/>
      <c r="AA68" s="30">
        <v>30</v>
      </c>
      <c r="AB68" s="9"/>
      <c r="AC68" s="30">
        <v>20</v>
      </c>
      <c r="AD68" s="9"/>
      <c r="AE68" s="30">
        <v>5</v>
      </c>
      <c r="AF68" s="9"/>
      <c r="AG68" s="30">
        <v>0</v>
      </c>
      <c r="AH68" s="9"/>
      <c r="AI68" s="32">
        <v>107</v>
      </c>
      <c r="AJ68" s="12"/>
      <c r="AK68" s="22">
        <v>4203586</v>
      </c>
      <c r="AM68" s="22">
        <v>1527671</v>
      </c>
      <c r="AO68" s="22">
        <v>2100638</v>
      </c>
      <c r="AQ68" s="22">
        <v>266966</v>
      </c>
      <c r="AS68" s="26">
        <v>8098861</v>
      </c>
      <c r="AU68" s="23">
        <v>39.4651</v>
      </c>
      <c r="AW68" s="23">
        <v>28.5487</v>
      </c>
      <c r="AY68" s="23">
        <v>19.721699999999998</v>
      </c>
      <c r="BA68" s="23">
        <v>35.533900000000003</v>
      </c>
      <c r="BC68" s="24">
        <v>38.410400000000003</v>
      </c>
      <c r="BE68" s="1" t="str">
        <f t="shared" si="1"/>
        <v>No</v>
      </c>
    </row>
    <row r="69" spans="1:57" ht="11.25" customHeight="1">
      <c r="A69" s="7" t="s">
        <v>667</v>
      </c>
      <c r="B69" s="7" t="s">
        <v>254</v>
      </c>
      <c r="C69" s="37" t="s">
        <v>76</v>
      </c>
      <c r="D69" s="296">
        <v>8</v>
      </c>
      <c r="E69" s="297">
        <v>8</v>
      </c>
      <c r="F69" s="27" t="s">
        <v>165</v>
      </c>
      <c r="G69" s="73" t="s">
        <v>158</v>
      </c>
      <c r="H69" s="35">
        <v>1849898</v>
      </c>
      <c r="I69" s="35">
        <v>950</v>
      </c>
      <c r="J69" s="37" t="s">
        <v>7</v>
      </c>
      <c r="K69" s="37" t="s">
        <v>159</v>
      </c>
      <c r="L69" s="8">
        <v>534</v>
      </c>
      <c r="M69" s="8">
        <v>2555630</v>
      </c>
      <c r="N69" s="9"/>
      <c r="O69" s="8">
        <v>487308</v>
      </c>
      <c r="P69" s="9"/>
      <c r="Q69" s="8">
        <v>62087</v>
      </c>
      <c r="R69" s="9"/>
      <c r="S69" s="8">
        <v>334313</v>
      </c>
      <c r="T69" s="9"/>
      <c r="U69" s="8">
        <v>15047</v>
      </c>
      <c r="V69" s="9"/>
      <c r="W69" s="33">
        <v>3454385</v>
      </c>
      <c r="X69" s="9"/>
      <c r="Y69" s="30">
        <v>1403.5</v>
      </c>
      <c r="Z69" s="9"/>
      <c r="AA69" s="30">
        <v>263</v>
      </c>
      <c r="AB69" s="9"/>
      <c r="AC69" s="30">
        <v>35</v>
      </c>
      <c r="AD69" s="9"/>
      <c r="AE69" s="30">
        <v>173.5</v>
      </c>
      <c r="AF69" s="9"/>
      <c r="AG69" s="30">
        <v>8.5</v>
      </c>
      <c r="AH69" s="9"/>
      <c r="AI69" s="32">
        <v>1883.5</v>
      </c>
      <c r="AJ69" s="12"/>
      <c r="AK69" s="22">
        <v>72159843</v>
      </c>
      <c r="AM69" s="22">
        <v>14218229</v>
      </c>
      <c r="AO69" s="22">
        <v>2192316</v>
      </c>
      <c r="AQ69" s="22">
        <v>12284165</v>
      </c>
      <c r="AS69" s="26">
        <v>100854553</v>
      </c>
      <c r="AU69" s="23">
        <v>28.235600000000002</v>
      </c>
      <c r="AW69" s="23">
        <v>29.177099999999999</v>
      </c>
      <c r="AY69" s="23">
        <v>0.85780000000000001</v>
      </c>
      <c r="BA69" s="23">
        <v>36.744500000000002</v>
      </c>
      <c r="BC69" s="24">
        <v>29.196100000000001</v>
      </c>
      <c r="BE69" s="1" t="str">
        <f t="shared" si="1"/>
        <v>No</v>
      </c>
    </row>
    <row r="70" spans="1:57" ht="11.25" customHeight="1">
      <c r="A70" s="7" t="s">
        <v>667</v>
      </c>
      <c r="B70" s="7" t="s">
        <v>254</v>
      </c>
      <c r="C70" s="37" t="s">
        <v>76</v>
      </c>
      <c r="D70" s="296">
        <v>8</v>
      </c>
      <c r="E70" s="297">
        <v>8</v>
      </c>
      <c r="F70" s="27" t="s">
        <v>165</v>
      </c>
      <c r="G70" s="73" t="s">
        <v>158</v>
      </c>
      <c r="H70" s="35">
        <v>1849898</v>
      </c>
      <c r="I70" s="35">
        <v>950</v>
      </c>
      <c r="J70" s="37" t="s">
        <v>21</v>
      </c>
      <c r="K70" s="37" t="s">
        <v>159</v>
      </c>
      <c r="L70" s="8">
        <v>116</v>
      </c>
      <c r="M70" s="8">
        <v>534252</v>
      </c>
      <c r="N70" s="9"/>
      <c r="O70" s="8">
        <v>420471</v>
      </c>
      <c r="P70" s="9"/>
      <c r="Q70" s="8">
        <v>296462</v>
      </c>
      <c r="R70" s="9"/>
      <c r="S70" s="8">
        <v>152913</v>
      </c>
      <c r="T70" s="9"/>
      <c r="U70" s="8">
        <v>153348</v>
      </c>
      <c r="V70" s="9"/>
      <c r="W70" s="33">
        <v>1557446</v>
      </c>
      <c r="X70" s="9"/>
      <c r="Y70" s="30">
        <v>273</v>
      </c>
      <c r="Z70" s="9"/>
      <c r="AA70" s="30">
        <v>214</v>
      </c>
      <c r="AB70" s="9"/>
      <c r="AC70" s="30">
        <v>163</v>
      </c>
      <c r="AD70" s="9"/>
      <c r="AE70" s="30">
        <v>83.5</v>
      </c>
      <c r="AF70" s="9"/>
      <c r="AG70" s="30">
        <v>87.5</v>
      </c>
      <c r="AH70" s="9"/>
      <c r="AI70" s="32">
        <v>821</v>
      </c>
      <c r="AJ70" s="12"/>
      <c r="AK70" s="22">
        <v>17818643</v>
      </c>
      <c r="AM70" s="22">
        <v>12835853</v>
      </c>
      <c r="AO70" s="22">
        <v>9833913</v>
      </c>
      <c r="AQ70" s="22">
        <v>5873341</v>
      </c>
      <c r="AS70" s="26">
        <v>46361750</v>
      </c>
      <c r="AU70" s="23">
        <v>33.352499999999999</v>
      </c>
      <c r="AW70" s="23">
        <v>30.5273</v>
      </c>
      <c r="AY70" s="23">
        <v>18.4069</v>
      </c>
      <c r="BA70" s="23">
        <v>38.409700000000001</v>
      </c>
      <c r="BC70" s="24">
        <v>29.767800000000001</v>
      </c>
      <c r="BE70" s="1" t="str">
        <f t="shared" si="1"/>
        <v>No</v>
      </c>
    </row>
    <row r="71" spans="1:57" ht="11.25" customHeight="1">
      <c r="A71" s="7" t="s">
        <v>554</v>
      </c>
      <c r="B71" s="7" t="s">
        <v>555</v>
      </c>
      <c r="C71" s="37" t="s">
        <v>77</v>
      </c>
      <c r="D71" s="296">
        <v>3022</v>
      </c>
      <c r="E71" s="297">
        <v>30022</v>
      </c>
      <c r="F71" s="27" t="s">
        <v>165</v>
      </c>
      <c r="G71" s="73" t="s">
        <v>158</v>
      </c>
      <c r="H71" s="35">
        <v>1733853</v>
      </c>
      <c r="I71" s="35">
        <v>939</v>
      </c>
      <c r="J71" s="37" t="s">
        <v>7</v>
      </c>
      <c r="K71" s="37" t="s">
        <v>159</v>
      </c>
      <c r="L71" s="8">
        <v>606</v>
      </c>
      <c r="M71" s="8">
        <v>2669537</v>
      </c>
      <c r="N71" s="9"/>
      <c r="O71" s="8">
        <v>1005302</v>
      </c>
      <c r="P71" s="9"/>
      <c r="Q71" s="8">
        <v>224121</v>
      </c>
      <c r="R71" s="9"/>
      <c r="S71" s="8">
        <v>433957</v>
      </c>
      <c r="T71" s="9"/>
      <c r="U71" s="8">
        <v>41230</v>
      </c>
      <c r="V71" s="9"/>
      <c r="W71" s="33">
        <v>4374147</v>
      </c>
      <c r="X71" s="9"/>
      <c r="Y71" s="30">
        <v>1304.7</v>
      </c>
      <c r="Z71" s="9"/>
      <c r="AA71" s="30">
        <v>467.5</v>
      </c>
      <c r="AB71" s="9"/>
      <c r="AC71" s="30">
        <v>104.2</v>
      </c>
      <c r="AD71" s="9"/>
      <c r="AE71" s="30">
        <v>199.7</v>
      </c>
      <c r="AF71" s="9"/>
      <c r="AG71" s="30">
        <v>21.6</v>
      </c>
      <c r="AH71" s="9"/>
      <c r="AI71" s="32">
        <v>2097.6999999999998</v>
      </c>
      <c r="AJ71" s="12"/>
      <c r="AK71" s="22">
        <v>71329082</v>
      </c>
      <c r="AM71" s="22">
        <v>29876322</v>
      </c>
      <c r="AO71" s="22">
        <v>6694329</v>
      </c>
      <c r="AQ71" s="22">
        <v>14950260</v>
      </c>
      <c r="AS71" s="26">
        <v>122849993</v>
      </c>
      <c r="AU71" s="23">
        <v>26.7196</v>
      </c>
      <c r="AW71" s="23">
        <v>29.718800000000002</v>
      </c>
      <c r="AY71" s="23">
        <v>2.5076999999999998</v>
      </c>
      <c r="BA71" s="23">
        <v>34.451000000000001</v>
      </c>
      <c r="BC71" s="24">
        <v>28.0855</v>
      </c>
      <c r="BE71" s="1" t="str">
        <f t="shared" si="1"/>
        <v>No</v>
      </c>
    </row>
    <row r="72" spans="1:57" ht="11.25" customHeight="1">
      <c r="A72" s="7" t="s">
        <v>554</v>
      </c>
      <c r="B72" s="7" t="s">
        <v>555</v>
      </c>
      <c r="C72" s="37" t="s">
        <v>77</v>
      </c>
      <c r="D72" s="296">
        <v>3022</v>
      </c>
      <c r="E72" s="297">
        <v>30022</v>
      </c>
      <c r="F72" s="27" t="s">
        <v>165</v>
      </c>
      <c r="G72" s="73" t="s">
        <v>158</v>
      </c>
      <c r="H72" s="35">
        <v>1733853</v>
      </c>
      <c r="I72" s="35">
        <v>939</v>
      </c>
      <c r="J72" s="37" t="s">
        <v>21</v>
      </c>
      <c r="K72" s="37" t="s">
        <v>159</v>
      </c>
      <c r="L72" s="8">
        <v>60</v>
      </c>
      <c r="M72" s="8">
        <v>293849</v>
      </c>
      <c r="N72" s="9"/>
      <c r="O72" s="8">
        <v>245642</v>
      </c>
      <c r="P72" s="9"/>
      <c r="Q72" s="8">
        <v>295454</v>
      </c>
      <c r="R72" s="9"/>
      <c r="S72" s="8">
        <v>36989</v>
      </c>
      <c r="T72" s="9"/>
      <c r="U72" s="8">
        <v>6595</v>
      </c>
      <c r="V72" s="9"/>
      <c r="W72" s="33">
        <v>878529</v>
      </c>
      <c r="X72" s="9"/>
      <c r="Y72" s="30">
        <v>143.6</v>
      </c>
      <c r="Z72" s="9"/>
      <c r="AA72" s="30">
        <v>114.2</v>
      </c>
      <c r="AB72" s="9"/>
      <c r="AC72" s="30">
        <v>137.4</v>
      </c>
      <c r="AD72" s="9"/>
      <c r="AE72" s="30">
        <v>16.899999999999999</v>
      </c>
      <c r="AF72" s="9"/>
      <c r="AG72" s="30">
        <v>3.4</v>
      </c>
      <c r="AH72" s="9"/>
      <c r="AI72" s="32">
        <v>415.5</v>
      </c>
      <c r="AJ72" s="12"/>
      <c r="AK72" s="22">
        <v>8453028</v>
      </c>
      <c r="AM72" s="22">
        <v>7439510</v>
      </c>
      <c r="AO72" s="22">
        <v>8965782</v>
      </c>
      <c r="AQ72" s="22">
        <v>1374689</v>
      </c>
      <c r="AS72" s="26">
        <v>26233009</v>
      </c>
      <c r="AU72" s="23">
        <v>28.7666</v>
      </c>
      <c r="AW72" s="23">
        <v>30.286000000000001</v>
      </c>
      <c r="AY72" s="23">
        <v>30.511500000000002</v>
      </c>
      <c r="BA72" s="23">
        <v>37.1648</v>
      </c>
      <c r="BC72" s="24">
        <v>29.860199999999999</v>
      </c>
      <c r="BE72" s="1" t="str">
        <f t="shared" si="1"/>
        <v>No</v>
      </c>
    </row>
    <row r="73" spans="1:57" ht="11.25" customHeight="1">
      <c r="A73" s="7" t="s">
        <v>554</v>
      </c>
      <c r="B73" s="7" t="s">
        <v>555</v>
      </c>
      <c r="C73" s="37" t="s">
        <v>77</v>
      </c>
      <c r="D73" s="296">
        <v>3022</v>
      </c>
      <c r="E73" s="297">
        <v>30022</v>
      </c>
      <c r="F73" s="27" t="s">
        <v>165</v>
      </c>
      <c r="G73" s="73" t="s">
        <v>158</v>
      </c>
      <c r="H73" s="35">
        <v>1733853</v>
      </c>
      <c r="I73" s="35">
        <v>939</v>
      </c>
      <c r="J73" s="37" t="s">
        <v>78</v>
      </c>
      <c r="K73" s="37" t="s">
        <v>159</v>
      </c>
      <c r="L73" s="8">
        <v>2</v>
      </c>
      <c r="M73" s="8">
        <v>6839</v>
      </c>
      <c r="N73" s="9"/>
      <c r="O73" s="8">
        <v>16</v>
      </c>
      <c r="P73" s="9"/>
      <c r="Q73" s="8">
        <v>8914</v>
      </c>
      <c r="R73" s="9"/>
      <c r="S73" s="8">
        <v>264</v>
      </c>
      <c r="T73" s="9"/>
      <c r="U73" s="8">
        <v>0</v>
      </c>
      <c r="V73" s="9"/>
      <c r="W73" s="33">
        <v>16033</v>
      </c>
      <c r="X73" s="9"/>
      <c r="Y73" s="30">
        <v>3.3</v>
      </c>
      <c r="Z73" s="9"/>
      <c r="AA73" s="30">
        <v>0.1</v>
      </c>
      <c r="AB73" s="9"/>
      <c r="AC73" s="30">
        <v>4.0999999999999996</v>
      </c>
      <c r="AD73" s="9"/>
      <c r="AE73" s="30">
        <v>0.1</v>
      </c>
      <c r="AF73" s="9"/>
      <c r="AG73" s="30">
        <v>0</v>
      </c>
      <c r="AH73" s="9"/>
      <c r="AI73" s="32">
        <v>7.6</v>
      </c>
      <c r="AJ73" s="12"/>
      <c r="AK73" s="22">
        <v>178045</v>
      </c>
      <c r="AM73" s="22">
        <v>471</v>
      </c>
      <c r="AO73" s="22">
        <v>263510</v>
      </c>
      <c r="AQ73" s="22">
        <v>8298</v>
      </c>
      <c r="AS73" s="26">
        <v>450324</v>
      </c>
      <c r="AU73" s="23">
        <v>26.033799999999999</v>
      </c>
      <c r="AW73" s="23">
        <v>29.4375</v>
      </c>
      <c r="AY73" s="23">
        <v>38.530500000000004</v>
      </c>
      <c r="BA73" s="23">
        <v>31.431799999999999</v>
      </c>
      <c r="BC73" s="24">
        <v>28.087299999999999</v>
      </c>
      <c r="BE73" s="1" t="str">
        <f t="shared" si="1"/>
        <v>No</v>
      </c>
    </row>
    <row r="74" spans="1:57" ht="11.25" customHeight="1">
      <c r="A74" s="7" t="s">
        <v>1119</v>
      </c>
      <c r="B74" s="7" t="s">
        <v>477</v>
      </c>
      <c r="C74" s="37" t="s">
        <v>54</v>
      </c>
      <c r="D74" s="296">
        <v>5027</v>
      </c>
      <c r="E74" s="297">
        <v>50027</v>
      </c>
      <c r="F74" s="27" t="s">
        <v>240</v>
      </c>
      <c r="G74" s="73" t="s">
        <v>158</v>
      </c>
      <c r="H74" s="35">
        <v>2650890</v>
      </c>
      <c r="I74" s="35">
        <v>843</v>
      </c>
      <c r="J74" s="37" t="s">
        <v>7</v>
      </c>
      <c r="K74" s="37" t="s">
        <v>159</v>
      </c>
      <c r="L74" s="8">
        <v>754</v>
      </c>
      <c r="M74" s="8">
        <v>4111998</v>
      </c>
      <c r="N74" s="9"/>
      <c r="O74" s="8">
        <v>819708</v>
      </c>
      <c r="P74" s="9"/>
      <c r="Q74" s="8">
        <v>248935</v>
      </c>
      <c r="R74" s="9"/>
      <c r="S74" s="8">
        <v>425114</v>
      </c>
      <c r="T74" s="9"/>
      <c r="U74" s="8">
        <v>62028</v>
      </c>
      <c r="V74" s="9"/>
      <c r="W74" s="33">
        <v>5667783</v>
      </c>
      <c r="X74" s="9"/>
      <c r="Y74" s="30">
        <v>2120</v>
      </c>
      <c r="Z74" s="9"/>
      <c r="AA74" s="30">
        <v>405.3</v>
      </c>
      <c r="AB74" s="9"/>
      <c r="AC74" s="30">
        <v>123.1</v>
      </c>
      <c r="AD74" s="9"/>
      <c r="AE74" s="30">
        <v>211</v>
      </c>
      <c r="AF74" s="9"/>
      <c r="AG74" s="30">
        <v>31.9</v>
      </c>
      <c r="AH74" s="9"/>
      <c r="AI74" s="32">
        <v>2891.3</v>
      </c>
      <c r="AJ74" s="12"/>
      <c r="AK74" s="22">
        <v>97662855</v>
      </c>
      <c r="AM74" s="22">
        <v>23722479</v>
      </c>
      <c r="AO74" s="22">
        <v>7206679</v>
      </c>
      <c r="AQ74" s="22">
        <v>13998082</v>
      </c>
      <c r="AS74" s="26">
        <v>142590095</v>
      </c>
      <c r="AU74" s="23">
        <v>23.750699999999998</v>
      </c>
      <c r="AW74" s="23">
        <v>28.940200000000001</v>
      </c>
      <c r="AY74" s="23">
        <v>1.7525999999999999</v>
      </c>
      <c r="BA74" s="23">
        <v>32.927799999999998</v>
      </c>
      <c r="BC74" s="24">
        <v>25.158000000000001</v>
      </c>
      <c r="BE74" s="1" t="str">
        <f t="shared" si="1"/>
        <v>No</v>
      </c>
    </row>
    <row r="75" spans="1:57" ht="11.25" customHeight="1">
      <c r="A75" s="7" t="s">
        <v>1119</v>
      </c>
      <c r="B75" s="7" t="s">
        <v>477</v>
      </c>
      <c r="C75" s="37" t="s">
        <v>54</v>
      </c>
      <c r="D75" s="296">
        <v>5027</v>
      </c>
      <c r="E75" s="297">
        <v>50027</v>
      </c>
      <c r="F75" s="27" t="s">
        <v>240</v>
      </c>
      <c r="G75" s="73" t="s">
        <v>158</v>
      </c>
      <c r="H75" s="35">
        <v>2650890</v>
      </c>
      <c r="I75" s="35">
        <v>843</v>
      </c>
      <c r="J75" s="37" t="s">
        <v>21</v>
      </c>
      <c r="K75" s="37" t="s">
        <v>159</v>
      </c>
      <c r="L75" s="8">
        <v>69</v>
      </c>
      <c r="M75" s="8">
        <v>381676</v>
      </c>
      <c r="N75" s="9"/>
      <c r="O75" s="8">
        <v>186460</v>
      </c>
      <c r="P75" s="9"/>
      <c r="Q75" s="8">
        <v>172876</v>
      </c>
      <c r="R75" s="9"/>
      <c r="S75" s="8">
        <v>492700</v>
      </c>
      <c r="T75" s="9"/>
      <c r="U75" s="8">
        <v>137297</v>
      </c>
      <c r="V75" s="9"/>
      <c r="W75" s="33">
        <v>1371009</v>
      </c>
      <c r="X75" s="9"/>
      <c r="Y75" s="30">
        <v>184.4</v>
      </c>
      <c r="Z75" s="9"/>
      <c r="AA75" s="30">
        <v>89.7</v>
      </c>
      <c r="AB75" s="9"/>
      <c r="AC75" s="30">
        <v>83.6</v>
      </c>
      <c r="AD75" s="9"/>
      <c r="AE75" s="30">
        <v>238.2</v>
      </c>
      <c r="AF75" s="9"/>
      <c r="AG75" s="30">
        <v>67</v>
      </c>
      <c r="AH75" s="9"/>
      <c r="AI75" s="32">
        <v>662.9</v>
      </c>
      <c r="AJ75" s="12"/>
      <c r="AK75" s="22">
        <v>10100749</v>
      </c>
      <c r="AM75" s="22">
        <v>5530882</v>
      </c>
      <c r="AO75" s="22">
        <v>5547400</v>
      </c>
      <c r="AQ75" s="22">
        <v>11879011</v>
      </c>
      <c r="AS75" s="26">
        <v>33058042</v>
      </c>
      <c r="AU75" s="23">
        <v>26.464200000000002</v>
      </c>
      <c r="AW75" s="23">
        <v>29.662600000000001</v>
      </c>
      <c r="AY75" s="23">
        <v>14.5343</v>
      </c>
      <c r="BA75" s="23">
        <v>24.11</v>
      </c>
      <c r="BC75" s="24">
        <v>24.112200000000001</v>
      </c>
      <c r="BE75" s="1" t="str">
        <f t="shared" si="1"/>
        <v>No</v>
      </c>
    </row>
    <row r="76" spans="1:57" ht="11.25" customHeight="1">
      <c r="A76" s="7" t="s">
        <v>673</v>
      </c>
      <c r="B76" s="7" t="s">
        <v>674</v>
      </c>
      <c r="C76" s="37" t="s">
        <v>84</v>
      </c>
      <c r="D76" s="296">
        <v>6011</v>
      </c>
      <c r="E76" s="297">
        <v>60011</v>
      </c>
      <c r="F76" s="27" t="s">
        <v>165</v>
      </c>
      <c r="G76" s="73" t="s">
        <v>158</v>
      </c>
      <c r="H76" s="35">
        <v>1758210</v>
      </c>
      <c r="I76" s="35">
        <v>816</v>
      </c>
      <c r="J76" s="37" t="s">
        <v>7</v>
      </c>
      <c r="K76" s="37" t="s">
        <v>159</v>
      </c>
      <c r="L76" s="8">
        <v>378</v>
      </c>
      <c r="M76" s="8">
        <v>2314165</v>
      </c>
      <c r="N76" s="9"/>
      <c r="O76" s="8">
        <v>502835</v>
      </c>
      <c r="P76" s="9"/>
      <c r="Q76" s="8">
        <v>150119</v>
      </c>
      <c r="R76" s="9"/>
      <c r="S76" s="8">
        <v>363092</v>
      </c>
      <c r="T76" s="9"/>
      <c r="U76" s="8">
        <v>0</v>
      </c>
      <c r="V76" s="9"/>
      <c r="W76" s="33">
        <v>3330211</v>
      </c>
      <c r="X76" s="9"/>
      <c r="Y76" s="30">
        <v>1174</v>
      </c>
      <c r="Z76" s="9"/>
      <c r="AA76" s="30">
        <v>274.27</v>
      </c>
      <c r="AB76" s="9"/>
      <c r="AC76" s="30">
        <v>82.07</v>
      </c>
      <c r="AD76" s="9"/>
      <c r="AE76" s="30">
        <v>211.78</v>
      </c>
      <c r="AF76" s="9"/>
      <c r="AG76" s="30">
        <v>0</v>
      </c>
      <c r="AH76" s="9"/>
      <c r="AI76" s="32">
        <v>1742.12</v>
      </c>
      <c r="AJ76" s="12"/>
      <c r="AK76" s="22">
        <v>48069522</v>
      </c>
      <c r="AM76" s="22">
        <v>11950073</v>
      </c>
      <c r="AO76" s="22">
        <v>4073708</v>
      </c>
      <c r="AQ76" s="22">
        <v>11425409</v>
      </c>
      <c r="AS76" s="26">
        <v>75518712</v>
      </c>
      <c r="AU76" s="23">
        <v>20.771899999999999</v>
      </c>
      <c r="AW76" s="23">
        <v>23.7654</v>
      </c>
      <c r="AY76" s="23">
        <v>1.7603</v>
      </c>
      <c r="BA76" s="23">
        <v>31.466999999999999</v>
      </c>
      <c r="BC76" s="24">
        <v>22.6769</v>
      </c>
      <c r="BE76" s="1" t="str">
        <f t="shared" si="1"/>
        <v>No</v>
      </c>
    </row>
    <row r="77" spans="1:57" ht="11.25" customHeight="1">
      <c r="A77" s="7" t="s">
        <v>673</v>
      </c>
      <c r="B77" s="7" t="s">
        <v>674</v>
      </c>
      <c r="C77" s="37" t="s">
        <v>84</v>
      </c>
      <c r="D77" s="296">
        <v>6011</v>
      </c>
      <c r="E77" s="297">
        <v>60011</v>
      </c>
      <c r="F77" s="27" t="s">
        <v>165</v>
      </c>
      <c r="G77" s="73" t="s">
        <v>158</v>
      </c>
      <c r="H77" s="35">
        <v>1758210</v>
      </c>
      <c r="I77" s="35">
        <v>816</v>
      </c>
      <c r="J77" s="37" t="s">
        <v>10</v>
      </c>
      <c r="K77" s="37" t="s">
        <v>159</v>
      </c>
      <c r="L77" s="8">
        <v>108</v>
      </c>
      <c r="M77" s="8">
        <v>429180</v>
      </c>
      <c r="N77" s="9"/>
      <c r="O77" s="8">
        <v>48897</v>
      </c>
      <c r="P77" s="9"/>
      <c r="Q77" s="8">
        <v>5014</v>
      </c>
      <c r="R77" s="9"/>
      <c r="S77" s="8">
        <v>48123</v>
      </c>
      <c r="T77" s="9"/>
      <c r="U77" s="8">
        <v>0</v>
      </c>
      <c r="V77" s="9"/>
      <c r="W77" s="33">
        <v>531214</v>
      </c>
      <c r="X77" s="9"/>
      <c r="Y77" s="30">
        <v>205.1</v>
      </c>
      <c r="Z77" s="9"/>
      <c r="AA77" s="30">
        <v>30.87</v>
      </c>
      <c r="AB77" s="9"/>
      <c r="AC77" s="30">
        <v>2.72</v>
      </c>
      <c r="AD77" s="9"/>
      <c r="AE77" s="30">
        <v>27.51</v>
      </c>
      <c r="AF77" s="9"/>
      <c r="AG77" s="30">
        <v>0</v>
      </c>
      <c r="AH77" s="9"/>
      <c r="AI77" s="32">
        <v>266.2</v>
      </c>
      <c r="AJ77" s="12"/>
      <c r="AK77" s="22">
        <v>7951657</v>
      </c>
      <c r="AM77" s="22">
        <v>1184733</v>
      </c>
      <c r="AO77" s="22">
        <v>115489</v>
      </c>
      <c r="AQ77" s="22">
        <v>1643984</v>
      </c>
      <c r="AS77" s="26">
        <v>10895863</v>
      </c>
      <c r="AU77" s="23">
        <v>18.5276</v>
      </c>
      <c r="AW77" s="23">
        <v>24.229199999999999</v>
      </c>
      <c r="AY77" s="23">
        <v>0.26910000000000001</v>
      </c>
      <c r="BA77" s="23">
        <v>34.162100000000002</v>
      </c>
      <c r="BC77" s="24">
        <v>20.511199999999999</v>
      </c>
      <c r="BE77" s="1" t="str">
        <f t="shared" si="1"/>
        <v>No</v>
      </c>
    </row>
    <row r="78" spans="1:57" ht="11.25" customHeight="1">
      <c r="A78" s="7" t="s">
        <v>583</v>
      </c>
      <c r="B78" s="7" t="s">
        <v>584</v>
      </c>
      <c r="C78" s="37" t="s">
        <v>17</v>
      </c>
      <c r="D78" s="296">
        <v>9026</v>
      </c>
      <c r="E78" s="297">
        <v>90026</v>
      </c>
      <c r="F78" s="27" t="s">
        <v>165</v>
      </c>
      <c r="G78" s="73" t="s">
        <v>158</v>
      </c>
      <c r="H78" s="35">
        <v>2956746</v>
      </c>
      <c r="I78" s="35">
        <v>765</v>
      </c>
      <c r="J78" s="37" t="s">
        <v>7</v>
      </c>
      <c r="K78" s="37" t="s">
        <v>159</v>
      </c>
      <c r="L78" s="8">
        <v>224</v>
      </c>
      <c r="M78" s="8">
        <v>1158902</v>
      </c>
      <c r="N78" s="9"/>
      <c r="O78" s="8">
        <v>316832</v>
      </c>
      <c r="P78" s="9"/>
      <c r="Q78" s="8">
        <v>4575</v>
      </c>
      <c r="R78" s="9"/>
      <c r="S78" s="8">
        <v>44335</v>
      </c>
      <c r="T78" s="9"/>
      <c r="U78" s="8">
        <v>0</v>
      </c>
      <c r="V78" s="9"/>
      <c r="W78" s="33">
        <v>1524644</v>
      </c>
      <c r="X78" s="9"/>
      <c r="Y78" s="30">
        <v>600</v>
      </c>
      <c r="Z78" s="9"/>
      <c r="AA78" s="30">
        <v>177</v>
      </c>
      <c r="AB78" s="9"/>
      <c r="AC78" s="30">
        <v>3</v>
      </c>
      <c r="AD78" s="9"/>
      <c r="AE78" s="30">
        <v>24</v>
      </c>
      <c r="AF78" s="9"/>
      <c r="AG78" s="30">
        <v>0</v>
      </c>
      <c r="AH78" s="9"/>
      <c r="AI78" s="32">
        <v>804</v>
      </c>
      <c r="AJ78" s="12"/>
      <c r="AK78" s="22">
        <v>25394238</v>
      </c>
      <c r="AM78" s="22">
        <v>8544061</v>
      </c>
      <c r="AO78" s="22">
        <v>167673</v>
      </c>
      <c r="AQ78" s="22">
        <v>1510537</v>
      </c>
      <c r="AS78" s="26">
        <v>35616509</v>
      </c>
      <c r="AU78" s="23">
        <v>21.912299999999998</v>
      </c>
      <c r="AW78" s="23">
        <v>26.967199999999998</v>
      </c>
      <c r="AY78" s="23">
        <v>0.1447</v>
      </c>
      <c r="BA78" s="23">
        <v>34.070999999999998</v>
      </c>
      <c r="BC78" s="24">
        <v>23.360499999999998</v>
      </c>
      <c r="BE78" s="1" t="str">
        <f t="shared" si="1"/>
        <v>No</v>
      </c>
    </row>
    <row r="79" spans="1:57" ht="11.25" customHeight="1">
      <c r="A79" s="7" t="s">
        <v>583</v>
      </c>
      <c r="B79" s="7" t="s">
        <v>584</v>
      </c>
      <c r="C79" s="37" t="s">
        <v>17</v>
      </c>
      <c r="D79" s="296">
        <v>9026</v>
      </c>
      <c r="E79" s="297">
        <v>90026</v>
      </c>
      <c r="F79" s="27" t="s">
        <v>165</v>
      </c>
      <c r="G79" s="73" t="s">
        <v>158</v>
      </c>
      <c r="H79" s="35">
        <v>2956746</v>
      </c>
      <c r="I79" s="35">
        <v>765</v>
      </c>
      <c r="J79" s="37" t="s">
        <v>21</v>
      </c>
      <c r="K79" s="37" t="s">
        <v>159</v>
      </c>
      <c r="L79" s="8">
        <v>97</v>
      </c>
      <c r="M79" s="8">
        <v>533467</v>
      </c>
      <c r="N79" s="9"/>
      <c r="O79" s="8">
        <v>158665</v>
      </c>
      <c r="P79" s="9"/>
      <c r="Q79" s="8">
        <v>248008</v>
      </c>
      <c r="R79" s="9"/>
      <c r="S79" s="8">
        <v>8363</v>
      </c>
      <c r="T79" s="9"/>
      <c r="U79" s="8">
        <v>0</v>
      </c>
      <c r="V79" s="9"/>
      <c r="W79" s="33">
        <v>948503</v>
      </c>
      <c r="X79" s="9"/>
      <c r="Y79" s="30">
        <v>317</v>
      </c>
      <c r="Z79" s="9"/>
      <c r="AA79" s="30">
        <v>78</v>
      </c>
      <c r="AB79" s="9"/>
      <c r="AC79" s="30">
        <v>117</v>
      </c>
      <c r="AD79" s="9"/>
      <c r="AE79" s="30">
        <v>5</v>
      </c>
      <c r="AF79" s="9"/>
      <c r="AG79" s="30">
        <v>0</v>
      </c>
      <c r="AH79" s="9"/>
      <c r="AI79" s="32">
        <v>517</v>
      </c>
      <c r="AJ79" s="12"/>
      <c r="AK79" s="22">
        <v>12715472</v>
      </c>
      <c r="AM79" s="22">
        <v>4814543</v>
      </c>
      <c r="AO79" s="22">
        <v>5657394</v>
      </c>
      <c r="AQ79" s="22">
        <v>483322</v>
      </c>
      <c r="AS79" s="26">
        <v>23670731</v>
      </c>
      <c r="AU79" s="23">
        <v>23.8355</v>
      </c>
      <c r="AW79" s="23">
        <v>30.344100000000001</v>
      </c>
      <c r="AY79" s="23">
        <v>10.605</v>
      </c>
      <c r="BA79" s="23">
        <v>57.792900000000003</v>
      </c>
      <c r="BC79" s="24">
        <v>24.9559</v>
      </c>
      <c r="BE79" s="1" t="str">
        <f t="shared" si="1"/>
        <v>No</v>
      </c>
    </row>
    <row r="80" spans="1:57" ht="11.25" customHeight="1">
      <c r="A80" s="7" t="s">
        <v>1113</v>
      </c>
      <c r="B80" s="7" t="s">
        <v>197</v>
      </c>
      <c r="C80" s="37" t="s">
        <v>17</v>
      </c>
      <c r="D80" s="296">
        <v>9014</v>
      </c>
      <c r="E80" s="297">
        <v>90014</v>
      </c>
      <c r="F80" s="27" t="s">
        <v>165</v>
      </c>
      <c r="G80" s="73" t="s">
        <v>158</v>
      </c>
      <c r="H80" s="35">
        <v>3281212</v>
      </c>
      <c r="I80" s="35">
        <v>702</v>
      </c>
      <c r="J80" s="37" t="s">
        <v>7</v>
      </c>
      <c r="K80" s="37" t="s">
        <v>159</v>
      </c>
      <c r="L80" s="8">
        <v>381</v>
      </c>
      <c r="M80" s="8">
        <v>1923673</v>
      </c>
      <c r="N80" s="9"/>
      <c r="O80" s="8">
        <v>538245</v>
      </c>
      <c r="P80" s="9"/>
      <c r="Q80" s="8">
        <v>66176</v>
      </c>
      <c r="R80" s="9"/>
      <c r="S80" s="8">
        <v>378568</v>
      </c>
      <c r="T80" s="9"/>
      <c r="U80" s="8">
        <v>0</v>
      </c>
      <c r="V80" s="9"/>
      <c r="W80" s="33">
        <v>2906662</v>
      </c>
      <c r="X80" s="9"/>
      <c r="Y80" s="30">
        <v>1333</v>
      </c>
      <c r="Z80" s="9"/>
      <c r="AA80" s="30">
        <v>315</v>
      </c>
      <c r="AB80" s="9"/>
      <c r="AC80" s="30">
        <v>39</v>
      </c>
      <c r="AD80" s="9"/>
      <c r="AE80" s="30">
        <v>245</v>
      </c>
      <c r="AF80" s="9"/>
      <c r="AG80" s="30">
        <v>0</v>
      </c>
      <c r="AH80" s="9"/>
      <c r="AI80" s="32">
        <v>1932</v>
      </c>
      <c r="AJ80" s="12"/>
      <c r="AK80" s="22">
        <v>72202703</v>
      </c>
      <c r="AM80" s="22">
        <v>18207731</v>
      </c>
      <c r="AO80" s="22">
        <v>3716910</v>
      </c>
      <c r="AQ80" s="22">
        <v>17840883</v>
      </c>
      <c r="AS80" s="26">
        <v>111968227</v>
      </c>
      <c r="AU80" s="23">
        <v>37.533799999999999</v>
      </c>
      <c r="AW80" s="23">
        <v>33.828000000000003</v>
      </c>
      <c r="AY80" s="23">
        <v>1.9321999999999999</v>
      </c>
      <c r="BA80" s="23">
        <v>47.127299999999998</v>
      </c>
      <c r="BC80" s="24">
        <v>38.5212</v>
      </c>
      <c r="BE80" s="1" t="str">
        <f t="shared" si="1"/>
        <v>No</v>
      </c>
    </row>
    <row r="81" spans="1:57" ht="11.25" customHeight="1">
      <c r="A81" s="7" t="s">
        <v>1113</v>
      </c>
      <c r="B81" s="7" t="s">
        <v>197</v>
      </c>
      <c r="C81" s="37" t="s">
        <v>17</v>
      </c>
      <c r="D81" s="296">
        <v>9014</v>
      </c>
      <c r="E81" s="297">
        <v>90014</v>
      </c>
      <c r="F81" s="27" t="s">
        <v>165</v>
      </c>
      <c r="G81" s="73" t="s">
        <v>158</v>
      </c>
      <c r="H81" s="35">
        <v>3281212</v>
      </c>
      <c r="I81" s="35">
        <v>702</v>
      </c>
      <c r="J81" s="37" t="s">
        <v>18</v>
      </c>
      <c r="K81" s="37" t="s">
        <v>159</v>
      </c>
      <c r="L81" s="8">
        <v>104</v>
      </c>
      <c r="M81" s="8">
        <v>150203</v>
      </c>
      <c r="N81" s="9"/>
      <c r="O81" s="8">
        <v>43682</v>
      </c>
      <c r="P81" s="9"/>
      <c r="Q81" s="8">
        <v>5366</v>
      </c>
      <c r="R81" s="9"/>
      <c r="S81" s="8">
        <v>30720</v>
      </c>
      <c r="T81" s="9"/>
      <c r="U81" s="8">
        <v>0</v>
      </c>
      <c r="V81" s="9"/>
      <c r="W81" s="33">
        <v>229971</v>
      </c>
      <c r="X81" s="9"/>
      <c r="Y81" s="30">
        <v>107</v>
      </c>
      <c r="Z81" s="9"/>
      <c r="AA81" s="30">
        <v>26</v>
      </c>
      <c r="AB81" s="9"/>
      <c r="AC81" s="30">
        <v>3</v>
      </c>
      <c r="AD81" s="9"/>
      <c r="AE81" s="30">
        <v>19</v>
      </c>
      <c r="AF81" s="9"/>
      <c r="AG81" s="30">
        <v>0</v>
      </c>
      <c r="AH81" s="9"/>
      <c r="AI81" s="32">
        <v>155</v>
      </c>
      <c r="AJ81" s="12"/>
      <c r="AK81" s="22">
        <v>5854274</v>
      </c>
      <c r="AM81" s="22">
        <v>1476303</v>
      </c>
      <c r="AO81" s="22">
        <v>301371</v>
      </c>
      <c r="AQ81" s="22">
        <v>1446558</v>
      </c>
      <c r="AS81" s="26">
        <v>9078506</v>
      </c>
      <c r="AU81" s="23">
        <v>38.975700000000003</v>
      </c>
      <c r="AW81" s="23">
        <v>33.796599999999998</v>
      </c>
      <c r="AY81" s="23">
        <v>2.0064000000000002</v>
      </c>
      <c r="BA81" s="23">
        <v>47.088500000000003</v>
      </c>
      <c r="BC81" s="24">
        <v>39.476700000000001</v>
      </c>
      <c r="BE81" s="1" t="str">
        <f t="shared" si="1"/>
        <v>No</v>
      </c>
    </row>
    <row r="82" spans="1:57" ht="11.25" customHeight="1">
      <c r="A82" s="7" t="s">
        <v>591</v>
      </c>
      <c r="B82" s="7" t="s">
        <v>592</v>
      </c>
      <c r="C82" s="37" t="s">
        <v>17</v>
      </c>
      <c r="D82" s="296">
        <v>9013</v>
      </c>
      <c r="E82" s="297">
        <v>90013</v>
      </c>
      <c r="F82" s="27" t="s">
        <v>165</v>
      </c>
      <c r="G82" s="73" t="s">
        <v>158</v>
      </c>
      <c r="H82" s="35">
        <v>1664496</v>
      </c>
      <c r="I82" s="35">
        <v>686</v>
      </c>
      <c r="J82" s="37" t="s">
        <v>7</v>
      </c>
      <c r="K82" s="37" t="s">
        <v>159</v>
      </c>
      <c r="L82" s="8">
        <v>392</v>
      </c>
      <c r="M82" s="8">
        <v>1888092</v>
      </c>
      <c r="N82" s="9"/>
      <c r="O82" s="8">
        <v>566027</v>
      </c>
      <c r="P82" s="9"/>
      <c r="Q82" s="8">
        <v>101356</v>
      </c>
      <c r="R82" s="9"/>
      <c r="S82" s="8">
        <v>235370</v>
      </c>
      <c r="T82" s="9"/>
      <c r="U82" s="8">
        <v>186676</v>
      </c>
      <c r="V82" s="9"/>
      <c r="W82" s="33">
        <v>2977521</v>
      </c>
      <c r="X82" s="9"/>
      <c r="Y82" s="30">
        <v>1036</v>
      </c>
      <c r="Z82" s="9"/>
      <c r="AA82" s="30">
        <v>292</v>
      </c>
      <c r="AB82" s="9"/>
      <c r="AC82" s="30">
        <v>53</v>
      </c>
      <c r="AD82" s="9"/>
      <c r="AE82" s="30">
        <v>140</v>
      </c>
      <c r="AF82" s="9"/>
      <c r="AG82" s="30">
        <v>118</v>
      </c>
      <c r="AH82" s="9"/>
      <c r="AI82" s="32">
        <v>1639</v>
      </c>
      <c r="AJ82" s="12"/>
      <c r="AK82" s="22">
        <v>70188259</v>
      </c>
      <c r="AM82" s="22">
        <v>24515596</v>
      </c>
      <c r="AO82" s="22">
        <v>2080488</v>
      </c>
      <c r="AQ82" s="22">
        <v>12009856</v>
      </c>
      <c r="AS82" s="26">
        <v>108794199</v>
      </c>
      <c r="AU82" s="23">
        <v>37.174199999999999</v>
      </c>
      <c r="AW82" s="23">
        <v>43.311700000000002</v>
      </c>
      <c r="AY82" s="23">
        <v>1.1019000000000001</v>
      </c>
      <c r="BA82" s="23">
        <v>51.025399999999998</v>
      </c>
      <c r="BC82" s="24">
        <v>36.538499999999999</v>
      </c>
      <c r="BE82" s="1" t="str">
        <f t="shared" si="1"/>
        <v>No</v>
      </c>
    </row>
    <row r="83" spans="1:57" ht="11.25" customHeight="1">
      <c r="A83" s="7" t="s">
        <v>591</v>
      </c>
      <c r="B83" s="7" t="s">
        <v>592</v>
      </c>
      <c r="C83" s="37" t="s">
        <v>17</v>
      </c>
      <c r="D83" s="296">
        <v>9013</v>
      </c>
      <c r="E83" s="297">
        <v>90013</v>
      </c>
      <c r="F83" s="27" t="s">
        <v>165</v>
      </c>
      <c r="G83" s="73" t="s">
        <v>158</v>
      </c>
      <c r="H83" s="35">
        <v>1664496</v>
      </c>
      <c r="I83" s="35">
        <v>686</v>
      </c>
      <c r="J83" s="37" t="s">
        <v>21</v>
      </c>
      <c r="K83" s="37" t="s">
        <v>159</v>
      </c>
      <c r="L83" s="8">
        <v>59</v>
      </c>
      <c r="M83" s="8">
        <v>314778</v>
      </c>
      <c r="N83" s="9"/>
      <c r="O83" s="8">
        <v>231491</v>
      </c>
      <c r="P83" s="9"/>
      <c r="Q83" s="8">
        <v>245981</v>
      </c>
      <c r="R83" s="9"/>
      <c r="S83" s="8">
        <v>89042</v>
      </c>
      <c r="T83" s="9"/>
      <c r="U83" s="8">
        <v>186676</v>
      </c>
      <c r="V83" s="9"/>
      <c r="W83" s="33">
        <v>1067968</v>
      </c>
      <c r="X83" s="9"/>
      <c r="Y83" s="30">
        <v>167</v>
      </c>
      <c r="Z83" s="9"/>
      <c r="AA83" s="30">
        <v>123</v>
      </c>
      <c r="AB83" s="9"/>
      <c r="AC83" s="30">
        <v>127</v>
      </c>
      <c r="AD83" s="9"/>
      <c r="AE83" s="30">
        <v>53</v>
      </c>
      <c r="AF83" s="9"/>
      <c r="AG83" s="30">
        <v>118</v>
      </c>
      <c r="AH83" s="9"/>
      <c r="AI83" s="32">
        <v>588</v>
      </c>
      <c r="AJ83" s="12"/>
      <c r="AK83" s="22">
        <v>12196872</v>
      </c>
      <c r="AM83" s="22">
        <v>11755555</v>
      </c>
      <c r="AO83" s="22">
        <v>9211700</v>
      </c>
      <c r="AQ83" s="22">
        <v>4543257</v>
      </c>
      <c r="AS83" s="26">
        <v>37707384</v>
      </c>
      <c r="AU83" s="23">
        <v>38.747500000000002</v>
      </c>
      <c r="AW83" s="23">
        <v>50.7819</v>
      </c>
      <c r="AY83" s="23">
        <v>29.264099999999999</v>
      </c>
      <c r="BA83" s="23">
        <v>51.023800000000001</v>
      </c>
      <c r="BC83" s="24">
        <v>35.307600000000001</v>
      </c>
      <c r="BE83" s="1" t="str">
        <f t="shared" si="1"/>
        <v>No</v>
      </c>
    </row>
    <row r="84" spans="1:57" ht="11.25" customHeight="1">
      <c r="A84" s="7" t="s">
        <v>608</v>
      </c>
      <c r="B84" s="7" t="s">
        <v>367</v>
      </c>
      <c r="C84" s="37" t="s">
        <v>89</v>
      </c>
      <c r="D84" s="296">
        <v>29</v>
      </c>
      <c r="E84" s="297">
        <v>29</v>
      </c>
      <c r="F84" s="27" t="s">
        <v>165</v>
      </c>
      <c r="G84" s="73" t="s">
        <v>158</v>
      </c>
      <c r="H84" s="35">
        <v>3059393</v>
      </c>
      <c r="I84" s="35">
        <v>609</v>
      </c>
      <c r="J84" s="37" t="s">
        <v>8</v>
      </c>
      <c r="K84" s="37" t="s">
        <v>159</v>
      </c>
      <c r="L84" s="8">
        <v>364</v>
      </c>
      <c r="M84" s="8">
        <v>13177</v>
      </c>
      <c r="N84" s="9"/>
      <c r="O84" s="8">
        <v>9476</v>
      </c>
      <c r="P84" s="9"/>
      <c r="Q84" s="8">
        <v>1401</v>
      </c>
      <c r="R84" s="9"/>
      <c r="S84" s="8">
        <v>12519</v>
      </c>
      <c r="T84" s="9"/>
      <c r="U84" s="8">
        <v>692</v>
      </c>
      <c r="V84" s="9"/>
      <c r="W84" s="33">
        <v>37265</v>
      </c>
      <c r="X84" s="9"/>
      <c r="Y84" s="30">
        <v>7.9</v>
      </c>
      <c r="Z84" s="9"/>
      <c r="AA84" s="30">
        <v>6.4</v>
      </c>
      <c r="AB84" s="9"/>
      <c r="AC84" s="30">
        <v>0.9</v>
      </c>
      <c r="AD84" s="9"/>
      <c r="AE84" s="30">
        <v>7.8</v>
      </c>
      <c r="AF84" s="9"/>
      <c r="AG84" s="30">
        <v>0.4</v>
      </c>
      <c r="AH84" s="9"/>
      <c r="AI84" s="32">
        <v>23.4</v>
      </c>
      <c r="AJ84" s="12"/>
      <c r="AK84" s="22">
        <v>461091</v>
      </c>
      <c r="AM84" s="22">
        <v>331871</v>
      </c>
      <c r="AO84" s="22">
        <v>42968</v>
      </c>
      <c r="AQ84" s="22">
        <v>564895</v>
      </c>
      <c r="AS84" s="26">
        <v>1400825</v>
      </c>
      <c r="AU84" s="23">
        <v>34.992100000000001</v>
      </c>
      <c r="AW84" s="23">
        <v>35.022300000000001</v>
      </c>
      <c r="AY84" s="23">
        <v>3.2608000000000001</v>
      </c>
      <c r="BA84" s="23">
        <v>45.122999999999998</v>
      </c>
      <c r="BC84" s="24">
        <v>37.590899999999998</v>
      </c>
      <c r="BE84" s="1" t="str">
        <f t="shared" si="1"/>
        <v>No</v>
      </c>
    </row>
    <row r="85" spans="1:57" ht="11.25" customHeight="1">
      <c r="A85" s="7" t="s">
        <v>608</v>
      </c>
      <c r="B85" s="7" t="s">
        <v>367</v>
      </c>
      <c r="C85" s="37" t="s">
        <v>89</v>
      </c>
      <c r="D85" s="296">
        <v>29</v>
      </c>
      <c r="E85" s="297">
        <v>29</v>
      </c>
      <c r="F85" s="27" t="s">
        <v>165</v>
      </c>
      <c r="G85" s="73" t="s">
        <v>158</v>
      </c>
      <c r="H85" s="35">
        <v>3059393</v>
      </c>
      <c r="I85" s="35">
        <v>609</v>
      </c>
      <c r="J85" s="37" t="s">
        <v>7</v>
      </c>
      <c r="K85" s="37" t="s">
        <v>159</v>
      </c>
      <c r="L85" s="8">
        <v>106</v>
      </c>
      <c r="M85" s="8">
        <v>634753</v>
      </c>
      <c r="N85" s="9"/>
      <c r="O85" s="8">
        <v>94111</v>
      </c>
      <c r="P85" s="9"/>
      <c r="Q85" s="8">
        <v>17941</v>
      </c>
      <c r="R85" s="9"/>
      <c r="S85" s="8">
        <v>127063</v>
      </c>
      <c r="T85" s="9"/>
      <c r="U85" s="8">
        <v>15848</v>
      </c>
      <c r="V85" s="9"/>
      <c r="W85" s="33">
        <v>889716</v>
      </c>
      <c r="X85" s="9"/>
      <c r="Y85" s="30">
        <v>347.9</v>
      </c>
      <c r="Z85" s="9"/>
      <c r="AA85" s="30">
        <v>57.9</v>
      </c>
      <c r="AB85" s="9"/>
      <c r="AC85" s="30">
        <v>11.7</v>
      </c>
      <c r="AD85" s="9"/>
      <c r="AE85" s="30">
        <v>76.099999999999994</v>
      </c>
      <c r="AF85" s="9"/>
      <c r="AG85" s="30">
        <v>8.6999999999999993</v>
      </c>
      <c r="AH85" s="9"/>
      <c r="AI85" s="32">
        <v>502.3</v>
      </c>
      <c r="AJ85" s="12"/>
      <c r="AK85" s="22">
        <v>19181667</v>
      </c>
      <c r="AM85" s="22">
        <v>3308804</v>
      </c>
      <c r="AO85" s="22">
        <v>529405</v>
      </c>
      <c r="AQ85" s="22">
        <v>5212419</v>
      </c>
      <c r="AS85" s="26">
        <v>28232295</v>
      </c>
      <c r="AU85" s="23">
        <v>30.219100000000001</v>
      </c>
      <c r="AW85" s="23">
        <v>35.158499999999997</v>
      </c>
      <c r="AY85" s="23">
        <v>0.83399999999999996</v>
      </c>
      <c r="BA85" s="23">
        <v>41.022300000000001</v>
      </c>
      <c r="BC85" s="24">
        <v>31.7318</v>
      </c>
      <c r="BE85" s="1" t="str">
        <f t="shared" si="1"/>
        <v>No</v>
      </c>
    </row>
    <row r="86" spans="1:57" ht="11.25" customHeight="1">
      <c r="A86" s="7" t="s">
        <v>608</v>
      </c>
      <c r="B86" s="7" t="s">
        <v>367</v>
      </c>
      <c r="C86" s="37" t="s">
        <v>89</v>
      </c>
      <c r="D86" s="296">
        <v>29</v>
      </c>
      <c r="E86" s="297">
        <v>29</v>
      </c>
      <c r="F86" s="27" t="s">
        <v>165</v>
      </c>
      <c r="G86" s="73" t="s">
        <v>158</v>
      </c>
      <c r="H86" s="35">
        <v>3059393</v>
      </c>
      <c r="I86" s="35">
        <v>609</v>
      </c>
      <c r="J86" s="37" t="s">
        <v>18</v>
      </c>
      <c r="K86" s="37" t="s">
        <v>159</v>
      </c>
      <c r="L86" s="8">
        <v>40</v>
      </c>
      <c r="M86" s="8">
        <v>122067</v>
      </c>
      <c r="N86" s="9"/>
      <c r="O86" s="8">
        <v>30444</v>
      </c>
      <c r="P86" s="9"/>
      <c r="Q86" s="8">
        <v>3430</v>
      </c>
      <c r="R86" s="9"/>
      <c r="S86" s="8">
        <v>24151</v>
      </c>
      <c r="T86" s="9"/>
      <c r="U86" s="8">
        <v>3098</v>
      </c>
      <c r="V86" s="9"/>
      <c r="W86" s="33">
        <v>183190</v>
      </c>
      <c r="X86" s="9"/>
      <c r="Y86" s="30">
        <v>66.7</v>
      </c>
      <c r="Z86" s="9"/>
      <c r="AA86" s="30">
        <v>18.899999999999999</v>
      </c>
      <c r="AB86" s="9"/>
      <c r="AC86" s="30">
        <v>2.2000000000000002</v>
      </c>
      <c r="AD86" s="9"/>
      <c r="AE86" s="30">
        <v>14.5</v>
      </c>
      <c r="AF86" s="9"/>
      <c r="AG86" s="30">
        <v>1.7</v>
      </c>
      <c r="AH86" s="9"/>
      <c r="AI86" s="32">
        <v>104</v>
      </c>
      <c r="AJ86" s="12"/>
      <c r="AK86" s="22">
        <v>3717036</v>
      </c>
      <c r="AM86" s="22">
        <v>1067668</v>
      </c>
      <c r="AO86" s="22">
        <v>108064</v>
      </c>
      <c r="AQ86" s="22">
        <v>1073008</v>
      </c>
      <c r="AS86" s="26">
        <v>5965776</v>
      </c>
      <c r="AU86" s="23">
        <v>30.450800000000001</v>
      </c>
      <c r="AW86" s="23">
        <v>35.069899999999997</v>
      </c>
      <c r="AY86" s="23">
        <v>0.88529999999999998</v>
      </c>
      <c r="BA86" s="23">
        <v>44.429099999999998</v>
      </c>
      <c r="BC86" s="24">
        <v>32.566099999999999</v>
      </c>
      <c r="BE86" s="1" t="str">
        <f t="shared" si="1"/>
        <v>No</v>
      </c>
    </row>
    <row r="87" spans="1:57" ht="11.25" customHeight="1">
      <c r="A87" s="7" t="s">
        <v>259</v>
      </c>
      <c r="B87" s="7" t="s">
        <v>260</v>
      </c>
      <c r="C87" s="37" t="s">
        <v>32</v>
      </c>
      <c r="D87" s="296">
        <v>4035</v>
      </c>
      <c r="E87" s="297">
        <v>40035</v>
      </c>
      <c r="F87" s="27" t="s">
        <v>165</v>
      </c>
      <c r="G87" s="73" t="s">
        <v>158</v>
      </c>
      <c r="H87" s="35">
        <v>1510516</v>
      </c>
      <c r="I87" s="35">
        <v>581</v>
      </c>
      <c r="J87" s="37" t="s">
        <v>7</v>
      </c>
      <c r="K87" s="37" t="s">
        <v>159</v>
      </c>
      <c r="L87" s="8">
        <v>250</v>
      </c>
      <c r="M87" s="8">
        <v>1479510</v>
      </c>
      <c r="N87" s="9"/>
      <c r="O87" s="8">
        <v>282842</v>
      </c>
      <c r="P87" s="9"/>
      <c r="Q87" s="8">
        <v>67131</v>
      </c>
      <c r="R87" s="9"/>
      <c r="S87" s="8">
        <v>195557</v>
      </c>
      <c r="T87" s="9"/>
      <c r="U87" s="8">
        <v>0</v>
      </c>
      <c r="V87" s="9"/>
      <c r="W87" s="33">
        <v>2025040</v>
      </c>
      <c r="X87" s="9"/>
      <c r="Y87" s="30">
        <v>718</v>
      </c>
      <c r="Z87" s="9"/>
      <c r="AA87" s="30">
        <v>130</v>
      </c>
      <c r="AB87" s="9"/>
      <c r="AC87" s="30">
        <v>36</v>
      </c>
      <c r="AD87" s="9"/>
      <c r="AE87" s="30">
        <v>97</v>
      </c>
      <c r="AF87" s="9"/>
      <c r="AG87" s="30">
        <v>0</v>
      </c>
      <c r="AH87" s="9"/>
      <c r="AI87" s="32">
        <v>981</v>
      </c>
      <c r="AJ87" s="12"/>
      <c r="AK87" s="22">
        <v>28764584</v>
      </c>
      <c r="AM87" s="22">
        <v>6345885</v>
      </c>
      <c r="AO87" s="22">
        <v>1208237</v>
      </c>
      <c r="AQ87" s="22">
        <v>4638394</v>
      </c>
      <c r="AS87" s="26">
        <v>40957100</v>
      </c>
      <c r="AU87" s="23">
        <v>19.442</v>
      </c>
      <c r="AW87" s="23">
        <v>22.4361</v>
      </c>
      <c r="AY87" s="23">
        <v>0.81659999999999999</v>
      </c>
      <c r="BA87" s="23">
        <v>23.718900000000001</v>
      </c>
      <c r="BC87" s="24">
        <v>20.225300000000001</v>
      </c>
      <c r="BE87" s="1" t="str">
        <f t="shared" si="1"/>
        <v>No</v>
      </c>
    </row>
    <row r="88" spans="1:57" ht="11.25" customHeight="1">
      <c r="A88" s="7" t="s">
        <v>259</v>
      </c>
      <c r="B88" s="7" t="s">
        <v>260</v>
      </c>
      <c r="C88" s="37" t="s">
        <v>32</v>
      </c>
      <c r="D88" s="296">
        <v>4035</v>
      </c>
      <c r="E88" s="297">
        <v>40035</v>
      </c>
      <c r="F88" s="27" t="s">
        <v>165</v>
      </c>
      <c r="G88" s="73" t="s">
        <v>158</v>
      </c>
      <c r="H88" s="35">
        <v>1510516</v>
      </c>
      <c r="I88" s="35">
        <v>581</v>
      </c>
      <c r="J88" s="37" t="s">
        <v>22</v>
      </c>
      <c r="K88" s="37" t="s">
        <v>159</v>
      </c>
      <c r="L88" s="8">
        <v>13</v>
      </c>
      <c r="M88" s="8">
        <v>63253</v>
      </c>
      <c r="N88" s="9"/>
      <c r="O88" s="8">
        <v>7810</v>
      </c>
      <c r="P88" s="9"/>
      <c r="Q88" s="8">
        <v>3491</v>
      </c>
      <c r="R88" s="9"/>
      <c r="S88" s="8">
        <v>10238</v>
      </c>
      <c r="T88" s="9"/>
      <c r="U88" s="8">
        <v>0</v>
      </c>
      <c r="V88" s="9"/>
      <c r="W88" s="33">
        <v>84792</v>
      </c>
      <c r="X88" s="9"/>
      <c r="Y88" s="30">
        <v>30</v>
      </c>
      <c r="Z88" s="9"/>
      <c r="AA88" s="30">
        <v>4</v>
      </c>
      <c r="AB88" s="9"/>
      <c r="AC88" s="30">
        <v>2</v>
      </c>
      <c r="AD88" s="9"/>
      <c r="AE88" s="30">
        <v>6</v>
      </c>
      <c r="AF88" s="9"/>
      <c r="AG88" s="30">
        <v>0</v>
      </c>
      <c r="AH88" s="9"/>
      <c r="AI88" s="32">
        <v>42</v>
      </c>
      <c r="AJ88" s="12"/>
      <c r="AK88" s="22">
        <v>1229775</v>
      </c>
      <c r="AM88" s="22">
        <v>143875</v>
      </c>
      <c r="AO88" s="22">
        <v>62828</v>
      </c>
      <c r="AQ88" s="22">
        <v>241197</v>
      </c>
      <c r="AS88" s="26">
        <v>1677675</v>
      </c>
      <c r="AU88" s="23">
        <v>19.4422</v>
      </c>
      <c r="AW88" s="23">
        <v>18.421900000000001</v>
      </c>
      <c r="AY88" s="23">
        <v>0.99329999999999996</v>
      </c>
      <c r="BA88" s="23">
        <v>23.559000000000001</v>
      </c>
      <c r="BC88" s="24">
        <v>19.785799999999998</v>
      </c>
      <c r="BE88" s="1" t="str">
        <f t="shared" si="1"/>
        <v>No</v>
      </c>
    </row>
    <row r="89" spans="1:57" ht="11.25" customHeight="1">
      <c r="A89" s="7" t="s">
        <v>768</v>
      </c>
      <c r="B89" s="7" t="s">
        <v>769</v>
      </c>
      <c r="C89" s="37" t="s">
        <v>17</v>
      </c>
      <c r="D89" s="296">
        <v>9230</v>
      </c>
      <c r="E89" s="297">
        <v>90230</v>
      </c>
      <c r="F89" s="27" t="s">
        <v>162</v>
      </c>
      <c r="G89" s="73" t="s">
        <v>158</v>
      </c>
      <c r="H89" s="35">
        <v>87941</v>
      </c>
      <c r="I89" s="35">
        <v>548</v>
      </c>
      <c r="J89" s="37" t="s">
        <v>8</v>
      </c>
      <c r="K89" s="37" t="s">
        <v>159</v>
      </c>
      <c r="L89" s="8">
        <v>548</v>
      </c>
      <c r="M89" s="8">
        <v>9630</v>
      </c>
      <c r="N89" s="9"/>
      <c r="O89" s="8">
        <v>10774</v>
      </c>
      <c r="P89" s="9"/>
      <c r="Q89" s="8">
        <v>0</v>
      </c>
      <c r="R89" s="9"/>
      <c r="S89" s="8">
        <v>33257</v>
      </c>
      <c r="T89" s="9"/>
      <c r="U89" s="8">
        <v>0</v>
      </c>
      <c r="V89" s="9"/>
      <c r="W89" s="33">
        <v>53661</v>
      </c>
      <c r="X89" s="9"/>
      <c r="Y89" s="30">
        <v>4.6500000000000004</v>
      </c>
      <c r="Z89" s="9"/>
      <c r="AA89" s="30">
        <v>5</v>
      </c>
      <c r="AB89" s="9"/>
      <c r="AC89" s="30">
        <v>0</v>
      </c>
      <c r="AD89" s="9"/>
      <c r="AE89" s="30">
        <v>16.29</v>
      </c>
      <c r="AF89" s="9"/>
      <c r="AG89" s="30">
        <v>0</v>
      </c>
      <c r="AH89" s="9"/>
      <c r="AI89" s="32">
        <v>25.94</v>
      </c>
      <c r="AJ89" s="12"/>
      <c r="AK89" s="22">
        <v>193315</v>
      </c>
      <c r="AM89" s="22">
        <v>205503</v>
      </c>
      <c r="AO89" s="22">
        <v>0</v>
      </c>
      <c r="AQ89" s="22">
        <v>897728</v>
      </c>
      <c r="AS89" s="26">
        <v>1296546</v>
      </c>
      <c r="AU89" s="23">
        <v>20.074200000000001</v>
      </c>
      <c r="AW89" s="23">
        <v>19.074000000000002</v>
      </c>
      <c r="AY89" s="23">
        <v>0</v>
      </c>
      <c r="BA89" s="23">
        <v>26.9937</v>
      </c>
      <c r="BC89" s="24">
        <v>24.161799999999999</v>
      </c>
      <c r="BE89" s="1" t="str">
        <f t="shared" si="1"/>
        <v>No</v>
      </c>
    </row>
    <row r="90" spans="1:57" ht="11.25" customHeight="1">
      <c r="A90" s="7" t="s">
        <v>585</v>
      </c>
      <c r="B90" s="7" t="s">
        <v>197</v>
      </c>
      <c r="C90" s="37" t="s">
        <v>17</v>
      </c>
      <c r="D90" s="296">
        <v>9003</v>
      </c>
      <c r="E90" s="297">
        <v>90003</v>
      </c>
      <c r="F90" s="27" t="s">
        <v>165</v>
      </c>
      <c r="G90" s="73" t="s">
        <v>158</v>
      </c>
      <c r="H90" s="35">
        <v>3281212</v>
      </c>
      <c r="I90" s="35">
        <v>545</v>
      </c>
      <c r="J90" s="37" t="s">
        <v>20</v>
      </c>
      <c r="K90" s="37" t="s">
        <v>159</v>
      </c>
      <c r="L90" s="8">
        <v>541</v>
      </c>
      <c r="M90" s="8">
        <v>2330089</v>
      </c>
      <c r="N90" s="9"/>
      <c r="O90" s="8">
        <v>1128975</v>
      </c>
      <c r="P90" s="9"/>
      <c r="Q90" s="8">
        <v>1431508</v>
      </c>
      <c r="R90" s="9"/>
      <c r="S90" s="8">
        <v>795627</v>
      </c>
      <c r="T90" s="9"/>
      <c r="U90" s="8">
        <v>782959</v>
      </c>
      <c r="V90" s="9"/>
      <c r="W90" s="33">
        <v>6469158</v>
      </c>
      <c r="X90" s="9"/>
      <c r="Y90" s="30">
        <v>1222.25</v>
      </c>
      <c r="Z90" s="9"/>
      <c r="AA90" s="30">
        <v>596.54999999999995</v>
      </c>
      <c r="AB90" s="9"/>
      <c r="AC90" s="30">
        <v>728.15</v>
      </c>
      <c r="AD90" s="9"/>
      <c r="AE90" s="30">
        <v>432.6</v>
      </c>
      <c r="AF90" s="9"/>
      <c r="AG90" s="30">
        <v>366.7</v>
      </c>
      <c r="AH90" s="9"/>
      <c r="AI90" s="32">
        <v>3346.25</v>
      </c>
      <c r="AJ90" s="12"/>
      <c r="AK90" s="22">
        <v>108984175</v>
      </c>
      <c r="AM90" s="22">
        <v>49902992</v>
      </c>
      <c r="AO90" s="22">
        <v>56213556</v>
      </c>
      <c r="AQ90" s="22">
        <v>39903175</v>
      </c>
      <c r="AS90" s="26">
        <v>255003898</v>
      </c>
      <c r="AU90" s="23">
        <v>46.772500000000001</v>
      </c>
      <c r="AW90" s="23">
        <v>44.201999999999998</v>
      </c>
      <c r="AY90" s="23">
        <v>24.1251</v>
      </c>
      <c r="BA90" s="23">
        <v>50.153100000000002</v>
      </c>
      <c r="BC90" s="24">
        <v>39.418399999999998</v>
      </c>
      <c r="BE90" s="1" t="str">
        <f t="shared" si="1"/>
        <v>No</v>
      </c>
    </row>
    <row r="91" spans="1:57" ht="11.25" customHeight="1">
      <c r="A91" s="7" t="s">
        <v>639</v>
      </c>
      <c r="B91" s="7" t="s">
        <v>640</v>
      </c>
      <c r="C91" s="37" t="s">
        <v>73</v>
      </c>
      <c r="D91" s="296">
        <v>5015</v>
      </c>
      <c r="E91" s="297">
        <v>50015</v>
      </c>
      <c r="F91" s="27" t="s">
        <v>165</v>
      </c>
      <c r="G91" s="73" t="s">
        <v>158</v>
      </c>
      <c r="H91" s="35">
        <v>1780673</v>
      </c>
      <c r="I91" s="35">
        <v>545</v>
      </c>
      <c r="J91" s="37" t="s">
        <v>7</v>
      </c>
      <c r="K91" s="37" t="s">
        <v>159</v>
      </c>
      <c r="L91" s="8">
        <v>350</v>
      </c>
      <c r="M91" s="8">
        <v>2112240</v>
      </c>
      <c r="N91" s="9"/>
      <c r="O91" s="8">
        <v>563170</v>
      </c>
      <c r="P91" s="9"/>
      <c r="Q91" s="8">
        <v>158109</v>
      </c>
      <c r="R91" s="9"/>
      <c r="S91" s="8">
        <v>424376</v>
      </c>
      <c r="T91" s="9"/>
      <c r="U91" s="8">
        <v>0</v>
      </c>
      <c r="V91" s="9"/>
      <c r="W91" s="33">
        <v>3257895</v>
      </c>
      <c r="X91" s="9"/>
      <c r="Y91" s="30">
        <v>969.37</v>
      </c>
      <c r="Z91" s="9"/>
      <c r="AA91" s="30">
        <v>275.83999999999997</v>
      </c>
      <c r="AB91" s="9"/>
      <c r="AC91" s="30">
        <v>67.41</v>
      </c>
      <c r="AD91" s="9"/>
      <c r="AE91" s="30">
        <v>224.92</v>
      </c>
      <c r="AF91" s="9"/>
      <c r="AG91" s="30">
        <v>0</v>
      </c>
      <c r="AH91" s="9"/>
      <c r="AI91" s="32">
        <v>1537.54</v>
      </c>
      <c r="AJ91" s="12"/>
      <c r="AK91" s="22">
        <v>48110388</v>
      </c>
      <c r="AM91" s="22">
        <v>14383597</v>
      </c>
      <c r="AO91" s="22">
        <v>3277295</v>
      </c>
      <c r="AQ91" s="22">
        <v>13887290</v>
      </c>
      <c r="AS91" s="26">
        <v>79658570</v>
      </c>
      <c r="AU91" s="23">
        <v>22.777000000000001</v>
      </c>
      <c r="AW91" s="23">
        <v>25.540400000000002</v>
      </c>
      <c r="AY91" s="23">
        <v>1.5516000000000001</v>
      </c>
      <c r="BA91" s="23">
        <v>32.723999999999997</v>
      </c>
      <c r="BC91" s="24">
        <v>24.450900000000001</v>
      </c>
      <c r="BE91" s="1" t="str">
        <f t="shared" si="1"/>
        <v>No</v>
      </c>
    </row>
    <row r="92" spans="1:57" ht="11.25" customHeight="1">
      <c r="A92" s="7" t="s">
        <v>639</v>
      </c>
      <c r="B92" s="7" t="s">
        <v>640</v>
      </c>
      <c r="C92" s="37" t="s">
        <v>73</v>
      </c>
      <c r="D92" s="296">
        <v>5015</v>
      </c>
      <c r="E92" s="297">
        <v>50015</v>
      </c>
      <c r="F92" s="27" t="s">
        <v>165</v>
      </c>
      <c r="G92" s="73" t="s">
        <v>158</v>
      </c>
      <c r="H92" s="35">
        <v>1780673</v>
      </c>
      <c r="I92" s="35">
        <v>545</v>
      </c>
      <c r="J92" s="37" t="s">
        <v>10</v>
      </c>
      <c r="K92" s="37" t="s">
        <v>159</v>
      </c>
      <c r="L92" s="8">
        <v>68</v>
      </c>
      <c r="M92" s="8">
        <v>340646</v>
      </c>
      <c r="N92" s="9"/>
      <c r="O92" s="8">
        <v>58797</v>
      </c>
      <c r="P92" s="9"/>
      <c r="Q92" s="8">
        <v>30214</v>
      </c>
      <c r="R92" s="9"/>
      <c r="S92" s="8">
        <v>67995</v>
      </c>
      <c r="T92" s="9"/>
      <c r="U92" s="8">
        <v>0</v>
      </c>
      <c r="V92" s="9"/>
      <c r="W92" s="33">
        <v>497652</v>
      </c>
      <c r="X92" s="9"/>
      <c r="Y92" s="30">
        <v>157.52000000000001</v>
      </c>
      <c r="Z92" s="9"/>
      <c r="AA92" s="30">
        <v>27</v>
      </c>
      <c r="AB92" s="9"/>
      <c r="AC92" s="30">
        <v>15.63</v>
      </c>
      <c r="AD92" s="9"/>
      <c r="AE92" s="30">
        <v>37.9</v>
      </c>
      <c r="AF92" s="9"/>
      <c r="AG92" s="30">
        <v>0</v>
      </c>
      <c r="AH92" s="9"/>
      <c r="AI92" s="32">
        <v>238.05</v>
      </c>
      <c r="AJ92" s="12"/>
      <c r="AK92" s="22">
        <v>6646964</v>
      </c>
      <c r="AM92" s="22">
        <v>1606193</v>
      </c>
      <c r="AO92" s="22">
        <v>605672</v>
      </c>
      <c r="AQ92" s="22">
        <v>2536630</v>
      </c>
      <c r="AS92" s="26">
        <v>11395459</v>
      </c>
      <c r="AU92" s="23">
        <v>19.512799999999999</v>
      </c>
      <c r="AW92" s="23">
        <v>27.317599999999999</v>
      </c>
      <c r="AY92" s="23">
        <v>1.778</v>
      </c>
      <c r="BA92" s="23">
        <v>37.306100000000001</v>
      </c>
      <c r="BC92" s="24">
        <v>22.898399999999999</v>
      </c>
      <c r="BE92" s="1" t="str">
        <f t="shared" si="1"/>
        <v>No</v>
      </c>
    </row>
    <row r="93" spans="1:57" ht="11.25" customHeight="1">
      <c r="A93" s="7" t="s">
        <v>639</v>
      </c>
      <c r="B93" s="7" t="s">
        <v>640</v>
      </c>
      <c r="C93" s="37" t="s">
        <v>73</v>
      </c>
      <c r="D93" s="296">
        <v>5015</v>
      </c>
      <c r="E93" s="297">
        <v>50015</v>
      </c>
      <c r="F93" s="27" t="s">
        <v>165</v>
      </c>
      <c r="G93" s="73" t="s">
        <v>158</v>
      </c>
      <c r="H93" s="35">
        <v>1780673</v>
      </c>
      <c r="I93" s="35">
        <v>545</v>
      </c>
      <c r="J93" s="37" t="s">
        <v>20</v>
      </c>
      <c r="K93" s="37" t="s">
        <v>159</v>
      </c>
      <c r="L93" s="8">
        <v>20</v>
      </c>
      <c r="M93" s="8">
        <v>230757</v>
      </c>
      <c r="N93" s="9"/>
      <c r="O93" s="8">
        <v>162162</v>
      </c>
      <c r="P93" s="9"/>
      <c r="Q93" s="8">
        <v>276899</v>
      </c>
      <c r="R93" s="9"/>
      <c r="S93" s="8">
        <v>25418</v>
      </c>
      <c r="T93" s="9"/>
      <c r="U93" s="8">
        <v>0</v>
      </c>
      <c r="V93" s="9"/>
      <c r="W93" s="33">
        <v>695236</v>
      </c>
      <c r="X93" s="9"/>
      <c r="Y93" s="30">
        <v>106.18</v>
      </c>
      <c r="Z93" s="9"/>
      <c r="AA93" s="30">
        <v>69.67</v>
      </c>
      <c r="AB93" s="9"/>
      <c r="AC93" s="30">
        <v>121.12</v>
      </c>
      <c r="AD93" s="9"/>
      <c r="AE93" s="30">
        <v>14.28</v>
      </c>
      <c r="AF93" s="9"/>
      <c r="AG93" s="30">
        <v>0</v>
      </c>
      <c r="AH93" s="9"/>
      <c r="AI93" s="32">
        <v>311.25</v>
      </c>
      <c r="AJ93" s="12"/>
      <c r="AK93" s="22">
        <v>4494622</v>
      </c>
      <c r="AM93" s="22">
        <v>3942250</v>
      </c>
      <c r="AO93" s="22">
        <v>6852240</v>
      </c>
      <c r="AQ93" s="22">
        <v>852766</v>
      </c>
      <c r="AS93" s="26">
        <v>16141878</v>
      </c>
      <c r="AU93" s="23">
        <v>19.477699999999999</v>
      </c>
      <c r="AW93" s="23">
        <v>24.310600000000001</v>
      </c>
      <c r="AY93" s="23">
        <v>29.694600000000001</v>
      </c>
      <c r="BA93" s="23">
        <v>33.549700000000001</v>
      </c>
      <c r="BC93" s="24">
        <v>23.2178</v>
      </c>
      <c r="BE93" s="1" t="str">
        <f t="shared" si="1"/>
        <v>No</v>
      </c>
    </row>
    <row r="94" spans="1:57" ht="11.25" customHeight="1">
      <c r="A94" s="7" t="s">
        <v>639</v>
      </c>
      <c r="B94" s="7" t="s">
        <v>640</v>
      </c>
      <c r="C94" s="37" t="s">
        <v>73</v>
      </c>
      <c r="D94" s="296">
        <v>5015</v>
      </c>
      <c r="E94" s="297">
        <v>50015</v>
      </c>
      <c r="F94" s="27" t="s">
        <v>165</v>
      </c>
      <c r="G94" s="73" t="s">
        <v>158</v>
      </c>
      <c r="H94" s="35">
        <v>1780673</v>
      </c>
      <c r="I94" s="35">
        <v>545</v>
      </c>
      <c r="J94" s="37" t="s">
        <v>22</v>
      </c>
      <c r="K94" s="37" t="s">
        <v>159</v>
      </c>
      <c r="L94" s="8">
        <v>14</v>
      </c>
      <c r="M94" s="8">
        <v>68972</v>
      </c>
      <c r="N94" s="9"/>
      <c r="O94" s="8">
        <v>18477</v>
      </c>
      <c r="P94" s="9"/>
      <c r="Q94" s="8">
        <v>5917</v>
      </c>
      <c r="R94" s="9"/>
      <c r="S94" s="8">
        <v>15985</v>
      </c>
      <c r="T94" s="9"/>
      <c r="U94" s="8">
        <v>0</v>
      </c>
      <c r="V94" s="9"/>
      <c r="W94" s="33">
        <v>109351</v>
      </c>
      <c r="X94" s="9"/>
      <c r="Y94" s="30">
        <v>33.17</v>
      </c>
      <c r="Z94" s="9"/>
      <c r="AA94" s="30">
        <v>9.16</v>
      </c>
      <c r="AB94" s="9"/>
      <c r="AC94" s="30">
        <v>2.5</v>
      </c>
      <c r="AD94" s="9"/>
      <c r="AE94" s="30">
        <v>8.8800000000000008</v>
      </c>
      <c r="AF94" s="9"/>
      <c r="AG94" s="30">
        <v>0</v>
      </c>
      <c r="AH94" s="9"/>
      <c r="AI94" s="32">
        <v>53.71</v>
      </c>
      <c r="AJ94" s="12"/>
      <c r="AK94" s="22">
        <v>1616224</v>
      </c>
      <c r="AM94" s="22">
        <v>420640</v>
      </c>
      <c r="AO94" s="22">
        <v>107007</v>
      </c>
      <c r="AQ94" s="22">
        <v>622133</v>
      </c>
      <c r="AS94" s="26">
        <v>2766004</v>
      </c>
      <c r="AU94" s="23">
        <v>23.433</v>
      </c>
      <c r="AW94" s="23">
        <v>22.765599999999999</v>
      </c>
      <c r="AY94" s="23">
        <v>1.5515000000000001</v>
      </c>
      <c r="BA94" s="23">
        <v>38.919800000000002</v>
      </c>
      <c r="BC94" s="24">
        <v>25.294699999999999</v>
      </c>
      <c r="BE94" s="1" t="str">
        <f t="shared" si="1"/>
        <v>No</v>
      </c>
    </row>
    <row r="95" spans="1:57" ht="11.25" customHeight="1">
      <c r="A95" s="7" t="s">
        <v>639</v>
      </c>
      <c r="B95" s="7" t="s">
        <v>640</v>
      </c>
      <c r="C95" s="37" t="s">
        <v>73</v>
      </c>
      <c r="D95" s="296">
        <v>5015</v>
      </c>
      <c r="E95" s="297">
        <v>50015</v>
      </c>
      <c r="F95" s="27" t="s">
        <v>165</v>
      </c>
      <c r="G95" s="73" t="s">
        <v>158</v>
      </c>
      <c r="H95" s="35">
        <v>1780673</v>
      </c>
      <c r="I95" s="35">
        <v>545</v>
      </c>
      <c r="J95" s="37" t="s">
        <v>21</v>
      </c>
      <c r="K95" s="37" t="s">
        <v>159</v>
      </c>
      <c r="L95" s="8">
        <v>13</v>
      </c>
      <c r="M95" s="8">
        <v>107465</v>
      </c>
      <c r="N95" s="9"/>
      <c r="O95" s="8">
        <v>47315</v>
      </c>
      <c r="P95" s="9"/>
      <c r="Q95" s="8">
        <v>80792</v>
      </c>
      <c r="R95" s="9"/>
      <c r="S95" s="8">
        <v>17792</v>
      </c>
      <c r="T95" s="9"/>
      <c r="U95" s="8">
        <v>0</v>
      </c>
      <c r="V95" s="9"/>
      <c r="W95" s="33">
        <v>253364</v>
      </c>
      <c r="X95" s="9"/>
      <c r="Y95" s="30">
        <v>49.74</v>
      </c>
      <c r="Z95" s="9"/>
      <c r="AA95" s="30">
        <v>20.329999999999998</v>
      </c>
      <c r="AB95" s="9"/>
      <c r="AC95" s="30">
        <v>35.340000000000003</v>
      </c>
      <c r="AD95" s="9"/>
      <c r="AE95" s="30">
        <v>10</v>
      </c>
      <c r="AF95" s="9"/>
      <c r="AG95" s="30">
        <v>0</v>
      </c>
      <c r="AH95" s="9"/>
      <c r="AI95" s="32">
        <v>115.41</v>
      </c>
      <c r="AJ95" s="12"/>
      <c r="AK95" s="22">
        <v>2083982</v>
      </c>
      <c r="AM95" s="22">
        <v>1158831</v>
      </c>
      <c r="AO95" s="22">
        <v>2014227</v>
      </c>
      <c r="AQ95" s="22">
        <v>554297</v>
      </c>
      <c r="AS95" s="26">
        <v>5811337</v>
      </c>
      <c r="AU95" s="23">
        <v>19.392199999999999</v>
      </c>
      <c r="AW95" s="23">
        <v>24.491800000000001</v>
      </c>
      <c r="AY95" s="23">
        <v>18.743099999999998</v>
      </c>
      <c r="BA95" s="23">
        <v>31.154299999999999</v>
      </c>
      <c r="BC95" s="24">
        <v>22.936699999999998</v>
      </c>
      <c r="BE95" s="1" t="str">
        <f t="shared" si="1"/>
        <v>No</v>
      </c>
    </row>
    <row r="96" spans="1:57" ht="11.25" customHeight="1">
      <c r="A96" s="7" t="s">
        <v>53</v>
      </c>
      <c r="B96" s="7" t="s">
        <v>767</v>
      </c>
      <c r="C96" s="37" t="s">
        <v>52</v>
      </c>
      <c r="D96" s="296">
        <v>5193</v>
      </c>
      <c r="E96" s="297">
        <v>50193</v>
      </c>
      <c r="F96" s="27" t="s">
        <v>243</v>
      </c>
      <c r="G96" s="73" t="s">
        <v>158</v>
      </c>
      <c r="H96" s="35">
        <v>3734090</v>
      </c>
      <c r="I96" s="35">
        <v>537</v>
      </c>
      <c r="J96" s="37" t="s">
        <v>8</v>
      </c>
      <c r="K96" s="37" t="s">
        <v>159</v>
      </c>
      <c r="L96" s="8">
        <v>537</v>
      </c>
      <c r="M96" s="8">
        <v>0</v>
      </c>
      <c r="N96" s="9"/>
      <c r="O96" s="8">
        <v>0</v>
      </c>
      <c r="P96" s="9"/>
      <c r="Q96" s="8">
        <v>0</v>
      </c>
      <c r="R96" s="9"/>
      <c r="S96" s="8">
        <v>8579</v>
      </c>
      <c r="T96" s="9"/>
      <c r="U96" s="8">
        <v>0</v>
      </c>
      <c r="V96" s="9"/>
      <c r="W96" s="33">
        <v>8579</v>
      </c>
      <c r="X96" s="9"/>
      <c r="Y96" s="30">
        <v>0</v>
      </c>
      <c r="Z96" s="9"/>
      <c r="AA96" s="30">
        <v>0</v>
      </c>
      <c r="AB96" s="9"/>
      <c r="AC96" s="30">
        <v>0</v>
      </c>
      <c r="AD96" s="9"/>
      <c r="AE96" s="30">
        <v>7</v>
      </c>
      <c r="AF96" s="9"/>
      <c r="AG96" s="30">
        <v>0</v>
      </c>
      <c r="AH96" s="9"/>
      <c r="AI96" s="32">
        <v>7</v>
      </c>
      <c r="AJ96" s="12"/>
      <c r="AK96" s="22">
        <v>0</v>
      </c>
      <c r="AM96" s="22">
        <v>0</v>
      </c>
      <c r="AO96" s="22">
        <v>0</v>
      </c>
      <c r="AQ96" s="22">
        <v>289762</v>
      </c>
      <c r="AS96" s="26">
        <v>289762</v>
      </c>
      <c r="BA96" s="23">
        <v>33.775700000000001</v>
      </c>
      <c r="BC96" s="24">
        <v>33.775700000000001</v>
      </c>
      <c r="BE96" s="1" t="str">
        <f t="shared" si="1"/>
        <v>No</v>
      </c>
    </row>
    <row r="97" spans="1:57" ht="11.25" customHeight="1">
      <c r="A97" s="7" t="s">
        <v>546</v>
      </c>
      <c r="B97" s="7" t="s">
        <v>547</v>
      </c>
      <c r="C97" s="37" t="s">
        <v>89</v>
      </c>
      <c r="D97" s="296">
        <v>3</v>
      </c>
      <c r="E97" s="297">
        <v>3</v>
      </c>
      <c r="F97" s="27" t="s">
        <v>165</v>
      </c>
      <c r="G97" s="73" t="s">
        <v>158</v>
      </c>
      <c r="H97" s="35">
        <v>3059393</v>
      </c>
      <c r="I97" s="35">
        <v>533</v>
      </c>
      <c r="J97" s="37" t="s">
        <v>8</v>
      </c>
      <c r="K97" s="37" t="s">
        <v>159</v>
      </c>
      <c r="L97" s="8">
        <v>324</v>
      </c>
      <c r="M97" s="8">
        <v>14154</v>
      </c>
      <c r="N97" s="9"/>
      <c r="O97" s="8">
        <v>9808</v>
      </c>
      <c r="P97" s="9"/>
      <c r="Q97" s="8">
        <v>1960</v>
      </c>
      <c r="R97" s="9"/>
      <c r="S97" s="8">
        <v>8937</v>
      </c>
      <c r="T97" s="9"/>
      <c r="U97" s="8">
        <v>0</v>
      </c>
      <c r="V97" s="9"/>
      <c r="W97" s="33">
        <v>34859</v>
      </c>
      <c r="X97" s="9"/>
      <c r="Y97" s="30">
        <v>8.1999999999999993</v>
      </c>
      <c r="Z97" s="9"/>
      <c r="AA97" s="30">
        <v>5.2</v>
      </c>
      <c r="AB97" s="9"/>
      <c r="AC97" s="30">
        <v>1.08</v>
      </c>
      <c r="AD97" s="9"/>
      <c r="AE97" s="30">
        <v>5.22</v>
      </c>
      <c r="AF97" s="9"/>
      <c r="AG97" s="30">
        <v>0</v>
      </c>
      <c r="AH97" s="9"/>
      <c r="AI97" s="32">
        <v>19.7</v>
      </c>
      <c r="AJ97" s="12"/>
      <c r="AK97" s="22">
        <v>542392</v>
      </c>
      <c r="AM97" s="22">
        <v>287844</v>
      </c>
      <c r="AO97" s="22">
        <v>47546</v>
      </c>
      <c r="AQ97" s="22">
        <v>307906</v>
      </c>
      <c r="AS97" s="26">
        <v>1185688</v>
      </c>
      <c r="AU97" s="23">
        <v>38.320799999999998</v>
      </c>
      <c r="AW97" s="23">
        <v>29.347899999999999</v>
      </c>
      <c r="AY97" s="23">
        <v>3.3592</v>
      </c>
      <c r="BA97" s="23">
        <v>34.4529</v>
      </c>
      <c r="BC97" s="24">
        <v>34.013800000000003</v>
      </c>
      <c r="BE97" s="1" t="str">
        <f t="shared" si="1"/>
        <v>No</v>
      </c>
    </row>
    <row r="98" spans="1:57" ht="11.25" customHeight="1">
      <c r="A98" s="7" t="s">
        <v>546</v>
      </c>
      <c r="B98" s="7" t="s">
        <v>547</v>
      </c>
      <c r="C98" s="37" t="s">
        <v>89</v>
      </c>
      <c r="D98" s="296">
        <v>3</v>
      </c>
      <c r="E98" s="297">
        <v>3</v>
      </c>
      <c r="F98" s="27" t="s">
        <v>165</v>
      </c>
      <c r="G98" s="73" t="s">
        <v>158</v>
      </c>
      <c r="H98" s="35">
        <v>3059393</v>
      </c>
      <c r="I98" s="35">
        <v>533</v>
      </c>
      <c r="J98" s="37" t="s">
        <v>7</v>
      </c>
      <c r="K98" s="37" t="s">
        <v>159</v>
      </c>
      <c r="L98" s="8">
        <v>118</v>
      </c>
      <c r="M98" s="8">
        <v>638806</v>
      </c>
      <c r="N98" s="9"/>
      <c r="O98" s="8">
        <v>79830</v>
      </c>
      <c r="P98" s="9"/>
      <c r="Q98" s="8">
        <v>43341</v>
      </c>
      <c r="R98" s="9"/>
      <c r="S98" s="8">
        <v>129398</v>
      </c>
      <c r="T98" s="9"/>
      <c r="U98" s="8">
        <v>0</v>
      </c>
      <c r="V98" s="9"/>
      <c r="W98" s="33">
        <v>891375</v>
      </c>
      <c r="X98" s="9"/>
      <c r="Y98" s="30">
        <v>337.02</v>
      </c>
      <c r="Z98" s="9"/>
      <c r="AA98" s="30">
        <v>46.25</v>
      </c>
      <c r="AB98" s="9"/>
      <c r="AC98" s="30">
        <v>24.47</v>
      </c>
      <c r="AD98" s="9"/>
      <c r="AE98" s="30">
        <v>75.02</v>
      </c>
      <c r="AF98" s="9"/>
      <c r="AG98" s="30">
        <v>0</v>
      </c>
      <c r="AH98" s="9"/>
      <c r="AI98" s="32">
        <v>482.76</v>
      </c>
      <c r="AJ98" s="12"/>
      <c r="AK98" s="22">
        <v>19155695</v>
      </c>
      <c r="AM98" s="22">
        <v>2407282</v>
      </c>
      <c r="AO98" s="22">
        <v>1289597</v>
      </c>
      <c r="AQ98" s="22">
        <v>5095361</v>
      </c>
      <c r="AS98" s="26">
        <v>27947935</v>
      </c>
      <c r="AU98" s="23">
        <v>29.986699999999999</v>
      </c>
      <c r="AW98" s="23">
        <v>30.155100000000001</v>
      </c>
      <c r="AY98" s="23">
        <v>2.0188000000000001</v>
      </c>
      <c r="BA98" s="23">
        <v>39.377400000000002</v>
      </c>
      <c r="BC98" s="24">
        <v>31.3537</v>
      </c>
      <c r="BE98" s="1" t="str">
        <f t="shared" si="1"/>
        <v>No</v>
      </c>
    </row>
    <row r="99" spans="1:57" ht="11.25" customHeight="1">
      <c r="A99" s="7" t="s">
        <v>546</v>
      </c>
      <c r="B99" s="7" t="s">
        <v>547</v>
      </c>
      <c r="C99" s="37" t="s">
        <v>89</v>
      </c>
      <c r="D99" s="296">
        <v>3</v>
      </c>
      <c r="E99" s="297">
        <v>3</v>
      </c>
      <c r="F99" s="27" t="s">
        <v>165</v>
      </c>
      <c r="G99" s="73" t="s">
        <v>158</v>
      </c>
      <c r="H99" s="35">
        <v>3059393</v>
      </c>
      <c r="I99" s="35">
        <v>533</v>
      </c>
      <c r="J99" s="37" t="s">
        <v>10</v>
      </c>
      <c r="K99" s="37" t="s">
        <v>159</v>
      </c>
      <c r="L99" s="8">
        <v>31</v>
      </c>
      <c r="M99" s="8">
        <v>61120</v>
      </c>
      <c r="N99" s="9"/>
      <c r="O99" s="8">
        <v>6673</v>
      </c>
      <c r="P99" s="9"/>
      <c r="Q99" s="8">
        <v>1298</v>
      </c>
      <c r="R99" s="9"/>
      <c r="S99" s="8">
        <v>20700</v>
      </c>
      <c r="T99" s="9"/>
      <c r="U99" s="8">
        <v>0</v>
      </c>
      <c r="V99" s="9"/>
      <c r="W99" s="33">
        <v>89791</v>
      </c>
      <c r="X99" s="9"/>
      <c r="Y99" s="30">
        <v>30.97</v>
      </c>
      <c r="Z99" s="9"/>
      <c r="AA99" s="30">
        <v>3.55</v>
      </c>
      <c r="AB99" s="9"/>
      <c r="AC99" s="30">
        <v>0.78</v>
      </c>
      <c r="AD99" s="9"/>
      <c r="AE99" s="30">
        <v>12.11</v>
      </c>
      <c r="AF99" s="9"/>
      <c r="AG99" s="30">
        <v>0</v>
      </c>
      <c r="AH99" s="9"/>
      <c r="AI99" s="32">
        <v>47.41</v>
      </c>
      <c r="AJ99" s="12"/>
      <c r="AK99" s="22">
        <v>2167723</v>
      </c>
      <c r="AM99" s="22">
        <v>228727</v>
      </c>
      <c r="AO99" s="22">
        <v>49796</v>
      </c>
      <c r="AQ99" s="22">
        <v>691975</v>
      </c>
      <c r="AS99" s="26">
        <v>3138221</v>
      </c>
      <c r="AU99" s="23">
        <v>35.466700000000003</v>
      </c>
      <c r="AW99" s="23">
        <v>34.276499999999999</v>
      </c>
      <c r="AY99" s="23">
        <v>0.81469999999999998</v>
      </c>
      <c r="BA99" s="23">
        <v>33.428699999999999</v>
      </c>
      <c r="BC99" s="24">
        <v>34.950299999999999</v>
      </c>
      <c r="BE99" s="1" t="str">
        <f t="shared" si="1"/>
        <v>No</v>
      </c>
    </row>
    <row r="100" spans="1:57" ht="11.25" customHeight="1">
      <c r="A100" s="7" t="s">
        <v>349</v>
      </c>
      <c r="B100" s="7" t="s">
        <v>350</v>
      </c>
      <c r="C100" s="37" t="s">
        <v>31</v>
      </c>
      <c r="D100" s="296">
        <v>3075</v>
      </c>
      <c r="E100" s="297">
        <v>30075</v>
      </c>
      <c r="F100" s="27" t="s">
        <v>165</v>
      </c>
      <c r="G100" s="73" t="s">
        <v>158</v>
      </c>
      <c r="H100" s="35">
        <v>5441567</v>
      </c>
      <c r="I100" s="35">
        <v>481</v>
      </c>
      <c r="J100" s="37" t="s">
        <v>10</v>
      </c>
      <c r="K100" s="37" t="s">
        <v>159</v>
      </c>
      <c r="L100" s="8">
        <v>265</v>
      </c>
      <c r="M100" s="8">
        <v>820189</v>
      </c>
      <c r="N100" s="9"/>
      <c r="O100" s="8">
        <v>82960</v>
      </c>
      <c r="P100" s="9"/>
      <c r="Q100" s="8">
        <v>11270</v>
      </c>
      <c r="R100" s="9"/>
      <c r="S100" s="8">
        <v>137872</v>
      </c>
      <c r="T100" s="9"/>
      <c r="U100" s="8">
        <v>0</v>
      </c>
      <c r="V100" s="9"/>
      <c r="W100" s="33">
        <v>1052291</v>
      </c>
      <c r="X100" s="9"/>
      <c r="Y100" s="30">
        <v>391</v>
      </c>
      <c r="Z100" s="9"/>
      <c r="AA100" s="30">
        <v>44</v>
      </c>
      <c r="AB100" s="9"/>
      <c r="AC100" s="30">
        <v>7</v>
      </c>
      <c r="AD100" s="9"/>
      <c r="AE100" s="30">
        <v>87</v>
      </c>
      <c r="AF100" s="9"/>
      <c r="AG100" s="30">
        <v>0</v>
      </c>
      <c r="AH100" s="9"/>
      <c r="AI100" s="32">
        <v>529</v>
      </c>
      <c r="AJ100" s="12"/>
      <c r="AK100" s="22">
        <v>15515466</v>
      </c>
      <c r="AM100" s="22">
        <v>1665664</v>
      </c>
      <c r="AO100" s="22">
        <v>239712</v>
      </c>
      <c r="AQ100" s="22">
        <v>3376544</v>
      </c>
      <c r="AS100" s="26">
        <v>20797386</v>
      </c>
      <c r="AU100" s="23">
        <v>18.916899999999998</v>
      </c>
      <c r="AW100" s="23">
        <v>20.0779</v>
      </c>
      <c r="AY100" s="23">
        <v>0.2923</v>
      </c>
      <c r="BA100" s="23">
        <v>24.490400000000001</v>
      </c>
      <c r="BC100" s="24">
        <v>19.7639</v>
      </c>
      <c r="BE100" s="1" t="str">
        <f t="shared" si="1"/>
        <v>No</v>
      </c>
    </row>
    <row r="101" spans="1:57" ht="11.25" customHeight="1">
      <c r="A101" s="7" t="s">
        <v>349</v>
      </c>
      <c r="B101" s="7" t="s">
        <v>350</v>
      </c>
      <c r="C101" s="37" t="s">
        <v>31</v>
      </c>
      <c r="D101" s="296">
        <v>3075</v>
      </c>
      <c r="E101" s="297">
        <v>30075</v>
      </c>
      <c r="F101" s="27" t="s">
        <v>165</v>
      </c>
      <c r="G101" s="73" t="s">
        <v>158</v>
      </c>
      <c r="H101" s="35">
        <v>5441567</v>
      </c>
      <c r="I101" s="35">
        <v>481</v>
      </c>
      <c r="J101" s="37" t="s">
        <v>7</v>
      </c>
      <c r="K101" s="37" t="s">
        <v>159</v>
      </c>
      <c r="L101" s="8">
        <v>173</v>
      </c>
      <c r="M101" s="8">
        <v>634392</v>
      </c>
      <c r="N101" s="9"/>
      <c r="O101" s="8">
        <v>157279</v>
      </c>
      <c r="P101" s="9"/>
      <c r="Q101" s="8">
        <v>7468</v>
      </c>
      <c r="R101" s="9"/>
      <c r="S101" s="8">
        <v>91367</v>
      </c>
      <c r="T101" s="9"/>
      <c r="U101" s="8">
        <v>0</v>
      </c>
      <c r="V101" s="9"/>
      <c r="W101" s="33">
        <v>890506</v>
      </c>
      <c r="X101" s="9"/>
      <c r="Y101" s="30">
        <v>288</v>
      </c>
      <c r="Z101" s="9"/>
      <c r="AA101" s="30">
        <v>84</v>
      </c>
      <c r="AB101" s="9"/>
      <c r="AC101" s="30">
        <v>6</v>
      </c>
      <c r="AD101" s="9"/>
      <c r="AE101" s="30">
        <v>57</v>
      </c>
      <c r="AF101" s="9"/>
      <c r="AG101" s="30">
        <v>0</v>
      </c>
      <c r="AH101" s="9"/>
      <c r="AI101" s="32">
        <v>435</v>
      </c>
      <c r="AJ101" s="12"/>
      <c r="AK101" s="22">
        <v>14086304</v>
      </c>
      <c r="AM101" s="22">
        <v>3827953</v>
      </c>
      <c r="AO101" s="22">
        <v>166174</v>
      </c>
      <c r="AQ101" s="22">
        <v>2237630</v>
      </c>
      <c r="AS101" s="26">
        <v>20318061</v>
      </c>
      <c r="AU101" s="23">
        <v>22.2044</v>
      </c>
      <c r="AW101" s="23">
        <v>24.3386</v>
      </c>
      <c r="AY101" s="23">
        <v>0.26190000000000002</v>
      </c>
      <c r="BA101" s="23">
        <v>24.490600000000001</v>
      </c>
      <c r="BC101" s="24">
        <v>22.816299999999998</v>
      </c>
      <c r="BE101" s="1" t="str">
        <f t="shared" si="1"/>
        <v>No</v>
      </c>
    </row>
    <row r="102" spans="1:57" ht="11.25" customHeight="1">
      <c r="A102" s="7" t="s">
        <v>217</v>
      </c>
      <c r="B102" s="7" t="s">
        <v>218</v>
      </c>
      <c r="C102" s="37" t="s">
        <v>55</v>
      </c>
      <c r="D102" s="296">
        <v>7006</v>
      </c>
      <c r="E102" s="297">
        <v>70006</v>
      </c>
      <c r="F102" s="27" t="s">
        <v>165</v>
      </c>
      <c r="G102" s="73" t="s">
        <v>158</v>
      </c>
      <c r="H102" s="35">
        <v>2150706</v>
      </c>
      <c r="I102" s="35">
        <v>480</v>
      </c>
      <c r="J102" s="37" t="s">
        <v>7</v>
      </c>
      <c r="K102" s="37" t="s">
        <v>159</v>
      </c>
      <c r="L102" s="8">
        <v>321</v>
      </c>
      <c r="M102" s="8">
        <v>2022551</v>
      </c>
      <c r="N102" s="9"/>
      <c r="O102" s="8">
        <v>417896</v>
      </c>
      <c r="P102" s="9"/>
      <c r="Q102" s="8">
        <v>135233</v>
      </c>
      <c r="R102" s="9"/>
      <c r="S102" s="8">
        <v>266142</v>
      </c>
      <c r="T102" s="9"/>
      <c r="U102" s="8">
        <v>12086</v>
      </c>
      <c r="V102" s="9"/>
      <c r="W102" s="33">
        <v>2853908</v>
      </c>
      <c r="X102" s="9"/>
      <c r="Y102" s="30">
        <v>1040.31</v>
      </c>
      <c r="Z102" s="9"/>
      <c r="AA102" s="30">
        <v>218.92</v>
      </c>
      <c r="AB102" s="9"/>
      <c r="AC102" s="30">
        <v>66.72</v>
      </c>
      <c r="AD102" s="9"/>
      <c r="AE102" s="30">
        <v>163.59</v>
      </c>
      <c r="AF102" s="9"/>
      <c r="AG102" s="30">
        <v>5.82</v>
      </c>
      <c r="AH102" s="9"/>
      <c r="AI102" s="32">
        <v>1495.36</v>
      </c>
      <c r="AJ102" s="12"/>
      <c r="AK102" s="22">
        <v>45138854</v>
      </c>
      <c r="AM102" s="22">
        <v>11123407</v>
      </c>
      <c r="AO102" s="22">
        <v>3507842</v>
      </c>
      <c r="AQ102" s="22">
        <v>8047639</v>
      </c>
      <c r="AS102" s="26">
        <v>67817742</v>
      </c>
      <c r="AU102" s="23">
        <v>22.317799999999998</v>
      </c>
      <c r="AW102" s="23">
        <v>26.617599999999999</v>
      </c>
      <c r="AY102" s="23">
        <v>1.7343999999999999</v>
      </c>
      <c r="BA102" s="23">
        <v>30.238099999999999</v>
      </c>
      <c r="BC102" s="24">
        <v>23.763100000000001</v>
      </c>
      <c r="BE102" s="1" t="str">
        <f t="shared" si="1"/>
        <v>No</v>
      </c>
    </row>
    <row r="103" spans="1:57" ht="11.25" customHeight="1">
      <c r="A103" s="7" t="s">
        <v>217</v>
      </c>
      <c r="B103" s="7" t="s">
        <v>218</v>
      </c>
      <c r="C103" s="37" t="s">
        <v>55</v>
      </c>
      <c r="D103" s="296">
        <v>7006</v>
      </c>
      <c r="E103" s="297">
        <v>70006</v>
      </c>
      <c r="F103" s="27" t="s">
        <v>165</v>
      </c>
      <c r="G103" s="73" t="s">
        <v>158</v>
      </c>
      <c r="H103" s="35">
        <v>2150706</v>
      </c>
      <c r="I103" s="35">
        <v>480</v>
      </c>
      <c r="J103" s="37" t="s">
        <v>10</v>
      </c>
      <c r="K103" s="37" t="s">
        <v>159</v>
      </c>
      <c r="L103" s="8">
        <v>101</v>
      </c>
      <c r="M103" s="8">
        <v>511673</v>
      </c>
      <c r="N103" s="9"/>
      <c r="O103" s="8">
        <v>60038</v>
      </c>
      <c r="P103" s="9"/>
      <c r="Q103" s="8">
        <v>7629</v>
      </c>
      <c r="R103" s="9"/>
      <c r="S103" s="8">
        <v>29525</v>
      </c>
      <c r="T103" s="9"/>
      <c r="U103" s="8">
        <v>837</v>
      </c>
      <c r="V103" s="9"/>
      <c r="W103" s="33">
        <v>609702</v>
      </c>
      <c r="X103" s="9"/>
      <c r="Y103" s="30">
        <v>255.44</v>
      </c>
      <c r="Z103" s="9"/>
      <c r="AA103" s="30">
        <v>28.76</v>
      </c>
      <c r="AB103" s="9"/>
      <c r="AC103" s="30">
        <v>4.25</v>
      </c>
      <c r="AD103" s="9"/>
      <c r="AE103" s="30">
        <v>19.8</v>
      </c>
      <c r="AF103" s="9"/>
      <c r="AG103" s="30">
        <v>0.51</v>
      </c>
      <c r="AH103" s="9"/>
      <c r="AI103" s="32">
        <v>308.76</v>
      </c>
      <c r="AJ103" s="12"/>
      <c r="AK103" s="22">
        <v>8898064</v>
      </c>
      <c r="AM103" s="22">
        <v>1573297</v>
      </c>
      <c r="AO103" s="22">
        <v>203648</v>
      </c>
      <c r="AQ103" s="22">
        <v>1003717</v>
      </c>
      <c r="AS103" s="26">
        <v>11678726</v>
      </c>
      <c r="AU103" s="23">
        <v>17.3901</v>
      </c>
      <c r="AW103" s="23">
        <v>26.204999999999998</v>
      </c>
      <c r="AY103" s="23">
        <v>0.39800000000000002</v>
      </c>
      <c r="BA103" s="23">
        <v>33.9955</v>
      </c>
      <c r="BC103" s="24">
        <v>19.154800000000002</v>
      </c>
      <c r="BE103" s="1" t="str">
        <f t="shared" si="1"/>
        <v>No</v>
      </c>
    </row>
    <row r="104" spans="1:57" ht="11.25" customHeight="1">
      <c r="A104" s="7" t="s">
        <v>217</v>
      </c>
      <c r="B104" s="7" t="s">
        <v>218</v>
      </c>
      <c r="C104" s="37" t="s">
        <v>55</v>
      </c>
      <c r="D104" s="296">
        <v>7006</v>
      </c>
      <c r="E104" s="297">
        <v>70006</v>
      </c>
      <c r="F104" s="27" t="s">
        <v>165</v>
      </c>
      <c r="G104" s="73" t="s">
        <v>158</v>
      </c>
      <c r="H104" s="35">
        <v>2150706</v>
      </c>
      <c r="I104" s="35">
        <v>480</v>
      </c>
      <c r="J104" s="37" t="s">
        <v>21</v>
      </c>
      <c r="K104" s="37" t="s">
        <v>159</v>
      </c>
      <c r="L104" s="8">
        <v>58</v>
      </c>
      <c r="M104" s="8">
        <v>392522</v>
      </c>
      <c r="N104" s="9"/>
      <c r="O104" s="8">
        <v>122135</v>
      </c>
      <c r="P104" s="9"/>
      <c r="Q104" s="8">
        <v>220056</v>
      </c>
      <c r="R104" s="9"/>
      <c r="S104" s="8">
        <v>133679</v>
      </c>
      <c r="T104" s="9"/>
      <c r="U104" s="8">
        <v>29639</v>
      </c>
      <c r="V104" s="9"/>
      <c r="W104" s="33">
        <v>898031</v>
      </c>
      <c r="X104" s="9"/>
      <c r="Y104" s="30">
        <v>263.25</v>
      </c>
      <c r="Z104" s="9"/>
      <c r="AA104" s="30">
        <v>59.32</v>
      </c>
      <c r="AB104" s="9"/>
      <c r="AC104" s="30">
        <v>114.02</v>
      </c>
      <c r="AD104" s="9"/>
      <c r="AE104" s="30">
        <v>83.61</v>
      </c>
      <c r="AF104" s="9"/>
      <c r="AG104" s="30">
        <v>17.14</v>
      </c>
      <c r="AH104" s="9"/>
      <c r="AI104" s="32">
        <v>537.34</v>
      </c>
      <c r="AJ104" s="12"/>
      <c r="AK104" s="22">
        <v>10115419</v>
      </c>
      <c r="AM104" s="22">
        <v>3625293</v>
      </c>
      <c r="AO104" s="22">
        <v>6962983</v>
      </c>
      <c r="AQ104" s="22">
        <v>3849528</v>
      </c>
      <c r="AS104" s="26">
        <v>24553223</v>
      </c>
      <c r="AU104" s="23">
        <v>25.770299999999999</v>
      </c>
      <c r="AW104" s="23">
        <v>29.682700000000001</v>
      </c>
      <c r="AY104" s="23">
        <v>17.739100000000001</v>
      </c>
      <c r="BA104" s="23">
        <v>28.796800000000001</v>
      </c>
      <c r="BC104" s="24">
        <v>27.341200000000001</v>
      </c>
      <c r="BE104" s="1" t="str">
        <f t="shared" si="1"/>
        <v>No</v>
      </c>
    </row>
    <row r="105" spans="1:57" ht="11.25" customHeight="1">
      <c r="A105" s="7" t="s">
        <v>235</v>
      </c>
      <c r="B105" s="7" t="s">
        <v>236</v>
      </c>
      <c r="C105" s="37" t="s">
        <v>32</v>
      </c>
      <c r="D105" s="296">
        <v>4029</v>
      </c>
      <c r="E105" s="297">
        <v>40029</v>
      </c>
      <c r="F105" s="27" t="s">
        <v>162</v>
      </c>
      <c r="G105" s="73" t="s">
        <v>158</v>
      </c>
      <c r="H105" s="35">
        <v>5502379</v>
      </c>
      <c r="I105" s="35">
        <v>471</v>
      </c>
      <c r="J105" s="37" t="s">
        <v>7</v>
      </c>
      <c r="K105" s="37" t="s">
        <v>159</v>
      </c>
      <c r="L105" s="8">
        <v>273</v>
      </c>
      <c r="M105" s="8">
        <v>1620818</v>
      </c>
      <c r="N105" s="9"/>
      <c r="O105" s="8">
        <v>369000</v>
      </c>
      <c r="P105" s="9"/>
      <c r="Q105" s="8">
        <v>19299</v>
      </c>
      <c r="R105" s="9"/>
      <c r="S105" s="8">
        <v>192944</v>
      </c>
      <c r="T105" s="9"/>
      <c r="U105" s="8">
        <v>0</v>
      </c>
      <c r="V105" s="9"/>
      <c r="W105" s="33">
        <v>2202061</v>
      </c>
      <c r="X105" s="9"/>
      <c r="Y105" s="30">
        <v>752</v>
      </c>
      <c r="Z105" s="9"/>
      <c r="AA105" s="30">
        <v>180</v>
      </c>
      <c r="AB105" s="9"/>
      <c r="AC105" s="30">
        <v>13</v>
      </c>
      <c r="AD105" s="9"/>
      <c r="AE105" s="30">
        <v>110</v>
      </c>
      <c r="AF105" s="9"/>
      <c r="AG105" s="30">
        <v>0</v>
      </c>
      <c r="AH105" s="9"/>
      <c r="AI105" s="32">
        <v>1055</v>
      </c>
      <c r="AJ105" s="12"/>
      <c r="AK105" s="22">
        <v>39501897</v>
      </c>
      <c r="AM105" s="22">
        <v>11384693</v>
      </c>
      <c r="AO105" s="22">
        <v>499394</v>
      </c>
      <c r="AQ105" s="22">
        <v>6355259</v>
      </c>
      <c r="AS105" s="26">
        <v>57741243</v>
      </c>
      <c r="AU105" s="23">
        <v>24.371600000000001</v>
      </c>
      <c r="AW105" s="23">
        <v>30.852799999999998</v>
      </c>
      <c r="AY105" s="23">
        <v>0.30809999999999998</v>
      </c>
      <c r="BA105" s="23">
        <v>32.938400000000001</v>
      </c>
      <c r="BC105" s="24">
        <v>26.221499999999999</v>
      </c>
      <c r="BE105" s="1" t="str">
        <f t="shared" si="1"/>
        <v>No</v>
      </c>
    </row>
    <row r="106" spans="1:57" ht="11.25" customHeight="1">
      <c r="A106" s="7" t="s">
        <v>291</v>
      </c>
      <c r="B106" s="7" t="s">
        <v>292</v>
      </c>
      <c r="C106" s="37" t="s">
        <v>52</v>
      </c>
      <c r="D106" s="296">
        <v>5119</v>
      </c>
      <c r="E106" s="297">
        <v>50119</v>
      </c>
      <c r="F106" s="27" t="s">
        <v>162</v>
      </c>
      <c r="G106" s="73" t="s">
        <v>158</v>
      </c>
      <c r="H106" s="35">
        <v>3734090</v>
      </c>
      <c r="I106" s="35">
        <v>456</v>
      </c>
      <c r="J106" s="37" t="s">
        <v>7</v>
      </c>
      <c r="K106" s="37" t="s">
        <v>159</v>
      </c>
      <c r="L106" s="8">
        <v>230</v>
      </c>
      <c r="M106" s="8">
        <v>1353366</v>
      </c>
      <c r="N106" s="9"/>
      <c r="O106" s="8">
        <v>464181</v>
      </c>
      <c r="P106" s="9"/>
      <c r="Q106" s="8">
        <v>79509</v>
      </c>
      <c r="R106" s="9"/>
      <c r="S106" s="8">
        <v>50552</v>
      </c>
      <c r="T106" s="9"/>
      <c r="U106" s="8">
        <v>0</v>
      </c>
      <c r="V106" s="9"/>
      <c r="W106" s="33">
        <v>1947608</v>
      </c>
      <c r="X106" s="9"/>
      <c r="Y106" s="30">
        <v>597</v>
      </c>
      <c r="Z106" s="9"/>
      <c r="AA106" s="30">
        <v>185</v>
      </c>
      <c r="AB106" s="9"/>
      <c r="AC106" s="30">
        <v>33</v>
      </c>
      <c r="AD106" s="9"/>
      <c r="AE106" s="30">
        <v>29</v>
      </c>
      <c r="AF106" s="9"/>
      <c r="AG106" s="30">
        <v>0</v>
      </c>
      <c r="AH106" s="9"/>
      <c r="AI106" s="32">
        <v>844</v>
      </c>
      <c r="AJ106" s="12"/>
      <c r="AK106" s="22">
        <v>27724351</v>
      </c>
      <c r="AM106" s="22">
        <v>12433172</v>
      </c>
      <c r="AO106" s="22">
        <v>1838828</v>
      </c>
      <c r="AQ106" s="22">
        <v>1389069</v>
      </c>
      <c r="AS106" s="26">
        <v>43385420</v>
      </c>
      <c r="AU106" s="23">
        <v>20.485499999999998</v>
      </c>
      <c r="AW106" s="23">
        <v>26.7852</v>
      </c>
      <c r="AY106" s="23">
        <v>1.3587</v>
      </c>
      <c r="BA106" s="23">
        <v>27.478000000000002</v>
      </c>
      <c r="BC106" s="24">
        <v>22.276299999999999</v>
      </c>
      <c r="BE106" s="1" t="str">
        <f t="shared" si="1"/>
        <v>No</v>
      </c>
    </row>
    <row r="107" spans="1:57" ht="11.25" customHeight="1">
      <c r="A107" s="7" t="s">
        <v>213</v>
      </c>
      <c r="B107" s="7" t="s">
        <v>214</v>
      </c>
      <c r="C107" s="37" t="s">
        <v>89</v>
      </c>
      <c r="D107" s="296">
        <v>18</v>
      </c>
      <c r="E107" s="297">
        <v>18</v>
      </c>
      <c r="F107" s="27" t="s">
        <v>165</v>
      </c>
      <c r="G107" s="73" t="s">
        <v>158</v>
      </c>
      <c r="H107" s="35">
        <v>210975</v>
      </c>
      <c r="I107" s="35">
        <v>431</v>
      </c>
      <c r="J107" s="37" t="s">
        <v>8</v>
      </c>
      <c r="K107" s="37" t="s">
        <v>159</v>
      </c>
      <c r="L107" s="8">
        <v>261</v>
      </c>
      <c r="M107" s="8">
        <v>8382</v>
      </c>
      <c r="N107" s="9"/>
      <c r="O107" s="8">
        <v>6721</v>
      </c>
      <c r="P107" s="9"/>
      <c r="Q107" s="8">
        <v>475</v>
      </c>
      <c r="R107" s="9"/>
      <c r="S107" s="8">
        <v>4078</v>
      </c>
      <c r="T107" s="9"/>
      <c r="U107" s="8">
        <v>0</v>
      </c>
      <c r="V107" s="9"/>
      <c r="W107" s="33">
        <v>19656</v>
      </c>
      <c r="X107" s="9"/>
      <c r="Y107" s="30">
        <v>5</v>
      </c>
      <c r="Z107" s="9"/>
      <c r="AA107" s="30">
        <v>3.75</v>
      </c>
      <c r="AB107" s="9"/>
      <c r="AC107" s="30">
        <v>0.35</v>
      </c>
      <c r="AD107" s="9"/>
      <c r="AE107" s="30">
        <v>2.7</v>
      </c>
      <c r="AF107" s="9"/>
      <c r="AG107" s="30">
        <v>0</v>
      </c>
      <c r="AH107" s="9"/>
      <c r="AI107" s="32">
        <v>11.8</v>
      </c>
      <c r="AJ107" s="12"/>
      <c r="AK107" s="22">
        <v>248273</v>
      </c>
      <c r="AM107" s="22">
        <v>189622</v>
      </c>
      <c r="AO107" s="22">
        <v>11369</v>
      </c>
      <c r="AQ107" s="22">
        <v>133661</v>
      </c>
      <c r="AS107" s="26">
        <v>582925</v>
      </c>
      <c r="AU107" s="23">
        <v>29.619800000000001</v>
      </c>
      <c r="AW107" s="23">
        <v>28.2134</v>
      </c>
      <c r="AY107" s="23">
        <v>1.3564000000000001</v>
      </c>
      <c r="BA107" s="23">
        <v>32.7761</v>
      </c>
      <c r="BC107" s="24">
        <v>29.656300000000002</v>
      </c>
      <c r="BE107" s="1" t="str">
        <f t="shared" si="1"/>
        <v>No</v>
      </c>
    </row>
    <row r="108" spans="1:57" ht="11.25" customHeight="1">
      <c r="A108" s="7" t="s">
        <v>213</v>
      </c>
      <c r="B108" s="7" t="s">
        <v>214</v>
      </c>
      <c r="C108" s="37" t="s">
        <v>89</v>
      </c>
      <c r="D108" s="296">
        <v>18</v>
      </c>
      <c r="E108" s="297">
        <v>18</v>
      </c>
      <c r="F108" s="27" t="s">
        <v>165</v>
      </c>
      <c r="G108" s="73" t="s">
        <v>158</v>
      </c>
      <c r="H108" s="35">
        <v>210975</v>
      </c>
      <c r="I108" s="35">
        <v>431</v>
      </c>
      <c r="J108" s="37" t="s">
        <v>10</v>
      </c>
      <c r="K108" s="37" t="s">
        <v>159</v>
      </c>
      <c r="L108" s="8">
        <v>70</v>
      </c>
      <c r="M108" s="8">
        <v>177503</v>
      </c>
      <c r="N108" s="9"/>
      <c r="O108" s="8">
        <v>15511</v>
      </c>
      <c r="P108" s="9"/>
      <c r="Q108" s="8">
        <v>2233</v>
      </c>
      <c r="R108" s="9"/>
      <c r="S108" s="8">
        <v>19195</v>
      </c>
      <c r="T108" s="9"/>
      <c r="U108" s="8">
        <v>0</v>
      </c>
      <c r="V108" s="9"/>
      <c r="W108" s="33">
        <v>214442</v>
      </c>
      <c r="X108" s="9"/>
      <c r="Y108" s="30">
        <v>107</v>
      </c>
      <c r="Z108" s="9"/>
      <c r="AA108" s="30">
        <v>8.66</v>
      </c>
      <c r="AB108" s="9"/>
      <c r="AC108" s="30">
        <v>1.64</v>
      </c>
      <c r="AD108" s="9"/>
      <c r="AE108" s="30">
        <v>12.71</v>
      </c>
      <c r="AF108" s="9"/>
      <c r="AG108" s="30">
        <v>0</v>
      </c>
      <c r="AH108" s="9"/>
      <c r="AI108" s="32">
        <v>130.01</v>
      </c>
      <c r="AJ108" s="12"/>
      <c r="AK108" s="22">
        <v>4657002</v>
      </c>
      <c r="AM108" s="22">
        <v>437588</v>
      </c>
      <c r="AO108" s="22">
        <v>53555</v>
      </c>
      <c r="AQ108" s="22">
        <v>629607</v>
      </c>
      <c r="AS108" s="26">
        <v>5777752</v>
      </c>
      <c r="AU108" s="23">
        <v>26.2362</v>
      </c>
      <c r="AW108" s="23">
        <v>28.211500000000001</v>
      </c>
      <c r="AY108" s="23">
        <v>0.30170000000000002</v>
      </c>
      <c r="BA108" s="23">
        <v>32.800600000000003</v>
      </c>
      <c r="BC108" s="24">
        <v>26.943200000000001</v>
      </c>
      <c r="BE108" s="1" t="str">
        <f t="shared" si="1"/>
        <v>No</v>
      </c>
    </row>
    <row r="109" spans="1:57" ht="11.25" customHeight="1">
      <c r="A109" s="7" t="s">
        <v>213</v>
      </c>
      <c r="B109" s="7" t="s">
        <v>214</v>
      </c>
      <c r="C109" s="37" t="s">
        <v>89</v>
      </c>
      <c r="D109" s="296">
        <v>18</v>
      </c>
      <c r="E109" s="297">
        <v>18</v>
      </c>
      <c r="F109" s="27" t="s">
        <v>165</v>
      </c>
      <c r="G109" s="73" t="s">
        <v>158</v>
      </c>
      <c r="H109" s="35">
        <v>210975</v>
      </c>
      <c r="I109" s="35">
        <v>431</v>
      </c>
      <c r="J109" s="37" t="s">
        <v>7</v>
      </c>
      <c r="K109" s="37" t="s">
        <v>159</v>
      </c>
      <c r="L109" s="8">
        <v>46</v>
      </c>
      <c r="M109" s="8">
        <v>187902</v>
      </c>
      <c r="N109" s="9"/>
      <c r="O109" s="8">
        <v>29718</v>
      </c>
      <c r="P109" s="9"/>
      <c r="Q109" s="8">
        <v>2738</v>
      </c>
      <c r="R109" s="9"/>
      <c r="S109" s="8">
        <v>23529</v>
      </c>
      <c r="T109" s="9"/>
      <c r="U109" s="8">
        <v>0</v>
      </c>
      <c r="V109" s="9"/>
      <c r="W109" s="33">
        <v>243887</v>
      </c>
      <c r="X109" s="9"/>
      <c r="Y109" s="30">
        <v>127</v>
      </c>
      <c r="Z109" s="9"/>
      <c r="AA109" s="30">
        <v>16.59</v>
      </c>
      <c r="AB109" s="9"/>
      <c r="AC109" s="30">
        <v>2.0099999999999998</v>
      </c>
      <c r="AD109" s="9"/>
      <c r="AE109" s="30">
        <v>15.58</v>
      </c>
      <c r="AF109" s="9"/>
      <c r="AG109" s="30">
        <v>0</v>
      </c>
      <c r="AH109" s="9"/>
      <c r="AI109" s="32">
        <v>161.18</v>
      </c>
      <c r="AJ109" s="12"/>
      <c r="AK109" s="22">
        <v>4770269</v>
      </c>
      <c r="AM109" s="22">
        <v>838380</v>
      </c>
      <c r="AO109" s="22">
        <v>65644</v>
      </c>
      <c r="AQ109" s="22">
        <v>771728</v>
      </c>
      <c r="AS109" s="26">
        <v>6446021</v>
      </c>
      <c r="AU109" s="23">
        <v>25.387</v>
      </c>
      <c r="AW109" s="23">
        <v>28.211200000000002</v>
      </c>
      <c r="AY109" s="23">
        <v>0.34939999999999999</v>
      </c>
      <c r="BA109" s="23">
        <v>32.798999999999999</v>
      </c>
      <c r="BC109" s="24">
        <v>26.430399999999999</v>
      </c>
      <c r="BE109" s="1" t="str">
        <f t="shared" si="1"/>
        <v>No</v>
      </c>
    </row>
    <row r="110" spans="1:57" ht="11.25" customHeight="1">
      <c r="A110" s="7" t="s">
        <v>542</v>
      </c>
      <c r="B110" s="7" t="s">
        <v>543</v>
      </c>
      <c r="C110" s="37" t="s">
        <v>32</v>
      </c>
      <c r="D110" s="296">
        <v>4037</v>
      </c>
      <c r="E110" s="297">
        <v>40037</v>
      </c>
      <c r="F110" s="27" t="s">
        <v>162</v>
      </c>
      <c r="G110" s="73" t="s">
        <v>158</v>
      </c>
      <c r="H110" s="35">
        <v>5502379</v>
      </c>
      <c r="I110" s="35">
        <v>424</v>
      </c>
      <c r="J110" s="37" t="s">
        <v>7</v>
      </c>
      <c r="K110" s="37" t="s">
        <v>159</v>
      </c>
      <c r="L110" s="8">
        <v>130</v>
      </c>
      <c r="M110" s="8">
        <v>705548</v>
      </c>
      <c r="N110" s="9"/>
      <c r="O110" s="8">
        <v>178881</v>
      </c>
      <c r="P110" s="9"/>
      <c r="Q110" s="8">
        <v>6683</v>
      </c>
      <c r="R110" s="9"/>
      <c r="S110" s="8">
        <v>126376</v>
      </c>
      <c r="T110" s="9"/>
      <c r="U110" s="8">
        <v>0</v>
      </c>
      <c r="V110" s="9"/>
      <c r="W110" s="33">
        <v>1017488</v>
      </c>
      <c r="X110" s="9"/>
      <c r="Y110" s="30">
        <v>355</v>
      </c>
      <c r="Z110" s="9"/>
      <c r="AA110" s="30">
        <v>90</v>
      </c>
      <c r="AB110" s="9"/>
      <c r="AC110" s="30">
        <v>3</v>
      </c>
      <c r="AD110" s="9"/>
      <c r="AE110" s="30">
        <v>70</v>
      </c>
      <c r="AF110" s="9"/>
      <c r="AG110" s="30">
        <v>0</v>
      </c>
      <c r="AH110" s="9"/>
      <c r="AI110" s="32">
        <v>518</v>
      </c>
      <c r="AJ110" s="12"/>
      <c r="AK110" s="22">
        <v>14801679</v>
      </c>
      <c r="AM110" s="22">
        <v>4137297</v>
      </c>
      <c r="AO110" s="22">
        <v>228928</v>
      </c>
      <c r="AQ110" s="22">
        <v>4428498</v>
      </c>
      <c r="AS110" s="26">
        <v>23596402</v>
      </c>
      <c r="AU110" s="23">
        <v>20.978999999999999</v>
      </c>
      <c r="AW110" s="23">
        <v>23.128799999999998</v>
      </c>
      <c r="AY110" s="23">
        <v>0.32450000000000001</v>
      </c>
      <c r="BA110" s="23">
        <v>35.042200000000001</v>
      </c>
      <c r="BC110" s="24">
        <v>23.190799999999999</v>
      </c>
      <c r="BE110" s="1" t="str">
        <f t="shared" si="1"/>
        <v>No</v>
      </c>
    </row>
    <row r="111" spans="1:57" ht="11.25" customHeight="1">
      <c r="A111" s="7" t="s">
        <v>499</v>
      </c>
      <c r="B111" s="7" t="s">
        <v>500</v>
      </c>
      <c r="C111" s="37" t="s">
        <v>93</v>
      </c>
      <c r="D111" s="296">
        <v>5008</v>
      </c>
      <c r="E111" s="297">
        <v>50008</v>
      </c>
      <c r="F111" s="27" t="s">
        <v>162</v>
      </c>
      <c r="G111" s="73" t="s">
        <v>158</v>
      </c>
      <c r="H111" s="35">
        <v>1376476</v>
      </c>
      <c r="I111" s="35">
        <v>421</v>
      </c>
      <c r="J111" s="37" t="s">
        <v>7</v>
      </c>
      <c r="K111" s="37" t="s">
        <v>159</v>
      </c>
      <c r="L111" s="8">
        <v>337</v>
      </c>
      <c r="M111" s="8">
        <v>1896577</v>
      </c>
      <c r="N111" s="9"/>
      <c r="O111" s="8">
        <v>289502</v>
      </c>
      <c r="P111" s="9"/>
      <c r="Q111" s="8">
        <v>32847</v>
      </c>
      <c r="R111" s="9"/>
      <c r="S111" s="8">
        <v>128386</v>
      </c>
      <c r="T111" s="9"/>
      <c r="U111" s="8">
        <v>0</v>
      </c>
      <c r="V111" s="9"/>
      <c r="W111" s="33">
        <v>2347312</v>
      </c>
      <c r="X111" s="9"/>
      <c r="Y111" s="30">
        <v>768.5</v>
      </c>
      <c r="Z111" s="9"/>
      <c r="AA111" s="30">
        <v>152.9</v>
      </c>
      <c r="AB111" s="9"/>
      <c r="AC111" s="30">
        <v>13.8</v>
      </c>
      <c r="AD111" s="9"/>
      <c r="AE111" s="30">
        <v>77.5</v>
      </c>
      <c r="AF111" s="9"/>
      <c r="AG111" s="30">
        <v>0</v>
      </c>
      <c r="AH111" s="9"/>
      <c r="AI111" s="32">
        <v>1012.7</v>
      </c>
      <c r="AJ111" s="12"/>
      <c r="AK111" s="22">
        <v>44260830</v>
      </c>
      <c r="AM111" s="22">
        <v>7281418</v>
      </c>
      <c r="AO111" s="22">
        <v>1150732</v>
      </c>
      <c r="AQ111" s="22">
        <v>4002742</v>
      </c>
      <c r="AS111" s="26">
        <v>56695722</v>
      </c>
      <c r="AU111" s="23">
        <v>23.337199999999999</v>
      </c>
      <c r="AW111" s="23">
        <v>25.151499999999999</v>
      </c>
      <c r="AY111" s="23">
        <v>0.60670000000000002</v>
      </c>
      <c r="BA111" s="23">
        <v>31.177399999999999</v>
      </c>
      <c r="BC111" s="24">
        <v>24.153500000000001</v>
      </c>
      <c r="BE111" s="1" t="str">
        <f t="shared" si="1"/>
        <v>No</v>
      </c>
    </row>
    <row r="112" spans="1:57" ht="11.25" customHeight="1">
      <c r="A112" s="7" t="s">
        <v>273</v>
      </c>
      <c r="B112" s="7" t="s">
        <v>274</v>
      </c>
      <c r="C112" s="37" t="s">
        <v>58</v>
      </c>
      <c r="D112" s="296">
        <v>4008</v>
      </c>
      <c r="E112" s="297">
        <v>40008</v>
      </c>
      <c r="F112" s="27" t="s">
        <v>162</v>
      </c>
      <c r="G112" s="73" t="s">
        <v>158</v>
      </c>
      <c r="H112" s="35">
        <v>1249442</v>
      </c>
      <c r="I112" s="35">
        <v>421</v>
      </c>
      <c r="J112" s="37" t="s">
        <v>7</v>
      </c>
      <c r="K112" s="37" t="s">
        <v>159</v>
      </c>
      <c r="L112" s="8">
        <v>198</v>
      </c>
      <c r="M112" s="8">
        <v>1043568</v>
      </c>
      <c r="N112" s="9"/>
      <c r="O112" s="8">
        <v>292874</v>
      </c>
      <c r="P112" s="9"/>
      <c r="Q112" s="8">
        <v>0</v>
      </c>
      <c r="R112" s="9"/>
      <c r="S112" s="8">
        <v>30130</v>
      </c>
      <c r="T112" s="9"/>
      <c r="U112" s="8">
        <v>0</v>
      </c>
      <c r="V112" s="9"/>
      <c r="W112" s="33">
        <v>1366572</v>
      </c>
      <c r="X112" s="9"/>
      <c r="Y112" s="30">
        <v>591.5</v>
      </c>
      <c r="Z112" s="9"/>
      <c r="AA112" s="30">
        <v>155.5</v>
      </c>
      <c r="AB112" s="9"/>
      <c r="AC112" s="30">
        <v>0</v>
      </c>
      <c r="AD112" s="9"/>
      <c r="AE112" s="30">
        <v>16</v>
      </c>
      <c r="AF112" s="9"/>
      <c r="AG112" s="30">
        <v>0</v>
      </c>
      <c r="AH112" s="9"/>
      <c r="AI112" s="32">
        <v>763</v>
      </c>
      <c r="AJ112" s="12"/>
      <c r="AK112" s="22">
        <v>25633824</v>
      </c>
      <c r="AM112" s="22">
        <v>7799283</v>
      </c>
      <c r="AO112" s="22">
        <v>0</v>
      </c>
      <c r="AQ112" s="22">
        <v>2773450</v>
      </c>
      <c r="AS112" s="26">
        <v>36206557</v>
      </c>
      <c r="AU112" s="23">
        <v>24.563600000000001</v>
      </c>
      <c r="AW112" s="23">
        <v>26.630199999999999</v>
      </c>
      <c r="AY112" s="23">
        <v>0</v>
      </c>
      <c r="BA112" s="23">
        <v>92.049499999999995</v>
      </c>
      <c r="BC112" s="24">
        <v>26.494399999999999</v>
      </c>
      <c r="BE112" s="1" t="str">
        <f t="shared" si="1"/>
        <v>No</v>
      </c>
    </row>
    <row r="113" spans="1:57" ht="11.25" customHeight="1">
      <c r="A113" s="7" t="s">
        <v>273</v>
      </c>
      <c r="B113" s="7" t="s">
        <v>274</v>
      </c>
      <c r="C113" s="37" t="s">
        <v>58</v>
      </c>
      <c r="D113" s="296">
        <v>4008</v>
      </c>
      <c r="E113" s="297">
        <v>40008</v>
      </c>
      <c r="F113" s="27" t="s">
        <v>162</v>
      </c>
      <c r="G113" s="73" t="s">
        <v>158</v>
      </c>
      <c r="H113" s="35">
        <v>1249442</v>
      </c>
      <c r="I113" s="35">
        <v>421</v>
      </c>
      <c r="J113" s="37" t="s">
        <v>10</v>
      </c>
      <c r="K113" s="37" t="s">
        <v>159</v>
      </c>
      <c r="L113" s="8">
        <v>76</v>
      </c>
      <c r="M113" s="8">
        <v>226487</v>
      </c>
      <c r="N113" s="9"/>
      <c r="O113" s="8">
        <v>0</v>
      </c>
      <c r="P113" s="9"/>
      <c r="Q113" s="8">
        <v>0</v>
      </c>
      <c r="R113" s="9"/>
      <c r="S113" s="8">
        <v>5481</v>
      </c>
      <c r="T113" s="9"/>
      <c r="U113" s="8">
        <v>0</v>
      </c>
      <c r="V113" s="9"/>
      <c r="W113" s="33">
        <v>231968</v>
      </c>
      <c r="X113" s="9"/>
      <c r="Y113" s="30">
        <v>133</v>
      </c>
      <c r="Z113" s="9"/>
      <c r="AA113" s="30">
        <v>0</v>
      </c>
      <c r="AB113" s="9"/>
      <c r="AC113" s="30">
        <v>0</v>
      </c>
      <c r="AD113" s="9"/>
      <c r="AE113" s="30">
        <v>3</v>
      </c>
      <c r="AF113" s="9"/>
      <c r="AG113" s="30">
        <v>0</v>
      </c>
      <c r="AH113" s="9"/>
      <c r="AI113" s="32">
        <v>136</v>
      </c>
      <c r="AJ113" s="12"/>
      <c r="AK113" s="22">
        <v>4378055</v>
      </c>
      <c r="AM113" s="22">
        <v>0</v>
      </c>
      <c r="AO113" s="22">
        <v>0</v>
      </c>
      <c r="AQ113" s="22">
        <v>312330</v>
      </c>
      <c r="AS113" s="26">
        <v>4690385</v>
      </c>
      <c r="AU113" s="23">
        <v>19.330300000000001</v>
      </c>
      <c r="AY113" s="23">
        <v>0</v>
      </c>
      <c r="BA113" s="23">
        <v>56.984099999999998</v>
      </c>
      <c r="BC113" s="24">
        <v>20.22</v>
      </c>
      <c r="BE113" s="1" t="str">
        <f t="shared" si="1"/>
        <v>No</v>
      </c>
    </row>
    <row r="114" spans="1:57" ht="11.25" customHeight="1">
      <c r="A114" s="7" t="s">
        <v>273</v>
      </c>
      <c r="B114" s="7" t="s">
        <v>274</v>
      </c>
      <c r="C114" s="37" t="s">
        <v>58</v>
      </c>
      <c r="D114" s="296">
        <v>4008</v>
      </c>
      <c r="E114" s="297">
        <v>40008</v>
      </c>
      <c r="F114" s="27" t="s">
        <v>162</v>
      </c>
      <c r="G114" s="73" t="s">
        <v>158</v>
      </c>
      <c r="H114" s="35">
        <v>1249442</v>
      </c>
      <c r="I114" s="35">
        <v>421</v>
      </c>
      <c r="J114" s="37" t="s">
        <v>8</v>
      </c>
      <c r="K114" s="37" t="s">
        <v>159</v>
      </c>
      <c r="L114" s="8">
        <v>67</v>
      </c>
      <c r="M114" s="8">
        <v>3722</v>
      </c>
      <c r="N114" s="9"/>
      <c r="O114" s="8">
        <v>1018</v>
      </c>
      <c r="P114" s="9"/>
      <c r="Q114" s="8">
        <v>0</v>
      </c>
      <c r="R114" s="9"/>
      <c r="S114" s="8">
        <v>3035</v>
      </c>
      <c r="T114" s="9"/>
      <c r="U114" s="8">
        <v>0</v>
      </c>
      <c r="V114" s="9"/>
      <c r="W114" s="33">
        <v>7775</v>
      </c>
      <c r="X114" s="9"/>
      <c r="Y114" s="30">
        <v>2</v>
      </c>
      <c r="Z114" s="9"/>
      <c r="AA114" s="30">
        <v>1</v>
      </c>
      <c r="AB114" s="9"/>
      <c r="AC114" s="30">
        <v>0</v>
      </c>
      <c r="AD114" s="9"/>
      <c r="AE114" s="30">
        <v>2</v>
      </c>
      <c r="AF114" s="9"/>
      <c r="AG114" s="30">
        <v>0</v>
      </c>
      <c r="AH114" s="9"/>
      <c r="AI114" s="32">
        <v>5</v>
      </c>
      <c r="AJ114" s="12"/>
      <c r="AK114" s="22">
        <v>78714</v>
      </c>
      <c r="AM114" s="22">
        <v>58190</v>
      </c>
      <c r="AO114" s="22">
        <v>0</v>
      </c>
      <c r="AQ114" s="22">
        <v>280185</v>
      </c>
      <c r="AS114" s="26">
        <v>417089</v>
      </c>
      <c r="AU114" s="23">
        <v>21.148299999999999</v>
      </c>
      <c r="AW114" s="23">
        <v>57.161099999999998</v>
      </c>
      <c r="AY114" s="23">
        <v>0</v>
      </c>
      <c r="BA114" s="23">
        <v>92.317999999999998</v>
      </c>
      <c r="BC114" s="24">
        <v>53.6449</v>
      </c>
      <c r="BE114" s="1" t="str">
        <f t="shared" si="1"/>
        <v>No</v>
      </c>
    </row>
    <row r="115" spans="1:57" ht="11.25" customHeight="1">
      <c r="A115" s="7" t="s">
        <v>273</v>
      </c>
      <c r="B115" s="7" t="s">
        <v>274</v>
      </c>
      <c r="C115" s="37" t="s">
        <v>58</v>
      </c>
      <c r="D115" s="296">
        <v>4008</v>
      </c>
      <c r="E115" s="297">
        <v>40008</v>
      </c>
      <c r="F115" s="27" t="s">
        <v>162</v>
      </c>
      <c r="G115" s="73" t="s">
        <v>158</v>
      </c>
      <c r="H115" s="35">
        <v>1249442</v>
      </c>
      <c r="I115" s="35">
        <v>421</v>
      </c>
      <c r="J115" s="37" t="s">
        <v>18</v>
      </c>
      <c r="K115" s="37" t="s">
        <v>159</v>
      </c>
      <c r="L115" s="8">
        <v>64</v>
      </c>
      <c r="M115" s="8">
        <v>158698</v>
      </c>
      <c r="N115" s="9"/>
      <c r="O115" s="8">
        <v>44539</v>
      </c>
      <c r="P115" s="9"/>
      <c r="Q115" s="8">
        <v>0</v>
      </c>
      <c r="R115" s="9"/>
      <c r="S115" s="8">
        <v>4582</v>
      </c>
      <c r="T115" s="9"/>
      <c r="U115" s="8">
        <v>0</v>
      </c>
      <c r="V115" s="9"/>
      <c r="W115" s="33">
        <v>207819</v>
      </c>
      <c r="X115" s="9"/>
      <c r="Y115" s="30">
        <v>91</v>
      </c>
      <c r="Z115" s="9"/>
      <c r="AA115" s="30">
        <v>23.5</v>
      </c>
      <c r="AB115" s="9"/>
      <c r="AC115" s="30">
        <v>0</v>
      </c>
      <c r="AD115" s="9"/>
      <c r="AE115" s="30">
        <v>3</v>
      </c>
      <c r="AF115" s="9"/>
      <c r="AG115" s="30">
        <v>0</v>
      </c>
      <c r="AH115" s="9"/>
      <c r="AI115" s="32">
        <v>117.5</v>
      </c>
      <c r="AJ115" s="12"/>
      <c r="AK115" s="22">
        <v>3894829</v>
      </c>
      <c r="AM115" s="22">
        <v>1185031</v>
      </c>
      <c r="AO115" s="22">
        <v>0</v>
      </c>
      <c r="AQ115" s="22">
        <v>421401</v>
      </c>
      <c r="AS115" s="26">
        <v>5501261</v>
      </c>
      <c r="AU115" s="23">
        <v>24.542400000000001</v>
      </c>
      <c r="AW115" s="23">
        <v>26.6066</v>
      </c>
      <c r="AY115" s="23">
        <v>0</v>
      </c>
      <c r="BA115" s="23">
        <v>91.968800000000002</v>
      </c>
      <c r="BC115" s="24">
        <v>26.471399999999999</v>
      </c>
      <c r="BE115" s="1" t="str">
        <f t="shared" si="1"/>
        <v>No</v>
      </c>
    </row>
    <row r="116" spans="1:57" ht="11.25" customHeight="1">
      <c r="A116" s="7" t="s">
        <v>273</v>
      </c>
      <c r="B116" s="7" t="s">
        <v>274</v>
      </c>
      <c r="C116" s="37" t="s">
        <v>58</v>
      </c>
      <c r="D116" s="296">
        <v>4008</v>
      </c>
      <c r="E116" s="297">
        <v>40008</v>
      </c>
      <c r="F116" s="27" t="s">
        <v>162</v>
      </c>
      <c r="G116" s="73" t="s">
        <v>158</v>
      </c>
      <c r="H116" s="35">
        <v>1249442</v>
      </c>
      <c r="I116" s="35">
        <v>421</v>
      </c>
      <c r="J116" s="37" t="s">
        <v>21</v>
      </c>
      <c r="K116" s="37" t="s">
        <v>159</v>
      </c>
      <c r="L116" s="8">
        <v>14</v>
      </c>
      <c r="M116" s="8">
        <v>96705</v>
      </c>
      <c r="N116" s="9"/>
      <c r="O116" s="8">
        <v>68736</v>
      </c>
      <c r="P116" s="9"/>
      <c r="Q116" s="8">
        <v>42308</v>
      </c>
      <c r="R116" s="9"/>
      <c r="S116" s="8">
        <v>20026</v>
      </c>
      <c r="T116" s="9"/>
      <c r="U116" s="8">
        <v>0</v>
      </c>
      <c r="V116" s="9"/>
      <c r="W116" s="33">
        <v>227775</v>
      </c>
      <c r="X116" s="9"/>
      <c r="Y116" s="30">
        <v>55</v>
      </c>
      <c r="Z116" s="9"/>
      <c r="AA116" s="30">
        <v>51</v>
      </c>
      <c r="AB116" s="9"/>
      <c r="AC116" s="30">
        <v>25</v>
      </c>
      <c r="AD116" s="9"/>
      <c r="AE116" s="30">
        <v>12</v>
      </c>
      <c r="AF116" s="9"/>
      <c r="AG116" s="30">
        <v>0</v>
      </c>
      <c r="AH116" s="9"/>
      <c r="AI116" s="32">
        <v>143</v>
      </c>
      <c r="AJ116" s="12"/>
      <c r="AK116" s="22">
        <v>2542500</v>
      </c>
      <c r="AM116" s="22">
        <v>1390487</v>
      </c>
      <c r="AO116" s="22">
        <v>1068405</v>
      </c>
      <c r="AQ116" s="22">
        <v>1466975</v>
      </c>
      <c r="AS116" s="26">
        <v>6468367</v>
      </c>
      <c r="AU116" s="23">
        <v>26.2913</v>
      </c>
      <c r="AW116" s="23">
        <v>20.229399999999998</v>
      </c>
      <c r="AY116" s="23">
        <v>11.0481</v>
      </c>
      <c r="BA116" s="23">
        <v>73.253500000000003</v>
      </c>
      <c r="BC116" s="24">
        <v>28.398099999999999</v>
      </c>
      <c r="BE116" s="1" t="str">
        <f t="shared" si="1"/>
        <v>No</v>
      </c>
    </row>
    <row r="117" spans="1:57" ht="11.25" customHeight="1">
      <c r="A117" s="7" t="s">
        <v>273</v>
      </c>
      <c r="B117" s="7" t="s">
        <v>274</v>
      </c>
      <c r="C117" s="37" t="s">
        <v>58</v>
      </c>
      <c r="D117" s="296">
        <v>4008</v>
      </c>
      <c r="E117" s="297">
        <v>40008</v>
      </c>
      <c r="F117" s="27" t="s">
        <v>162</v>
      </c>
      <c r="G117" s="73" t="s">
        <v>158</v>
      </c>
      <c r="H117" s="35">
        <v>1249442</v>
      </c>
      <c r="I117" s="35">
        <v>421</v>
      </c>
      <c r="J117" s="37" t="s">
        <v>12</v>
      </c>
      <c r="K117" s="37" t="s">
        <v>159</v>
      </c>
      <c r="L117" s="8">
        <v>2</v>
      </c>
      <c r="M117" s="8">
        <v>17232</v>
      </c>
      <c r="N117" s="9"/>
      <c r="O117" s="8">
        <v>4540</v>
      </c>
      <c r="P117" s="9"/>
      <c r="Q117" s="8">
        <v>0</v>
      </c>
      <c r="R117" s="9"/>
      <c r="S117" s="8">
        <v>5120</v>
      </c>
      <c r="T117" s="9"/>
      <c r="U117" s="8">
        <v>0</v>
      </c>
      <c r="V117" s="9"/>
      <c r="W117" s="33">
        <v>26892</v>
      </c>
      <c r="X117" s="9"/>
      <c r="Y117" s="30">
        <v>9</v>
      </c>
      <c r="Z117" s="9"/>
      <c r="AA117" s="30">
        <v>3</v>
      </c>
      <c r="AB117" s="9"/>
      <c r="AC117" s="30">
        <v>0</v>
      </c>
      <c r="AD117" s="9"/>
      <c r="AE117" s="30">
        <v>3</v>
      </c>
      <c r="AF117" s="9"/>
      <c r="AG117" s="30">
        <v>0</v>
      </c>
      <c r="AH117" s="9"/>
      <c r="AI117" s="32">
        <v>15</v>
      </c>
      <c r="AJ117" s="12"/>
      <c r="AK117" s="22">
        <v>563932</v>
      </c>
      <c r="AM117" s="22">
        <v>104244</v>
      </c>
      <c r="AO117" s="22">
        <v>0</v>
      </c>
      <c r="AQ117" s="22">
        <v>101058</v>
      </c>
      <c r="AS117" s="26">
        <v>769234</v>
      </c>
      <c r="AU117" s="23">
        <v>32.725900000000003</v>
      </c>
      <c r="AW117" s="23">
        <v>22.961200000000002</v>
      </c>
      <c r="AY117" s="23">
        <v>0</v>
      </c>
      <c r="BA117" s="23">
        <v>19.7379</v>
      </c>
      <c r="BC117" s="24">
        <v>28.604600000000001</v>
      </c>
      <c r="BE117" s="1" t="str">
        <f t="shared" si="1"/>
        <v>No</v>
      </c>
    </row>
    <row r="118" spans="1:57" ht="11.25" customHeight="1">
      <c r="A118" s="7" t="s">
        <v>16</v>
      </c>
      <c r="B118" s="7" t="s">
        <v>675</v>
      </c>
      <c r="C118" s="37" t="s">
        <v>13</v>
      </c>
      <c r="D118" s="296">
        <v>9169</v>
      </c>
      <c r="E118" s="297">
        <v>90169</v>
      </c>
      <c r="F118" s="27" t="s">
        <v>243</v>
      </c>
      <c r="G118" s="73" t="s">
        <v>158</v>
      </c>
      <c r="H118" s="35">
        <v>3629114</v>
      </c>
      <c r="I118" s="35">
        <v>397</v>
      </c>
      <c r="J118" s="37" t="s">
        <v>8</v>
      </c>
      <c r="K118" s="37" t="s">
        <v>159</v>
      </c>
      <c r="L118" s="8">
        <v>397</v>
      </c>
      <c r="M118" s="8">
        <v>0</v>
      </c>
      <c r="N118" s="9"/>
      <c r="O118" s="8">
        <v>0</v>
      </c>
      <c r="P118" s="9"/>
      <c r="Q118" s="8">
        <v>0</v>
      </c>
      <c r="R118" s="9"/>
      <c r="S118" s="8">
        <v>12451</v>
      </c>
      <c r="T118" s="9"/>
      <c r="U118" s="8">
        <v>0</v>
      </c>
      <c r="V118" s="9"/>
      <c r="W118" s="33">
        <v>12451</v>
      </c>
      <c r="X118" s="9"/>
      <c r="Y118" s="30">
        <v>0</v>
      </c>
      <c r="Z118" s="9"/>
      <c r="AA118" s="30">
        <v>0</v>
      </c>
      <c r="AB118" s="9"/>
      <c r="AC118" s="30">
        <v>0</v>
      </c>
      <c r="AD118" s="9"/>
      <c r="AE118" s="30">
        <v>9</v>
      </c>
      <c r="AF118" s="9"/>
      <c r="AG118" s="30">
        <v>0</v>
      </c>
      <c r="AH118" s="9"/>
      <c r="AI118" s="32">
        <v>9</v>
      </c>
      <c r="AJ118" s="12"/>
      <c r="AK118" s="22">
        <v>0</v>
      </c>
      <c r="AM118" s="22">
        <v>0</v>
      </c>
      <c r="AO118" s="22">
        <v>0</v>
      </c>
      <c r="AQ118" s="22">
        <v>256488</v>
      </c>
      <c r="AS118" s="26">
        <v>256488</v>
      </c>
      <c r="BA118" s="23">
        <v>20.599799999999998</v>
      </c>
      <c r="BC118" s="24">
        <v>20.599799999999998</v>
      </c>
      <c r="BE118" s="1" t="str">
        <f t="shared" si="1"/>
        <v>No</v>
      </c>
    </row>
    <row r="119" spans="1:57" ht="11.25" customHeight="1">
      <c r="A119" s="7" t="s">
        <v>265</v>
      </c>
      <c r="B119" s="7" t="s">
        <v>266</v>
      </c>
      <c r="C119" s="37" t="s">
        <v>89</v>
      </c>
      <c r="D119" s="296">
        <v>40</v>
      </c>
      <c r="E119" s="297">
        <v>40</v>
      </c>
      <c r="F119" s="27" t="s">
        <v>165</v>
      </c>
      <c r="G119" s="73" t="s">
        <v>158</v>
      </c>
      <c r="H119" s="35">
        <v>3059393</v>
      </c>
      <c r="I119" s="35">
        <v>371</v>
      </c>
      <c r="J119" s="37" t="s">
        <v>18</v>
      </c>
      <c r="K119" s="37" t="s">
        <v>159</v>
      </c>
      <c r="L119" s="8">
        <v>205</v>
      </c>
      <c r="M119" s="8">
        <v>768198</v>
      </c>
      <c r="N119" s="9"/>
      <c r="O119" s="8">
        <v>222148</v>
      </c>
      <c r="P119" s="9"/>
      <c r="Q119" s="8">
        <v>33702</v>
      </c>
      <c r="R119" s="9"/>
      <c r="S119" s="8">
        <v>130698</v>
      </c>
      <c r="T119" s="9"/>
      <c r="U119" s="8">
        <v>6799</v>
      </c>
      <c r="V119" s="9"/>
      <c r="W119" s="33">
        <v>1161545</v>
      </c>
      <c r="X119" s="9"/>
      <c r="Y119" s="30">
        <v>473.83</v>
      </c>
      <c r="Z119" s="9"/>
      <c r="AA119" s="30">
        <v>136</v>
      </c>
      <c r="AB119" s="9"/>
      <c r="AC119" s="30">
        <v>21.36</v>
      </c>
      <c r="AD119" s="9"/>
      <c r="AE119" s="30">
        <v>75.36</v>
      </c>
      <c r="AF119" s="9"/>
      <c r="AG119" s="30">
        <v>3.7</v>
      </c>
      <c r="AH119" s="9"/>
      <c r="AI119" s="32">
        <v>710.25</v>
      </c>
      <c r="AJ119" s="12"/>
      <c r="AK119" s="22">
        <v>29027478</v>
      </c>
      <c r="AM119" s="22">
        <v>9354580</v>
      </c>
      <c r="AO119" s="22">
        <v>1526727</v>
      </c>
      <c r="AQ119" s="22">
        <v>4085480</v>
      </c>
      <c r="AS119" s="26">
        <v>43994265</v>
      </c>
      <c r="AU119" s="23">
        <v>37.786499999999997</v>
      </c>
      <c r="AW119" s="23">
        <v>42.109699999999997</v>
      </c>
      <c r="AY119" s="23">
        <v>1.9874000000000001</v>
      </c>
      <c r="BA119" s="23">
        <v>31.258900000000001</v>
      </c>
      <c r="BC119" s="24">
        <v>37.875599999999999</v>
      </c>
      <c r="BE119" s="1" t="str">
        <f t="shared" si="1"/>
        <v>No</v>
      </c>
    </row>
    <row r="120" spans="1:57" ht="11.25" customHeight="1">
      <c r="A120" s="7" t="s">
        <v>575</v>
      </c>
      <c r="B120" s="7" t="s">
        <v>576</v>
      </c>
      <c r="C120" s="37" t="s">
        <v>17</v>
      </c>
      <c r="D120" s="296">
        <v>9009</v>
      </c>
      <c r="E120" s="297">
        <v>90009</v>
      </c>
      <c r="F120" s="27" t="s">
        <v>165</v>
      </c>
      <c r="G120" s="73" t="s">
        <v>158</v>
      </c>
      <c r="H120" s="35">
        <v>3281212</v>
      </c>
      <c r="I120" s="35">
        <v>371</v>
      </c>
      <c r="J120" s="37" t="s">
        <v>7</v>
      </c>
      <c r="K120" s="37" t="s">
        <v>159</v>
      </c>
      <c r="L120" s="8">
        <v>190</v>
      </c>
      <c r="M120" s="8">
        <v>674142</v>
      </c>
      <c r="N120" s="9"/>
      <c r="O120" s="8">
        <v>202449</v>
      </c>
      <c r="P120" s="9"/>
      <c r="Q120" s="8">
        <v>10123</v>
      </c>
      <c r="R120" s="9"/>
      <c r="S120" s="8">
        <v>172792</v>
      </c>
      <c r="T120" s="9"/>
      <c r="U120" s="8">
        <v>18098</v>
      </c>
      <c r="V120" s="9"/>
      <c r="W120" s="33">
        <v>1077604</v>
      </c>
      <c r="X120" s="9"/>
      <c r="Y120" s="30">
        <v>385</v>
      </c>
      <c r="Z120" s="9"/>
      <c r="AA120" s="30">
        <v>118</v>
      </c>
      <c r="AB120" s="9"/>
      <c r="AC120" s="30">
        <v>6</v>
      </c>
      <c r="AD120" s="9"/>
      <c r="AE120" s="30">
        <v>104</v>
      </c>
      <c r="AF120" s="9"/>
      <c r="AG120" s="30">
        <v>10</v>
      </c>
      <c r="AH120" s="9"/>
      <c r="AI120" s="32">
        <v>623</v>
      </c>
      <c r="AJ120" s="12"/>
      <c r="AK120" s="22">
        <v>22847055</v>
      </c>
      <c r="AM120" s="22">
        <v>6280206</v>
      </c>
      <c r="AO120" s="22">
        <v>420146</v>
      </c>
      <c r="AQ120" s="22">
        <v>7917535</v>
      </c>
      <c r="AS120" s="26">
        <v>37464942</v>
      </c>
      <c r="AU120" s="23">
        <v>33.890599999999999</v>
      </c>
      <c r="AW120" s="23">
        <v>31.0212</v>
      </c>
      <c r="AY120" s="23">
        <v>0.62319999999999998</v>
      </c>
      <c r="BA120" s="23">
        <v>45.821199999999997</v>
      </c>
      <c r="BC120" s="24">
        <v>34.7669</v>
      </c>
      <c r="BE120" s="1" t="str">
        <f t="shared" si="1"/>
        <v>No</v>
      </c>
    </row>
    <row r="121" spans="1:57" ht="11.25" customHeight="1">
      <c r="A121" s="7" t="s">
        <v>265</v>
      </c>
      <c r="B121" s="7" t="s">
        <v>266</v>
      </c>
      <c r="C121" s="37" t="s">
        <v>89</v>
      </c>
      <c r="D121" s="296">
        <v>40</v>
      </c>
      <c r="E121" s="297">
        <v>40</v>
      </c>
      <c r="F121" s="27" t="s">
        <v>165</v>
      </c>
      <c r="G121" s="73" t="s">
        <v>158</v>
      </c>
      <c r="H121" s="35">
        <v>3059393</v>
      </c>
      <c r="I121" s="35">
        <v>371</v>
      </c>
      <c r="J121" s="37" t="s">
        <v>21</v>
      </c>
      <c r="K121" s="37" t="s">
        <v>159</v>
      </c>
      <c r="L121" s="8">
        <v>50</v>
      </c>
      <c r="M121" s="8">
        <v>202222</v>
      </c>
      <c r="N121" s="9"/>
      <c r="O121" s="8">
        <v>71216</v>
      </c>
      <c r="P121" s="9"/>
      <c r="Q121" s="8">
        <v>187940</v>
      </c>
      <c r="R121" s="9"/>
      <c r="S121" s="8">
        <v>85790</v>
      </c>
      <c r="T121" s="9"/>
      <c r="U121" s="8">
        <v>794873</v>
      </c>
      <c r="V121" s="9"/>
      <c r="W121" s="33">
        <v>1342041</v>
      </c>
      <c r="X121" s="9"/>
      <c r="Y121" s="30">
        <v>124.46</v>
      </c>
      <c r="Z121" s="9"/>
      <c r="AA121" s="30">
        <v>49.66</v>
      </c>
      <c r="AB121" s="9"/>
      <c r="AC121" s="30">
        <v>126.57</v>
      </c>
      <c r="AD121" s="9"/>
      <c r="AE121" s="30">
        <v>50.37</v>
      </c>
      <c r="AF121" s="9"/>
      <c r="AG121" s="30">
        <v>434.44</v>
      </c>
      <c r="AH121" s="9"/>
      <c r="AI121" s="32">
        <v>785.5</v>
      </c>
      <c r="AJ121" s="12"/>
      <c r="AK121" s="22">
        <v>9665423</v>
      </c>
      <c r="AM121" s="22">
        <v>3706059</v>
      </c>
      <c r="AO121" s="22">
        <v>9521669</v>
      </c>
      <c r="AQ121" s="22">
        <v>4542844</v>
      </c>
      <c r="AS121" s="26">
        <v>27435995</v>
      </c>
      <c r="AU121" s="23">
        <v>47.796100000000003</v>
      </c>
      <c r="AW121" s="23">
        <v>52.039700000000003</v>
      </c>
      <c r="AY121" s="23">
        <v>47.0852</v>
      </c>
      <c r="BA121" s="23">
        <v>52.953099999999999</v>
      </c>
      <c r="BC121" s="24">
        <v>20.4435</v>
      </c>
      <c r="BE121" s="1" t="str">
        <f t="shared" si="1"/>
        <v>No</v>
      </c>
    </row>
    <row r="122" spans="1:57" ht="11.25" customHeight="1">
      <c r="A122" s="7" t="s">
        <v>265</v>
      </c>
      <c r="B122" s="7" t="s">
        <v>266</v>
      </c>
      <c r="C122" s="37" t="s">
        <v>89</v>
      </c>
      <c r="D122" s="296">
        <v>40</v>
      </c>
      <c r="E122" s="297">
        <v>40</v>
      </c>
      <c r="F122" s="27" t="s">
        <v>165</v>
      </c>
      <c r="G122" s="73" t="s">
        <v>158</v>
      </c>
      <c r="H122" s="35">
        <v>3059393</v>
      </c>
      <c r="I122" s="35">
        <v>371</v>
      </c>
      <c r="J122" s="37" t="s">
        <v>12</v>
      </c>
      <c r="K122" s="37" t="s">
        <v>159</v>
      </c>
      <c r="L122" s="8">
        <v>2</v>
      </c>
      <c r="M122" s="8">
        <v>23520</v>
      </c>
      <c r="N122" s="9"/>
      <c r="O122" s="8">
        <v>5855</v>
      </c>
      <c r="P122" s="9"/>
      <c r="Q122" s="8">
        <v>2762</v>
      </c>
      <c r="R122" s="9"/>
      <c r="S122" s="8">
        <v>7390</v>
      </c>
      <c r="T122" s="9"/>
      <c r="U122" s="8">
        <v>26511</v>
      </c>
      <c r="V122" s="9"/>
      <c r="W122" s="33">
        <v>66038</v>
      </c>
      <c r="X122" s="9"/>
      <c r="Y122" s="30">
        <v>13.06</v>
      </c>
      <c r="Z122" s="9"/>
      <c r="AA122" s="30">
        <v>2.74</v>
      </c>
      <c r="AB122" s="9"/>
      <c r="AC122" s="30">
        <v>1.53</v>
      </c>
      <c r="AD122" s="9"/>
      <c r="AE122" s="30">
        <v>4.1100000000000003</v>
      </c>
      <c r="AF122" s="9"/>
      <c r="AG122" s="30">
        <v>14.58</v>
      </c>
      <c r="AH122" s="9"/>
      <c r="AI122" s="32">
        <v>36.020000000000003</v>
      </c>
      <c r="AJ122" s="12"/>
      <c r="AK122" s="22">
        <v>780998</v>
      </c>
      <c r="AM122" s="22">
        <v>285768</v>
      </c>
      <c r="AO122" s="22">
        <v>151180</v>
      </c>
      <c r="AQ122" s="22">
        <v>518661</v>
      </c>
      <c r="AS122" s="26">
        <v>1736607</v>
      </c>
      <c r="AU122" s="23">
        <v>33.2057</v>
      </c>
      <c r="AW122" s="23">
        <v>48.807499999999997</v>
      </c>
      <c r="AY122" s="23">
        <v>6.4276999999999997</v>
      </c>
      <c r="BA122" s="23">
        <v>70.184200000000004</v>
      </c>
      <c r="BC122" s="24">
        <v>26.2971</v>
      </c>
      <c r="BE122" s="1" t="str">
        <f t="shared" si="1"/>
        <v>No</v>
      </c>
    </row>
    <row r="123" spans="1:57" ht="11.25" customHeight="1">
      <c r="A123" s="7" t="s">
        <v>711</v>
      </c>
      <c r="B123" s="7" t="s">
        <v>712</v>
      </c>
      <c r="C123" s="37" t="s">
        <v>86</v>
      </c>
      <c r="D123" s="296">
        <v>3083</v>
      </c>
      <c r="E123" s="297">
        <v>30083</v>
      </c>
      <c r="F123" s="27" t="s">
        <v>165</v>
      </c>
      <c r="G123" s="73" t="s">
        <v>158</v>
      </c>
      <c r="H123" s="35">
        <v>1439666</v>
      </c>
      <c r="I123" s="35">
        <v>369</v>
      </c>
      <c r="J123" s="37" t="s">
        <v>7</v>
      </c>
      <c r="K123" s="37" t="s">
        <v>159</v>
      </c>
      <c r="L123" s="8">
        <v>236</v>
      </c>
      <c r="M123" s="8">
        <v>1053073</v>
      </c>
      <c r="N123" s="9"/>
      <c r="O123" s="8">
        <v>327071</v>
      </c>
      <c r="P123" s="9"/>
      <c r="Q123" s="8">
        <v>29564</v>
      </c>
      <c r="R123" s="9"/>
      <c r="S123" s="8">
        <v>253424</v>
      </c>
      <c r="T123" s="9"/>
      <c r="U123" s="8">
        <v>0</v>
      </c>
      <c r="V123" s="9"/>
      <c r="W123" s="33">
        <v>1663132</v>
      </c>
      <c r="X123" s="9"/>
      <c r="Y123" s="30">
        <v>746.81</v>
      </c>
      <c r="Z123" s="9"/>
      <c r="AA123" s="30">
        <v>185.75</v>
      </c>
      <c r="AB123" s="9"/>
      <c r="AC123" s="30">
        <v>18.170000000000002</v>
      </c>
      <c r="AD123" s="9"/>
      <c r="AE123" s="30">
        <v>154.05000000000001</v>
      </c>
      <c r="AF123" s="9"/>
      <c r="AG123" s="30">
        <v>0</v>
      </c>
      <c r="AH123" s="9"/>
      <c r="AI123" s="32">
        <v>1104.78</v>
      </c>
      <c r="AJ123" s="12"/>
      <c r="AK123" s="22">
        <v>23768173</v>
      </c>
      <c r="AM123" s="22">
        <v>8303673</v>
      </c>
      <c r="AO123" s="22">
        <v>603456</v>
      </c>
      <c r="AQ123" s="22">
        <v>8799591</v>
      </c>
      <c r="AS123" s="26">
        <v>41474893</v>
      </c>
      <c r="AU123" s="23">
        <v>22.5703</v>
      </c>
      <c r="AW123" s="23">
        <v>25.388000000000002</v>
      </c>
      <c r="AY123" s="23">
        <v>0.57299999999999995</v>
      </c>
      <c r="BA123" s="23">
        <v>34.722799999999999</v>
      </c>
      <c r="BC123" s="24">
        <v>24.937799999999999</v>
      </c>
      <c r="BE123" s="1" t="str">
        <f t="shared" si="1"/>
        <v>No</v>
      </c>
    </row>
    <row r="124" spans="1:57" ht="11.25" customHeight="1">
      <c r="A124" s="7" t="s">
        <v>711</v>
      </c>
      <c r="B124" s="7" t="s">
        <v>712</v>
      </c>
      <c r="C124" s="37" t="s">
        <v>86</v>
      </c>
      <c r="D124" s="296">
        <v>3083</v>
      </c>
      <c r="E124" s="297">
        <v>30083</v>
      </c>
      <c r="F124" s="27" t="s">
        <v>165</v>
      </c>
      <c r="G124" s="73" t="s">
        <v>158</v>
      </c>
      <c r="H124" s="35">
        <v>1439666</v>
      </c>
      <c r="I124" s="35">
        <v>369</v>
      </c>
      <c r="J124" s="37" t="s">
        <v>21</v>
      </c>
      <c r="K124" s="37" t="s">
        <v>159</v>
      </c>
      <c r="L124" s="8">
        <v>6</v>
      </c>
      <c r="M124" s="8">
        <v>90691</v>
      </c>
      <c r="N124" s="9"/>
      <c r="O124" s="8">
        <v>48183</v>
      </c>
      <c r="P124" s="9"/>
      <c r="Q124" s="8">
        <v>20205</v>
      </c>
      <c r="R124" s="9"/>
      <c r="S124" s="8">
        <v>27486</v>
      </c>
      <c r="T124" s="9"/>
      <c r="U124" s="8">
        <v>0</v>
      </c>
      <c r="V124" s="9"/>
      <c r="W124" s="33">
        <v>186565</v>
      </c>
      <c r="X124" s="9"/>
      <c r="Y124" s="30">
        <v>54.55</v>
      </c>
      <c r="Z124" s="9"/>
      <c r="AA124" s="30">
        <v>26.25</v>
      </c>
      <c r="AB124" s="9"/>
      <c r="AC124" s="30">
        <v>10.23</v>
      </c>
      <c r="AD124" s="9"/>
      <c r="AE124" s="30">
        <v>16.13</v>
      </c>
      <c r="AF124" s="9"/>
      <c r="AG124" s="30">
        <v>0</v>
      </c>
      <c r="AH124" s="9"/>
      <c r="AI124" s="32">
        <v>107.16</v>
      </c>
      <c r="AJ124" s="12"/>
      <c r="AK124" s="22">
        <v>2591427</v>
      </c>
      <c r="AM124" s="22">
        <v>1579329</v>
      </c>
      <c r="AO124" s="22">
        <v>585353</v>
      </c>
      <c r="AQ124" s="22">
        <v>908426</v>
      </c>
      <c r="AS124" s="26">
        <v>5664535</v>
      </c>
      <c r="AU124" s="23">
        <v>28.574200000000001</v>
      </c>
      <c r="AW124" s="23">
        <v>32.777700000000003</v>
      </c>
      <c r="AY124" s="23">
        <v>6.4543999999999997</v>
      </c>
      <c r="BA124" s="23">
        <v>33.0505</v>
      </c>
      <c r="BC124" s="24">
        <v>30.362300000000001</v>
      </c>
      <c r="BE124" s="1" t="str">
        <f t="shared" si="1"/>
        <v>No</v>
      </c>
    </row>
    <row r="125" spans="1:57" ht="11.25" customHeight="1">
      <c r="A125" s="7" t="s">
        <v>261</v>
      </c>
      <c r="B125" s="7" t="s">
        <v>262</v>
      </c>
      <c r="C125" s="37" t="s">
        <v>73</v>
      </c>
      <c r="D125" s="296">
        <v>5016</v>
      </c>
      <c r="E125" s="297">
        <v>50016</v>
      </c>
      <c r="F125" s="27" t="s">
        <v>165</v>
      </c>
      <c r="G125" s="73" t="s">
        <v>158</v>
      </c>
      <c r="H125" s="35">
        <v>1368035</v>
      </c>
      <c r="I125" s="35">
        <v>359</v>
      </c>
      <c r="J125" s="37" t="s">
        <v>7</v>
      </c>
      <c r="K125" s="37" t="s">
        <v>159</v>
      </c>
      <c r="L125" s="8">
        <v>295</v>
      </c>
      <c r="M125" s="8">
        <v>1385376</v>
      </c>
      <c r="N125" s="9"/>
      <c r="O125" s="8">
        <v>291142</v>
      </c>
      <c r="P125" s="9"/>
      <c r="Q125" s="8">
        <v>59019</v>
      </c>
      <c r="R125" s="9"/>
      <c r="S125" s="8">
        <v>221188</v>
      </c>
      <c r="T125" s="9"/>
      <c r="U125" s="8">
        <v>0</v>
      </c>
      <c r="V125" s="9"/>
      <c r="W125" s="33">
        <v>1956725</v>
      </c>
      <c r="X125" s="9"/>
      <c r="Y125" s="30">
        <v>721</v>
      </c>
      <c r="Z125" s="9"/>
      <c r="AA125" s="30">
        <v>130</v>
      </c>
      <c r="AB125" s="9"/>
      <c r="AC125" s="30">
        <v>29</v>
      </c>
      <c r="AD125" s="9"/>
      <c r="AE125" s="30">
        <v>124</v>
      </c>
      <c r="AF125" s="9"/>
      <c r="AG125" s="30">
        <v>0</v>
      </c>
      <c r="AH125" s="9"/>
      <c r="AI125" s="32">
        <v>1004</v>
      </c>
      <c r="AJ125" s="12"/>
      <c r="AK125" s="22">
        <v>34144468</v>
      </c>
      <c r="AM125" s="22">
        <v>8486884</v>
      </c>
      <c r="AO125" s="22">
        <v>1674480</v>
      </c>
      <c r="AQ125" s="22">
        <v>7183867</v>
      </c>
      <c r="AS125" s="26">
        <v>51489699</v>
      </c>
      <c r="AU125" s="23">
        <v>24.6464</v>
      </c>
      <c r="AW125" s="23">
        <v>29.150300000000001</v>
      </c>
      <c r="AY125" s="23">
        <v>1.2087000000000001</v>
      </c>
      <c r="BA125" s="23">
        <v>32.4786</v>
      </c>
      <c r="BC125" s="24">
        <v>26.3142</v>
      </c>
      <c r="BE125" s="1" t="str">
        <f t="shared" si="1"/>
        <v>No</v>
      </c>
    </row>
    <row r="126" spans="1:57" ht="11.25" customHeight="1">
      <c r="A126" s="7" t="s">
        <v>519</v>
      </c>
      <c r="B126" s="7" t="s">
        <v>520</v>
      </c>
      <c r="C126" s="37" t="s">
        <v>70</v>
      </c>
      <c r="D126" s="296">
        <v>2004</v>
      </c>
      <c r="E126" s="297">
        <v>20004</v>
      </c>
      <c r="F126" s="27" t="s">
        <v>165</v>
      </c>
      <c r="G126" s="73" t="s">
        <v>158</v>
      </c>
      <c r="H126" s="35">
        <v>935906</v>
      </c>
      <c r="I126" s="35">
        <v>352</v>
      </c>
      <c r="J126" s="37" t="s">
        <v>7</v>
      </c>
      <c r="K126" s="37" t="s">
        <v>159</v>
      </c>
      <c r="L126" s="8">
        <v>267</v>
      </c>
      <c r="M126" s="8">
        <v>1127708</v>
      </c>
      <c r="N126" s="9"/>
      <c r="O126" s="8">
        <v>363016</v>
      </c>
      <c r="P126" s="9"/>
      <c r="Q126" s="8">
        <v>54437</v>
      </c>
      <c r="R126" s="9"/>
      <c r="S126" s="8">
        <v>41972</v>
      </c>
      <c r="T126" s="9"/>
      <c r="U126" s="8">
        <v>813</v>
      </c>
      <c r="V126" s="9"/>
      <c r="W126" s="33">
        <v>1587946</v>
      </c>
      <c r="X126" s="9"/>
      <c r="Y126" s="30">
        <v>588</v>
      </c>
      <c r="Z126" s="9"/>
      <c r="AA126" s="30">
        <v>188.5</v>
      </c>
      <c r="AB126" s="9"/>
      <c r="AC126" s="30">
        <v>28</v>
      </c>
      <c r="AD126" s="9"/>
      <c r="AE126" s="30">
        <v>23</v>
      </c>
      <c r="AF126" s="9"/>
      <c r="AG126" s="30">
        <v>0.5</v>
      </c>
      <c r="AH126" s="9"/>
      <c r="AI126" s="32">
        <v>828</v>
      </c>
      <c r="AJ126" s="12"/>
      <c r="AK126" s="22">
        <v>22797617</v>
      </c>
      <c r="AM126" s="22">
        <v>8384346</v>
      </c>
      <c r="AO126" s="22">
        <v>1179390</v>
      </c>
      <c r="AQ126" s="22">
        <v>831014</v>
      </c>
      <c r="AS126" s="26">
        <v>33192367</v>
      </c>
      <c r="AU126" s="23">
        <v>20.215900000000001</v>
      </c>
      <c r="AW126" s="23">
        <v>23.096399999999999</v>
      </c>
      <c r="AY126" s="23">
        <v>1.0458000000000001</v>
      </c>
      <c r="BA126" s="23">
        <v>19.799199999999999</v>
      </c>
      <c r="BC126" s="24">
        <v>20.902699999999999</v>
      </c>
      <c r="BE126" s="1" t="str">
        <f t="shared" si="1"/>
        <v>No</v>
      </c>
    </row>
    <row r="127" spans="1:57" ht="11.25" customHeight="1">
      <c r="A127" s="7" t="s">
        <v>519</v>
      </c>
      <c r="B127" s="7" t="s">
        <v>520</v>
      </c>
      <c r="C127" s="37" t="s">
        <v>70</v>
      </c>
      <c r="D127" s="296">
        <v>2004</v>
      </c>
      <c r="E127" s="297">
        <v>20004</v>
      </c>
      <c r="F127" s="27" t="s">
        <v>165</v>
      </c>
      <c r="G127" s="73" t="s">
        <v>158</v>
      </c>
      <c r="H127" s="35">
        <v>935906</v>
      </c>
      <c r="I127" s="35">
        <v>352</v>
      </c>
      <c r="J127" s="37" t="s">
        <v>10</v>
      </c>
      <c r="K127" s="37" t="s">
        <v>159</v>
      </c>
      <c r="L127" s="8">
        <v>62</v>
      </c>
      <c r="M127" s="8">
        <v>198696</v>
      </c>
      <c r="N127" s="9"/>
      <c r="O127" s="8">
        <v>18866</v>
      </c>
      <c r="P127" s="9"/>
      <c r="Q127" s="8">
        <v>134</v>
      </c>
      <c r="R127" s="9"/>
      <c r="S127" s="8">
        <v>511</v>
      </c>
      <c r="T127" s="9"/>
      <c r="U127" s="8">
        <v>0</v>
      </c>
      <c r="V127" s="9"/>
      <c r="W127" s="33">
        <v>218207</v>
      </c>
      <c r="X127" s="9"/>
      <c r="Y127" s="30">
        <v>94.5</v>
      </c>
      <c r="Z127" s="9"/>
      <c r="AA127" s="30">
        <v>8.9</v>
      </c>
      <c r="AB127" s="9"/>
      <c r="AC127" s="30">
        <v>0.1</v>
      </c>
      <c r="AD127" s="9"/>
      <c r="AE127" s="30">
        <v>0.5</v>
      </c>
      <c r="AF127" s="9"/>
      <c r="AG127" s="30">
        <v>0</v>
      </c>
      <c r="AH127" s="9"/>
      <c r="AI127" s="32">
        <v>104</v>
      </c>
      <c r="AJ127" s="12"/>
      <c r="AK127" s="22">
        <v>2668886</v>
      </c>
      <c r="AM127" s="22">
        <v>495339</v>
      </c>
      <c r="AO127" s="22">
        <v>2401</v>
      </c>
      <c r="AQ127" s="22">
        <v>16276</v>
      </c>
      <c r="AS127" s="26">
        <v>3182902</v>
      </c>
      <c r="AU127" s="23">
        <v>13.432</v>
      </c>
      <c r="AW127" s="23">
        <v>26.255600000000001</v>
      </c>
      <c r="AY127" s="23">
        <v>1.21E-2</v>
      </c>
      <c r="BA127" s="23">
        <v>31.851299999999998</v>
      </c>
      <c r="BC127" s="24">
        <v>14.586600000000001</v>
      </c>
      <c r="BE127" s="1" t="str">
        <f t="shared" si="1"/>
        <v>No</v>
      </c>
    </row>
    <row r="128" spans="1:57" ht="11.25" customHeight="1">
      <c r="A128" s="7" t="s">
        <v>519</v>
      </c>
      <c r="B128" s="7" t="s">
        <v>520</v>
      </c>
      <c r="C128" s="37" t="s">
        <v>70</v>
      </c>
      <c r="D128" s="296">
        <v>2004</v>
      </c>
      <c r="E128" s="297">
        <v>20004</v>
      </c>
      <c r="F128" s="27" t="s">
        <v>165</v>
      </c>
      <c r="G128" s="73" t="s">
        <v>158</v>
      </c>
      <c r="H128" s="35">
        <v>935906</v>
      </c>
      <c r="I128" s="35">
        <v>352</v>
      </c>
      <c r="J128" s="37" t="s">
        <v>21</v>
      </c>
      <c r="K128" s="37" t="s">
        <v>159</v>
      </c>
      <c r="L128" s="8">
        <v>23</v>
      </c>
      <c r="M128" s="8">
        <v>87285</v>
      </c>
      <c r="N128" s="9"/>
      <c r="O128" s="8">
        <v>53529</v>
      </c>
      <c r="P128" s="9"/>
      <c r="Q128" s="8">
        <v>111899</v>
      </c>
      <c r="R128" s="9"/>
      <c r="S128" s="8">
        <v>7338</v>
      </c>
      <c r="T128" s="9"/>
      <c r="U128" s="8">
        <v>165</v>
      </c>
      <c r="V128" s="9"/>
      <c r="W128" s="33">
        <v>260216</v>
      </c>
      <c r="X128" s="9"/>
      <c r="Y128" s="30">
        <v>49</v>
      </c>
      <c r="Z128" s="9"/>
      <c r="AA128" s="30">
        <v>29.9</v>
      </c>
      <c r="AB128" s="9"/>
      <c r="AC128" s="30">
        <v>62</v>
      </c>
      <c r="AD128" s="9"/>
      <c r="AE128" s="30">
        <v>4</v>
      </c>
      <c r="AF128" s="9"/>
      <c r="AG128" s="30">
        <v>0.1</v>
      </c>
      <c r="AH128" s="9"/>
      <c r="AI128" s="32">
        <v>145</v>
      </c>
      <c r="AJ128" s="12"/>
      <c r="AK128" s="22">
        <v>2083571</v>
      </c>
      <c r="AM128" s="22">
        <v>891665</v>
      </c>
      <c r="AO128" s="22">
        <v>2889640</v>
      </c>
      <c r="AQ128" s="22">
        <v>241679</v>
      </c>
      <c r="AS128" s="26">
        <v>6106555</v>
      </c>
      <c r="AU128" s="23">
        <v>23.870899999999999</v>
      </c>
      <c r="AW128" s="23">
        <v>16.657599999999999</v>
      </c>
      <c r="AY128" s="23">
        <v>33.105800000000002</v>
      </c>
      <c r="BA128" s="23">
        <v>32.935299999999998</v>
      </c>
      <c r="BC128" s="24">
        <v>23.467300000000002</v>
      </c>
      <c r="BE128" s="1" t="str">
        <f t="shared" si="1"/>
        <v>No</v>
      </c>
    </row>
    <row r="129" spans="1:57" ht="11.25" customHeight="1">
      <c r="A129" s="7" t="s">
        <v>616</v>
      </c>
      <c r="B129" s="7" t="s">
        <v>617</v>
      </c>
      <c r="C129" s="37" t="s">
        <v>73</v>
      </c>
      <c r="D129" s="296">
        <v>5012</v>
      </c>
      <c r="E129" s="297">
        <v>50012</v>
      </c>
      <c r="F129" s="27" t="s">
        <v>162</v>
      </c>
      <c r="G129" s="73" t="s">
        <v>158</v>
      </c>
      <c r="H129" s="35">
        <v>1624827</v>
      </c>
      <c r="I129" s="35">
        <v>350</v>
      </c>
      <c r="J129" s="37" t="s">
        <v>7</v>
      </c>
      <c r="K129" s="37" t="s">
        <v>159</v>
      </c>
      <c r="L129" s="8">
        <v>299</v>
      </c>
      <c r="M129" s="8">
        <v>1102343</v>
      </c>
      <c r="N129" s="9"/>
      <c r="O129" s="8">
        <v>332852</v>
      </c>
      <c r="P129" s="9"/>
      <c r="Q129" s="8">
        <v>50859</v>
      </c>
      <c r="R129" s="9"/>
      <c r="S129" s="8">
        <v>150059</v>
      </c>
      <c r="T129" s="9"/>
      <c r="U129" s="8">
        <v>0</v>
      </c>
      <c r="V129" s="9"/>
      <c r="W129" s="33">
        <v>1636113</v>
      </c>
      <c r="X129" s="9"/>
      <c r="Y129" s="30">
        <v>505</v>
      </c>
      <c r="Z129" s="9"/>
      <c r="AA129" s="30">
        <v>169</v>
      </c>
      <c r="AB129" s="9"/>
      <c r="AC129" s="30">
        <v>26</v>
      </c>
      <c r="AD129" s="9"/>
      <c r="AE129" s="30">
        <v>82</v>
      </c>
      <c r="AF129" s="9"/>
      <c r="AG129" s="30">
        <v>0</v>
      </c>
      <c r="AH129" s="9"/>
      <c r="AI129" s="32">
        <v>782</v>
      </c>
      <c r="AJ129" s="12"/>
      <c r="AK129" s="22">
        <v>26690871</v>
      </c>
      <c r="AM129" s="22">
        <v>9376273</v>
      </c>
      <c r="AO129" s="22">
        <v>1391822</v>
      </c>
      <c r="AQ129" s="22">
        <v>5903341</v>
      </c>
      <c r="AS129" s="26">
        <v>43362307</v>
      </c>
      <c r="AU129" s="23">
        <v>24.212900000000001</v>
      </c>
      <c r="AW129" s="23">
        <v>28.169499999999999</v>
      </c>
      <c r="AY129" s="23">
        <v>1.2625999999999999</v>
      </c>
      <c r="BA129" s="23">
        <v>39.3401</v>
      </c>
      <c r="BC129" s="24">
        <v>26.5032</v>
      </c>
      <c r="BE129" s="1" t="str">
        <f t="shared" si="1"/>
        <v>No</v>
      </c>
    </row>
    <row r="130" spans="1:57" ht="11.25" customHeight="1">
      <c r="A130" s="7" t="s">
        <v>443</v>
      </c>
      <c r="B130" s="7" t="s">
        <v>444</v>
      </c>
      <c r="C130" s="37" t="s">
        <v>76</v>
      </c>
      <c r="D130" s="296">
        <v>7</v>
      </c>
      <c r="E130" s="297">
        <v>7</v>
      </c>
      <c r="F130" s="27" t="s">
        <v>165</v>
      </c>
      <c r="G130" s="73" t="s">
        <v>158</v>
      </c>
      <c r="H130" s="35">
        <v>247421</v>
      </c>
      <c r="I130" s="35">
        <v>342</v>
      </c>
      <c r="J130" s="37" t="s">
        <v>7</v>
      </c>
      <c r="K130" s="37" t="s">
        <v>159</v>
      </c>
      <c r="L130" s="8">
        <v>73</v>
      </c>
      <c r="M130" s="8">
        <v>363001</v>
      </c>
      <c r="N130" s="9"/>
      <c r="O130" s="8">
        <v>64193</v>
      </c>
      <c r="P130" s="9"/>
      <c r="Q130" s="8">
        <v>13959</v>
      </c>
      <c r="R130" s="9"/>
      <c r="S130" s="8">
        <v>62345</v>
      </c>
      <c r="T130" s="9"/>
      <c r="U130" s="8">
        <v>7842</v>
      </c>
      <c r="V130" s="9"/>
      <c r="W130" s="33">
        <v>511340</v>
      </c>
      <c r="X130" s="9"/>
      <c r="Y130" s="30">
        <v>164.9</v>
      </c>
      <c r="Z130" s="9"/>
      <c r="AA130" s="30">
        <v>33.299999999999997</v>
      </c>
      <c r="AB130" s="9"/>
      <c r="AC130" s="30">
        <v>7.7</v>
      </c>
      <c r="AD130" s="9"/>
      <c r="AE130" s="30">
        <v>29.3</v>
      </c>
      <c r="AF130" s="9"/>
      <c r="AG130" s="30">
        <v>3.8</v>
      </c>
      <c r="AH130" s="9"/>
      <c r="AI130" s="32">
        <v>239</v>
      </c>
      <c r="AJ130" s="12"/>
      <c r="AK130" s="22">
        <v>8786292</v>
      </c>
      <c r="AM130" s="22">
        <v>1778125</v>
      </c>
      <c r="AO130" s="22">
        <v>241987</v>
      </c>
      <c r="AQ130" s="22">
        <v>1739191</v>
      </c>
      <c r="AS130" s="26">
        <v>12545595</v>
      </c>
      <c r="AU130" s="23">
        <v>24.204599999999999</v>
      </c>
      <c r="AW130" s="23">
        <v>27.6997</v>
      </c>
      <c r="AY130" s="23">
        <v>0.66659999999999997</v>
      </c>
      <c r="BA130" s="23">
        <v>27.8962</v>
      </c>
      <c r="BC130" s="24">
        <v>24.534700000000001</v>
      </c>
      <c r="BE130" s="1" t="str">
        <f t="shared" ref="BE130:BE193" si="2">IF(BD130&amp;BB130&amp;AZ130&amp;AX130&amp;AV130&amp;AT130&amp;AR130&amp;AP130&amp;AN130&amp;AL130&amp;AJ130&amp;AH130&amp;AF130&amp;AD130&amp;AB130&amp;Z130&amp;X130&amp;V130&amp;T130&amp;R130&amp;P130&amp;N130&lt;&gt;"","Yes","No")</f>
        <v>No</v>
      </c>
    </row>
    <row r="131" spans="1:57" ht="11.25" customHeight="1">
      <c r="A131" s="7" t="s">
        <v>443</v>
      </c>
      <c r="B131" s="7" t="s">
        <v>444</v>
      </c>
      <c r="C131" s="37" t="s">
        <v>76</v>
      </c>
      <c r="D131" s="296">
        <v>7</v>
      </c>
      <c r="E131" s="297">
        <v>7</v>
      </c>
      <c r="F131" s="27" t="s">
        <v>165</v>
      </c>
      <c r="G131" s="73" t="s">
        <v>158</v>
      </c>
      <c r="H131" s="35">
        <v>247421</v>
      </c>
      <c r="I131" s="35">
        <v>342</v>
      </c>
      <c r="J131" s="37" t="s">
        <v>22</v>
      </c>
      <c r="K131" s="37" t="s">
        <v>159</v>
      </c>
      <c r="L131" s="8">
        <v>8</v>
      </c>
      <c r="M131" s="8">
        <v>46451</v>
      </c>
      <c r="N131" s="9"/>
      <c r="O131" s="8">
        <v>14646</v>
      </c>
      <c r="P131" s="9"/>
      <c r="Q131" s="8">
        <v>2147</v>
      </c>
      <c r="R131" s="9"/>
      <c r="S131" s="8">
        <v>9661</v>
      </c>
      <c r="T131" s="9"/>
      <c r="U131" s="8">
        <v>1158</v>
      </c>
      <c r="V131" s="9"/>
      <c r="W131" s="33">
        <v>74063</v>
      </c>
      <c r="X131" s="9"/>
      <c r="Y131" s="30">
        <v>21.1</v>
      </c>
      <c r="Z131" s="9"/>
      <c r="AA131" s="30">
        <v>7.6</v>
      </c>
      <c r="AB131" s="9"/>
      <c r="AC131" s="30">
        <v>1.2</v>
      </c>
      <c r="AD131" s="9"/>
      <c r="AE131" s="30">
        <v>4.5</v>
      </c>
      <c r="AF131" s="9"/>
      <c r="AG131" s="30">
        <v>0.6</v>
      </c>
      <c r="AH131" s="9"/>
      <c r="AI131" s="32">
        <v>35</v>
      </c>
      <c r="AJ131" s="12"/>
      <c r="AK131" s="22">
        <v>1130292</v>
      </c>
      <c r="AM131" s="22">
        <v>435409</v>
      </c>
      <c r="AO131" s="22">
        <v>38356</v>
      </c>
      <c r="AQ131" s="22">
        <v>275671</v>
      </c>
      <c r="AS131" s="26">
        <v>1879728</v>
      </c>
      <c r="AU131" s="23">
        <v>24.332999999999998</v>
      </c>
      <c r="AW131" s="23">
        <v>29.728899999999999</v>
      </c>
      <c r="AY131" s="23">
        <v>0.82569999999999999</v>
      </c>
      <c r="BA131" s="23">
        <v>28.534400000000002</v>
      </c>
      <c r="BC131" s="24">
        <v>25.380099999999999</v>
      </c>
      <c r="BE131" s="1" t="str">
        <f t="shared" si="2"/>
        <v>No</v>
      </c>
    </row>
    <row r="132" spans="1:57" ht="11.25" customHeight="1">
      <c r="A132" s="7" t="s">
        <v>1154</v>
      </c>
      <c r="B132" s="7" t="s">
        <v>317</v>
      </c>
      <c r="C132" s="37" t="s">
        <v>13</v>
      </c>
      <c r="D132" s="296">
        <v>9033</v>
      </c>
      <c r="E132" s="297">
        <v>90033</v>
      </c>
      <c r="F132" s="27" t="s">
        <v>162</v>
      </c>
      <c r="G132" s="73" t="s">
        <v>158</v>
      </c>
      <c r="H132" s="35">
        <v>843168</v>
      </c>
      <c r="I132" s="35">
        <v>336</v>
      </c>
      <c r="J132" s="37" t="s">
        <v>7</v>
      </c>
      <c r="K132" s="37" t="s">
        <v>159</v>
      </c>
      <c r="L132" s="8">
        <v>207</v>
      </c>
      <c r="M132" s="8">
        <v>797978</v>
      </c>
      <c r="N132" s="9"/>
      <c r="O132" s="8">
        <v>200331</v>
      </c>
      <c r="P132" s="9"/>
      <c r="Q132" s="8">
        <v>19441</v>
      </c>
      <c r="R132" s="9"/>
      <c r="S132" s="8">
        <v>105404</v>
      </c>
      <c r="T132" s="9"/>
      <c r="U132" s="8">
        <v>0</v>
      </c>
      <c r="V132" s="9"/>
      <c r="W132" s="33">
        <v>1123154</v>
      </c>
      <c r="X132" s="9"/>
      <c r="Y132" s="30">
        <v>464</v>
      </c>
      <c r="Z132" s="9"/>
      <c r="AA132" s="30">
        <v>112</v>
      </c>
      <c r="AB132" s="9"/>
      <c r="AC132" s="30">
        <v>11</v>
      </c>
      <c r="AD132" s="9"/>
      <c r="AE132" s="30">
        <v>60</v>
      </c>
      <c r="AF132" s="9"/>
      <c r="AG132" s="30">
        <v>0</v>
      </c>
      <c r="AH132" s="9"/>
      <c r="AI132" s="32">
        <v>647</v>
      </c>
      <c r="AJ132" s="12"/>
      <c r="AK132" s="22">
        <v>14101361</v>
      </c>
      <c r="AM132" s="22">
        <v>4018495</v>
      </c>
      <c r="AO132" s="22">
        <v>345601</v>
      </c>
      <c r="AQ132" s="22">
        <v>2107012</v>
      </c>
      <c r="AS132" s="26">
        <v>20572469</v>
      </c>
      <c r="AU132" s="23">
        <v>17.671399999999998</v>
      </c>
      <c r="AW132" s="23">
        <v>20.0593</v>
      </c>
      <c r="AY132" s="23">
        <v>0.43309999999999998</v>
      </c>
      <c r="BA132" s="23">
        <v>19.989899999999999</v>
      </c>
      <c r="BC132" s="24">
        <v>18.316700000000001</v>
      </c>
      <c r="BE132" s="1" t="str">
        <f t="shared" si="2"/>
        <v>No</v>
      </c>
    </row>
    <row r="133" spans="1:57" ht="11.25" customHeight="1">
      <c r="A133" s="7" t="s">
        <v>1154</v>
      </c>
      <c r="B133" s="7" t="s">
        <v>317</v>
      </c>
      <c r="C133" s="37" t="s">
        <v>13</v>
      </c>
      <c r="D133" s="296">
        <v>9033</v>
      </c>
      <c r="E133" s="297">
        <v>90033</v>
      </c>
      <c r="F133" s="27" t="s">
        <v>162</v>
      </c>
      <c r="G133" s="73" t="s">
        <v>158</v>
      </c>
      <c r="H133" s="35">
        <v>843168</v>
      </c>
      <c r="I133" s="35">
        <v>336</v>
      </c>
      <c r="J133" s="37" t="s">
        <v>10</v>
      </c>
      <c r="K133" s="37" t="s">
        <v>159</v>
      </c>
      <c r="L133" s="8">
        <v>123</v>
      </c>
      <c r="M133" s="8">
        <v>458128</v>
      </c>
      <c r="N133" s="9"/>
      <c r="O133" s="8">
        <v>0</v>
      </c>
      <c r="P133" s="9"/>
      <c r="Q133" s="8">
        <v>2800</v>
      </c>
      <c r="R133" s="9"/>
      <c r="S133" s="8">
        <v>15097</v>
      </c>
      <c r="T133" s="9"/>
      <c r="U133" s="8">
        <v>0</v>
      </c>
      <c r="V133" s="9"/>
      <c r="W133" s="33">
        <v>476025</v>
      </c>
      <c r="X133" s="9"/>
      <c r="Y133" s="30">
        <v>241</v>
      </c>
      <c r="Z133" s="9"/>
      <c r="AA133" s="30">
        <v>0</v>
      </c>
      <c r="AB133" s="9"/>
      <c r="AC133" s="30">
        <v>2</v>
      </c>
      <c r="AD133" s="9"/>
      <c r="AE133" s="30">
        <v>8</v>
      </c>
      <c r="AF133" s="9"/>
      <c r="AG133" s="30">
        <v>0</v>
      </c>
      <c r="AH133" s="9"/>
      <c r="AI133" s="32">
        <v>251</v>
      </c>
      <c r="AJ133" s="12"/>
      <c r="AK133" s="22">
        <v>6539811</v>
      </c>
      <c r="AM133" s="22">
        <v>0</v>
      </c>
      <c r="AO133" s="22">
        <v>40035</v>
      </c>
      <c r="AQ133" s="22">
        <v>341982</v>
      </c>
      <c r="AS133" s="26">
        <v>6921828</v>
      </c>
      <c r="AU133" s="23">
        <v>14.2751</v>
      </c>
      <c r="AY133" s="23">
        <v>8.7400000000000005E-2</v>
      </c>
      <c r="BA133" s="23">
        <v>22.6523</v>
      </c>
      <c r="BC133" s="24">
        <v>14.540900000000001</v>
      </c>
      <c r="BE133" s="1" t="str">
        <f t="shared" si="2"/>
        <v>No</v>
      </c>
    </row>
    <row r="134" spans="1:57" ht="11.25" customHeight="1">
      <c r="A134" s="7" t="s">
        <v>1154</v>
      </c>
      <c r="B134" s="7" t="s">
        <v>317</v>
      </c>
      <c r="C134" s="37" t="s">
        <v>13</v>
      </c>
      <c r="D134" s="296">
        <v>9033</v>
      </c>
      <c r="E134" s="297">
        <v>90033</v>
      </c>
      <c r="F134" s="27" t="s">
        <v>162</v>
      </c>
      <c r="G134" s="73" t="s">
        <v>158</v>
      </c>
      <c r="H134" s="35">
        <v>843168</v>
      </c>
      <c r="I134" s="35">
        <v>336</v>
      </c>
      <c r="J134" s="37" t="s">
        <v>12</v>
      </c>
      <c r="K134" s="37" t="s">
        <v>159</v>
      </c>
      <c r="L134" s="8">
        <v>6</v>
      </c>
      <c r="M134" s="8">
        <v>48265</v>
      </c>
      <c r="N134" s="9"/>
      <c r="O134" s="8">
        <v>7891</v>
      </c>
      <c r="P134" s="9"/>
      <c r="Q134" s="8">
        <v>5446</v>
      </c>
      <c r="R134" s="9"/>
      <c r="S134" s="8">
        <v>7715</v>
      </c>
      <c r="T134" s="9"/>
      <c r="U134" s="8">
        <v>0</v>
      </c>
      <c r="V134" s="9"/>
      <c r="W134" s="33">
        <v>69317</v>
      </c>
      <c r="X134" s="9"/>
      <c r="Y134" s="30">
        <v>27</v>
      </c>
      <c r="Z134" s="9"/>
      <c r="AA134" s="30">
        <v>4.5</v>
      </c>
      <c r="AB134" s="9"/>
      <c r="AC134" s="30">
        <v>3.5</v>
      </c>
      <c r="AD134" s="9"/>
      <c r="AE134" s="30">
        <v>4.5</v>
      </c>
      <c r="AF134" s="9"/>
      <c r="AG134" s="30">
        <v>0</v>
      </c>
      <c r="AH134" s="9"/>
      <c r="AI134" s="32">
        <v>39.5</v>
      </c>
      <c r="AJ134" s="12"/>
      <c r="AK134" s="22">
        <v>867773</v>
      </c>
      <c r="AM134" s="22">
        <v>169146</v>
      </c>
      <c r="AO134" s="22">
        <v>96807</v>
      </c>
      <c r="AQ134" s="22">
        <v>222002</v>
      </c>
      <c r="AS134" s="26">
        <v>1355728</v>
      </c>
      <c r="AU134" s="23">
        <v>17.979299999999999</v>
      </c>
      <c r="AW134" s="23">
        <v>21.435300000000002</v>
      </c>
      <c r="AY134" s="23">
        <v>2.0057</v>
      </c>
      <c r="BA134" s="23">
        <v>28.775400000000001</v>
      </c>
      <c r="BC134" s="24">
        <v>19.558399999999999</v>
      </c>
      <c r="BE134" s="1" t="str">
        <f t="shared" si="2"/>
        <v>No</v>
      </c>
    </row>
    <row r="135" spans="1:57" ht="11.25" customHeight="1">
      <c r="A135" s="7" t="s">
        <v>399</v>
      </c>
      <c r="B135" s="7" t="s">
        <v>400</v>
      </c>
      <c r="C135" s="37" t="s">
        <v>86</v>
      </c>
      <c r="D135" s="296">
        <v>3006</v>
      </c>
      <c r="E135" s="297">
        <v>30006</v>
      </c>
      <c r="F135" s="27" t="s">
        <v>401</v>
      </c>
      <c r="G135" s="73" t="s">
        <v>158</v>
      </c>
      <c r="H135" s="35">
        <v>953556</v>
      </c>
      <c r="I135" s="35">
        <v>330</v>
      </c>
      <c r="J135" s="37" t="s">
        <v>7</v>
      </c>
      <c r="K135" s="37" t="s">
        <v>159</v>
      </c>
      <c r="L135" s="8">
        <v>121</v>
      </c>
      <c r="M135" s="8">
        <v>537867</v>
      </c>
      <c r="N135" s="9"/>
      <c r="O135" s="8">
        <v>90766</v>
      </c>
      <c r="P135" s="9"/>
      <c r="Q135" s="8">
        <v>36154</v>
      </c>
      <c r="R135" s="9"/>
      <c r="S135" s="8">
        <v>122751</v>
      </c>
      <c r="T135" s="9"/>
      <c r="U135" s="8">
        <v>0</v>
      </c>
      <c r="V135" s="9"/>
      <c r="W135" s="33">
        <v>787538</v>
      </c>
      <c r="X135" s="9"/>
      <c r="Y135" s="30">
        <v>293</v>
      </c>
      <c r="Z135" s="9"/>
      <c r="AA135" s="30">
        <v>44</v>
      </c>
      <c r="AB135" s="9"/>
      <c r="AC135" s="30">
        <v>17</v>
      </c>
      <c r="AD135" s="9"/>
      <c r="AE135" s="30">
        <v>61</v>
      </c>
      <c r="AF135" s="9"/>
      <c r="AG135" s="30">
        <v>0</v>
      </c>
      <c r="AH135" s="9"/>
      <c r="AI135" s="32">
        <v>415</v>
      </c>
      <c r="AJ135" s="12"/>
      <c r="AK135" s="22">
        <v>12114256</v>
      </c>
      <c r="AM135" s="22">
        <v>1939129</v>
      </c>
      <c r="AO135" s="22">
        <v>711652</v>
      </c>
      <c r="AQ135" s="22">
        <v>3112151</v>
      </c>
      <c r="AS135" s="26">
        <v>17877188</v>
      </c>
      <c r="AU135" s="23">
        <v>22.5228</v>
      </c>
      <c r="AW135" s="23">
        <v>21.364000000000001</v>
      </c>
      <c r="AY135" s="23">
        <v>1.3230999999999999</v>
      </c>
      <c r="BA135" s="23">
        <v>25.353400000000001</v>
      </c>
      <c r="BC135" s="24">
        <v>22.700099999999999</v>
      </c>
      <c r="BE135" s="1" t="str">
        <f t="shared" si="2"/>
        <v>No</v>
      </c>
    </row>
    <row r="136" spans="1:57" ht="11.25" customHeight="1">
      <c r="A136" s="7" t="s">
        <v>630</v>
      </c>
      <c r="B136" s="7" t="s">
        <v>292</v>
      </c>
      <c r="C136" s="37" t="s">
        <v>52</v>
      </c>
      <c r="D136" s="296">
        <v>5031</v>
      </c>
      <c r="E136" s="297">
        <v>50031</v>
      </c>
      <c r="F136" s="27" t="s">
        <v>165</v>
      </c>
      <c r="G136" s="73" t="s">
        <v>158</v>
      </c>
      <c r="H136" s="35">
        <v>3734090</v>
      </c>
      <c r="I136" s="35">
        <v>317</v>
      </c>
      <c r="J136" s="37" t="s">
        <v>7</v>
      </c>
      <c r="K136" s="37" t="s">
        <v>159</v>
      </c>
      <c r="L136" s="8">
        <v>195</v>
      </c>
      <c r="M136" s="8">
        <v>931168</v>
      </c>
      <c r="N136" s="9"/>
      <c r="O136" s="8">
        <v>216871</v>
      </c>
      <c r="P136" s="9"/>
      <c r="Q136" s="8">
        <v>31991</v>
      </c>
      <c r="R136" s="9"/>
      <c r="S136" s="8">
        <v>136190</v>
      </c>
      <c r="T136" s="9"/>
      <c r="U136" s="8">
        <v>0</v>
      </c>
      <c r="V136" s="9"/>
      <c r="W136" s="33">
        <v>1316220</v>
      </c>
      <c r="X136" s="9"/>
      <c r="Y136" s="30">
        <v>369</v>
      </c>
      <c r="Z136" s="9"/>
      <c r="AA136" s="30">
        <v>110</v>
      </c>
      <c r="AB136" s="9"/>
      <c r="AC136" s="30">
        <v>17</v>
      </c>
      <c r="AD136" s="9"/>
      <c r="AE136" s="30">
        <v>80</v>
      </c>
      <c r="AF136" s="9"/>
      <c r="AG136" s="30">
        <v>0</v>
      </c>
      <c r="AH136" s="9"/>
      <c r="AI136" s="32">
        <v>576</v>
      </c>
      <c r="AJ136" s="12"/>
      <c r="AK136" s="22">
        <v>17393476</v>
      </c>
      <c r="AM136" s="22">
        <v>5692645</v>
      </c>
      <c r="AO136" s="22">
        <v>588030</v>
      </c>
      <c r="AQ136" s="22">
        <v>3494802</v>
      </c>
      <c r="AS136" s="26">
        <v>27168953</v>
      </c>
      <c r="AU136" s="23">
        <v>18.679200000000002</v>
      </c>
      <c r="AW136" s="23">
        <v>26.248999999999999</v>
      </c>
      <c r="AY136" s="23">
        <v>0.63149999999999995</v>
      </c>
      <c r="BA136" s="23">
        <v>25.661200000000001</v>
      </c>
      <c r="BC136" s="24">
        <v>20.6417</v>
      </c>
      <c r="BE136" s="1" t="str">
        <f t="shared" si="2"/>
        <v>No</v>
      </c>
    </row>
    <row r="137" spans="1:57" ht="11.25" customHeight="1">
      <c r="A137" s="7" t="s">
        <v>630</v>
      </c>
      <c r="B137" s="7" t="s">
        <v>292</v>
      </c>
      <c r="C137" s="37" t="s">
        <v>52</v>
      </c>
      <c r="D137" s="296">
        <v>5031</v>
      </c>
      <c r="E137" s="297">
        <v>50031</v>
      </c>
      <c r="F137" s="27" t="s">
        <v>165</v>
      </c>
      <c r="G137" s="73" t="s">
        <v>158</v>
      </c>
      <c r="H137" s="35">
        <v>3734090</v>
      </c>
      <c r="I137" s="35">
        <v>317</v>
      </c>
      <c r="J137" s="37" t="s">
        <v>10</v>
      </c>
      <c r="K137" s="37" t="s">
        <v>159</v>
      </c>
      <c r="L137" s="8">
        <v>84</v>
      </c>
      <c r="M137" s="8">
        <v>317640</v>
      </c>
      <c r="N137" s="9"/>
      <c r="O137" s="8">
        <v>28867</v>
      </c>
      <c r="P137" s="9"/>
      <c r="Q137" s="8">
        <v>6480</v>
      </c>
      <c r="R137" s="9"/>
      <c r="S137" s="8">
        <v>45857</v>
      </c>
      <c r="T137" s="9"/>
      <c r="U137" s="8">
        <v>0</v>
      </c>
      <c r="V137" s="9"/>
      <c r="W137" s="33">
        <v>398844</v>
      </c>
      <c r="X137" s="9"/>
      <c r="Y137" s="30">
        <v>148</v>
      </c>
      <c r="Z137" s="9"/>
      <c r="AA137" s="30">
        <v>19</v>
      </c>
      <c r="AB137" s="9"/>
      <c r="AC137" s="30">
        <v>4</v>
      </c>
      <c r="AD137" s="9"/>
      <c r="AE137" s="30">
        <v>28</v>
      </c>
      <c r="AF137" s="9"/>
      <c r="AG137" s="30">
        <v>0</v>
      </c>
      <c r="AH137" s="9"/>
      <c r="AI137" s="32">
        <v>199</v>
      </c>
      <c r="AJ137" s="12"/>
      <c r="AK137" s="22">
        <v>4452719</v>
      </c>
      <c r="AM137" s="22">
        <v>455991</v>
      </c>
      <c r="AO137" s="22">
        <v>116001</v>
      </c>
      <c r="AQ137" s="22">
        <v>1077793</v>
      </c>
      <c r="AS137" s="26">
        <v>6102504</v>
      </c>
      <c r="AU137" s="23">
        <v>14.0181</v>
      </c>
      <c r="AW137" s="23">
        <v>15.7963</v>
      </c>
      <c r="AY137" s="23">
        <v>0.36520000000000002</v>
      </c>
      <c r="BA137" s="23">
        <v>23.503299999999999</v>
      </c>
      <c r="BC137" s="24">
        <v>15.3005</v>
      </c>
      <c r="BE137" s="1" t="str">
        <f t="shared" si="2"/>
        <v>No</v>
      </c>
    </row>
    <row r="138" spans="1:57" ht="11.25" customHeight="1">
      <c r="A138" s="7" t="s">
        <v>661</v>
      </c>
      <c r="B138" s="7" t="s">
        <v>662</v>
      </c>
      <c r="C138" s="37" t="s">
        <v>45</v>
      </c>
      <c r="D138" s="296">
        <v>4018</v>
      </c>
      <c r="E138" s="297">
        <v>40018</v>
      </c>
      <c r="F138" s="27" t="s">
        <v>165</v>
      </c>
      <c r="G138" s="73" t="s">
        <v>158</v>
      </c>
      <c r="H138" s="35">
        <v>972546</v>
      </c>
      <c r="I138" s="35">
        <v>316</v>
      </c>
      <c r="J138" s="37" t="s">
        <v>7</v>
      </c>
      <c r="K138" s="37" t="s">
        <v>159</v>
      </c>
      <c r="L138" s="8">
        <v>172</v>
      </c>
      <c r="M138" s="8">
        <v>777228</v>
      </c>
      <c r="N138" s="9"/>
      <c r="O138" s="8">
        <v>200059</v>
      </c>
      <c r="P138" s="9"/>
      <c r="Q138" s="8">
        <v>21865</v>
      </c>
      <c r="R138" s="9"/>
      <c r="S138" s="8">
        <v>121870</v>
      </c>
      <c r="T138" s="9"/>
      <c r="U138" s="8">
        <v>0</v>
      </c>
      <c r="V138" s="9"/>
      <c r="W138" s="33">
        <v>1121022</v>
      </c>
      <c r="X138" s="9"/>
      <c r="Y138" s="30">
        <v>408</v>
      </c>
      <c r="Z138" s="9"/>
      <c r="AA138" s="30">
        <v>103.5</v>
      </c>
      <c r="AB138" s="9"/>
      <c r="AC138" s="30">
        <v>11.94</v>
      </c>
      <c r="AD138" s="9"/>
      <c r="AE138" s="30">
        <v>72.7</v>
      </c>
      <c r="AF138" s="9"/>
      <c r="AG138" s="30">
        <v>0</v>
      </c>
      <c r="AH138" s="9"/>
      <c r="AI138" s="32">
        <v>596.14</v>
      </c>
      <c r="AJ138" s="12"/>
      <c r="AK138" s="22">
        <v>17926790</v>
      </c>
      <c r="AM138" s="22">
        <v>4697233</v>
      </c>
      <c r="AO138" s="22">
        <v>533148</v>
      </c>
      <c r="AQ138" s="22">
        <v>3367420</v>
      </c>
      <c r="AS138" s="26">
        <v>26524591</v>
      </c>
      <c r="AU138" s="23">
        <v>23.065000000000001</v>
      </c>
      <c r="AW138" s="23">
        <v>23.479199999999999</v>
      </c>
      <c r="AY138" s="23">
        <v>0.68600000000000005</v>
      </c>
      <c r="BA138" s="23">
        <v>27.6312</v>
      </c>
      <c r="BC138" s="24">
        <v>23.661100000000001</v>
      </c>
      <c r="BE138" s="1" t="str">
        <f t="shared" si="2"/>
        <v>No</v>
      </c>
    </row>
    <row r="139" spans="1:57" ht="11.25" customHeight="1">
      <c r="A139" s="7" t="s">
        <v>661</v>
      </c>
      <c r="B139" s="7" t="s">
        <v>662</v>
      </c>
      <c r="C139" s="37" t="s">
        <v>45</v>
      </c>
      <c r="D139" s="296">
        <v>4018</v>
      </c>
      <c r="E139" s="297">
        <v>40018</v>
      </c>
      <c r="F139" s="27" t="s">
        <v>165</v>
      </c>
      <c r="G139" s="73" t="s">
        <v>158</v>
      </c>
      <c r="H139" s="35">
        <v>972546</v>
      </c>
      <c r="I139" s="35">
        <v>316</v>
      </c>
      <c r="J139" s="37" t="s">
        <v>10</v>
      </c>
      <c r="K139" s="37" t="s">
        <v>159</v>
      </c>
      <c r="L139" s="8">
        <v>2</v>
      </c>
      <c r="M139" s="8">
        <v>1714</v>
      </c>
      <c r="N139" s="9"/>
      <c r="O139" s="8">
        <v>1005</v>
      </c>
      <c r="P139" s="9"/>
      <c r="Q139" s="8">
        <v>110</v>
      </c>
      <c r="R139" s="9"/>
      <c r="S139" s="8">
        <v>520</v>
      </c>
      <c r="T139" s="9"/>
      <c r="U139" s="8">
        <v>0</v>
      </c>
      <c r="V139" s="9"/>
      <c r="W139" s="33">
        <v>3349</v>
      </c>
      <c r="X139" s="9"/>
      <c r="Y139" s="30">
        <v>1</v>
      </c>
      <c r="Z139" s="9"/>
      <c r="AA139" s="30">
        <v>0.5</v>
      </c>
      <c r="AB139" s="9"/>
      <c r="AC139" s="30">
        <v>0.06</v>
      </c>
      <c r="AD139" s="9"/>
      <c r="AE139" s="30">
        <v>0.3</v>
      </c>
      <c r="AF139" s="9"/>
      <c r="AG139" s="30">
        <v>0</v>
      </c>
      <c r="AH139" s="9"/>
      <c r="AI139" s="32">
        <v>1.86</v>
      </c>
      <c r="AJ139" s="12"/>
      <c r="AK139" s="22">
        <v>39525</v>
      </c>
      <c r="AM139" s="22">
        <v>23597</v>
      </c>
      <c r="AO139" s="22">
        <v>2682</v>
      </c>
      <c r="AQ139" s="22">
        <v>12930</v>
      </c>
      <c r="AS139" s="26">
        <v>78734</v>
      </c>
      <c r="AU139" s="23">
        <v>23.060099999999998</v>
      </c>
      <c r="AW139" s="23">
        <v>23.479600000000001</v>
      </c>
      <c r="AY139" s="23">
        <v>1.5648</v>
      </c>
      <c r="BA139" s="23">
        <v>24.865400000000001</v>
      </c>
      <c r="BC139" s="24">
        <v>23.509699999999999</v>
      </c>
      <c r="BE139" s="1" t="str">
        <f t="shared" si="2"/>
        <v>No</v>
      </c>
    </row>
    <row r="140" spans="1:57" ht="11.25" customHeight="1">
      <c r="A140" s="7" t="s">
        <v>620</v>
      </c>
      <c r="B140" s="7" t="s">
        <v>621</v>
      </c>
      <c r="C140" s="37" t="s">
        <v>89</v>
      </c>
      <c r="D140" s="296">
        <v>2</v>
      </c>
      <c r="E140" s="297">
        <v>2</v>
      </c>
      <c r="F140" s="27" t="s">
        <v>165</v>
      </c>
      <c r="G140" s="73" t="s">
        <v>158</v>
      </c>
      <c r="H140" s="35">
        <v>387847</v>
      </c>
      <c r="I140" s="35">
        <v>307</v>
      </c>
      <c r="J140" s="37" t="s">
        <v>7</v>
      </c>
      <c r="K140" s="37" t="s">
        <v>159</v>
      </c>
      <c r="L140" s="8">
        <v>111</v>
      </c>
      <c r="M140" s="8">
        <v>524951</v>
      </c>
      <c r="N140" s="9"/>
      <c r="O140" s="8">
        <v>104339</v>
      </c>
      <c r="P140" s="9"/>
      <c r="Q140" s="8">
        <v>38122</v>
      </c>
      <c r="R140" s="9"/>
      <c r="S140" s="8">
        <v>91556</v>
      </c>
      <c r="T140" s="9"/>
      <c r="U140" s="8">
        <v>1037</v>
      </c>
      <c r="V140" s="9"/>
      <c r="W140" s="33">
        <v>760005</v>
      </c>
      <c r="X140" s="9"/>
      <c r="Y140" s="30">
        <v>320.3</v>
      </c>
      <c r="Z140" s="9"/>
      <c r="AA140" s="30">
        <v>63.3</v>
      </c>
      <c r="AB140" s="9"/>
      <c r="AC140" s="30">
        <v>24</v>
      </c>
      <c r="AD140" s="9"/>
      <c r="AE140" s="30">
        <v>54</v>
      </c>
      <c r="AF140" s="9"/>
      <c r="AG140" s="30">
        <v>0.55000000000000004</v>
      </c>
      <c r="AH140" s="9"/>
      <c r="AI140" s="32">
        <v>462.15</v>
      </c>
      <c r="AJ140" s="12"/>
      <c r="AK140" s="22">
        <v>14065054</v>
      </c>
      <c r="AM140" s="22">
        <v>2855479</v>
      </c>
      <c r="AO140" s="22">
        <v>855440</v>
      </c>
      <c r="AQ140" s="22">
        <v>3386168</v>
      </c>
      <c r="AS140" s="26">
        <v>21162141</v>
      </c>
      <c r="AU140" s="23">
        <v>26.793099999999999</v>
      </c>
      <c r="AW140" s="23">
        <v>27.3673</v>
      </c>
      <c r="AY140" s="23">
        <v>1.6295999999999999</v>
      </c>
      <c r="BA140" s="23">
        <v>36.984699999999997</v>
      </c>
      <c r="BC140" s="24">
        <v>27.8447</v>
      </c>
      <c r="BE140" s="1" t="str">
        <f t="shared" si="2"/>
        <v>No</v>
      </c>
    </row>
    <row r="141" spans="1:57" ht="11.25" customHeight="1">
      <c r="A141" s="7" t="s">
        <v>620</v>
      </c>
      <c r="B141" s="7" t="s">
        <v>621</v>
      </c>
      <c r="C141" s="37" t="s">
        <v>89</v>
      </c>
      <c r="D141" s="296">
        <v>2</v>
      </c>
      <c r="E141" s="297">
        <v>2</v>
      </c>
      <c r="F141" s="27" t="s">
        <v>165</v>
      </c>
      <c r="G141" s="73" t="s">
        <v>158</v>
      </c>
      <c r="H141" s="35">
        <v>387847</v>
      </c>
      <c r="I141" s="35">
        <v>307</v>
      </c>
      <c r="J141" s="37" t="s">
        <v>8</v>
      </c>
      <c r="K141" s="37" t="s">
        <v>159</v>
      </c>
      <c r="L141" s="8">
        <v>97</v>
      </c>
      <c r="M141" s="8">
        <v>0</v>
      </c>
      <c r="N141" s="9"/>
      <c r="O141" s="8">
        <v>0</v>
      </c>
      <c r="P141" s="9"/>
      <c r="Q141" s="8">
        <v>0</v>
      </c>
      <c r="R141" s="9"/>
      <c r="S141" s="8">
        <v>4991</v>
      </c>
      <c r="T141" s="9"/>
      <c r="U141" s="8">
        <v>15</v>
      </c>
      <c r="V141" s="9"/>
      <c r="W141" s="33">
        <v>5006</v>
      </c>
      <c r="X141" s="9"/>
      <c r="Y141" s="30">
        <v>0</v>
      </c>
      <c r="Z141" s="9"/>
      <c r="AA141" s="30">
        <v>0</v>
      </c>
      <c r="AB141" s="9"/>
      <c r="AC141" s="30">
        <v>0</v>
      </c>
      <c r="AD141" s="9"/>
      <c r="AE141" s="30">
        <v>2.76</v>
      </c>
      <c r="AF141" s="9"/>
      <c r="AG141" s="30">
        <v>0.01</v>
      </c>
      <c r="AH141" s="9"/>
      <c r="AI141" s="32">
        <v>2.77</v>
      </c>
      <c r="AJ141" s="12"/>
      <c r="AK141" s="22">
        <v>0</v>
      </c>
      <c r="AM141" s="22">
        <v>0</v>
      </c>
      <c r="AO141" s="22">
        <v>0</v>
      </c>
      <c r="AQ141" s="22">
        <v>154692</v>
      </c>
      <c r="AS141" s="26">
        <v>154692</v>
      </c>
      <c r="BA141" s="23">
        <v>30.994199999999999</v>
      </c>
      <c r="BC141" s="24">
        <v>30.901299999999999</v>
      </c>
      <c r="BE141" s="1" t="str">
        <f t="shared" si="2"/>
        <v>No</v>
      </c>
    </row>
    <row r="142" spans="1:57" ht="11.25" customHeight="1">
      <c r="A142" s="7" t="s">
        <v>620</v>
      </c>
      <c r="B142" s="7" t="s">
        <v>621</v>
      </c>
      <c r="C142" s="37" t="s">
        <v>89</v>
      </c>
      <c r="D142" s="296">
        <v>2</v>
      </c>
      <c r="E142" s="297">
        <v>2</v>
      </c>
      <c r="F142" s="27" t="s">
        <v>165</v>
      </c>
      <c r="G142" s="73" t="s">
        <v>158</v>
      </c>
      <c r="H142" s="35">
        <v>387847</v>
      </c>
      <c r="I142" s="35">
        <v>307</v>
      </c>
      <c r="J142" s="37" t="s">
        <v>10</v>
      </c>
      <c r="K142" s="37" t="s">
        <v>159</v>
      </c>
      <c r="L142" s="8">
        <v>52</v>
      </c>
      <c r="M142" s="8">
        <v>128129</v>
      </c>
      <c r="N142" s="9"/>
      <c r="O142" s="8">
        <v>22160</v>
      </c>
      <c r="P142" s="9"/>
      <c r="Q142" s="8">
        <v>0</v>
      </c>
      <c r="R142" s="9"/>
      <c r="S142" s="8">
        <v>25613</v>
      </c>
      <c r="T142" s="9"/>
      <c r="U142" s="8">
        <v>290</v>
      </c>
      <c r="V142" s="9"/>
      <c r="W142" s="33">
        <v>176192</v>
      </c>
      <c r="X142" s="9"/>
      <c r="Y142" s="30">
        <v>90.8</v>
      </c>
      <c r="Z142" s="9"/>
      <c r="AA142" s="30">
        <v>13</v>
      </c>
      <c r="AB142" s="9"/>
      <c r="AC142" s="30">
        <v>0</v>
      </c>
      <c r="AD142" s="9"/>
      <c r="AE142" s="30">
        <v>15.1</v>
      </c>
      <c r="AF142" s="9"/>
      <c r="AG142" s="30">
        <v>0.15</v>
      </c>
      <c r="AH142" s="9"/>
      <c r="AI142" s="32">
        <v>119.05</v>
      </c>
      <c r="AJ142" s="12"/>
      <c r="AK142" s="22">
        <v>2954542</v>
      </c>
      <c r="AM142" s="22">
        <v>514333</v>
      </c>
      <c r="AO142" s="22">
        <v>0</v>
      </c>
      <c r="AQ142" s="22">
        <v>536681</v>
      </c>
      <c r="AS142" s="26">
        <v>4005556</v>
      </c>
      <c r="AU142" s="23">
        <v>23.059100000000001</v>
      </c>
      <c r="AW142" s="23">
        <v>23.21</v>
      </c>
      <c r="AY142" s="23">
        <v>0</v>
      </c>
      <c r="BA142" s="23">
        <v>20.953499999999998</v>
      </c>
      <c r="BC142" s="24">
        <v>22.734000000000002</v>
      </c>
      <c r="BE142" s="1" t="str">
        <f t="shared" si="2"/>
        <v>No</v>
      </c>
    </row>
    <row r="143" spans="1:57" ht="11.25" customHeight="1">
      <c r="A143" s="7" t="s">
        <v>550</v>
      </c>
      <c r="B143" s="7" t="s">
        <v>551</v>
      </c>
      <c r="C143" s="37" t="s">
        <v>63</v>
      </c>
      <c r="D143" s="296">
        <v>2098</v>
      </c>
      <c r="E143" s="297">
        <v>20098</v>
      </c>
      <c r="F143" s="27" t="s">
        <v>165</v>
      </c>
      <c r="G143" s="73" t="s">
        <v>158</v>
      </c>
      <c r="H143" s="35">
        <v>18351295</v>
      </c>
      <c r="I143" s="35">
        <v>303</v>
      </c>
      <c r="J143" s="37" t="s">
        <v>20</v>
      </c>
      <c r="K143" s="37" t="s">
        <v>159</v>
      </c>
      <c r="L143" s="8">
        <v>298</v>
      </c>
      <c r="M143" s="8">
        <v>1138690</v>
      </c>
      <c r="N143" s="9"/>
      <c r="O143" s="8">
        <v>481437</v>
      </c>
      <c r="P143" s="9"/>
      <c r="Q143" s="8">
        <v>973705</v>
      </c>
      <c r="R143" s="9"/>
      <c r="S143" s="8">
        <v>137612</v>
      </c>
      <c r="T143" s="9"/>
      <c r="U143" s="8">
        <v>0</v>
      </c>
      <c r="V143" s="9"/>
      <c r="W143" s="33">
        <v>2731444</v>
      </c>
      <c r="X143" s="9"/>
      <c r="Y143" s="30">
        <v>614</v>
      </c>
      <c r="Z143" s="9"/>
      <c r="AA143" s="30">
        <v>270</v>
      </c>
      <c r="AB143" s="9"/>
      <c r="AC143" s="30">
        <v>516</v>
      </c>
      <c r="AD143" s="9"/>
      <c r="AE143" s="30">
        <v>85</v>
      </c>
      <c r="AF143" s="9"/>
      <c r="AG143" s="30">
        <v>0</v>
      </c>
      <c r="AH143" s="9"/>
      <c r="AI143" s="32">
        <v>1485</v>
      </c>
      <c r="AJ143" s="12"/>
      <c r="AK143" s="22">
        <v>66778866</v>
      </c>
      <c r="AM143" s="22">
        <v>22194379</v>
      </c>
      <c r="AO143" s="22">
        <v>32047115</v>
      </c>
      <c r="AQ143" s="22">
        <v>4933567</v>
      </c>
      <c r="AS143" s="26">
        <v>125953927</v>
      </c>
      <c r="AU143" s="23">
        <v>58.645299999999999</v>
      </c>
      <c r="AW143" s="23">
        <v>46.100299999999997</v>
      </c>
      <c r="AY143" s="23">
        <v>28.143799999999999</v>
      </c>
      <c r="BA143" s="23">
        <v>35.851300000000002</v>
      </c>
      <c r="BC143" s="24">
        <v>46.1126</v>
      </c>
      <c r="BE143" s="1" t="str">
        <f t="shared" si="2"/>
        <v>No</v>
      </c>
    </row>
    <row r="144" spans="1:57" ht="11.25" customHeight="1">
      <c r="A144" s="7" t="s">
        <v>432</v>
      </c>
      <c r="B144" s="7" t="s">
        <v>433</v>
      </c>
      <c r="C144" s="37" t="s">
        <v>55</v>
      </c>
      <c r="D144" s="296">
        <v>7005</v>
      </c>
      <c r="E144" s="297">
        <v>70005</v>
      </c>
      <c r="F144" s="27" t="s">
        <v>165</v>
      </c>
      <c r="G144" s="73" t="s">
        <v>158</v>
      </c>
      <c r="H144" s="35">
        <v>1519417</v>
      </c>
      <c r="I144" s="35">
        <v>298</v>
      </c>
      <c r="J144" s="37" t="s">
        <v>7</v>
      </c>
      <c r="K144" s="37" t="s">
        <v>159</v>
      </c>
      <c r="L144" s="8">
        <v>168</v>
      </c>
      <c r="M144" s="8">
        <v>787859</v>
      </c>
      <c r="N144" s="9"/>
      <c r="O144" s="8">
        <v>230714</v>
      </c>
      <c r="P144" s="9"/>
      <c r="Q144" s="8">
        <v>56883</v>
      </c>
      <c r="R144" s="9"/>
      <c r="S144" s="8">
        <v>168776</v>
      </c>
      <c r="T144" s="9"/>
      <c r="U144" s="8">
        <v>1984</v>
      </c>
      <c r="V144" s="9"/>
      <c r="W144" s="33">
        <v>1246216</v>
      </c>
      <c r="X144" s="9"/>
      <c r="Y144" s="30">
        <v>426</v>
      </c>
      <c r="Z144" s="9"/>
      <c r="AA144" s="30">
        <v>121</v>
      </c>
      <c r="AB144" s="9"/>
      <c r="AC144" s="30">
        <v>34</v>
      </c>
      <c r="AD144" s="9"/>
      <c r="AE144" s="30">
        <v>92</v>
      </c>
      <c r="AF144" s="9"/>
      <c r="AG144" s="30">
        <v>1</v>
      </c>
      <c r="AH144" s="9"/>
      <c r="AI144" s="32">
        <v>674</v>
      </c>
      <c r="AJ144" s="12"/>
      <c r="AK144" s="22">
        <v>19978915</v>
      </c>
      <c r="AM144" s="22">
        <v>6032640</v>
      </c>
      <c r="AO144" s="22">
        <v>1439557</v>
      </c>
      <c r="AQ144" s="22">
        <v>4959311</v>
      </c>
      <c r="AS144" s="26">
        <v>32410423</v>
      </c>
      <c r="AU144" s="23">
        <v>25.358499999999999</v>
      </c>
      <c r="AW144" s="23">
        <v>26.1477</v>
      </c>
      <c r="AY144" s="23">
        <v>1.8271999999999999</v>
      </c>
      <c r="BA144" s="23">
        <v>29.384</v>
      </c>
      <c r="BC144" s="24">
        <v>26.007100000000001</v>
      </c>
      <c r="BE144" s="1" t="str">
        <f t="shared" si="2"/>
        <v>No</v>
      </c>
    </row>
    <row r="145" spans="1:57" ht="11.25" customHeight="1">
      <c r="A145" s="7" t="s">
        <v>246</v>
      </c>
      <c r="B145" s="7" t="s">
        <v>247</v>
      </c>
      <c r="C145" s="37" t="s">
        <v>58</v>
      </c>
      <c r="D145" s="296">
        <v>4007</v>
      </c>
      <c r="E145" s="297">
        <v>40007</v>
      </c>
      <c r="F145" s="27" t="s">
        <v>162</v>
      </c>
      <c r="G145" s="73" t="s">
        <v>158</v>
      </c>
      <c r="H145" s="35">
        <v>884891</v>
      </c>
      <c r="I145" s="35">
        <v>298</v>
      </c>
      <c r="J145" s="37" t="s">
        <v>7</v>
      </c>
      <c r="K145" s="37" t="s">
        <v>159</v>
      </c>
      <c r="L145" s="8">
        <v>65</v>
      </c>
      <c r="M145" s="8">
        <v>379054</v>
      </c>
      <c r="N145" s="9"/>
      <c r="O145" s="8">
        <v>65025</v>
      </c>
      <c r="P145" s="9"/>
      <c r="Q145" s="8">
        <v>7673</v>
      </c>
      <c r="R145" s="9"/>
      <c r="S145" s="8">
        <v>24957</v>
      </c>
      <c r="T145" s="9"/>
      <c r="U145" s="8">
        <v>0</v>
      </c>
      <c r="V145" s="9"/>
      <c r="W145" s="33">
        <v>476709</v>
      </c>
      <c r="X145" s="9"/>
      <c r="Y145" s="30">
        <v>178</v>
      </c>
      <c r="Z145" s="9"/>
      <c r="AA145" s="30">
        <v>36</v>
      </c>
      <c r="AB145" s="9"/>
      <c r="AC145" s="30">
        <v>4</v>
      </c>
      <c r="AD145" s="9"/>
      <c r="AE145" s="30">
        <v>15</v>
      </c>
      <c r="AF145" s="9"/>
      <c r="AG145" s="30">
        <v>0</v>
      </c>
      <c r="AH145" s="9"/>
      <c r="AI145" s="32">
        <v>233</v>
      </c>
      <c r="AJ145" s="12"/>
      <c r="AK145" s="22">
        <v>6990531</v>
      </c>
      <c r="AM145" s="22">
        <v>1273211</v>
      </c>
      <c r="AO145" s="22">
        <v>58915</v>
      </c>
      <c r="AQ145" s="22">
        <v>672224</v>
      </c>
      <c r="AS145" s="26">
        <v>8994881</v>
      </c>
      <c r="AU145" s="23">
        <v>18.442</v>
      </c>
      <c r="AW145" s="23">
        <v>19.580300000000001</v>
      </c>
      <c r="AY145" s="23">
        <v>0.15540000000000001</v>
      </c>
      <c r="BA145" s="23">
        <v>26.935300000000002</v>
      </c>
      <c r="BC145" s="24">
        <v>18.8687</v>
      </c>
      <c r="BE145" s="1" t="str">
        <f t="shared" si="2"/>
        <v>No</v>
      </c>
    </row>
    <row r="146" spans="1:57" ht="11.25" customHeight="1">
      <c r="A146" s="7" t="s">
        <v>432</v>
      </c>
      <c r="B146" s="7" t="s">
        <v>433</v>
      </c>
      <c r="C146" s="37" t="s">
        <v>55</v>
      </c>
      <c r="D146" s="296">
        <v>7005</v>
      </c>
      <c r="E146" s="297">
        <v>70005</v>
      </c>
      <c r="F146" s="27" t="s">
        <v>165</v>
      </c>
      <c r="G146" s="73" t="s">
        <v>158</v>
      </c>
      <c r="H146" s="35">
        <v>1519417</v>
      </c>
      <c r="I146" s="35">
        <v>298</v>
      </c>
      <c r="J146" s="37" t="s">
        <v>8</v>
      </c>
      <c r="K146" s="37" t="s">
        <v>159</v>
      </c>
      <c r="L146" s="8">
        <v>23</v>
      </c>
      <c r="M146" s="8">
        <v>1752</v>
      </c>
      <c r="N146" s="9"/>
      <c r="O146" s="8">
        <v>0</v>
      </c>
      <c r="P146" s="9"/>
      <c r="Q146" s="8">
        <v>372</v>
      </c>
      <c r="R146" s="9"/>
      <c r="S146" s="8">
        <v>1684</v>
      </c>
      <c r="T146" s="9"/>
      <c r="U146" s="8">
        <v>0</v>
      </c>
      <c r="V146" s="9"/>
      <c r="W146" s="33">
        <v>3808</v>
      </c>
      <c r="X146" s="9"/>
      <c r="Y146" s="30">
        <v>1</v>
      </c>
      <c r="Z146" s="9"/>
      <c r="AA146" s="30">
        <v>0</v>
      </c>
      <c r="AB146" s="9"/>
      <c r="AC146" s="30">
        <v>0.2</v>
      </c>
      <c r="AD146" s="9"/>
      <c r="AE146" s="30">
        <v>1</v>
      </c>
      <c r="AF146" s="9"/>
      <c r="AG146" s="30">
        <v>0</v>
      </c>
      <c r="AH146" s="9"/>
      <c r="AI146" s="32">
        <v>2.2000000000000002</v>
      </c>
      <c r="AJ146" s="12"/>
      <c r="AK146" s="22">
        <v>36580</v>
      </c>
      <c r="AM146" s="22">
        <v>0</v>
      </c>
      <c r="AO146" s="22">
        <v>9473</v>
      </c>
      <c r="AQ146" s="22">
        <v>26864</v>
      </c>
      <c r="AS146" s="26">
        <v>72917</v>
      </c>
      <c r="AU146" s="23">
        <v>20.879000000000001</v>
      </c>
      <c r="AY146" s="23">
        <v>5.407</v>
      </c>
      <c r="BA146" s="23">
        <v>15.952500000000001</v>
      </c>
      <c r="BC146" s="24">
        <v>19.148399999999999</v>
      </c>
      <c r="BE146" s="1" t="str">
        <f t="shared" si="2"/>
        <v>No</v>
      </c>
    </row>
    <row r="147" spans="1:57" ht="11.25" customHeight="1">
      <c r="A147" s="7" t="s">
        <v>432</v>
      </c>
      <c r="B147" s="7" t="s">
        <v>433</v>
      </c>
      <c r="C147" s="37" t="s">
        <v>55</v>
      </c>
      <c r="D147" s="296">
        <v>7005</v>
      </c>
      <c r="E147" s="297">
        <v>70005</v>
      </c>
      <c r="F147" s="27" t="s">
        <v>165</v>
      </c>
      <c r="G147" s="73" t="s">
        <v>158</v>
      </c>
      <c r="H147" s="35">
        <v>1519417</v>
      </c>
      <c r="I147" s="35">
        <v>298</v>
      </c>
      <c r="J147" s="37" t="s">
        <v>10</v>
      </c>
      <c r="K147" s="37" t="s">
        <v>159</v>
      </c>
      <c r="L147" s="8">
        <v>19</v>
      </c>
      <c r="M147" s="8">
        <v>45306</v>
      </c>
      <c r="N147" s="9"/>
      <c r="O147" s="8">
        <v>7778</v>
      </c>
      <c r="P147" s="9"/>
      <c r="Q147" s="8">
        <v>1489</v>
      </c>
      <c r="R147" s="9"/>
      <c r="S147" s="8">
        <v>6267</v>
      </c>
      <c r="T147" s="9"/>
      <c r="U147" s="8">
        <v>0</v>
      </c>
      <c r="V147" s="9"/>
      <c r="W147" s="33">
        <v>60840</v>
      </c>
      <c r="X147" s="9"/>
      <c r="Y147" s="30">
        <v>26</v>
      </c>
      <c r="Z147" s="9"/>
      <c r="AA147" s="30">
        <v>4.0999999999999996</v>
      </c>
      <c r="AB147" s="9"/>
      <c r="AC147" s="30">
        <v>0.9</v>
      </c>
      <c r="AD147" s="9"/>
      <c r="AE147" s="30">
        <v>3</v>
      </c>
      <c r="AF147" s="9"/>
      <c r="AG147" s="30">
        <v>0</v>
      </c>
      <c r="AH147" s="9"/>
      <c r="AI147" s="32">
        <v>34</v>
      </c>
      <c r="AJ147" s="12"/>
      <c r="AK147" s="22">
        <v>737452</v>
      </c>
      <c r="AM147" s="22">
        <v>203365</v>
      </c>
      <c r="AO147" s="22">
        <v>37648</v>
      </c>
      <c r="AQ147" s="22">
        <v>181734</v>
      </c>
      <c r="AS147" s="26">
        <v>1160199</v>
      </c>
      <c r="AU147" s="23">
        <v>16.277100000000001</v>
      </c>
      <c r="AW147" s="23">
        <v>26.1462</v>
      </c>
      <c r="AY147" s="23">
        <v>0.83099999999999996</v>
      </c>
      <c r="BA147" s="23">
        <v>28.9986</v>
      </c>
      <c r="BC147" s="24">
        <v>19.069700000000001</v>
      </c>
      <c r="BE147" s="1" t="str">
        <f t="shared" si="2"/>
        <v>No</v>
      </c>
    </row>
    <row r="148" spans="1:57" ht="11.25" customHeight="1">
      <c r="A148" s="7" t="s">
        <v>432</v>
      </c>
      <c r="B148" s="7" t="s">
        <v>433</v>
      </c>
      <c r="C148" s="37" t="s">
        <v>55</v>
      </c>
      <c r="D148" s="296">
        <v>7005</v>
      </c>
      <c r="E148" s="297">
        <v>70005</v>
      </c>
      <c r="F148" s="27" t="s">
        <v>165</v>
      </c>
      <c r="G148" s="73" t="s">
        <v>158</v>
      </c>
      <c r="H148" s="35">
        <v>1519417</v>
      </c>
      <c r="I148" s="35">
        <v>298</v>
      </c>
      <c r="J148" s="37" t="s">
        <v>22</v>
      </c>
      <c r="K148" s="37" t="s">
        <v>159</v>
      </c>
      <c r="L148" s="8">
        <v>11</v>
      </c>
      <c r="M148" s="8">
        <v>62485</v>
      </c>
      <c r="N148" s="9"/>
      <c r="O148" s="8">
        <v>18281</v>
      </c>
      <c r="P148" s="9"/>
      <c r="Q148" s="8">
        <v>4507</v>
      </c>
      <c r="R148" s="9"/>
      <c r="S148" s="8">
        <v>17955</v>
      </c>
      <c r="T148" s="9"/>
      <c r="U148" s="8">
        <v>0</v>
      </c>
      <c r="V148" s="9"/>
      <c r="W148" s="33">
        <v>103228</v>
      </c>
      <c r="X148" s="9"/>
      <c r="Y148" s="30">
        <v>36</v>
      </c>
      <c r="Z148" s="9"/>
      <c r="AA148" s="30">
        <v>9.6999999999999993</v>
      </c>
      <c r="AB148" s="9"/>
      <c r="AC148" s="30">
        <v>2.7</v>
      </c>
      <c r="AD148" s="9"/>
      <c r="AE148" s="30">
        <v>9.9</v>
      </c>
      <c r="AF148" s="9"/>
      <c r="AG148" s="30">
        <v>0</v>
      </c>
      <c r="AH148" s="9"/>
      <c r="AI148" s="32">
        <v>58.3</v>
      </c>
      <c r="AJ148" s="12"/>
      <c r="AK148" s="22">
        <v>1583079</v>
      </c>
      <c r="AM148" s="22">
        <v>478000</v>
      </c>
      <c r="AO148" s="22">
        <v>114054</v>
      </c>
      <c r="AQ148" s="22">
        <v>510762</v>
      </c>
      <c r="AS148" s="26">
        <v>2685895</v>
      </c>
      <c r="AU148" s="23">
        <v>25.3353</v>
      </c>
      <c r="AW148" s="23">
        <v>26.147400000000001</v>
      </c>
      <c r="AY148" s="23">
        <v>1.8252999999999999</v>
      </c>
      <c r="BA148" s="23">
        <v>28.4468</v>
      </c>
      <c r="BC148" s="24">
        <v>26.019100000000002</v>
      </c>
      <c r="BE148" s="1" t="str">
        <f t="shared" si="2"/>
        <v>No</v>
      </c>
    </row>
    <row r="149" spans="1:57" ht="11.25" customHeight="1">
      <c r="A149" s="7" t="s">
        <v>548</v>
      </c>
      <c r="B149" s="7" t="s">
        <v>549</v>
      </c>
      <c r="C149" s="37" t="s">
        <v>32</v>
      </c>
      <c r="D149" s="296">
        <v>4027</v>
      </c>
      <c r="E149" s="297">
        <v>40027</v>
      </c>
      <c r="F149" s="27" t="s">
        <v>165</v>
      </c>
      <c r="G149" s="73" t="s">
        <v>158</v>
      </c>
      <c r="H149" s="35">
        <v>2441770</v>
      </c>
      <c r="I149" s="35">
        <v>295</v>
      </c>
      <c r="J149" s="37" t="s">
        <v>7</v>
      </c>
      <c r="K149" s="37" t="s">
        <v>159</v>
      </c>
      <c r="L149" s="8">
        <v>157</v>
      </c>
      <c r="M149" s="8">
        <v>822065</v>
      </c>
      <c r="N149" s="9"/>
      <c r="O149" s="8">
        <v>121947</v>
      </c>
      <c r="P149" s="9"/>
      <c r="Q149" s="8">
        <v>61456</v>
      </c>
      <c r="R149" s="9"/>
      <c r="S149" s="8">
        <v>146448</v>
      </c>
      <c r="T149" s="9"/>
      <c r="U149" s="8">
        <v>0</v>
      </c>
      <c r="V149" s="9"/>
      <c r="W149" s="33">
        <v>1151916</v>
      </c>
      <c r="X149" s="9"/>
      <c r="Y149" s="30">
        <v>408</v>
      </c>
      <c r="Z149" s="9"/>
      <c r="AA149" s="30">
        <v>61</v>
      </c>
      <c r="AB149" s="9"/>
      <c r="AC149" s="30">
        <v>30</v>
      </c>
      <c r="AD149" s="9"/>
      <c r="AE149" s="30">
        <v>82</v>
      </c>
      <c r="AF149" s="9"/>
      <c r="AG149" s="30">
        <v>0</v>
      </c>
      <c r="AH149" s="9"/>
      <c r="AI149" s="32">
        <v>581</v>
      </c>
      <c r="AJ149" s="12"/>
      <c r="AK149" s="22">
        <v>16884605</v>
      </c>
      <c r="AM149" s="22">
        <v>3315432</v>
      </c>
      <c r="AO149" s="22">
        <v>526537</v>
      </c>
      <c r="AQ149" s="22">
        <v>3325802</v>
      </c>
      <c r="AS149" s="26">
        <v>24052376</v>
      </c>
      <c r="AU149" s="23">
        <v>20.539300000000001</v>
      </c>
      <c r="AW149" s="23">
        <v>27.1875</v>
      </c>
      <c r="AY149" s="23">
        <v>0.64049999999999996</v>
      </c>
      <c r="BA149" s="23">
        <v>22.709800000000001</v>
      </c>
      <c r="BC149" s="24">
        <v>20.880299999999998</v>
      </c>
      <c r="BE149" s="1" t="str">
        <f t="shared" si="2"/>
        <v>No</v>
      </c>
    </row>
    <row r="150" spans="1:57" ht="11.25" customHeight="1">
      <c r="A150" s="7" t="s">
        <v>548</v>
      </c>
      <c r="B150" s="7" t="s">
        <v>549</v>
      </c>
      <c r="C150" s="37" t="s">
        <v>32</v>
      </c>
      <c r="D150" s="296">
        <v>4027</v>
      </c>
      <c r="E150" s="297">
        <v>40027</v>
      </c>
      <c r="F150" s="27" t="s">
        <v>165</v>
      </c>
      <c r="G150" s="73" t="s">
        <v>158</v>
      </c>
      <c r="H150" s="35">
        <v>2441770</v>
      </c>
      <c r="I150" s="35">
        <v>295</v>
      </c>
      <c r="J150" s="37" t="s">
        <v>18</v>
      </c>
      <c r="K150" s="37" t="s">
        <v>159</v>
      </c>
      <c r="L150" s="8">
        <v>7</v>
      </c>
      <c r="M150" s="8">
        <v>22276</v>
      </c>
      <c r="N150" s="9"/>
      <c r="O150" s="8">
        <v>5433</v>
      </c>
      <c r="P150" s="9"/>
      <c r="Q150" s="8">
        <v>2736</v>
      </c>
      <c r="R150" s="9"/>
      <c r="S150" s="8">
        <v>6509</v>
      </c>
      <c r="T150" s="9"/>
      <c r="U150" s="8">
        <v>0</v>
      </c>
      <c r="V150" s="9"/>
      <c r="W150" s="33">
        <v>36954</v>
      </c>
      <c r="X150" s="9"/>
      <c r="Y150" s="30">
        <v>10</v>
      </c>
      <c r="Z150" s="9"/>
      <c r="AA150" s="30">
        <v>3</v>
      </c>
      <c r="AB150" s="9"/>
      <c r="AC150" s="30">
        <v>1</v>
      </c>
      <c r="AD150" s="9"/>
      <c r="AE150" s="30">
        <v>4</v>
      </c>
      <c r="AF150" s="9"/>
      <c r="AG150" s="30">
        <v>0</v>
      </c>
      <c r="AH150" s="9"/>
      <c r="AI150" s="32">
        <v>18</v>
      </c>
      <c r="AJ150" s="12"/>
      <c r="AK150" s="22">
        <v>466772</v>
      </c>
      <c r="AM150" s="22">
        <v>102539</v>
      </c>
      <c r="AO150" s="22">
        <v>48597</v>
      </c>
      <c r="AQ150" s="22">
        <v>102860</v>
      </c>
      <c r="AS150" s="26">
        <v>720768</v>
      </c>
      <c r="AU150" s="23">
        <v>20.954000000000001</v>
      </c>
      <c r="AW150" s="23">
        <v>18.8734</v>
      </c>
      <c r="AY150" s="23">
        <v>2.1816</v>
      </c>
      <c r="BA150" s="23">
        <v>15.8027</v>
      </c>
      <c r="BC150" s="24">
        <v>19.5045</v>
      </c>
      <c r="BE150" s="1" t="str">
        <f t="shared" si="2"/>
        <v>No</v>
      </c>
    </row>
    <row r="151" spans="1:57" ht="11.25" customHeight="1">
      <c r="A151" s="7" t="s">
        <v>565</v>
      </c>
      <c r="B151" s="7" t="s">
        <v>566</v>
      </c>
      <c r="C151" s="37" t="s">
        <v>80</v>
      </c>
      <c r="D151" s="296">
        <v>1001</v>
      </c>
      <c r="E151" s="297">
        <v>10001</v>
      </c>
      <c r="F151" s="27" t="s">
        <v>165</v>
      </c>
      <c r="G151" s="73" t="s">
        <v>158</v>
      </c>
      <c r="H151" s="35">
        <v>1190956</v>
      </c>
      <c r="I151" s="35">
        <v>291</v>
      </c>
      <c r="J151" s="37" t="s">
        <v>7</v>
      </c>
      <c r="K151" s="37" t="s">
        <v>159</v>
      </c>
      <c r="L151" s="8">
        <v>195</v>
      </c>
      <c r="M151" s="8">
        <v>928821</v>
      </c>
      <c r="N151" s="9"/>
      <c r="O151" s="8">
        <v>145897</v>
      </c>
      <c r="P151" s="9"/>
      <c r="Q151" s="8">
        <v>65517</v>
      </c>
      <c r="R151" s="9"/>
      <c r="S151" s="8">
        <v>132034</v>
      </c>
      <c r="T151" s="9"/>
      <c r="U151" s="8">
        <v>0</v>
      </c>
      <c r="V151" s="9"/>
      <c r="W151" s="33">
        <v>1272269</v>
      </c>
      <c r="X151" s="9"/>
      <c r="Y151" s="30">
        <v>448</v>
      </c>
      <c r="Z151" s="9"/>
      <c r="AA151" s="30">
        <v>76</v>
      </c>
      <c r="AB151" s="9"/>
      <c r="AC151" s="30">
        <v>39</v>
      </c>
      <c r="AD151" s="9"/>
      <c r="AE151" s="30">
        <v>75</v>
      </c>
      <c r="AF151" s="9"/>
      <c r="AG151" s="30">
        <v>0</v>
      </c>
      <c r="AH151" s="9"/>
      <c r="AI151" s="32">
        <v>638</v>
      </c>
      <c r="AJ151" s="12"/>
      <c r="AK151" s="22">
        <v>26382892</v>
      </c>
      <c r="AM151" s="22">
        <v>4738843</v>
      </c>
      <c r="AO151" s="22">
        <v>1253086</v>
      </c>
      <c r="AQ151" s="22">
        <v>4239655</v>
      </c>
      <c r="AS151" s="26">
        <v>36614476</v>
      </c>
      <c r="AU151" s="23">
        <v>28.404699999999998</v>
      </c>
      <c r="AW151" s="23">
        <v>32.480699999999999</v>
      </c>
      <c r="AY151" s="23">
        <v>1.3491</v>
      </c>
      <c r="BA151" s="23">
        <v>32.110300000000002</v>
      </c>
      <c r="BC151" s="24">
        <v>28.7789</v>
      </c>
      <c r="BE151" s="1" t="str">
        <f t="shared" si="2"/>
        <v>No</v>
      </c>
    </row>
    <row r="152" spans="1:57" ht="11.25" customHeight="1">
      <c r="A152" s="7" t="s">
        <v>565</v>
      </c>
      <c r="B152" s="7" t="s">
        <v>566</v>
      </c>
      <c r="C152" s="37" t="s">
        <v>80</v>
      </c>
      <c r="D152" s="296">
        <v>1001</v>
      </c>
      <c r="E152" s="297">
        <v>10001</v>
      </c>
      <c r="F152" s="27" t="s">
        <v>165</v>
      </c>
      <c r="G152" s="73" t="s">
        <v>158</v>
      </c>
      <c r="H152" s="35">
        <v>1190956</v>
      </c>
      <c r="I152" s="35">
        <v>291</v>
      </c>
      <c r="J152" s="37" t="s">
        <v>10</v>
      </c>
      <c r="K152" s="37" t="s">
        <v>159</v>
      </c>
      <c r="L152" s="8">
        <v>79</v>
      </c>
      <c r="M152" s="8">
        <v>182568</v>
      </c>
      <c r="N152" s="9"/>
      <c r="O152" s="8">
        <v>15217</v>
      </c>
      <c r="P152" s="9"/>
      <c r="Q152" s="8">
        <v>6998</v>
      </c>
      <c r="R152" s="9"/>
      <c r="S152" s="8">
        <v>25232</v>
      </c>
      <c r="T152" s="9"/>
      <c r="U152" s="8">
        <v>0</v>
      </c>
      <c r="V152" s="9"/>
      <c r="W152" s="33">
        <v>230015</v>
      </c>
      <c r="X152" s="9"/>
      <c r="Y152" s="30">
        <v>106</v>
      </c>
      <c r="Z152" s="9"/>
      <c r="AA152" s="30">
        <v>9</v>
      </c>
      <c r="AB152" s="9"/>
      <c r="AC152" s="30">
        <v>4</v>
      </c>
      <c r="AD152" s="9"/>
      <c r="AE152" s="30">
        <v>15</v>
      </c>
      <c r="AF152" s="9"/>
      <c r="AG152" s="30">
        <v>0</v>
      </c>
      <c r="AH152" s="9"/>
      <c r="AI152" s="32">
        <v>134</v>
      </c>
      <c r="AJ152" s="12"/>
      <c r="AK152" s="22">
        <v>3801531</v>
      </c>
      <c r="AM152" s="22">
        <v>642258</v>
      </c>
      <c r="AO152" s="22">
        <v>165447</v>
      </c>
      <c r="AQ152" s="22">
        <v>420601</v>
      </c>
      <c r="AS152" s="26">
        <v>5029837</v>
      </c>
      <c r="AU152" s="23">
        <v>20.822500000000002</v>
      </c>
      <c r="AW152" s="23">
        <v>42.206600000000002</v>
      </c>
      <c r="AY152" s="23">
        <v>0.90620000000000001</v>
      </c>
      <c r="BA152" s="23">
        <v>16.6693</v>
      </c>
      <c r="BC152" s="24">
        <v>21.8674</v>
      </c>
      <c r="BE152" s="1" t="str">
        <f t="shared" si="2"/>
        <v>No</v>
      </c>
    </row>
    <row r="153" spans="1:57" ht="11.25" customHeight="1">
      <c r="A153" s="7" t="s">
        <v>419</v>
      </c>
      <c r="B153" s="7" t="s">
        <v>420</v>
      </c>
      <c r="C153" s="37" t="s">
        <v>89</v>
      </c>
      <c r="D153" s="296">
        <v>19</v>
      </c>
      <c r="E153" s="297">
        <v>19</v>
      </c>
      <c r="F153" s="27" t="s">
        <v>165</v>
      </c>
      <c r="G153" s="73" t="s">
        <v>158</v>
      </c>
      <c r="H153" s="35">
        <v>176617</v>
      </c>
      <c r="I153" s="35">
        <v>286</v>
      </c>
      <c r="J153" s="37" t="s">
        <v>8</v>
      </c>
      <c r="K153" s="37" t="s">
        <v>159</v>
      </c>
      <c r="L153" s="8">
        <v>189</v>
      </c>
      <c r="M153" s="8">
        <v>10396</v>
      </c>
      <c r="N153" s="9"/>
      <c r="O153" s="8">
        <v>3234</v>
      </c>
      <c r="P153" s="9"/>
      <c r="Q153" s="8">
        <v>435</v>
      </c>
      <c r="R153" s="9"/>
      <c r="S153" s="8">
        <v>2586</v>
      </c>
      <c r="T153" s="9"/>
      <c r="U153" s="8">
        <v>0</v>
      </c>
      <c r="V153" s="9"/>
      <c r="W153" s="33">
        <v>16651</v>
      </c>
      <c r="X153" s="9"/>
      <c r="Y153" s="30">
        <v>6</v>
      </c>
      <c r="Z153" s="9"/>
      <c r="AA153" s="30">
        <v>1.86</v>
      </c>
      <c r="AB153" s="9"/>
      <c r="AC153" s="30">
        <v>0.25</v>
      </c>
      <c r="AD153" s="9"/>
      <c r="AE153" s="30">
        <v>1.48</v>
      </c>
      <c r="AF153" s="9"/>
      <c r="AG153" s="30">
        <v>0</v>
      </c>
      <c r="AH153" s="9"/>
      <c r="AI153" s="32">
        <v>9.59</v>
      </c>
      <c r="AJ153" s="12"/>
      <c r="AK153" s="22">
        <v>321470</v>
      </c>
      <c r="AM153" s="22">
        <v>101924</v>
      </c>
      <c r="AO153" s="22">
        <v>13854</v>
      </c>
      <c r="AQ153" s="22">
        <v>89948</v>
      </c>
      <c r="AS153" s="26">
        <v>527196</v>
      </c>
      <c r="AU153" s="23">
        <v>30.922499999999999</v>
      </c>
      <c r="AW153" s="23">
        <v>31.516400000000001</v>
      </c>
      <c r="AY153" s="23">
        <v>1.3326</v>
      </c>
      <c r="BA153" s="23">
        <v>34.782699999999998</v>
      </c>
      <c r="BC153" s="24">
        <v>31.6615</v>
      </c>
      <c r="BE153" s="1" t="str">
        <f t="shared" si="2"/>
        <v>No</v>
      </c>
    </row>
    <row r="154" spans="1:57" ht="11.25" customHeight="1">
      <c r="A154" s="7" t="s">
        <v>419</v>
      </c>
      <c r="B154" s="7" t="s">
        <v>420</v>
      </c>
      <c r="C154" s="37" t="s">
        <v>89</v>
      </c>
      <c r="D154" s="296">
        <v>19</v>
      </c>
      <c r="E154" s="297">
        <v>19</v>
      </c>
      <c r="F154" s="27" t="s">
        <v>165</v>
      </c>
      <c r="G154" s="73" t="s">
        <v>158</v>
      </c>
      <c r="H154" s="35">
        <v>176617</v>
      </c>
      <c r="I154" s="35">
        <v>286</v>
      </c>
      <c r="J154" s="37" t="s">
        <v>7</v>
      </c>
      <c r="K154" s="37" t="s">
        <v>159</v>
      </c>
      <c r="L154" s="8">
        <v>50</v>
      </c>
      <c r="M154" s="8">
        <v>276224</v>
      </c>
      <c r="N154" s="9"/>
      <c r="O154" s="8">
        <v>45758</v>
      </c>
      <c r="P154" s="9"/>
      <c r="Q154" s="8">
        <v>9434</v>
      </c>
      <c r="R154" s="9"/>
      <c r="S154" s="8">
        <v>53792</v>
      </c>
      <c r="T154" s="9"/>
      <c r="U154" s="8">
        <v>0</v>
      </c>
      <c r="V154" s="9"/>
      <c r="W154" s="33">
        <v>385208</v>
      </c>
      <c r="X154" s="9"/>
      <c r="Y154" s="30">
        <v>142.87</v>
      </c>
      <c r="Z154" s="9"/>
      <c r="AA154" s="30">
        <v>25.69</v>
      </c>
      <c r="AB154" s="9"/>
      <c r="AC154" s="30">
        <v>5.09</v>
      </c>
      <c r="AD154" s="9"/>
      <c r="AE154" s="30">
        <v>30.51</v>
      </c>
      <c r="AF154" s="9"/>
      <c r="AG154" s="30">
        <v>0</v>
      </c>
      <c r="AH154" s="9"/>
      <c r="AI154" s="32">
        <v>204.16</v>
      </c>
      <c r="AJ154" s="12"/>
      <c r="AK154" s="22">
        <v>7219559</v>
      </c>
      <c r="AM154" s="22">
        <v>1352141</v>
      </c>
      <c r="AO154" s="22">
        <v>284686</v>
      </c>
      <c r="AQ154" s="22">
        <v>1848364</v>
      </c>
      <c r="AS154" s="26">
        <v>10704750</v>
      </c>
      <c r="AU154" s="23">
        <v>26.136600000000001</v>
      </c>
      <c r="AW154" s="23">
        <v>29.549800000000001</v>
      </c>
      <c r="AY154" s="23">
        <v>1.0306</v>
      </c>
      <c r="BA154" s="23">
        <v>34.3613</v>
      </c>
      <c r="BC154" s="24">
        <v>27.7895</v>
      </c>
      <c r="BE154" s="1" t="str">
        <f t="shared" si="2"/>
        <v>No</v>
      </c>
    </row>
    <row r="155" spans="1:57" ht="11.25" customHeight="1">
      <c r="A155" s="7" t="s">
        <v>419</v>
      </c>
      <c r="B155" s="7" t="s">
        <v>420</v>
      </c>
      <c r="C155" s="37" t="s">
        <v>89</v>
      </c>
      <c r="D155" s="296">
        <v>19</v>
      </c>
      <c r="E155" s="297">
        <v>19</v>
      </c>
      <c r="F155" s="27" t="s">
        <v>165</v>
      </c>
      <c r="G155" s="73" t="s">
        <v>158</v>
      </c>
      <c r="H155" s="35">
        <v>176617</v>
      </c>
      <c r="I155" s="35">
        <v>286</v>
      </c>
      <c r="J155" s="37" t="s">
        <v>10</v>
      </c>
      <c r="K155" s="37" t="s">
        <v>159</v>
      </c>
      <c r="L155" s="8">
        <v>38</v>
      </c>
      <c r="M155" s="8">
        <v>116510</v>
      </c>
      <c r="N155" s="9"/>
      <c r="O155" s="8">
        <v>18504</v>
      </c>
      <c r="P155" s="9"/>
      <c r="Q155" s="8">
        <v>3822</v>
      </c>
      <c r="R155" s="9"/>
      <c r="S155" s="8">
        <v>21791</v>
      </c>
      <c r="T155" s="9"/>
      <c r="U155" s="8">
        <v>0</v>
      </c>
      <c r="V155" s="9"/>
      <c r="W155" s="33">
        <v>160627</v>
      </c>
      <c r="X155" s="9"/>
      <c r="Y155" s="30">
        <v>59.37</v>
      </c>
      <c r="Z155" s="9"/>
      <c r="AA155" s="30">
        <v>10.41</v>
      </c>
      <c r="AB155" s="9"/>
      <c r="AC155" s="30">
        <v>2.06</v>
      </c>
      <c r="AD155" s="9"/>
      <c r="AE155" s="30">
        <v>12.36</v>
      </c>
      <c r="AF155" s="9"/>
      <c r="AG155" s="30">
        <v>0</v>
      </c>
      <c r="AH155" s="9"/>
      <c r="AI155" s="32">
        <v>84.2</v>
      </c>
      <c r="AJ155" s="12"/>
      <c r="AK155" s="22">
        <v>3006288</v>
      </c>
      <c r="AM155" s="22">
        <v>547630</v>
      </c>
      <c r="AO155" s="22">
        <v>115324</v>
      </c>
      <c r="AQ155" s="22">
        <v>748762</v>
      </c>
      <c r="AS155" s="26">
        <v>4418004</v>
      </c>
      <c r="AU155" s="23">
        <v>25.802800000000001</v>
      </c>
      <c r="AW155" s="23">
        <v>29.595199999999998</v>
      </c>
      <c r="AY155" s="23">
        <v>0.98980000000000001</v>
      </c>
      <c r="BA155" s="23">
        <v>34.3611</v>
      </c>
      <c r="BC155" s="24">
        <v>27.5047</v>
      </c>
      <c r="BE155" s="1" t="str">
        <f t="shared" si="2"/>
        <v>No</v>
      </c>
    </row>
    <row r="156" spans="1:57" ht="11.25" customHeight="1">
      <c r="A156" s="7" t="s">
        <v>419</v>
      </c>
      <c r="B156" s="7" t="s">
        <v>420</v>
      </c>
      <c r="C156" s="37" t="s">
        <v>89</v>
      </c>
      <c r="D156" s="296">
        <v>19</v>
      </c>
      <c r="E156" s="297">
        <v>19</v>
      </c>
      <c r="F156" s="27" t="s">
        <v>165</v>
      </c>
      <c r="G156" s="73" t="s">
        <v>158</v>
      </c>
      <c r="H156" s="35">
        <v>176617</v>
      </c>
      <c r="I156" s="35">
        <v>286</v>
      </c>
      <c r="J156" s="37" t="s">
        <v>18</v>
      </c>
      <c r="K156" s="37" t="s">
        <v>159</v>
      </c>
      <c r="L156" s="8">
        <v>9</v>
      </c>
      <c r="M156" s="8">
        <v>32612</v>
      </c>
      <c r="N156" s="9"/>
      <c r="O156" s="8">
        <v>5393</v>
      </c>
      <c r="P156" s="9"/>
      <c r="Q156" s="8">
        <v>1114</v>
      </c>
      <c r="R156" s="9"/>
      <c r="S156" s="8">
        <v>6350</v>
      </c>
      <c r="T156" s="9"/>
      <c r="U156" s="8">
        <v>0</v>
      </c>
      <c r="V156" s="9"/>
      <c r="W156" s="33">
        <v>45469</v>
      </c>
      <c r="X156" s="9"/>
      <c r="Y156" s="30">
        <v>16.760000000000002</v>
      </c>
      <c r="Z156" s="9"/>
      <c r="AA156" s="30">
        <v>3.03</v>
      </c>
      <c r="AB156" s="9"/>
      <c r="AC156" s="30">
        <v>0.6</v>
      </c>
      <c r="AD156" s="9"/>
      <c r="AE156" s="30">
        <v>3.6</v>
      </c>
      <c r="AF156" s="9"/>
      <c r="AG156" s="30">
        <v>0</v>
      </c>
      <c r="AH156" s="9"/>
      <c r="AI156" s="32">
        <v>23.99</v>
      </c>
      <c r="AJ156" s="12"/>
      <c r="AK156" s="22">
        <v>852357</v>
      </c>
      <c r="AM156" s="22">
        <v>159603</v>
      </c>
      <c r="AO156" s="22">
        <v>33611</v>
      </c>
      <c r="AQ156" s="22">
        <v>216626</v>
      </c>
      <c r="AS156" s="26">
        <v>1262197</v>
      </c>
      <c r="AU156" s="23">
        <v>26.136299999999999</v>
      </c>
      <c r="AW156" s="23">
        <v>29.5945</v>
      </c>
      <c r="AY156" s="23">
        <v>1.0306</v>
      </c>
      <c r="BA156" s="23">
        <v>34.1143</v>
      </c>
      <c r="BC156" s="24">
        <v>27.759499999999999</v>
      </c>
      <c r="BE156" s="1" t="str">
        <f t="shared" si="2"/>
        <v>No</v>
      </c>
    </row>
    <row r="157" spans="1:57" ht="11.25" customHeight="1">
      <c r="A157" s="7" t="s">
        <v>49</v>
      </c>
      <c r="B157" s="7" t="s">
        <v>567</v>
      </c>
      <c r="C157" s="37" t="s">
        <v>48</v>
      </c>
      <c r="D157" s="296">
        <v>3051</v>
      </c>
      <c r="E157" s="297">
        <v>30051</v>
      </c>
      <c r="F157" s="27" t="s">
        <v>162</v>
      </c>
      <c r="G157" s="73" t="s">
        <v>158</v>
      </c>
      <c r="H157" s="35">
        <v>4586770</v>
      </c>
      <c r="I157" s="35">
        <v>282</v>
      </c>
      <c r="J157" s="37" t="s">
        <v>7</v>
      </c>
      <c r="K157" s="37" t="s">
        <v>159</v>
      </c>
      <c r="L157" s="8">
        <v>282</v>
      </c>
      <c r="M157" s="8">
        <v>1433895</v>
      </c>
      <c r="N157" s="9"/>
      <c r="O157" s="8">
        <v>139274</v>
      </c>
      <c r="P157" s="9"/>
      <c r="Q157" s="8">
        <v>449</v>
      </c>
      <c r="R157" s="9"/>
      <c r="S157" s="8">
        <v>223108</v>
      </c>
      <c r="T157" s="9"/>
      <c r="U157" s="8">
        <v>0</v>
      </c>
      <c r="V157" s="9"/>
      <c r="W157" s="33">
        <v>1796726</v>
      </c>
      <c r="X157" s="9"/>
      <c r="Y157" s="30">
        <v>694</v>
      </c>
      <c r="Z157" s="9"/>
      <c r="AA157" s="30">
        <v>84</v>
      </c>
      <c r="AB157" s="9"/>
      <c r="AC157" s="30">
        <v>1</v>
      </c>
      <c r="AD157" s="9"/>
      <c r="AE157" s="30">
        <v>129</v>
      </c>
      <c r="AF157" s="9"/>
      <c r="AG157" s="30">
        <v>0</v>
      </c>
      <c r="AH157" s="9"/>
      <c r="AI157" s="32">
        <v>908</v>
      </c>
      <c r="AJ157" s="12"/>
      <c r="AK157" s="22">
        <v>37155268</v>
      </c>
      <c r="AM157" s="22">
        <v>6765596</v>
      </c>
      <c r="AO157" s="22">
        <v>12690</v>
      </c>
      <c r="AQ157" s="22">
        <v>8785186</v>
      </c>
      <c r="AS157" s="26">
        <v>52718740</v>
      </c>
      <c r="AU157" s="23">
        <v>25.912099999999999</v>
      </c>
      <c r="AW157" s="23">
        <v>48.577599999999997</v>
      </c>
      <c r="AY157" s="23">
        <v>8.8999999999999999E-3</v>
      </c>
      <c r="BA157" s="23">
        <v>39.376399999999997</v>
      </c>
      <c r="BC157" s="24">
        <v>29.3416</v>
      </c>
      <c r="BE157" s="1" t="str">
        <f t="shared" si="2"/>
        <v>No</v>
      </c>
    </row>
    <row r="158" spans="1:57" ht="11.25" customHeight="1">
      <c r="A158" s="7" t="s">
        <v>37</v>
      </c>
      <c r="B158" s="7" t="s">
        <v>481</v>
      </c>
      <c r="C158" s="37" t="s">
        <v>36</v>
      </c>
      <c r="D158" s="296">
        <v>4153</v>
      </c>
      <c r="E158" s="297">
        <v>40153</v>
      </c>
      <c r="F158" s="27" t="s">
        <v>243</v>
      </c>
      <c r="G158" s="73" t="s">
        <v>158</v>
      </c>
      <c r="H158" s="35">
        <v>4515419</v>
      </c>
      <c r="I158" s="35">
        <v>279</v>
      </c>
      <c r="J158" s="37" t="s">
        <v>8</v>
      </c>
      <c r="K158" s="37" t="s">
        <v>159</v>
      </c>
      <c r="L158" s="8">
        <v>279</v>
      </c>
      <c r="M158" s="8">
        <v>0</v>
      </c>
      <c r="N158" s="9"/>
      <c r="O158" s="8">
        <v>0</v>
      </c>
      <c r="P158" s="9"/>
      <c r="Q158" s="8">
        <v>0</v>
      </c>
      <c r="R158" s="9"/>
      <c r="S158" s="8">
        <v>11944</v>
      </c>
      <c r="T158" s="9"/>
      <c r="U158" s="8">
        <v>0</v>
      </c>
      <c r="V158" s="9"/>
      <c r="W158" s="33">
        <v>11944</v>
      </c>
      <c r="X158" s="9"/>
      <c r="Y158" s="30">
        <v>0</v>
      </c>
      <c r="Z158" s="9"/>
      <c r="AA158" s="30">
        <v>0</v>
      </c>
      <c r="AB158" s="9"/>
      <c r="AC158" s="30">
        <v>0</v>
      </c>
      <c r="AD158" s="9"/>
      <c r="AE158" s="30">
        <v>9</v>
      </c>
      <c r="AF158" s="9"/>
      <c r="AG158" s="30">
        <v>0</v>
      </c>
      <c r="AH158" s="9"/>
      <c r="AI158" s="32">
        <v>9</v>
      </c>
      <c r="AJ158" s="12"/>
      <c r="AK158" s="22">
        <v>0</v>
      </c>
      <c r="AM158" s="22">
        <v>0</v>
      </c>
      <c r="AO158" s="22">
        <v>0</v>
      </c>
      <c r="AQ158" s="22">
        <v>258884</v>
      </c>
      <c r="AS158" s="26">
        <v>258884</v>
      </c>
      <c r="BA158" s="23">
        <v>21.674800000000001</v>
      </c>
      <c r="BC158" s="24">
        <v>21.674800000000001</v>
      </c>
      <c r="BE158" s="1" t="str">
        <f t="shared" si="2"/>
        <v>No</v>
      </c>
    </row>
    <row r="159" spans="1:57" ht="11.25" customHeight="1">
      <c r="A159" s="7" t="s">
        <v>250</v>
      </c>
      <c r="B159" s="7" t="s">
        <v>199</v>
      </c>
      <c r="C159" s="37" t="s">
        <v>70</v>
      </c>
      <c r="D159" s="296">
        <v>2002</v>
      </c>
      <c r="E159" s="297">
        <v>20002</v>
      </c>
      <c r="F159" s="27" t="s">
        <v>165</v>
      </c>
      <c r="G159" s="73" t="s">
        <v>158</v>
      </c>
      <c r="H159" s="35">
        <v>594962</v>
      </c>
      <c r="I159" s="35">
        <v>277</v>
      </c>
      <c r="J159" s="37" t="s">
        <v>7</v>
      </c>
      <c r="K159" s="37" t="s">
        <v>159</v>
      </c>
      <c r="L159" s="8">
        <v>201</v>
      </c>
      <c r="M159" s="8">
        <v>713861</v>
      </c>
      <c r="N159" s="9"/>
      <c r="O159" s="8">
        <v>227591</v>
      </c>
      <c r="P159" s="9"/>
      <c r="Q159" s="8">
        <v>26723</v>
      </c>
      <c r="R159" s="9"/>
      <c r="S159" s="8">
        <v>98665</v>
      </c>
      <c r="T159" s="9"/>
      <c r="U159" s="8">
        <v>0</v>
      </c>
      <c r="V159" s="9"/>
      <c r="W159" s="33">
        <v>1066840</v>
      </c>
      <c r="X159" s="9"/>
      <c r="Y159" s="30">
        <v>392</v>
      </c>
      <c r="Z159" s="9"/>
      <c r="AA159" s="30">
        <v>106</v>
      </c>
      <c r="AB159" s="9"/>
      <c r="AC159" s="30">
        <v>13</v>
      </c>
      <c r="AD159" s="9"/>
      <c r="AE159" s="30">
        <v>54</v>
      </c>
      <c r="AF159" s="9"/>
      <c r="AG159" s="30">
        <v>0</v>
      </c>
      <c r="AH159" s="9"/>
      <c r="AI159" s="32">
        <v>565</v>
      </c>
      <c r="AJ159" s="12"/>
      <c r="AK159" s="22">
        <v>20526426</v>
      </c>
      <c r="AM159" s="22">
        <v>5155838</v>
      </c>
      <c r="AO159" s="22">
        <v>536167</v>
      </c>
      <c r="AQ159" s="22">
        <v>3610758</v>
      </c>
      <c r="AS159" s="26">
        <v>29829189</v>
      </c>
      <c r="AU159" s="23">
        <v>28.754100000000001</v>
      </c>
      <c r="AW159" s="23">
        <v>22.654</v>
      </c>
      <c r="AY159" s="23">
        <v>0.75109999999999999</v>
      </c>
      <c r="BA159" s="23">
        <v>36.5961</v>
      </c>
      <c r="BC159" s="24">
        <v>27.9603</v>
      </c>
      <c r="BE159" s="1" t="str">
        <f t="shared" si="2"/>
        <v>No</v>
      </c>
    </row>
    <row r="160" spans="1:57" ht="11.25" customHeight="1">
      <c r="A160" s="7" t="s">
        <v>250</v>
      </c>
      <c r="B160" s="7" t="s">
        <v>199</v>
      </c>
      <c r="C160" s="37" t="s">
        <v>70</v>
      </c>
      <c r="D160" s="296">
        <v>2002</v>
      </c>
      <c r="E160" s="297">
        <v>20002</v>
      </c>
      <c r="F160" s="27" t="s">
        <v>165</v>
      </c>
      <c r="G160" s="73" t="s">
        <v>158</v>
      </c>
      <c r="H160" s="35">
        <v>594962</v>
      </c>
      <c r="I160" s="35">
        <v>277</v>
      </c>
      <c r="J160" s="37" t="s">
        <v>10</v>
      </c>
      <c r="K160" s="37" t="s">
        <v>159</v>
      </c>
      <c r="L160" s="8">
        <v>28</v>
      </c>
      <c r="M160" s="8">
        <v>104499</v>
      </c>
      <c r="N160" s="9"/>
      <c r="O160" s="8">
        <v>44576</v>
      </c>
      <c r="P160" s="9"/>
      <c r="Q160" s="8">
        <v>0</v>
      </c>
      <c r="R160" s="9"/>
      <c r="S160" s="8">
        <v>19879</v>
      </c>
      <c r="T160" s="9"/>
      <c r="U160" s="8">
        <v>0</v>
      </c>
      <c r="V160" s="9"/>
      <c r="W160" s="33">
        <v>168954</v>
      </c>
      <c r="X160" s="9"/>
      <c r="Y160" s="30">
        <v>55</v>
      </c>
      <c r="Z160" s="9"/>
      <c r="AA160" s="30">
        <v>22</v>
      </c>
      <c r="AB160" s="9"/>
      <c r="AC160" s="30">
        <v>0</v>
      </c>
      <c r="AD160" s="9"/>
      <c r="AE160" s="30">
        <v>11</v>
      </c>
      <c r="AF160" s="9"/>
      <c r="AG160" s="30">
        <v>0</v>
      </c>
      <c r="AH160" s="9"/>
      <c r="AI160" s="32">
        <v>88</v>
      </c>
      <c r="AJ160" s="12"/>
      <c r="AK160" s="22">
        <v>3839415</v>
      </c>
      <c r="AM160" s="22">
        <v>1665832</v>
      </c>
      <c r="AO160" s="22">
        <v>0</v>
      </c>
      <c r="AQ160" s="22">
        <v>739553</v>
      </c>
      <c r="AS160" s="26">
        <v>6244800</v>
      </c>
      <c r="AU160" s="23">
        <v>36.741199999999999</v>
      </c>
      <c r="AW160" s="23">
        <v>37.370600000000003</v>
      </c>
      <c r="AY160" s="23">
        <v>0</v>
      </c>
      <c r="BA160" s="23">
        <v>37.2027</v>
      </c>
      <c r="BC160" s="24">
        <v>36.961500000000001</v>
      </c>
      <c r="BE160" s="1" t="str">
        <f t="shared" si="2"/>
        <v>No</v>
      </c>
    </row>
    <row r="161" spans="1:57" ht="11.25" customHeight="1">
      <c r="A161" s="7" t="s">
        <v>581</v>
      </c>
      <c r="B161" s="7" t="s">
        <v>582</v>
      </c>
      <c r="C161" s="37" t="s">
        <v>76</v>
      </c>
      <c r="D161" s="296">
        <v>25</v>
      </c>
      <c r="E161" s="297">
        <v>25</v>
      </c>
      <c r="F161" s="27" t="s">
        <v>165</v>
      </c>
      <c r="G161" s="73" t="s">
        <v>158</v>
      </c>
      <c r="H161" s="35">
        <v>236632</v>
      </c>
      <c r="I161" s="35">
        <v>276</v>
      </c>
      <c r="J161" s="37" t="s">
        <v>7</v>
      </c>
      <c r="K161" s="37" t="s">
        <v>159</v>
      </c>
      <c r="L161" s="8">
        <v>53</v>
      </c>
      <c r="M161" s="8">
        <v>246621</v>
      </c>
      <c r="N161" s="9"/>
      <c r="O161" s="8">
        <v>67755</v>
      </c>
      <c r="P161" s="9"/>
      <c r="Q161" s="8">
        <v>16036</v>
      </c>
      <c r="R161" s="9"/>
      <c r="S161" s="8">
        <v>46680</v>
      </c>
      <c r="T161" s="9"/>
      <c r="U161" s="8">
        <v>4074</v>
      </c>
      <c r="V161" s="9"/>
      <c r="W161" s="33">
        <v>381166</v>
      </c>
      <c r="X161" s="9"/>
      <c r="Y161" s="30">
        <v>117</v>
      </c>
      <c r="Z161" s="9"/>
      <c r="AA161" s="30">
        <v>26</v>
      </c>
      <c r="AB161" s="9"/>
      <c r="AC161" s="30">
        <v>8</v>
      </c>
      <c r="AD161" s="9"/>
      <c r="AE161" s="30">
        <v>29</v>
      </c>
      <c r="AF161" s="9"/>
      <c r="AG161" s="30">
        <v>1</v>
      </c>
      <c r="AH161" s="9"/>
      <c r="AI161" s="32">
        <v>181</v>
      </c>
      <c r="AJ161" s="12"/>
      <c r="AK161" s="22">
        <v>5532921</v>
      </c>
      <c r="AM161" s="22">
        <v>1084763</v>
      </c>
      <c r="AO161" s="22">
        <v>258086</v>
      </c>
      <c r="AQ161" s="22">
        <v>1672730</v>
      </c>
      <c r="AS161" s="26">
        <v>8548500</v>
      </c>
      <c r="AU161" s="23">
        <v>22.434899999999999</v>
      </c>
      <c r="AW161" s="23">
        <v>16.010100000000001</v>
      </c>
      <c r="AY161" s="23">
        <v>1.0465</v>
      </c>
      <c r="BA161" s="23">
        <v>35.834000000000003</v>
      </c>
      <c r="BC161" s="24">
        <v>22.427199999999999</v>
      </c>
      <c r="BE161" s="1" t="str">
        <f t="shared" si="2"/>
        <v>No</v>
      </c>
    </row>
    <row r="162" spans="1:57" ht="11.25" customHeight="1">
      <c r="A162" s="7" t="s">
        <v>568</v>
      </c>
      <c r="B162" s="7" t="s">
        <v>308</v>
      </c>
      <c r="C162" s="37" t="s">
        <v>17</v>
      </c>
      <c r="D162" s="296">
        <v>9031</v>
      </c>
      <c r="E162" s="297">
        <v>90031</v>
      </c>
      <c r="F162" s="27" t="s">
        <v>165</v>
      </c>
      <c r="G162" s="73" t="s">
        <v>158</v>
      </c>
      <c r="H162" s="35">
        <v>1932666</v>
      </c>
      <c r="I162" s="35">
        <v>274</v>
      </c>
      <c r="J162" s="37" t="s">
        <v>7</v>
      </c>
      <c r="K162" s="37" t="s">
        <v>159</v>
      </c>
      <c r="L162" s="8">
        <v>82</v>
      </c>
      <c r="M162" s="8">
        <v>520100</v>
      </c>
      <c r="N162" s="9"/>
      <c r="O162" s="8">
        <v>83408</v>
      </c>
      <c r="P162" s="9"/>
      <c r="Q162" s="8">
        <v>20455</v>
      </c>
      <c r="R162" s="9"/>
      <c r="S162" s="8">
        <v>77738</v>
      </c>
      <c r="T162" s="9"/>
      <c r="U162" s="8">
        <v>0</v>
      </c>
      <c r="V162" s="9"/>
      <c r="W162" s="33">
        <v>701701</v>
      </c>
      <c r="X162" s="9"/>
      <c r="Y162" s="30">
        <v>268.5</v>
      </c>
      <c r="Z162" s="9"/>
      <c r="AA162" s="30">
        <v>47.6</v>
      </c>
      <c r="AB162" s="9"/>
      <c r="AC162" s="30">
        <v>11.2</v>
      </c>
      <c r="AD162" s="9"/>
      <c r="AE162" s="30">
        <v>66.5</v>
      </c>
      <c r="AF162" s="9"/>
      <c r="AG162" s="30">
        <v>0</v>
      </c>
      <c r="AH162" s="9"/>
      <c r="AI162" s="32">
        <v>393.8</v>
      </c>
      <c r="AJ162" s="12"/>
      <c r="AK162" s="22">
        <v>11626070</v>
      </c>
      <c r="AM162" s="22">
        <v>2454288</v>
      </c>
      <c r="AO162" s="22">
        <v>422597</v>
      </c>
      <c r="AQ162" s="22">
        <v>3072403</v>
      </c>
      <c r="AS162" s="26">
        <v>17575358</v>
      </c>
      <c r="AU162" s="23">
        <v>22.3535</v>
      </c>
      <c r="AW162" s="23">
        <v>29.4251</v>
      </c>
      <c r="AY162" s="23">
        <v>0.8125</v>
      </c>
      <c r="BA162" s="23">
        <v>39.522500000000001</v>
      </c>
      <c r="BC162" s="24">
        <v>25.046800000000001</v>
      </c>
      <c r="BE162" s="1" t="str">
        <f t="shared" si="2"/>
        <v>No</v>
      </c>
    </row>
    <row r="163" spans="1:57" ht="11.25" customHeight="1">
      <c r="A163" s="7" t="s">
        <v>568</v>
      </c>
      <c r="B163" s="7" t="s">
        <v>308</v>
      </c>
      <c r="C163" s="37" t="s">
        <v>17</v>
      </c>
      <c r="D163" s="296">
        <v>9031</v>
      </c>
      <c r="E163" s="297">
        <v>90031</v>
      </c>
      <c r="F163" s="27" t="s">
        <v>165</v>
      </c>
      <c r="G163" s="73" t="s">
        <v>158</v>
      </c>
      <c r="H163" s="35">
        <v>1932666</v>
      </c>
      <c r="I163" s="35">
        <v>274</v>
      </c>
      <c r="J163" s="37" t="s">
        <v>18</v>
      </c>
      <c r="K163" s="37" t="s">
        <v>159</v>
      </c>
      <c r="L163" s="8">
        <v>15</v>
      </c>
      <c r="M163" s="8">
        <v>43553</v>
      </c>
      <c r="N163" s="9"/>
      <c r="O163" s="8">
        <v>14674</v>
      </c>
      <c r="P163" s="9"/>
      <c r="Q163" s="8">
        <v>1399</v>
      </c>
      <c r="R163" s="9"/>
      <c r="S163" s="8">
        <v>5318</v>
      </c>
      <c r="T163" s="9"/>
      <c r="U163" s="8">
        <v>0</v>
      </c>
      <c r="V163" s="9"/>
      <c r="W163" s="33">
        <v>64944</v>
      </c>
      <c r="X163" s="9"/>
      <c r="Y163" s="30">
        <v>22.5</v>
      </c>
      <c r="Z163" s="9"/>
      <c r="AA163" s="30">
        <v>8.4</v>
      </c>
      <c r="AB163" s="9"/>
      <c r="AC163" s="30">
        <v>0.8</v>
      </c>
      <c r="AD163" s="9"/>
      <c r="AE163" s="30">
        <v>4.5</v>
      </c>
      <c r="AF163" s="9"/>
      <c r="AG163" s="30">
        <v>0</v>
      </c>
      <c r="AH163" s="9"/>
      <c r="AI163" s="32">
        <v>36.200000000000003</v>
      </c>
      <c r="AJ163" s="12"/>
      <c r="AK163" s="22">
        <v>795369</v>
      </c>
      <c r="AM163" s="22">
        <v>452733</v>
      </c>
      <c r="AO163" s="22">
        <v>28911</v>
      </c>
      <c r="AQ163" s="22">
        <v>209241</v>
      </c>
      <c r="AS163" s="26">
        <v>1486254</v>
      </c>
      <c r="AU163" s="23">
        <v>18.2621</v>
      </c>
      <c r="AW163" s="23">
        <v>30.852699999999999</v>
      </c>
      <c r="AY163" s="23">
        <v>0.66379999999999995</v>
      </c>
      <c r="BA163" s="23">
        <v>39.345799999999997</v>
      </c>
      <c r="BC163" s="24">
        <v>22.885200000000001</v>
      </c>
      <c r="BE163" s="1" t="str">
        <f t="shared" si="2"/>
        <v>No</v>
      </c>
    </row>
    <row r="164" spans="1:57" ht="11.25" customHeight="1">
      <c r="A164" s="7" t="s">
        <v>529</v>
      </c>
      <c r="B164" s="7" t="s">
        <v>530</v>
      </c>
      <c r="C164" s="37" t="s">
        <v>17</v>
      </c>
      <c r="D164" s="296">
        <v>9029</v>
      </c>
      <c r="E164" s="297">
        <v>90029</v>
      </c>
      <c r="F164" s="27" t="s">
        <v>165</v>
      </c>
      <c r="G164" s="73" t="s">
        <v>158</v>
      </c>
      <c r="H164" s="35">
        <v>1932666</v>
      </c>
      <c r="I164" s="35">
        <v>266</v>
      </c>
      <c r="J164" s="37" t="s">
        <v>7</v>
      </c>
      <c r="K164" s="37" t="s">
        <v>159</v>
      </c>
      <c r="L164" s="8">
        <v>162</v>
      </c>
      <c r="M164" s="8">
        <v>794389</v>
      </c>
      <c r="N164" s="9"/>
      <c r="O164" s="8">
        <v>148932</v>
      </c>
      <c r="P164" s="9"/>
      <c r="Q164" s="8">
        <v>38042</v>
      </c>
      <c r="R164" s="9"/>
      <c r="S164" s="8">
        <v>141325</v>
      </c>
      <c r="T164" s="9"/>
      <c r="U164" s="8">
        <v>16696</v>
      </c>
      <c r="V164" s="9"/>
      <c r="W164" s="33">
        <v>1139384</v>
      </c>
      <c r="X164" s="9"/>
      <c r="Y164" s="30">
        <v>445</v>
      </c>
      <c r="Z164" s="9"/>
      <c r="AA164" s="30">
        <v>96</v>
      </c>
      <c r="AB164" s="9"/>
      <c r="AC164" s="30">
        <v>26</v>
      </c>
      <c r="AD164" s="9"/>
      <c r="AE164" s="30">
        <v>72</v>
      </c>
      <c r="AF164" s="9"/>
      <c r="AG164" s="30">
        <v>8</v>
      </c>
      <c r="AH164" s="9"/>
      <c r="AI164" s="32">
        <v>647</v>
      </c>
      <c r="AJ164" s="12"/>
      <c r="AK164" s="22">
        <v>18920807</v>
      </c>
      <c r="AM164" s="22">
        <v>3632195</v>
      </c>
      <c r="AO164" s="22">
        <v>1137725</v>
      </c>
      <c r="AQ164" s="22">
        <v>3009288</v>
      </c>
      <c r="AS164" s="26">
        <v>26700015</v>
      </c>
      <c r="AU164" s="23">
        <v>23.818100000000001</v>
      </c>
      <c r="AW164" s="23">
        <v>24.388300000000001</v>
      </c>
      <c r="AY164" s="23">
        <v>1.4321999999999999</v>
      </c>
      <c r="BA164" s="23">
        <v>21.293399999999998</v>
      </c>
      <c r="BC164" s="24">
        <v>23.433700000000002</v>
      </c>
      <c r="BE164" s="1" t="str">
        <f t="shared" si="2"/>
        <v>No</v>
      </c>
    </row>
    <row r="165" spans="1:57" ht="11.25" customHeight="1">
      <c r="A165" s="7" t="s">
        <v>647</v>
      </c>
      <c r="B165" s="7" t="s">
        <v>648</v>
      </c>
      <c r="C165" s="37" t="s">
        <v>73</v>
      </c>
      <c r="D165" s="296">
        <v>5022</v>
      </c>
      <c r="E165" s="297">
        <v>50022</v>
      </c>
      <c r="F165" s="27" t="s">
        <v>165</v>
      </c>
      <c r="G165" s="73" t="s">
        <v>158</v>
      </c>
      <c r="H165" s="35">
        <v>507643</v>
      </c>
      <c r="I165" s="35">
        <v>261</v>
      </c>
      <c r="J165" s="37" t="s">
        <v>7</v>
      </c>
      <c r="K165" s="37" t="s">
        <v>159</v>
      </c>
      <c r="L165" s="8">
        <v>109</v>
      </c>
      <c r="M165" s="8">
        <v>350564</v>
      </c>
      <c r="N165" s="9"/>
      <c r="O165" s="8">
        <v>58156</v>
      </c>
      <c r="P165" s="9"/>
      <c r="Q165" s="8">
        <v>9043</v>
      </c>
      <c r="R165" s="9"/>
      <c r="S165" s="8">
        <v>21887</v>
      </c>
      <c r="T165" s="9"/>
      <c r="U165" s="8">
        <v>1172</v>
      </c>
      <c r="V165" s="9"/>
      <c r="W165" s="33">
        <v>440822</v>
      </c>
      <c r="X165" s="9"/>
      <c r="Y165" s="30">
        <v>159</v>
      </c>
      <c r="Z165" s="9"/>
      <c r="AA165" s="30">
        <v>31</v>
      </c>
      <c r="AB165" s="9"/>
      <c r="AC165" s="30">
        <v>6</v>
      </c>
      <c r="AD165" s="9"/>
      <c r="AE165" s="30">
        <v>14.71</v>
      </c>
      <c r="AF165" s="9"/>
      <c r="AG165" s="30">
        <v>0.67</v>
      </c>
      <c r="AH165" s="9"/>
      <c r="AI165" s="32">
        <v>211.38</v>
      </c>
      <c r="AJ165" s="12"/>
      <c r="AK165" s="22">
        <v>7465765</v>
      </c>
      <c r="AM165" s="22">
        <v>1415568</v>
      </c>
      <c r="AO165" s="22">
        <v>164628</v>
      </c>
      <c r="AQ165" s="22">
        <v>619294</v>
      </c>
      <c r="AS165" s="26">
        <v>9665255</v>
      </c>
      <c r="AU165" s="23">
        <v>21.296399999999998</v>
      </c>
      <c r="AW165" s="23">
        <v>24.340900000000001</v>
      </c>
      <c r="AY165" s="23">
        <v>0.46960000000000002</v>
      </c>
      <c r="BA165" s="23">
        <v>28.295100000000001</v>
      </c>
      <c r="BC165" s="24">
        <v>21.9255</v>
      </c>
      <c r="BE165" s="1" t="str">
        <f t="shared" si="2"/>
        <v>No</v>
      </c>
    </row>
    <row r="166" spans="1:57" ht="11.25" customHeight="1">
      <c r="A166" s="7" t="s">
        <v>647</v>
      </c>
      <c r="B166" s="7" t="s">
        <v>648</v>
      </c>
      <c r="C166" s="37" t="s">
        <v>73</v>
      </c>
      <c r="D166" s="296">
        <v>5022</v>
      </c>
      <c r="E166" s="297">
        <v>50022</v>
      </c>
      <c r="F166" s="27" t="s">
        <v>165</v>
      </c>
      <c r="G166" s="73" t="s">
        <v>158</v>
      </c>
      <c r="H166" s="35">
        <v>507643</v>
      </c>
      <c r="I166" s="35">
        <v>261</v>
      </c>
      <c r="J166" s="37" t="s">
        <v>10</v>
      </c>
      <c r="K166" s="37" t="s">
        <v>159</v>
      </c>
      <c r="L166" s="8">
        <v>60</v>
      </c>
      <c r="M166" s="8">
        <v>173772</v>
      </c>
      <c r="N166" s="9"/>
      <c r="O166" s="8">
        <v>13013</v>
      </c>
      <c r="P166" s="9"/>
      <c r="Q166" s="8">
        <v>2628</v>
      </c>
      <c r="R166" s="9"/>
      <c r="S166" s="8">
        <v>8861</v>
      </c>
      <c r="T166" s="9"/>
      <c r="U166" s="8">
        <v>577</v>
      </c>
      <c r="V166" s="9"/>
      <c r="W166" s="33">
        <v>198851</v>
      </c>
      <c r="X166" s="9"/>
      <c r="Y166" s="30">
        <v>93</v>
      </c>
      <c r="Z166" s="9"/>
      <c r="AA166" s="30">
        <v>7</v>
      </c>
      <c r="AB166" s="9"/>
      <c r="AC166" s="30">
        <v>2</v>
      </c>
      <c r="AD166" s="9"/>
      <c r="AE166" s="30">
        <v>5.29</v>
      </c>
      <c r="AF166" s="9"/>
      <c r="AG166" s="30">
        <v>0.33</v>
      </c>
      <c r="AH166" s="9"/>
      <c r="AI166" s="32">
        <v>107.62</v>
      </c>
      <c r="AJ166" s="12"/>
      <c r="AK166" s="22">
        <v>2523797</v>
      </c>
      <c r="AM166" s="22">
        <v>360950</v>
      </c>
      <c r="AO166" s="22">
        <v>59231</v>
      </c>
      <c r="AQ166" s="22">
        <v>234030</v>
      </c>
      <c r="AS166" s="26">
        <v>3178008</v>
      </c>
      <c r="AU166" s="23">
        <v>14.5236</v>
      </c>
      <c r="AW166" s="23">
        <v>27.7376</v>
      </c>
      <c r="AY166" s="23">
        <v>0.34089999999999998</v>
      </c>
      <c r="BA166" s="23">
        <v>26.411200000000001</v>
      </c>
      <c r="BC166" s="24">
        <v>15.9819</v>
      </c>
      <c r="BE166" s="1" t="str">
        <f t="shared" si="2"/>
        <v>No</v>
      </c>
    </row>
    <row r="167" spans="1:57" ht="11.25" customHeight="1">
      <c r="A167" s="7" t="s">
        <v>486</v>
      </c>
      <c r="B167" s="7" t="s">
        <v>487</v>
      </c>
      <c r="C167" s="37" t="s">
        <v>83</v>
      </c>
      <c r="D167" s="296">
        <v>4004</v>
      </c>
      <c r="E167" s="297">
        <v>40004</v>
      </c>
      <c r="F167" s="27" t="s">
        <v>165</v>
      </c>
      <c r="G167" s="73" t="s">
        <v>158</v>
      </c>
      <c r="H167" s="35">
        <v>969587</v>
      </c>
      <c r="I167" s="35">
        <v>260</v>
      </c>
      <c r="J167" s="37" t="s">
        <v>7</v>
      </c>
      <c r="K167" s="37" t="s">
        <v>159</v>
      </c>
      <c r="L167" s="8">
        <v>124</v>
      </c>
      <c r="M167" s="8">
        <v>695039</v>
      </c>
      <c r="N167" s="9"/>
      <c r="O167" s="8">
        <v>102471</v>
      </c>
      <c r="P167" s="9"/>
      <c r="Q167" s="8">
        <v>64029</v>
      </c>
      <c r="R167" s="9"/>
      <c r="S167" s="8">
        <v>49014</v>
      </c>
      <c r="T167" s="9"/>
      <c r="U167" s="8">
        <v>0</v>
      </c>
      <c r="V167" s="9"/>
      <c r="W167" s="33">
        <v>910553</v>
      </c>
      <c r="X167" s="9" t="s">
        <v>119</v>
      </c>
      <c r="Y167" s="30">
        <v>349.3</v>
      </c>
      <c r="Z167" s="9"/>
      <c r="AA167" s="30">
        <v>50.2</v>
      </c>
      <c r="AB167" s="9"/>
      <c r="AC167" s="30">
        <v>26.9</v>
      </c>
      <c r="AD167" s="9"/>
      <c r="AE167" s="30">
        <v>29.3</v>
      </c>
      <c r="AF167" s="9"/>
      <c r="AG167" s="30">
        <v>0</v>
      </c>
      <c r="AH167" s="9"/>
      <c r="AI167" s="32">
        <v>455.7</v>
      </c>
      <c r="AJ167" s="12" t="s">
        <v>119</v>
      </c>
      <c r="AK167" s="22">
        <v>14074648</v>
      </c>
      <c r="AL167" s="22" t="s">
        <v>119</v>
      </c>
      <c r="AM167" s="22">
        <v>2321029</v>
      </c>
      <c r="AO167" s="22">
        <v>1366408</v>
      </c>
      <c r="AQ167" s="22">
        <v>1661453</v>
      </c>
      <c r="AS167" s="26">
        <v>19423538</v>
      </c>
      <c r="AT167" s="22" t="s">
        <v>119</v>
      </c>
      <c r="AU167" s="23">
        <v>20.2502</v>
      </c>
      <c r="AV167" s="23" t="s">
        <v>119</v>
      </c>
      <c r="AW167" s="23">
        <v>22.650600000000001</v>
      </c>
      <c r="AY167" s="23">
        <v>1.9659</v>
      </c>
      <c r="BA167" s="23">
        <v>33.897500000000001</v>
      </c>
      <c r="BC167" s="24">
        <v>21.331600000000002</v>
      </c>
      <c r="BD167" s="1" t="s">
        <v>119</v>
      </c>
      <c r="BE167" s="1" t="str">
        <f t="shared" si="2"/>
        <v>Yes</v>
      </c>
    </row>
    <row r="168" spans="1:57" ht="11.25" customHeight="1">
      <c r="A168" s="7" t="s">
        <v>486</v>
      </c>
      <c r="B168" s="7" t="s">
        <v>487</v>
      </c>
      <c r="C168" s="37" t="s">
        <v>83</v>
      </c>
      <c r="D168" s="296">
        <v>4004</v>
      </c>
      <c r="E168" s="297">
        <v>40004</v>
      </c>
      <c r="F168" s="27" t="s">
        <v>165</v>
      </c>
      <c r="G168" s="73" t="s">
        <v>158</v>
      </c>
      <c r="H168" s="35">
        <v>969587</v>
      </c>
      <c r="I168" s="35">
        <v>260</v>
      </c>
      <c r="J168" s="37" t="s">
        <v>10</v>
      </c>
      <c r="K168" s="37" t="s">
        <v>159</v>
      </c>
      <c r="L168" s="8">
        <v>63</v>
      </c>
      <c r="M168" s="8">
        <v>237795</v>
      </c>
      <c r="N168" s="9"/>
      <c r="O168" s="8">
        <v>59755</v>
      </c>
      <c r="P168" s="9"/>
      <c r="Q168" s="8">
        <v>37338</v>
      </c>
      <c r="R168" s="9"/>
      <c r="S168" s="8">
        <v>28582</v>
      </c>
      <c r="T168" s="9"/>
      <c r="U168" s="8">
        <v>0</v>
      </c>
      <c r="V168" s="9"/>
      <c r="W168" s="33">
        <v>363470</v>
      </c>
      <c r="X168" s="9" t="s">
        <v>119</v>
      </c>
      <c r="Y168" s="30">
        <v>125.9</v>
      </c>
      <c r="Z168" s="9"/>
      <c r="AA168" s="30">
        <v>30</v>
      </c>
      <c r="AB168" s="9"/>
      <c r="AC168" s="30">
        <v>15.6</v>
      </c>
      <c r="AD168" s="9"/>
      <c r="AE168" s="30">
        <v>17.100000000000001</v>
      </c>
      <c r="AF168" s="9"/>
      <c r="AG168" s="30">
        <v>0</v>
      </c>
      <c r="AH168" s="9"/>
      <c r="AI168" s="32">
        <v>188.6</v>
      </c>
      <c r="AJ168" s="12" t="s">
        <v>119</v>
      </c>
      <c r="AK168" s="22">
        <v>4939896</v>
      </c>
      <c r="AL168" s="22" t="s">
        <v>119</v>
      </c>
      <c r="AM168" s="22">
        <v>1353499</v>
      </c>
      <c r="AO168" s="22">
        <v>796816</v>
      </c>
      <c r="AQ168" s="22">
        <v>968870</v>
      </c>
      <c r="AS168" s="26">
        <v>8059081</v>
      </c>
      <c r="AT168" s="22" t="s">
        <v>119</v>
      </c>
      <c r="AU168" s="23">
        <v>20.773800000000001</v>
      </c>
      <c r="AV168" s="23" t="s">
        <v>119</v>
      </c>
      <c r="AW168" s="23">
        <v>22.6508</v>
      </c>
      <c r="AY168" s="23">
        <v>3.3509000000000002</v>
      </c>
      <c r="BA168" s="23">
        <v>33.8979</v>
      </c>
      <c r="BC168" s="24">
        <v>22.172599999999999</v>
      </c>
      <c r="BD168" s="1" t="s">
        <v>119</v>
      </c>
      <c r="BE168" s="1" t="str">
        <f t="shared" si="2"/>
        <v>Yes</v>
      </c>
    </row>
    <row r="169" spans="1:57" ht="11.25" customHeight="1">
      <c r="A169" s="7" t="s">
        <v>486</v>
      </c>
      <c r="B169" s="7" t="s">
        <v>487</v>
      </c>
      <c r="C169" s="37" t="s">
        <v>83</v>
      </c>
      <c r="D169" s="296">
        <v>4004</v>
      </c>
      <c r="E169" s="297">
        <v>40004</v>
      </c>
      <c r="F169" s="27" t="s">
        <v>165</v>
      </c>
      <c r="G169" s="73" t="s">
        <v>158</v>
      </c>
      <c r="H169" s="35">
        <v>969587</v>
      </c>
      <c r="I169" s="35">
        <v>260</v>
      </c>
      <c r="J169" s="37" t="s">
        <v>18</v>
      </c>
      <c r="K169" s="37" t="s">
        <v>159</v>
      </c>
      <c r="L169" s="8">
        <v>23</v>
      </c>
      <c r="M169" s="8">
        <v>39436</v>
      </c>
      <c r="N169" s="9"/>
      <c r="O169" s="8">
        <v>5814</v>
      </c>
      <c r="P169" s="9"/>
      <c r="Q169" s="8">
        <v>3633</v>
      </c>
      <c r="R169" s="9"/>
      <c r="S169" s="8">
        <v>2781</v>
      </c>
      <c r="T169" s="9"/>
      <c r="U169" s="8">
        <v>0</v>
      </c>
      <c r="V169" s="9"/>
      <c r="W169" s="33">
        <v>51664</v>
      </c>
      <c r="X169" s="9" t="s">
        <v>119</v>
      </c>
      <c r="Y169" s="30">
        <v>19.8</v>
      </c>
      <c r="Z169" s="9"/>
      <c r="AA169" s="30">
        <v>2.8</v>
      </c>
      <c r="AB169" s="9"/>
      <c r="AC169" s="30">
        <v>1.5</v>
      </c>
      <c r="AD169" s="9"/>
      <c r="AE169" s="30">
        <v>1.6</v>
      </c>
      <c r="AF169" s="9"/>
      <c r="AG169" s="30">
        <v>0</v>
      </c>
      <c r="AH169" s="9"/>
      <c r="AI169" s="32">
        <v>25.7</v>
      </c>
      <c r="AJ169" s="12"/>
      <c r="AK169" s="22">
        <v>798699</v>
      </c>
      <c r="AL169" s="22" t="s">
        <v>119</v>
      </c>
      <c r="AM169" s="22">
        <v>131712</v>
      </c>
      <c r="AO169" s="22">
        <v>77540</v>
      </c>
      <c r="AQ169" s="22">
        <v>94283</v>
      </c>
      <c r="AS169" s="26">
        <v>1102234</v>
      </c>
      <c r="AT169" s="22" t="s">
        <v>119</v>
      </c>
      <c r="AU169" s="23">
        <v>20.253</v>
      </c>
      <c r="AV169" s="23" t="s">
        <v>119</v>
      </c>
      <c r="AW169" s="23">
        <v>22.654299999999999</v>
      </c>
      <c r="AY169" s="23">
        <v>1.9661999999999999</v>
      </c>
      <c r="BA169" s="23">
        <v>33.9026</v>
      </c>
      <c r="BC169" s="24">
        <v>21.334700000000002</v>
      </c>
      <c r="BD169" s="1" t="s">
        <v>119</v>
      </c>
      <c r="BE169" s="1" t="str">
        <f t="shared" si="2"/>
        <v>Yes</v>
      </c>
    </row>
    <row r="170" spans="1:57" ht="11.25" customHeight="1">
      <c r="A170" s="7" t="s">
        <v>1120</v>
      </c>
      <c r="B170" s="7" t="s">
        <v>210</v>
      </c>
      <c r="C170" s="37" t="s">
        <v>70</v>
      </c>
      <c r="D170" s="296">
        <v>2113</v>
      </c>
      <c r="E170" s="297">
        <v>20113</v>
      </c>
      <c r="F170" s="27" t="s">
        <v>165</v>
      </c>
      <c r="G170" s="73" t="s">
        <v>158</v>
      </c>
      <c r="H170" s="35">
        <v>720572</v>
      </c>
      <c r="I170" s="35">
        <v>257</v>
      </c>
      <c r="J170" s="37" t="s">
        <v>7</v>
      </c>
      <c r="K170" s="37" t="s">
        <v>159</v>
      </c>
      <c r="L170" s="8">
        <v>213</v>
      </c>
      <c r="M170" s="8">
        <v>707660</v>
      </c>
      <c r="N170" s="9"/>
      <c r="O170" s="8">
        <v>202574</v>
      </c>
      <c r="P170" s="9"/>
      <c r="Q170" s="8">
        <v>34989</v>
      </c>
      <c r="R170" s="9"/>
      <c r="S170" s="8">
        <v>144956</v>
      </c>
      <c r="T170" s="9"/>
      <c r="U170" s="8">
        <v>0</v>
      </c>
      <c r="V170" s="9"/>
      <c r="W170" s="33">
        <v>1090179</v>
      </c>
      <c r="X170" s="9"/>
      <c r="Y170" s="30">
        <v>378</v>
      </c>
      <c r="Z170" s="9"/>
      <c r="AA170" s="30">
        <v>105</v>
      </c>
      <c r="AB170" s="9"/>
      <c r="AC170" s="30">
        <v>19</v>
      </c>
      <c r="AD170" s="9"/>
      <c r="AE170" s="30">
        <v>81</v>
      </c>
      <c r="AF170" s="9"/>
      <c r="AG170" s="30">
        <v>0</v>
      </c>
      <c r="AH170" s="9"/>
      <c r="AI170" s="32">
        <v>583</v>
      </c>
      <c r="AJ170" s="12"/>
      <c r="AK170" s="22">
        <v>20541787</v>
      </c>
      <c r="AM170" s="22">
        <v>6184945</v>
      </c>
      <c r="AO170" s="22">
        <v>659592</v>
      </c>
      <c r="AQ170" s="22">
        <v>4865658</v>
      </c>
      <c r="AS170" s="26">
        <v>32251982</v>
      </c>
      <c r="AU170" s="23">
        <v>29.027799999999999</v>
      </c>
      <c r="AW170" s="23">
        <v>30.5318</v>
      </c>
      <c r="AY170" s="23">
        <v>0.93210000000000004</v>
      </c>
      <c r="BA170" s="23">
        <v>33.566400000000002</v>
      </c>
      <c r="BC170" s="24">
        <v>29.584099999999999</v>
      </c>
      <c r="BE170" s="1" t="str">
        <f t="shared" si="2"/>
        <v>No</v>
      </c>
    </row>
    <row r="171" spans="1:57" ht="11.25" customHeight="1">
      <c r="A171" s="7" t="s">
        <v>90</v>
      </c>
      <c r="B171" s="7" t="s">
        <v>436</v>
      </c>
      <c r="C171" s="37" t="s">
        <v>89</v>
      </c>
      <c r="D171" s="296">
        <v>20</v>
      </c>
      <c r="E171" s="297">
        <v>20</v>
      </c>
      <c r="F171" s="27" t="s">
        <v>165</v>
      </c>
      <c r="G171" s="73" t="s">
        <v>158</v>
      </c>
      <c r="H171" s="35">
        <v>198979</v>
      </c>
      <c r="I171" s="35">
        <v>257</v>
      </c>
      <c r="J171" s="37" t="s">
        <v>7</v>
      </c>
      <c r="K171" s="37" t="s">
        <v>159</v>
      </c>
      <c r="L171" s="8">
        <v>90</v>
      </c>
      <c r="M171" s="8">
        <v>214456</v>
      </c>
      <c r="N171" s="9"/>
      <c r="O171" s="8">
        <v>57682</v>
      </c>
      <c r="P171" s="9"/>
      <c r="Q171" s="8">
        <v>13929</v>
      </c>
      <c r="R171" s="9"/>
      <c r="S171" s="8">
        <v>37786</v>
      </c>
      <c r="T171" s="9"/>
      <c r="U171" s="8">
        <v>2284</v>
      </c>
      <c r="V171" s="9"/>
      <c r="W171" s="33">
        <v>326137</v>
      </c>
      <c r="X171" s="9"/>
      <c r="Y171" s="30">
        <v>177</v>
      </c>
      <c r="Z171" s="9"/>
      <c r="AA171" s="30">
        <v>33.53</v>
      </c>
      <c r="AB171" s="9"/>
      <c r="AC171" s="30">
        <v>8.18</v>
      </c>
      <c r="AD171" s="9"/>
      <c r="AE171" s="30">
        <v>23.46</v>
      </c>
      <c r="AF171" s="9"/>
      <c r="AG171" s="30">
        <v>1.0900000000000001</v>
      </c>
      <c r="AH171" s="9"/>
      <c r="AI171" s="32">
        <v>243.26</v>
      </c>
      <c r="AJ171" s="12"/>
      <c r="AK171" s="22">
        <v>6584780</v>
      </c>
      <c r="AM171" s="22">
        <v>2037595</v>
      </c>
      <c r="AO171" s="22">
        <v>459228</v>
      </c>
      <c r="AQ171" s="22">
        <v>1700210</v>
      </c>
      <c r="AS171" s="26">
        <v>10781813</v>
      </c>
      <c r="AU171" s="23">
        <v>30.704599999999999</v>
      </c>
      <c r="AW171" s="23">
        <v>35.324599999999997</v>
      </c>
      <c r="AY171" s="23">
        <v>2.1414</v>
      </c>
      <c r="BA171" s="23">
        <v>44.995800000000003</v>
      </c>
      <c r="BC171" s="24">
        <v>33.059199999999997</v>
      </c>
      <c r="BE171" s="1" t="str">
        <f t="shared" si="2"/>
        <v>No</v>
      </c>
    </row>
    <row r="172" spans="1:57" ht="11.25" customHeight="1">
      <c r="A172" s="7" t="s">
        <v>90</v>
      </c>
      <c r="B172" s="7" t="s">
        <v>436</v>
      </c>
      <c r="C172" s="37" t="s">
        <v>89</v>
      </c>
      <c r="D172" s="296">
        <v>20</v>
      </c>
      <c r="E172" s="297">
        <v>20</v>
      </c>
      <c r="F172" s="27" t="s">
        <v>165</v>
      </c>
      <c r="G172" s="73" t="s">
        <v>158</v>
      </c>
      <c r="H172" s="35">
        <v>198979</v>
      </c>
      <c r="I172" s="35">
        <v>257</v>
      </c>
      <c r="J172" s="37" t="s">
        <v>10</v>
      </c>
      <c r="K172" s="37" t="s">
        <v>159</v>
      </c>
      <c r="L172" s="8">
        <v>85</v>
      </c>
      <c r="M172" s="8">
        <v>142223</v>
      </c>
      <c r="N172" s="9"/>
      <c r="O172" s="8">
        <v>14040</v>
      </c>
      <c r="P172" s="9"/>
      <c r="Q172" s="8">
        <v>8896</v>
      </c>
      <c r="R172" s="9"/>
      <c r="S172" s="8">
        <v>24133</v>
      </c>
      <c r="T172" s="9"/>
      <c r="U172" s="8">
        <v>1459</v>
      </c>
      <c r="V172" s="9"/>
      <c r="W172" s="33">
        <v>190751</v>
      </c>
      <c r="X172" s="9"/>
      <c r="Y172" s="30">
        <v>80</v>
      </c>
      <c r="Z172" s="9"/>
      <c r="AA172" s="30">
        <v>8.16</v>
      </c>
      <c r="AB172" s="9"/>
      <c r="AC172" s="30">
        <v>5.23</v>
      </c>
      <c r="AD172" s="9"/>
      <c r="AE172" s="30">
        <v>14.98</v>
      </c>
      <c r="AF172" s="9"/>
      <c r="AG172" s="30">
        <v>0.7</v>
      </c>
      <c r="AH172" s="9"/>
      <c r="AI172" s="32">
        <v>109.07</v>
      </c>
      <c r="AJ172" s="12"/>
      <c r="AK172" s="22">
        <v>4118548</v>
      </c>
      <c r="AM172" s="22">
        <v>495967</v>
      </c>
      <c r="AO172" s="22">
        <v>293301</v>
      </c>
      <c r="AQ172" s="22">
        <v>1085894</v>
      </c>
      <c r="AS172" s="26">
        <v>5993710</v>
      </c>
      <c r="AU172" s="23">
        <v>28.958400000000001</v>
      </c>
      <c r="AW172" s="23">
        <v>35.325299999999999</v>
      </c>
      <c r="AY172" s="23">
        <v>2.0623</v>
      </c>
      <c r="BA172" s="23">
        <v>44.996200000000002</v>
      </c>
      <c r="BC172" s="24">
        <v>31.421600000000002</v>
      </c>
      <c r="BE172" s="1" t="str">
        <f t="shared" si="2"/>
        <v>No</v>
      </c>
    </row>
    <row r="173" spans="1:57" ht="11.25" customHeight="1">
      <c r="A173" s="7" t="s">
        <v>90</v>
      </c>
      <c r="B173" s="7" t="s">
        <v>436</v>
      </c>
      <c r="C173" s="37" t="s">
        <v>89</v>
      </c>
      <c r="D173" s="296">
        <v>20</v>
      </c>
      <c r="E173" s="297">
        <v>20</v>
      </c>
      <c r="F173" s="27" t="s">
        <v>165</v>
      </c>
      <c r="G173" s="73" t="s">
        <v>158</v>
      </c>
      <c r="H173" s="35">
        <v>198979</v>
      </c>
      <c r="I173" s="35">
        <v>257</v>
      </c>
      <c r="J173" s="37" t="s">
        <v>8</v>
      </c>
      <c r="K173" s="37" t="s">
        <v>159</v>
      </c>
      <c r="L173" s="8">
        <v>78</v>
      </c>
      <c r="M173" s="8">
        <v>4286</v>
      </c>
      <c r="N173" s="9"/>
      <c r="O173" s="8">
        <v>2249</v>
      </c>
      <c r="P173" s="9"/>
      <c r="Q173" s="8">
        <v>599</v>
      </c>
      <c r="R173" s="9"/>
      <c r="S173" s="8">
        <v>1624</v>
      </c>
      <c r="T173" s="9"/>
      <c r="U173" s="8">
        <v>98</v>
      </c>
      <c r="V173" s="9"/>
      <c r="W173" s="33">
        <v>8856</v>
      </c>
      <c r="X173" s="9"/>
      <c r="Y173" s="30">
        <v>3</v>
      </c>
      <c r="Z173" s="9"/>
      <c r="AA173" s="30">
        <v>1.34</v>
      </c>
      <c r="AB173" s="9"/>
      <c r="AC173" s="30">
        <v>0.35</v>
      </c>
      <c r="AD173" s="9"/>
      <c r="AE173" s="30">
        <v>1.01</v>
      </c>
      <c r="AF173" s="9"/>
      <c r="AG173" s="30">
        <v>0.05</v>
      </c>
      <c r="AH173" s="9"/>
      <c r="AI173" s="32">
        <v>5.75</v>
      </c>
      <c r="AJ173" s="12"/>
      <c r="AK173" s="22">
        <v>205168</v>
      </c>
      <c r="AM173" s="22">
        <v>79452</v>
      </c>
      <c r="AO173" s="22">
        <v>19731</v>
      </c>
      <c r="AQ173" s="22">
        <v>73049</v>
      </c>
      <c r="AS173" s="26">
        <v>377400</v>
      </c>
      <c r="AU173" s="23">
        <v>47.869300000000003</v>
      </c>
      <c r="AW173" s="23">
        <v>35.3277</v>
      </c>
      <c r="AY173" s="23">
        <v>4.6036000000000001</v>
      </c>
      <c r="BA173" s="23">
        <v>44.980899999999998</v>
      </c>
      <c r="BC173" s="24">
        <v>42.615200000000002</v>
      </c>
      <c r="BE173" s="1" t="str">
        <f t="shared" si="2"/>
        <v>No</v>
      </c>
    </row>
    <row r="174" spans="1:57" ht="11.25" customHeight="1">
      <c r="A174" s="7" t="s">
        <v>1120</v>
      </c>
      <c r="B174" s="7" t="s">
        <v>210</v>
      </c>
      <c r="C174" s="37" t="s">
        <v>70</v>
      </c>
      <c r="D174" s="296">
        <v>2113</v>
      </c>
      <c r="E174" s="297">
        <v>20113</v>
      </c>
      <c r="F174" s="27" t="s">
        <v>165</v>
      </c>
      <c r="G174" s="73" t="s">
        <v>158</v>
      </c>
      <c r="H174" s="35">
        <v>720572</v>
      </c>
      <c r="I174" s="35">
        <v>257</v>
      </c>
      <c r="J174" s="37" t="s">
        <v>10</v>
      </c>
      <c r="K174" s="37" t="s">
        <v>159</v>
      </c>
      <c r="L174" s="8">
        <v>44</v>
      </c>
      <c r="M174" s="8">
        <v>152957</v>
      </c>
      <c r="N174" s="9"/>
      <c r="O174" s="8">
        <v>19074</v>
      </c>
      <c r="P174" s="9"/>
      <c r="Q174" s="8">
        <v>0</v>
      </c>
      <c r="R174" s="9"/>
      <c r="S174" s="8">
        <v>18038</v>
      </c>
      <c r="T174" s="9"/>
      <c r="U174" s="8">
        <v>0</v>
      </c>
      <c r="V174" s="9"/>
      <c r="W174" s="33">
        <v>190069</v>
      </c>
      <c r="X174" s="9"/>
      <c r="Y174" s="30">
        <v>88</v>
      </c>
      <c r="Z174" s="9"/>
      <c r="AA174" s="30">
        <v>9</v>
      </c>
      <c r="AB174" s="9"/>
      <c r="AC174" s="30">
        <v>0</v>
      </c>
      <c r="AD174" s="9"/>
      <c r="AE174" s="30">
        <v>9</v>
      </c>
      <c r="AF174" s="9"/>
      <c r="AG174" s="30">
        <v>0</v>
      </c>
      <c r="AH174" s="9"/>
      <c r="AI174" s="32">
        <v>106</v>
      </c>
      <c r="AJ174" s="12"/>
      <c r="AK174" s="22">
        <v>2864850</v>
      </c>
      <c r="AM174" s="22">
        <v>440629</v>
      </c>
      <c r="AO174" s="22">
        <v>0</v>
      </c>
      <c r="AQ174" s="22">
        <v>795417</v>
      </c>
      <c r="AS174" s="26">
        <v>4100896</v>
      </c>
      <c r="AU174" s="23">
        <v>18.729800000000001</v>
      </c>
      <c r="AW174" s="23">
        <v>23.100999999999999</v>
      </c>
      <c r="AY174" s="23">
        <v>0</v>
      </c>
      <c r="BA174" s="23">
        <v>44.096699999999998</v>
      </c>
      <c r="BC174" s="24">
        <v>21.575800000000001</v>
      </c>
      <c r="BE174" s="1" t="str">
        <f t="shared" si="2"/>
        <v>No</v>
      </c>
    </row>
    <row r="175" spans="1:57" ht="11.25" customHeight="1">
      <c r="A175" s="7" t="s">
        <v>35</v>
      </c>
      <c r="B175" s="7" t="s">
        <v>720</v>
      </c>
      <c r="C175" s="37" t="s">
        <v>32</v>
      </c>
      <c r="D175" s="296">
        <v>4152</v>
      </c>
      <c r="E175" s="297">
        <v>40152</v>
      </c>
      <c r="F175" s="27" t="s">
        <v>243</v>
      </c>
      <c r="G175" s="73" t="s">
        <v>158</v>
      </c>
      <c r="H175" s="35">
        <v>5502379</v>
      </c>
      <c r="I175" s="35">
        <v>254</v>
      </c>
      <c r="J175" s="37" t="s">
        <v>8</v>
      </c>
      <c r="K175" s="37" t="s">
        <v>159</v>
      </c>
      <c r="L175" s="8">
        <v>254</v>
      </c>
      <c r="M175" s="8">
        <v>0</v>
      </c>
      <c r="N175" s="9"/>
      <c r="O175" s="8">
        <v>0</v>
      </c>
      <c r="P175" s="9"/>
      <c r="Q175" s="8">
        <v>0</v>
      </c>
      <c r="R175" s="9"/>
      <c r="S175" s="8">
        <v>6798</v>
      </c>
      <c r="T175" s="9"/>
      <c r="U175" s="8">
        <v>0</v>
      </c>
      <c r="V175" s="9"/>
      <c r="W175" s="33">
        <v>6798</v>
      </c>
      <c r="X175" s="9"/>
      <c r="Y175" s="30">
        <v>0</v>
      </c>
      <c r="Z175" s="9"/>
      <c r="AA175" s="30">
        <v>0</v>
      </c>
      <c r="AB175" s="9"/>
      <c r="AC175" s="30">
        <v>0</v>
      </c>
      <c r="AD175" s="9"/>
      <c r="AE175" s="30">
        <v>5</v>
      </c>
      <c r="AF175" s="9"/>
      <c r="AG175" s="30">
        <v>0</v>
      </c>
      <c r="AH175" s="9"/>
      <c r="AI175" s="32">
        <v>5</v>
      </c>
      <c r="AJ175" s="12"/>
      <c r="AK175" s="22">
        <v>0</v>
      </c>
      <c r="AM175" s="22">
        <v>0</v>
      </c>
      <c r="AO175" s="22">
        <v>0</v>
      </c>
      <c r="AQ175" s="22">
        <v>219867</v>
      </c>
      <c r="AS175" s="26">
        <v>219867</v>
      </c>
      <c r="BA175" s="23">
        <v>32.3429</v>
      </c>
      <c r="BC175" s="24">
        <v>32.3429</v>
      </c>
      <c r="BE175" s="1" t="str">
        <f t="shared" si="2"/>
        <v>No</v>
      </c>
    </row>
    <row r="176" spans="1:57" ht="11.25" customHeight="1">
      <c r="A176" s="7" t="s">
        <v>461</v>
      </c>
      <c r="B176" s="7" t="s">
        <v>462</v>
      </c>
      <c r="C176" s="37" t="s">
        <v>93</v>
      </c>
      <c r="D176" s="296">
        <v>5005</v>
      </c>
      <c r="E176" s="297">
        <v>50005</v>
      </c>
      <c r="F176" s="27" t="s">
        <v>162</v>
      </c>
      <c r="G176" s="73" t="s">
        <v>158</v>
      </c>
      <c r="H176" s="35">
        <v>401661</v>
      </c>
      <c r="I176" s="35">
        <v>254</v>
      </c>
      <c r="J176" s="37" t="s">
        <v>7</v>
      </c>
      <c r="K176" s="37" t="s">
        <v>159</v>
      </c>
      <c r="L176" s="8">
        <v>182</v>
      </c>
      <c r="M176" s="8">
        <v>581068</v>
      </c>
      <c r="N176" s="9"/>
      <c r="O176" s="8">
        <v>132441</v>
      </c>
      <c r="P176" s="9"/>
      <c r="Q176" s="8">
        <v>17061</v>
      </c>
      <c r="R176" s="9"/>
      <c r="S176" s="8">
        <v>70185</v>
      </c>
      <c r="T176" s="9"/>
      <c r="U176" s="8">
        <v>0</v>
      </c>
      <c r="V176" s="9"/>
      <c r="W176" s="33">
        <v>800755</v>
      </c>
      <c r="X176" s="9"/>
      <c r="Y176" s="30">
        <v>335</v>
      </c>
      <c r="Z176" s="9"/>
      <c r="AA176" s="30">
        <v>66.7</v>
      </c>
      <c r="AB176" s="9"/>
      <c r="AC176" s="30">
        <v>10</v>
      </c>
      <c r="AD176" s="9"/>
      <c r="AE176" s="30">
        <v>40.6</v>
      </c>
      <c r="AF176" s="9"/>
      <c r="AG176" s="30">
        <v>0</v>
      </c>
      <c r="AH176" s="9"/>
      <c r="AI176" s="32">
        <v>452.3</v>
      </c>
      <c r="AJ176" s="12"/>
      <c r="AK176" s="22">
        <v>15709344</v>
      </c>
      <c r="AM176" s="22">
        <v>3712218</v>
      </c>
      <c r="AO176" s="22">
        <v>506703</v>
      </c>
      <c r="AQ176" s="22">
        <v>2113774</v>
      </c>
      <c r="AS176" s="26">
        <v>22042039</v>
      </c>
      <c r="AU176" s="23">
        <v>27.035299999999999</v>
      </c>
      <c r="AW176" s="23">
        <v>28.029199999999999</v>
      </c>
      <c r="AY176" s="23">
        <v>0.872</v>
      </c>
      <c r="BA176" s="23">
        <v>30.1172</v>
      </c>
      <c r="BC176" s="24">
        <v>27.526599999999998</v>
      </c>
      <c r="BE176" s="1" t="str">
        <f t="shared" si="2"/>
        <v>No</v>
      </c>
    </row>
    <row r="177" spans="1:57" ht="11.25" customHeight="1">
      <c r="A177" s="7" t="s">
        <v>461</v>
      </c>
      <c r="B177" s="7" t="s">
        <v>462</v>
      </c>
      <c r="C177" s="37" t="s">
        <v>93</v>
      </c>
      <c r="D177" s="296">
        <v>5005</v>
      </c>
      <c r="E177" s="297">
        <v>50005</v>
      </c>
      <c r="F177" s="27" t="s">
        <v>162</v>
      </c>
      <c r="G177" s="73" t="s">
        <v>158</v>
      </c>
      <c r="H177" s="35">
        <v>401661</v>
      </c>
      <c r="I177" s="35">
        <v>254</v>
      </c>
      <c r="J177" s="37" t="s">
        <v>10</v>
      </c>
      <c r="K177" s="37" t="s">
        <v>159</v>
      </c>
      <c r="L177" s="8">
        <v>12</v>
      </c>
      <c r="M177" s="8">
        <v>37089</v>
      </c>
      <c r="N177" s="9"/>
      <c r="O177" s="8">
        <v>2703</v>
      </c>
      <c r="P177" s="9"/>
      <c r="Q177" s="8">
        <v>86</v>
      </c>
      <c r="R177" s="9"/>
      <c r="S177" s="8">
        <v>2395</v>
      </c>
      <c r="T177" s="9"/>
      <c r="U177" s="8">
        <v>0</v>
      </c>
      <c r="V177" s="9"/>
      <c r="W177" s="33">
        <v>42273</v>
      </c>
      <c r="X177" s="9"/>
      <c r="Y177" s="30">
        <v>20</v>
      </c>
      <c r="Z177" s="9"/>
      <c r="AA177" s="30">
        <v>1.3</v>
      </c>
      <c r="AB177" s="9"/>
      <c r="AC177" s="30">
        <v>0.05</v>
      </c>
      <c r="AD177" s="9"/>
      <c r="AE177" s="30">
        <v>1.4</v>
      </c>
      <c r="AF177" s="9"/>
      <c r="AG177" s="30">
        <v>0</v>
      </c>
      <c r="AH177" s="9"/>
      <c r="AI177" s="32">
        <v>22.75</v>
      </c>
      <c r="AJ177" s="12"/>
      <c r="AK177" s="22">
        <v>994511</v>
      </c>
      <c r="AM177" s="22">
        <v>75760</v>
      </c>
      <c r="AO177" s="22">
        <v>2559</v>
      </c>
      <c r="AQ177" s="22">
        <v>71251</v>
      </c>
      <c r="AS177" s="26">
        <v>1144081</v>
      </c>
      <c r="AU177" s="23">
        <v>26.8142</v>
      </c>
      <c r="AW177" s="23">
        <v>28.028099999999998</v>
      </c>
      <c r="AY177" s="23">
        <v>6.9000000000000006E-2</v>
      </c>
      <c r="BA177" s="23">
        <v>29.7499</v>
      </c>
      <c r="BC177" s="24">
        <v>27.0641</v>
      </c>
      <c r="BE177" s="1" t="str">
        <f t="shared" si="2"/>
        <v>No</v>
      </c>
    </row>
    <row r="178" spans="1:57" ht="11.25" customHeight="1">
      <c r="A178" s="7" t="s">
        <v>424</v>
      </c>
      <c r="B178" s="7" t="s">
        <v>425</v>
      </c>
      <c r="C178" s="37" t="s">
        <v>32</v>
      </c>
      <c r="D178" s="296">
        <v>4040</v>
      </c>
      <c r="E178" s="297">
        <v>40040</v>
      </c>
      <c r="F178" s="27" t="s">
        <v>165</v>
      </c>
      <c r="G178" s="73" t="s">
        <v>158</v>
      </c>
      <c r="H178" s="35">
        <v>1065219</v>
      </c>
      <c r="I178" s="35">
        <v>244</v>
      </c>
      <c r="J178" s="37" t="s">
        <v>7</v>
      </c>
      <c r="K178" s="37" t="s">
        <v>159</v>
      </c>
      <c r="L178" s="8">
        <v>150</v>
      </c>
      <c r="M178" s="8">
        <v>860851</v>
      </c>
      <c r="N178" s="9"/>
      <c r="O178" s="8">
        <v>197741</v>
      </c>
      <c r="P178" s="9"/>
      <c r="Q178" s="8">
        <v>35914</v>
      </c>
      <c r="R178" s="9"/>
      <c r="S178" s="8">
        <v>256821</v>
      </c>
      <c r="T178" s="9"/>
      <c r="U178" s="8">
        <v>0</v>
      </c>
      <c r="V178" s="9"/>
      <c r="W178" s="33">
        <v>1351327</v>
      </c>
      <c r="X178" s="9"/>
      <c r="Y178" s="30">
        <v>452</v>
      </c>
      <c r="Z178" s="9"/>
      <c r="AA178" s="30">
        <v>100</v>
      </c>
      <c r="AB178" s="9"/>
      <c r="AC178" s="30">
        <v>18</v>
      </c>
      <c r="AD178" s="9"/>
      <c r="AE178" s="30">
        <v>143</v>
      </c>
      <c r="AF178" s="9"/>
      <c r="AG178" s="30">
        <v>0</v>
      </c>
      <c r="AH178" s="9"/>
      <c r="AI178" s="32">
        <v>713</v>
      </c>
      <c r="AJ178" s="12"/>
      <c r="AK178" s="22">
        <v>17501396</v>
      </c>
      <c r="AM178" s="22">
        <v>4752860</v>
      </c>
      <c r="AO178" s="22">
        <v>933372</v>
      </c>
      <c r="AQ178" s="22">
        <v>7912360</v>
      </c>
      <c r="AS178" s="26">
        <v>31099988</v>
      </c>
      <c r="AU178" s="23">
        <v>20.330300000000001</v>
      </c>
      <c r="AW178" s="23">
        <v>24.035799999999998</v>
      </c>
      <c r="AY178" s="23">
        <v>1.0842000000000001</v>
      </c>
      <c r="BA178" s="23">
        <v>30.808900000000001</v>
      </c>
      <c r="BC178" s="24">
        <v>23.014399999999998</v>
      </c>
      <c r="BE178" s="1" t="str">
        <f t="shared" si="2"/>
        <v>No</v>
      </c>
    </row>
    <row r="179" spans="1:57" ht="11.25" customHeight="1">
      <c r="A179" s="7" t="s">
        <v>424</v>
      </c>
      <c r="B179" s="7" t="s">
        <v>425</v>
      </c>
      <c r="C179" s="37" t="s">
        <v>32</v>
      </c>
      <c r="D179" s="296">
        <v>4040</v>
      </c>
      <c r="E179" s="297">
        <v>40040</v>
      </c>
      <c r="F179" s="27" t="s">
        <v>165</v>
      </c>
      <c r="G179" s="73" t="s">
        <v>158</v>
      </c>
      <c r="H179" s="35">
        <v>1065219</v>
      </c>
      <c r="I179" s="35">
        <v>244</v>
      </c>
      <c r="J179" s="37" t="s">
        <v>34</v>
      </c>
      <c r="K179" s="37" t="s">
        <v>159</v>
      </c>
      <c r="L179" s="8">
        <v>5</v>
      </c>
      <c r="M179" s="8">
        <v>27303</v>
      </c>
      <c r="N179" s="9"/>
      <c r="O179" s="8">
        <v>26568</v>
      </c>
      <c r="P179" s="9"/>
      <c r="Q179" s="8">
        <v>14902</v>
      </c>
      <c r="R179" s="9"/>
      <c r="S179" s="8">
        <v>3217</v>
      </c>
      <c r="T179" s="9"/>
      <c r="U179" s="8">
        <v>0</v>
      </c>
      <c r="V179" s="9"/>
      <c r="W179" s="33">
        <v>71990</v>
      </c>
      <c r="X179" s="9"/>
      <c r="Y179" s="30">
        <v>15</v>
      </c>
      <c r="Z179" s="9"/>
      <c r="AA179" s="30">
        <v>15</v>
      </c>
      <c r="AB179" s="9"/>
      <c r="AC179" s="30">
        <v>7</v>
      </c>
      <c r="AD179" s="9"/>
      <c r="AE179" s="30">
        <v>2</v>
      </c>
      <c r="AF179" s="9"/>
      <c r="AG179" s="30">
        <v>0</v>
      </c>
      <c r="AH179" s="9"/>
      <c r="AI179" s="32">
        <v>39</v>
      </c>
      <c r="AJ179" s="12"/>
      <c r="AK179" s="22">
        <v>731120</v>
      </c>
      <c r="AM179" s="22">
        <v>981161</v>
      </c>
      <c r="AO179" s="22">
        <v>455353</v>
      </c>
      <c r="AQ179" s="22">
        <v>120546</v>
      </c>
      <c r="AS179" s="26">
        <v>2288180</v>
      </c>
      <c r="AU179" s="23">
        <v>26.777999999999999</v>
      </c>
      <c r="AW179" s="23">
        <v>36.930199999999999</v>
      </c>
      <c r="AY179" s="23">
        <v>16.677800000000001</v>
      </c>
      <c r="BA179" s="23">
        <v>37.471600000000002</v>
      </c>
      <c r="BC179" s="24">
        <v>31.784700000000001</v>
      </c>
      <c r="BE179" s="1" t="str">
        <f t="shared" si="2"/>
        <v>No</v>
      </c>
    </row>
    <row r="180" spans="1:57" ht="11.25" customHeight="1">
      <c r="A180" s="7" t="s">
        <v>389</v>
      </c>
      <c r="B180" s="7" t="s">
        <v>390</v>
      </c>
      <c r="C180" s="37" t="s">
        <v>52</v>
      </c>
      <c r="D180" s="296">
        <v>5033</v>
      </c>
      <c r="E180" s="297">
        <v>50033</v>
      </c>
      <c r="F180" s="27" t="s">
        <v>165</v>
      </c>
      <c r="G180" s="73" t="s">
        <v>158</v>
      </c>
      <c r="H180" s="35">
        <v>569935</v>
      </c>
      <c r="I180" s="35">
        <v>241</v>
      </c>
      <c r="J180" s="37" t="s">
        <v>7</v>
      </c>
      <c r="K180" s="37" t="s">
        <v>159</v>
      </c>
      <c r="L180" s="8">
        <v>125</v>
      </c>
      <c r="M180" s="8">
        <v>515814</v>
      </c>
      <c r="N180" s="9"/>
      <c r="O180" s="8">
        <v>55624</v>
      </c>
      <c r="P180" s="9"/>
      <c r="Q180" s="8">
        <v>16175</v>
      </c>
      <c r="R180" s="9"/>
      <c r="S180" s="8">
        <v>64360</v>
      </c>
      <c r="T180" s="9"/>
      <c r="U180" s="8">
        <v>0</v>
      </c>
      <c r="V180" s="9"/>
      <c r="W180" s="33">
        <v>651973</v>
      </c>
      <c r="X180" s="9"/>
      <c r="Y180" s="30">
        <v>262.39999999999998</v>
      </c>
      <c r="Z180" s="9"/>
      <c r="AA180" s="30">
        <v>29.9</v>
      </c>
      <c r="AB180" s="9"/>
      <c r="AC180" s="30">
        <v>8.1999999999999993</v>
      </c>
      <c r="AD180" s="9"/>
      <c r="AE180" s="30">
        <v>34.1</v>
      </c>
      <c r="AF180" s="9"/>
      <c r="AG180" s="30">
        <v>0</v>
      </c>
      <c r="AH180" s="9"/>
      <c r="AI180" s="32">
        <v>334.6</v>
      </c>
      <c r="AJ180" s="12"/>
      <c r="AK180" s="22">
        <v>11561373</v>
      </c>
      <c r="AM180" s="22">
        <v>1549434</v>
      </c>
      <c r="AO180" s="22">
        <v>263612</v>
      </c>
      <c r="AQ180" s="22">
        <v>1287142</v>
      </c>
      <c r="AS180" s="26">
        <v>14661561</v>
      </c>
      <c r="AU180" s="23">
        <v>22.413799999999998</v>
      </c>
      <c r="AW180" s="23">
        <v>27.855499999999999</v>
      </c>
      <c r="AY180" s="23">
        <v>0.5111</v>
      </c>
      <c r="BA180" s="23">
        <v>19.999099999999999</v>
      </c>
      <c r="BC180" s="24">
        <v>22.488</v>
      </c>
      <c r="BE180" s="1" t="str">
        <f t="shared" si="2"/>
        <v>No</v>
      </c>
    </row>
    <row r="181" spans="1:57" ht="11.25" customHeight="1">
      <c r="A181" s="7" t="s">
        <v>389</v>
      </c>
      <c r="B181" s="7" t="s">
        <v>390</v>
      </c>
      <c r="C181" s="37" t="s">
        <v>52</v>
      </c>
      <c r="D181" s="296">
        <v>5033</v>
      </c>
      <c r="E181" s="297">
        <v>50033</v>
      </c>
      <c r="F181" s="27" t="s">
        <v>165</v>
      </c>
      <c r="G181" s="73" t="s">
        <v>158</v>
      </c>
      <c r="H181" s="35">
        <v>569935</v>
      </c>
      <c r="I181" s="35">
        <v>241</v>
      </c>
      <c r="J181" s="37" t="s">
        <v>8</v>
      </c>
      <c r="K181" s="37" t="s">
        <v>159</v>
      </c>
      <c r="L181" s="8">
        <v>27</v>
      </c>
      <c r="M181" s="8">
        <v>0</v>
      </c>
      <c r="N181" s="9"/>
      <c r="O181" s="8">
        <v>0</v>
      </c>
      <c r="P181" s="9"/>
      <c r="Q181" s="8">
        <v>909</v>
      </c>
      <c r="R181" s="9"/>
      <c r="S181" s="8">
        <v>3515</v>
      </c>
      <c r="T181" s="9"/>
      <c r="U181" s="8">
        <v>0</v>
      </c>
      <c r="V181" s="9"/>
      <c r="W181" s="33">
        <v>4424</v>
      </c>
      <c r="X181" s="9"/>
      <c r="Y181" s="30">
        <v>0</v>
      </c>
      <c r="Z181" s="9"/>
      <c r="AA181" s="30">
        <v>0</v>
      </c>
      <c r="AB181" s="9"/>
      <c r="AC181" s="30">
        <v>0.5</v>
      </c>
      <c r="AD181" s="9"/>
      <c r="AE181" s="30">
        <v>1.6</v>
      </c>
      <c r="AF181" s="9"/>
      <c r="AG181" s="30">
        <v>0</v>
      </c>
      <c r="AH181" s="9"/>
      <c r="AI181" s="32">
        <v>2.1</v>
      </c>
      <c r="AJ181" s="12"/>
      <c r="AK181" s="22">
        <v>0</v>
      </c>
      <c r="AM181" s="22">
        <v>0</v>
      </c>
      <c r="AO181" s="22">
        <v>15507</v>
      </c>
      <c r="AQ181" s="22">
        <v>63705</v>
      </c>
      <c r="AS181" s="26">
        <v>79212</v>
      </c>
      <c r="BA181" s="23">
        <v>18.123799999999999</v>
      </c>
      <c r="BC181" s="24">
        <v>17.905100000000001</v>
      </c>
      <c r="BE181" s="1" t="str">
        <f t="shared" si="2"/>
        <v>No</v>
      </c>
    </row>
    <row r="182" spans="1:57" ht="11.25" customHeight="1">
      <c r="A182" s="7" t="s">
        <v>389</v>
      </c>
      <c r="B182" s="7" t="s">
        <v>390</v>
      </c>
      <c r="C182" s="37" t="s">
        <v>52</v>
      </c>
      <c r="D182" s="296">
        <v>5033</v>
      </c>
      <c r="E182" s="297">
        <v>50033</v>
      </c>
      <c r="F182" s="27" t="s">
        <v>165</v>
      </c>
      <c r="G182" s="73" t="s">
        <v>158</v>
      </c>
      <c r="H182" s="35">
        <v>569935</v>
      </c>
      <c r="I182" s="35">
        <v>241</v>
      </c>
      <c r="J182" s="37" t="s">
        <v>22</v>
      </c>
      <c r="K182" s="37" t="s">
        <v>159</v>
      </c>
      <c r="L182" s="8">
        <v>8</v>
      </c>
      <c r="M182" s="8">
        <v>32078</v>
      </c>
      <c r="N182" s="9"/>
      <c r="O182" s="8">
        <v>3530</v>
      </c>
      <c r="P182" s="9"/>
      <c r="Q182" s="8">
        <v>1090</v>
      </c>
      <c r="R182" s="9"/>
      <c r="S182" s="8">
        <v>4218</v>
      </c>
      <c r="T182" s="9"/>
      <c r="U182" s="8">
        <v>0</v>
      </c>
      <c r="V182" s="9"/>
      <c r="W182" s="33">
        <v>40916</v>
      </c>
      <c r="X182" s="9"/>
      <c r="Y182" s="30">
        <v>16.600000000000001</v>
      </c>
      <c r="Z182" s="9"/>
      <c r="AA182" s="30">
        <v>1.9</v>
      </c>
      <c r="AB182" s="9"/>
      <c r="AC182" s="30">
        <v>0.6</v>
      </c>
      <c r="AD182" s="9"/>
      <c r="AE182" s="30">
        <v>2.2000000000000002</v>
      </c>
      <c r="AF182" s="9"/>
      <c r="AG182" s="30">
        <v>0</v>
      </c>
      <c r="AH182" s="9"/>
      <c r="AI182" s="32">
        <v>21.3</v>
      </c>
      <c r="AJ182" s="12"/>
      <c r="AK182" s="22">
        <v>737960</v>
      </c>
      <c r="AM182" s="22">
        <v>98900</v>
      </c>
      <c r="AO182" s="22">
        <v>18608</v>
      </c>
      <c r="AQ182" s="22">
        <v>82563</v>
      </c>
      <c r="AS182" s="26">
        <v>938031</v>
      </c>
      <c r="AU182" s="23">
        <v>23.005199999999999</v>
      </c>
      <c r="AW182" s="23">
        <v>28.016999999999999</v>
      </c>
      <c r="AY182" s="23">
        <v>0.58009999999999995</v>
      </c>
      <c r="BA182" s="23">
        <v>19.574000000000002</v>
      </c>
      <c r="BC182" s="24">
        <v>22.925799999999999</v>
      </c>
      <c r="BE182" s="1" t="str">
        <f t="shared" si="2"/>
        <v>No</v>
      </c>
    </row>
    <row r="183" spans="1:57" ht="11.25" customHeight="1">
      <c r="A183" s="7" t="s">
        <v>328</v>
      </c>
      <c r="B183" s="7" t="s">
        <v>329</v>
      </c>
      <c r="C183" s="37" t="s">
        <v>28</v>
      </c>
      <c r="D183" s="296">
        <v>1048</v>
      </c>
      <c r="E183" s="297">
        <v>10048</v>
      </c>
      <c r="F183" s="27" t="s">
        <v>157</v>
      </c>
      <c r="G183" s="73" t="s">
        <v>158</v>
      </c>
      <c r="H183" s="35">
        <v>924859</v>
      </c>
      <c r="I183" s="35">
        <v>232</v>
      </c>
      <c r="J183" s="37" t="s">
        <v>7</v>
      </c>
      <c r="K183" s="37" t="s">
        <v>159</v>
      </c>
      <c r="L183" s="8">
        <v>223</v>
      </c>
      <c r="M183" s="8">
        <v>953310</v>
      </c>
      <c r="N183" s="9"/>
      <c r="O183" s="8">
        <v>256922</v>
      </c>
      <c r="P183" s="9"/>
      <c r="Q183" s="8">
        <v>30378</v>
      </c>
      <c r="R183" s="9"/>
      <c r="S183" s="8">
        <v>82091</v>
      </c>
      <c r="T183" s="9"/>
      <c r="U183" s="8">
        <v>0</v>
      </c>
      <c r="V183" s="9"/>
      <c r="W183" s="33">
        <v>1322701</v>
      </c>
      <c r="X183" s="9"/>
      <c r="Y183" s="30">
        <v>465</v>
      </c>
      <c r="Z183" s="9"/>
      <c r="AA183" s="30">
        <v>121</v>
      </c>
      <c r="AB183" s="9"/>
      <c r="AC183" s="30">
        <v>17</v>
      </c>
      <c r="AD183" s="9"/>
      <c r="AE183" s="30">
        <v>52</v>
      </c>
      <c r="AF183" s="9"/>
      <c r="AG183" s="30">
        <v>0</v>
      </c>
      <c r="AH183" s="9"/>
      <c r="AI183" s="32">
        <v>655</v>
      </c>
      <c r="AJ183" s="12"/>
      <c r="AK183" s="22">
        <v>25720990</v>
      </c>
      <c r="AM183" s="22">
        <v>7405381</v>
      </c>
      <c r="AO183" s="22">
        <v>961254</v>
      </c>
      <c r="AQ183" s="22">
        <v>2424580</v>
      </c>
      <c r="AS183" s="26">
        <v>36512205</v>
      </c>
      <c r="AU183" s="23">
        <v>26.980699999999999</v>
      </c>
      <c r="AW183" s="23">
        <v>28.823499999999999</v>
      </c>
      <c r="AY183" s="23">
        <v>1.0083</v>
      </c>
      <c r="BA183" s="23">
        <v>29.535299999999999</v>
      </c>
      <c r="BC183" s="24">
        <v>27.604299999999999</v>
      </c>
      <c r="BE183" s="1" t="str">
        <f t="shared" si="2"/>
        <v>No</v>
      </c>
    </row>
    <row r="184" spans="1:57" ht="11.25" customHeight="1">
      <c r="A184" s="7" t="s">
        <v>577</v>
      </c>
      <c r="B184" s="7" t="s">
        <v>578</v>
      </c>
      <c r="C184" s="37" t="s">
        <v>17</v>
      </c>
      <c r="D184" s="296">
        <v>9019</v>
      </c>
      <c r="E184" s="297">
        <v>90019</v>
      </c>
      <c r="F184" s="27" t="s">
        <v>165</v>
      </c>
      <c r="G184" s="73" t="s">
        <v>158</v>
      </c>
      <c r="H184" s="35">
        <v>1723634</v>
      </c>
      <c r="I184" s="35">
        <v>232</v>
      </c>
      <c r="J184" s="37" t="s">
        <v>7</v>
      </c>
      <c r="K184" s="37" t="s">
        <v>159</v>
      </c>
      <c r="L184" s="8">
        <v>162</v>
      </c>
      <c r="M184" s="8">
        <v>795266</v>
      </c>
      <c r="N184" s="9"/>
      <c r="O184" s="8">
        <v>146678</v>
      </c>
      <c r="P184" s="9"/>
      <c r="Q184" s="8">
        <v>26234</v>
      </c>
      <c r="R184" s="9"/>
      <c r="S184" s="8">
        <v>158957</v>
      </c>
      <c r="T184" s="9"/>
      <c r="U184" s="8">
        <v>21151</v>
      </c>
      <c r="V184" s="9"/>
      <c r="W184" s="33">
        <v>1148286</v>
      </c>
      <c r="X184" s="9"/>
      <c r="Y184" s="30">
        <v>437.2</v>
      </c>
      <c r="Z184" s="9"/>
      <c r="AA184" s="30">
        <v>85.4</v>
      </c>
      <c r="AB184" s="9"/>
      <c r="AC184" s="30">
        <v>14.9</v>
      </c>
      <c r="AD184" s="9"/>
      <c r="AE184" s="30">
        <v>89</v>
      </c>
      <c r="AF184" s="9"/>
      <c r="AG184" s="30">
        <v>11</v>
      </c>
      <c r="AH184" s="9"/>
      <c r="AI184" s="32">
        <v>637.5</v>
      </c>
      <c r="AJ184" s="12"/>
      <c r="AK184" s="22">
        <v>22252253</v>
      </c>
      <c r="AM184" s="22">
        <v>4318465</v>
      </c>
      <c r="AO184" s="22">
        <v>853873</v>
      </c>
      <c r="AQ184" s="22">
        <v>6119531</v>
      </c>
      <c r="AS184" s="26">
        <v>33544122</v>
      </c>
      <c r="AU184" s="23">
        <v>27.980899999999998</v>
      </c>
      <c r="AW184" s="23">
        <v>29.441800000000001</v>
      </c>
      <c r="AY184" s="23">
        <v>1.0737000000000001</v>
      </c>
      <c r="BA184" s="23">
        <v>38.497999999999998</v>
      </c>
      <c r="BC184" s="24">
        <v>29.212299999999999</v>
      </c>
      <c r="BE184" s="1" t="str">
        <f t="shared" si="2"/>
        <v>No</v>
      </c>
    </row>
    <row r="185" spans="1:57" ht="11.25" customHeight="1">
      <c r="A185" s="7" t="s">
        <v>577</v>
      </c>
      <c r="B185" s="7" t="s">
        <v>578</v>
      </c>
      <c r="C185" s="37" t="s">
        <v>17</v>
      </c>
      <c r="D185" s="296">
        <v>9019</v>
      </c>
      <c r="E185" s="297">
        <v>90019</v>
      </c>
      <c r="F185" s="27" t="s">
        <v>165</v>
      </c>
      <c r="G185" s="73" t="s">
        <v>158</v>
      </c>
      <c r="H185" s="35">
        <v>1723634</v>
      </c>
      <c r="I185" s="35">
        <v>232</v>
      </c>
      <c r="J185" s="37" t="s">
        <v>21</v>
      </c>
      <c r="K185" s="37" t="s">
        <v>159</v>
      </c>
      <c r="L185" s="8">
        <v>68</v>
      </c>
      <c r="M185" s="8">
        <v>224937</v>
      </c>
      <c r="N185" s="9"/>
      <c r="O185" s="8">
        <v>135542</v>
      </c>
      <c r="P185" s="9"/>
      <c r="Q185" s="8">
        <v>91398</v>
      </c>
      <c r="R185" s="9"/>
      <c r="S185" s="8">
        <v>102889</v>
      </c>
      <c r="T185" s="9"/>
      <c r="U185" s="8">
        <v>31727</v>
      </c>
      <c r="V185" s="9"/>
      <c r="W185" s="33">
        <v>586493</v>
      </c>
      <c r="X185" s="9"/>
      <c r="Y185" s="30">
        <v>119</v>
      </c>
      <c r="Z185" s="9"/>
      <c r="AA185" s="30">
        <v>73</v>
      </c>
      <c r="AB185" s="9"/>
      <c r="AC185" s="30">
        <v>47</v>
      </c>
      <c r="AD185" s="9"/>
      <c r="AE185" s="30">
        <v>62</v>
      </c>
      <c r="AF185" s="9"/>
      <c r="AG185" s="30">
        <v>17</v>
      </c>
      <c r="AH185" s="9"/>
      <c r="AI185" s="32">
        <v>318</v>
      </c>
      <c r="AJ185" s="12"/>
      <c r="AK185" s="22">
        <v>7323486</v>
      </c>
      <c r="AM185" s="22">
        <v>4518519</v>
      </c>
      <c r="AO185" s="22">
        <v>3462600</v>
      </c>
      <c r="AQ185" s="22">
        <v>4577619</v>
      </c>
      <c r="AS185" s="26">
        <v>19882224</v>
      </c>
      <c r="AU185" s="23">
        <v>32.557899999999997</v>
      </c>
      <c r="AW185" s="23">
        <v>33.3367</v>
      </c>
      <c r="AY185" s="23">
        <v>15.393599999999999</v>
      </c>
      <c r="BA185" s="23">
        <v>44.4908</v>
      </c>
      <c r="BC185" s="24">
        <v>33.900199999999998</v>
      </c>
      <c r="BE185" s="1" t="str">
        <f t="shared" si="2"/>
        <v>No</v>
      </c>
    </row>
    <row r="186" spans="1:57" ht="11.25" customHeight="1">
      <c r="A186" s="7" t="s">
        <v>328</v>
      </c>
      <c r="B186" s="7" t="s">
        <v>329</v>
      </c>
      <c r="C186" s="37" t="s">
        <v>28</v>
      </c>
      <c r="D186" s="296">
        <v>1048</v>
      </c>
      <c r="E186" s="297">
        <v>10048</v>
      </c>
      <c r="F186" s="27" t="s">
        <v>157</v>
      </c>
      <c r="G186" s="73" t="s">
        <v>158</v>
      </c>
      <c r="H186" s="35">
        <v>924859</v>
      </c>
      <c r="I186" s="35">
        <v>232</v>
      </c>
      <c r="J186" s="37" t="s">
        <v>22</v>
      </c>
      <c r="K186" s="37" t="s">
        <v>159</v>
      </c>
      <c r="L186" s="8">
        <v>9</v>
      </c>
      <c r="M186" s="8">
        <v>78858</v>
      </c>
      <c r="N186" s="9"/>
      <c r="O186" s="8">
        <v>21253</v>
      </c>
      <c r="P186" s="9"/>
      <c r="Q186" s="8">
        <v>2513</v>
      </c>
      <c r="R186" s="9"/>
      <c r="S186" s="8">
        <v>6791</v>
      </c>
      <c r="T186" s="9"/>
      <c r="U186" s="8">
        <v>0</v>
      </c>
      <c r="V186" s="9"/>
      <c r="W186" s="33">
        <v>109415</v>
      </c>
      <c r="X186" s="9"/>
      <c r="Y186" s="30">
        <v>38</v>
      </c>
      <c r="Z186" s="9"/>
      <c r="AA186" s="30">
        <v>10</v>
      </c>
      <c r="AB186" s="9"/>
      <c r="AC186" s="30">
        <v>1.5</v>
      </c>
      <c r="AD186" s="9"/>
      <c r="AE186" s="30">
        <v>5</v>
      </c>
      <c r="AF186" s="9"/>
      <c r="AG186" s="30">
        <v>0</v>
      </c>
      <c r="AH186" s="9"/>
      <c r="AI186" s="32">
        <v>54.5</v>
      </c>
      <c r="AJ186" s="12"/>
      <c r="AK186" s="22">
        <v>2115579</v>
      </c>
      <c r="AM186" s="22">
        <v>609100</v>
      </c>
      <c r="AO186" s="22">
        <v>79065</v>
      </c>
      <c r="AQ186" s="22">
        <v>199425</v>
      </c>
      <c r="AS186" s="26">
        <v>3003169</v>
      </c>
      <c r="AU186" s="23">
        <v>26.8277</v>
      </c>
      <c r="AW186" s="23">
        <v>28.659500000000001</v>
      </c>
      <c r="AY186" s="23">
        <v>1.0025999999999999</v>
      </c>
      <c r="BA186" s="23">
        <v>29.366099999999999</v>
      </c>
      <c r="BC186" s="24">
        <v>27.447500000000002</v>
      </c>
      <c r="BE186" s="1" t="str">
        <f t="shared" si="2"/>
        <v>No</v>
      </c>
    </row>
    <row r="187" spans="1:57" ht="11.25" customHeight="1">
      <c r="A187" s="7" t="s">
        <v>577</v>
      </c>
      <c r="B187" s="7" t="s">
        <v>578</v>
      </c>
      <c r="C187" s="37" t="s">
        <v>17</v>
      </c>
      <c r="D187" s="296">
        <v>9019</v>
      </c>
      <c r="E187" s="297">
        <v>90019</v>
      </c>
      <c r="F187" s="27" t="s">
        <v>165</v>
      </c>
      <c r="G187" s="73" t="s">
        <v>158</v>
      </c>
      <c r="H187" s="35">
        <v>1723634</v>
      </c>
      <c r="I187" s="35">
        <v>232</v>
      </c>
      <c r="J187" s="37" t="s">
        <v>10</v>
      </c>
      <c r="K187" s="37" t="s">
        <v>159</v>
      </c>
      <c r="L187" s="8">
        <v>2</v>
      </c>
      <c r="M187" s="8">
        <v>5158</v>
      </c>
      <c r="N187" s="9"/>
      <c r="O187" s="8">
        <v>999</v>
      </c>
      <c r="P187" s="9"/>
      <c r="Q187" s="8">
        <v>179</v>
      </c>
      <c r="R187" s="9"/>
      <c r="S187" s="8">
        <v>1129</v>
      </c>
      <c r="T187" s="9"/>
      <c r="U187" s="8">
        <v>0</v>
      </c>
      <c r="V187" s="9"/>
      <c r="W187" s="33">
        <v>7465</v>
      </c>
      <c r="X187" s="9"/>
      <c r="Y187" s="30">
        <v>2.9</v>
      </c>
      <c r="Z187" s="9"/>
      <c r="AA187" s="30">
        <v>0.6</v>
      </c>
      <c r="AB187" s="9"/>
      <c r="AC187" s="30">
        <v>0.1</v>
      </c>
      <c r="AD187" s="9"/>
      <c r="AE187" s="30">
        <v>0.6</v>
      </c>
      <c r="AF187" s="9"/>
      <c r="AG187" s="30">
        <v>0</v>
      </c>
      <c r="AH187" s="9"/>
      <c r="AI187" s="32">
        <v>4.2</v>
      </c>
      <c r="AJ187" s="12"/>
      <c r="AK187" s="22">
        <v>78773</v>
      </c>
      <c r="AM187" s="22">
        <v>29405</v>
      </c>
      <c r="AO187" s="22">
        <v>5814</v>
      </c>
      <c r="AQ187" s="22">
        <v>43480</v>
      </c>
      <c r="AS187" s="26">
        <v>157472</v>
      </c>
      <c r="AU187" s="23">
        <v>15.272</v>
      </c>
      <c r="AW187" s="23">
        <v>29.4344</v>
      </c>
      <c r="AY187" s="23">
        <v>1.1272</v>
      </c>
      <c r="BA187" s="23">
        <v>38.512</v>
      </c>
      <c r="BC187" s="24">
        <v>21.0947</v>
      </c>
      <c r="BE187" s="1" t="str">
        <f t="shared" si="2"/>
        <v>No</v>
      </c>
    </row>
    <row r="188" spans="1:57" ht="11.25" customHeight="1">
      <c r="A188" s="7" t="s">
        <v>351</v>
      </c>
      <c r="B188" s="7" t="s">
        <v>352</v>
      </c>
      <c r="C188" s="37" t="s">
        <v>38</v>
      </c>
      <c r="D188" s="296">
        <v>7010</v>
      </c>
      <c r="E188" s="297">
        <v>70010</v>
      </c>
      <c r="F188" s="27" t="s">
        <v>165</v>
      </c>
      <c r="G188" s="73" t="s">
        <v>158</v>
      </c>
      <c r="H188" s="35">
        <v>450070</v>
      </c>
      <c r="I188" s="35">
        <v>226</v>
      </c>
      <c r="J188" s="37" t="s">
        <v>7</v>
      </c>
      <c r="K188" s="37" t="s">
        <v>159</v>
      </c>
      <c r="L188" s="8">
        <v>113</v>
      </c>
      <c r="M188" s="8">
        <v>276887</v>
      </c>
      <c r="N188" s="9"/>
      <c r="O188" s="8">
        <v>69258</v>
      </c>
      <c r="P188" s="9"/>
      <c r="Q188" s="8">
        <v>11928</v>
      </c>
      <c r="R188" s="9"/>
      <c r="S188" s="8">
        <v>55285</v>
      </c>
      <c r="T188" s="9"/>
      <c r="U188" s="8">
        <v>0</v>
      </c>
      <c r="V188" s="9"/>
      <c r="W188" s="33">
        <v>413358</v>
      </c>
      <c r="X188" s="9"/>
      <c r="Y188" s="30">
        <v>141.6</v>
      </c>
      <c r="Z188" s="9"/>
      <c r="AA188" s="30">
        <v>34.869999999999997</v>
      </c>
      <c r="AB188" s="9"/>
      <c r="AC188" s="30">
        <v>15.3</v>
      </c>
      <c r="AD188" s="9"/>
      <c r="AE188" s="30">
        <v>32.46</v>
      </c>
      <c r="AF188" s="9"/>
      <c r="AG188" s="30">
        <v>0</v>
      </c>
      <c r="AH188" s="9"/>
      <c r="AI188" s="32">
        <v>224.23</v>
      </c>
      <c r="AJ188" s="12"/>
      <c r="AK188" s="22">
        <v>6774242</v>
      </c>
      <c r="AM188" s="22">
        <v>1747807</v>
      </c>
      <c r="AO188" s="22">
        <v>291127</v>
      </c>
      <c r="AQ188" s="22">
        <v>1715973</v>
      </c>
      <c r="AS188" s="26">
        <v>10529149</v>
      </c>
      <c r="AU188" s="23">
        <v>24.465699999999998</v>
      </c>
      <c r="AW188" s="23">
        <v>25.2362</v>
      </c>
      <c r="AY188" s="23">
        <v>1.0513999999999999</v>
      </c>
      <c r="BA188" s="23">
        <v>31.038699999999999</v>
      </c>
      <c r="BC188" s="24">
        <v>25.472200000000001</v>
      </c>
      <c r="BE188" s="1" t="str">
        <f t="shared" si="2"/>
        <v>No</v>
      </c>
    </row>
    <row r="189" spans="1:57" ht="11.25" customHeight="1">
      <c r="A189" s="7" t="s">
        <v>351</v>
      </c>
      <c r="B189" s="7" t="s">
        <v>352</v>
      </c>
      <c r="C189" s="37" t="s">
        <v>38</v>
      </c>
      <c r="D189" s="296">
        <v>7010</v>
      </c>
      <c r="E189" s="297">
        <v>70010</v>
      </c>
      <c r="F189" s="27" t="s">
        <v>165</v>
      </c>
      <c r="G189" s="73" t="s">
        <v>158</v>
      </c>
      <c r="H189" s="35">
        <v>450070</v>
      </c>
      <c r="I189" s="35">
        <v>226</v>
      </c>
      <c r="J189" s="37" t="s">
        <v>8</v>
      </c>
      <c r="K189" s="37" t="s">
        <v>159</v>
      </c>
      <c r="L189" s="8">
        <v>90</v>
      </c>
      <c r="M189" s="8">
        <v>2723</v>
      </c>
      <c r="N189" s="9"/>
      <c r="O189" s="8">
        <v>0</v>
      </c>
      <c r="P189" s="9"/>
      <c r="Q189" s="8">
        <v>554</v>
      </c>
      <c r="R189" s="9"/>
      <c r="S189" s="8">
        <v>4812</v>
      </c>
      <c r="T189" s="9"/>
      <c r="U189" s="8">
        <v>0</v>
      </c>
      <c r="V189" s="9"/>
      <c r="W189" s="33">
        <v>8089</v>
      </c>
      <c r="X189" s="9"/>
      <c r="Y189" s="30">
        <v>1</v>
      </c>
      <c r="Z189" s="9"/>
      <c r="AA189" s="30">
        <v>0</v>
      </c>
      <c r="AB189" s="9"/>
      <c r="AC189" s="30">
        <v>1.53</v>
      </c>
      <c r="AD189" s="9"/>
      <c r="AE189" s="30">
        <v>2.54</v>
      </c>
      <c r="AF189" s="9"/>
      <c r="AG189" s="30">
        <v>0</v>
      </c>
      <c r="AH189" s="9"/>
      <c r="AI189" s="32">
        <v>5.07</v>
      </c>
      <c r="AJ189" s="12"/>
      <c r="AK189" s="22">
        <v>58475</v>
      </c>
      <c r="AM189" s="22">
        <v>0</v>
      </c>
      <c r="AO189" s="22">
        <v>20589</v>
      </c>
      <c r="AQ189" s="22">
        <v>163902</v>
      </c>
      <c r="AS189" s="26">
        <v>242966</v>
      </c>
      <c r="AU189" s="23">
        <v>21.474499999999999</v>
      </c>
      <c r="AY189" s="23">
        <v>7.5610999999999997</v>
      </c>
      <c r="BA189" s="23">
        <v>34.061100000000003</v>
      </c>
      <c r="BC189" s="24">
        <v>30.0366</v>
      </c>
      <c r="BE189" s="1" t="str">
        <f t="shared" si="2"/>
        <v>No</v>
      </c>
    </row>
    <row r="190" spans="1:57" ht="11.25" customHeight="1">
      <c r="A190" s="7" t="s">
        <v>351</v>
      </c>
      <c r="B190" s="7" t="s">
        <v>352</v>
      </c>
      <c r="C190" s="37" t="s">
        <v>38</v>
      </c>
      <c r="D190" s="296">
        <v>7010</v>
      </c>
      <c r="E190" s="297">
        <v>70010</v>
      </c>
      <c r="F190" s="27" t="s">
        <v>165</v>
      </c>
      <c r="G190" s="73" t="s">
        <v>158</v>
      </c>
      <c r="H190" s="35">
        <v>450070</v>
      </c>
      <c r="I190" s="35">
        <v>226</v>
      </c>
      <c r="J190" s="37" t="s">
        <v>10</v>
      </c>
      <c r="K190" s="37" t="s">
        <v>159</v>
      </c>
      <c r="L190" s="8">
        <v>21</v>
      </c>
      <c r="M190" s="8">
        <v>88857</v>
      </c>
      <c r="N190" s="9"/>
      <c r="O190" s="8">
        <v>10445</v>
      </c>
      <c r="P190" s="9"/>
      <c r="Q190" s="8">
        <v>2473</v>
      </c>
      <c r="R190" s="9"/>
      <c r="S190" s="8">
        <v>5677</v>
      </c>
      <c r="T190" s="9"/>
      <c r="U190" s="8">
        <v>0</v>
      </c>
      <c r="V190" s="9"/>
      <c r="W190" s="33">
        <v>107452</v>
      </c>
      <c r="X190" s="9"/>
      <c r="Y190" s="30">
        <v>49.4</v>
      </c>
      <c r="Z190" s="9"/>
      <c r="AA190" s="30">
        <v>5.13</v>
      </c>
      <c r="AB190" s="9"/>
      <c r="AC190" s="30">
        <v>3.17</v>
      </c>
      <c r="AD190" s="9"/>
      <c r="AE190" s="30">
        <v>3</v>
      </c>
      <c r="AF190" s="9"/>
      <c r="AG190" s="30">
        <v>0</v>
      </c>
      <c r="AH190" s="9"/>
      <c r="AI190" s="32">
        <v>60.7</v>
      </c>
      <c r="AJ190" s="12"/>
      <c r="AK190" s="22">
        <v>1264613</v>
      </c>
      <c r="AM190" s="22">
        <v>158487</v>
      </c>
      <c r="AO190" s="22">
        <v>60380</v>
      </c>
      <c r="AQ190" s="22">
        <v>192872</v>
      </c>
      <c r="AS190" s="26">
        <v>1676352</v>
      </c>
      <c r="AU190" s="23">
        <v>14.231999999999999</v>
      </c>
      <c r="AW190" s="23">
        <v>15.173500000000001</v>
      </c>
      <c r="AY190" s="23">
        <v>0.67949999999999999</v>
      </c>
      <c r="BA190" s="23">
        <v>33.974299999999999</v>
      </c>
      <c r="BC190" s="24">
        <v>15.600899999999999</v>
      </c>
      <c r="BE190" s="1" t="str">
        <f t="shared" si="2"/>
        <v>No</v>
      </c>
    </row>
    <row r="191" spans="1:57" ht="11.25" customHeight="1">
      <c r="A191" s="7" t="s">
        <v>64</v>
      </c>
      <c r="B191" s="7" t="s">
        <v>196</v>
      </c>
      <c r="C191" s="37" t="s">
        <v>63</v>
      </c>
      <c r="D191" s="296">
        <v>2122</v>
      </c>
      <c r="E191" s="297">
        <v>20122</v>
      </c>
      <c r="F191" s="27" t="s">
        <v>173</v>
      </c>
      <c r="G191" s="73" t="s">
        <v>158</v>
      </c>
      <c r="H191" s="35">
        <v>18351295</v>
      </c>
      <c r="I191" s="35">
        <v>225</v>
      </c>
      <c r="J191" s="37" t="s">
        <v>18</v>
      </c>
      <c r="K191" s="37" t="s">
        <v>159</v>
      </c>
      <c r="L191" s="8">
        <v>225</v>
      </c>
      <c r="M191" s="8">
        <v>268000</v>
      </c>
      <c r="N191" s="9"/>
      <c r="O191" s="8">
        <v>108233</v>
      </c>
      <c r="P191" s="9"/>
      <c r="Q191" s="8">
        <v>0</v>
      </c>
      <c r="R191" s="9"/>
      <c r="S191" s="8">
        <v>50601</v>
      </c>
      <c r="T191" s="9"/>
      <c r="U191" s="8">
        <v>0</v>
      </c>
      <c r="V191" s="9"/>
      <c r="W191" s="33">
        <v>426834</v>
      </c>
      <c r="X191" s="9"/>
      <c r="Y191" s="30">
        <v>172</v>
      </c>
      <c r="Z191" s="9"/>
      <c r="AA191" s="30">
        <v>52</v>
      </c>
      <c r="AB191" s="9"/>
      <c r="AC191" s="30">
        <v>0</v>
      </c>
      <c r="AD191" s="9"/>
      <c r="AE191" s="30">
        <v>25</v>
      </c>
      <c r="AF191" s="9"/>
      <c r="AG191" s="30">
        <v>0</v>
      </c>
      <c r="AH191" s="9"/>
      <c r="AI191" s="32">
        <v>249</v>
      </c>
      <c r="AJ191" s="12"/>
      <c r="AK191" s="22">
        <v>7607488</v>
      </c>
      <c r="AM191" s="22">
        <v>2381140</v>
      </c>
      <c r="AO191" s="22">
        <v>0</v>
      </c>
      <c r="AQ191" s="22">
        <v>1214433</v>
      </c>
      <c r="AS191" s="26">
        <v>11203061</v>
      </c>
      <c r="AU191" s="23">
        <v>28.386099999999999</v>
      </c>
      <c r="AW191" s="23">
        <v>22.0001</v>
      </c>
      <c r="AY191" s="23">
        <v>0</v>
      </c>
      <c r="BA191" s="23">
        <v>24.0002</v>
      </c>
      <c r="BC191" s="24">
        <v>26.2469</v>
      </c>
      <c r="BE191" s="1" t="str">
        <f t="shared" si="2"/>
        <v>No</v>
      </c>
    </row>
    <row r="192" spans="1:57" ht="11.25" customHeight="1">
      <c r="A192" s="7" t="s">
        <v>1121</v>
      </c>
      <c r="B192" s="7" t="s">
        <v>239</v>
      </c>
      <c r="C192" s="37" t="s">
        <v>70</v>
      </c>
      <c r="D192" s="296">
        <v>2018</v>
      </c>
      <c r="E192" s="297">
        <v>20018</v>
      </c>
      <c r="F192" s="27" t="s">
        <v>165</v>
      </c>
      <c r="G192" s="73" t="s">
        <v>158</v>
      </c>
      <c r="H192" s="35">
        <v>412317</v>
      </c>
      <c r="I192" s="35">
        <v>208</v>
      </c>
      <c r="J192" s="37" t="s">
        <v>7</v>
      </c>
      <c r="K192" s="37" t="s">
        <v>159</v>
      </c>
      <c r="L192" s="8">
        <v>162</v>
      </c>
      <c r="M192" s="8">
        <v>651158</v>
      </c>
      <c r="N192" s="9"/>
      <c r="O192" s="8">
        <v>185516</v>
      </c>
      <c r="P192" s="9"/>
      <c r="Q192" s="8">
        <v>42516</v>
      </c>
      <c r="R192" s="9"/>
      <c r="S192" s="8">
        <v>41951</v>
      </c>
      <c r="T192" s="9"/>
      <c r="U192" s="8">
        <v>0</v>
      </c>
      <c r="V192" s="9"/>
      <c r="W192" s="33">
        <v>921141</v>
      </c>
      <c r="X192" s="9"/>
      <c r="Y192" s="30">
        <v>424</v>
      </c>
      <c r="Z192" s="9"/>
      <c r="AA192" s="30">
        <v>95</v>
      </c>
      <c r="AB192" s="9"/>
      <c r="AC192" s="30">
        <v>31</v>
      </c>
      <c r="AD192" s="9"/>
      <c r="AE192" s="30">
        <v>38</v>
      </c>
      <c r="AF192" s="9"/>
      <c r="AG192" s="30">
        <v>0</v>
      </c>
      <c r="AH192" s="9"/>
      <c r="AI192" s="32">
        <v>588</v>
      </c>
      <c r="AJ192" s="12"/>
      <c r="AK192" s="22">
        <v>14477348</v>
      </c>
      <c r="AM192" s="22">
        <v>4301562</v>
      </c>
      <c r="AO192" s="22">
        <v>974147</v>
      </c>
      <c r="AQ192" s="22">
        <v>1443408</v>
      </c>
      <c r="AS192" s="26">
        <v>21196465</v>
      </c>
      <c r="AU192" s="23">
        <v>22.2332</v>
      </c>
      <c r="AW192" s="23">
        <v>23.187000000000001</v>
      </c>
      <c r="AY192" s="23">
        <v>1.496</v>
      </c>
      <c r="BA192" s="23">
        <v>34.406999999999996</v>
      </c>
      <c r="BC192" s="24">
        <v>23.011099999999999</v>
      </c>
      <c r="BE192" s="1" t="str">
        <f t="shared" si="2"/>
        <v>No</v>
      </c>
    </row>
    <row r="193" spans="1:57" ht="11.25" customHeight="1">
      <c r="A193" s="7" t="s">
        <v>1122</v>
      </c>
      <c r="B193" s="7" t="s">
        <v>474</v>
      </c>
      <c r="C193" s="37" t="s">
        <v>73</v>
      </c>
      <c r="D193" s="296">
        <v>5010</v>
      </c>
      <c r="E193" s="297">
        <v>50010</v>
      </c>
      <c r="F193" s="27" t="s">
        <v>165</v>
      </c>
      <c r="G193" s="73" t="s">
        <v>158</v>
      </c>
      <c r="H193" s="35">
        <v>569499</v>
      </c>
      <c r="I193" s="35">
        <v>208</v>
      </c>
      <c r="J193" s="37" t="s">
        <v>7</v>
      </c>
      <c r="K193" s="37" t="s">
        <v>159</v>
      </c>
      <c r="L193" s="8">
        <v>110</v>
      </c>
      <c r="M193" s="8">
        <v>403274</v>
      </c>
      <c r="N193" s="9"/>
      <c r="O193" s="8">
        <v>99096</v>
      </c>
      <c r="P193" s="9"/>
      <c r="Q193" s="8">
        <v>3087</v>
      </c>
      <c r="R193" s="9"/>
      <c r="S193" s="8">
        <v>89875</v>
      </c>
      <c r="T193" s="9"/>
      <c r="U193" s="8">
        <v>0</v>
      </c>
      <c r="V193" s="9"/>
      <c r="W193" s="33">
        <v>595332</v>
      </c>
      <c r="X193" s="9"/>
      <c r="Y193" s="30">
        <v>197.26</v>
      </c>
      <c r="Z193" s="9"/>
      <c r="AA193" s="30">
        <v>44.96</v>
      </c>
      <c r="AB193" s="9"/>
      <c r="AC193" s="30">
        <v>1.97</v>
      </c>
      <c r="AD193" s="9"/>
      <c r="AE193" s="30">
        <v>44.56</v>
      </c>
      <c r="AF193" s="9"/>
      <c r="AG193" s="30">
        <v>0</v>
      </c>
      <c r="AH193" s="9"/>
      <c r="AI193" s="32">
        <v>288.75</v>
      </c>
      <c r="AJ193" s="12"/>
      <c r="AK193" s="22">
        <v>12218187</v>
      </c>
      <c r="AM193" s="22">
        <v>2874481</v>
      </c>
      <c r="AO193" s="22">
        <v>72721</v>
      </c>
      <c r="AQ193" s="22">
        <v>2498913</v>
      </c>
      <c r="AS193" s="26">
        <v>17664302</v>
      </c>
      <c r="AU193" s="23">
        <v>30.297499999999999</v>
      </c>
      <c r="AW193" s="23">
        <v>29.007000000000001</v>
      </c>
      <c r="AY193" s="23">
        <v>0.18029999999999999</v>
      </c>
      <c r="BA193" s="23">
        <v>27.804300000000001</v>
      </c>
      <c r="BC193" s="24">
        <v>29.671299999999999</v>
      </c>
      <c r="BE193" s="1" t="str">
        <f t="shared" si="2"/>
        <v>No</v>
      </c>
    </row>
    <row r="194" spans="1:57" ht="11.25" customHeight="1">
      <c r="A194" s="7" t="s">
        <v>1122</v>
      </c>
      <c r="B194" s="7" t="s">
        <v>474</v>
      </c>
      <c r="C194" s="37" t="s">
        <v>73</v>
      </c>
      <c r="D194" s="296">
        <v>5010</v>
      </c>
      <c r="E194" s="297">
        <v>50010</v>
      </c>
      <c r="F194" s="27" t="s">
        <v>165</v>
      </c>
      <c r="G194" s="73" t="s">
        <v>158</v>
      </c>
      <c r="H194" s="35">
        <v>569499</v>
      </c>
      <c r="I194" s="35">
        <v>208</v>
      </c>
      <c r="J194" s="37" t="s">
        <v>10</v>
      </c>
      <c r="K194" s="37" t="s">
        <v>159</v>
      </c>
      <c r="L194" s="8">
        <v>91</v>
      </c>
      <c r="M194" s="8">
        <v>162873</v>
      </c>
      <c r="N194" s="9"/>
      <c r="O194" s="8">
        <v>18319</v>
      </c>
      <c r="P194" s="9"/>
      <c r="Q194" s="8">
        <v>1083</v>
      </c>
      <c r="R194" s="9"/>
      <c r="S194" s="8">
        <v>20681</v>
      </c>
      <c r="T194" s="9"/>
      <c r="U194" s="8">
        <v>0</v>
      </c>
      <c r="V194" s="9"/>
      <c r="W194" s="33">
        <v>202956</v>
      </c>
      <c r="X194" s="9"/>
      <c r="Y194" s="30">
        <v>86.1</v>
      </c>
      <c r="Z194" s="9"/>
      <c r="AA194" s="30">
        <v>11.3</v>
      </c>
      <c r="AB194" s="9"/>
      <c r="AC194" s="30">
        <v>0.7</v>
      </c>
      <c r="AD194" s="9"/>
      <c r="AE194" s="30">
        <v>11.8</v>
      </c>
      <c r="AF194" s="9"/>
      <c r="AG194" s="30">
        <v>0</v>
      </c>
      <c r="AH194" s="9"/>
      <c r="AI194" s="32">
        <v>109.9</v>
      </c>
      <c r="AJ194" s="12"/>
      <c r="AK194" s="22">
        <v>3033175</v>
      </c>
      <c r="AM194" s="22">
        <v>457970</v>
      </c>
      <c r="AO194" s="22">
        <v>22675</v>
      </c>
      <c r="AQ194" s="22">
        <v>464510</v>
      </c>
      <c r="AS194" s="26">
        <v>3978330</v>
      </c>
      <c r="AU194" s="23">
        <v>18.622900000000001</v>
      </c>
      <c r="AW194" s="23">
        <v>24.999700000000001</v>
      </c>
      <c r="AY194" s="23">
        <v>0.13919999999999999</v>
      </c>
      <c r="BA194" s="23">
        <v>22.460699999999999</v>
      </c>
      <c r="BC194" s="24">
        <v>19.601900000000001</v>
      </c>
      <c r="BE194" s="1" t="str">
        <f t="shared" ref="BE194:BE257" si="3">IF(BD194&amp;BB194&amp;AZ194&amp;AX194&amp;AV194&amp;AT194&amp;AR194&amp;AP194&amp;AN194&amp;AL194&amp;AJ194&amp;AH194&amp;AF194&amp;AD194&amp;AB194&amp;Z194&amp;X194&amp;V194&amp;T194&amp;R194&amp;P194&amp;N194&lt;&gt;"","Yes","No")</f>
        <v>No</v>
      </c>
    </row>
    <row r="195" spans="1:57" ht="11.25" customHeight="1">
      <c r="A195" s="7" t="s">
        <v>1121</v>
      </c>
      <c r="B195" s="7" t="s">
        <v>239</v>
      </c>
      <c r="C195" s="37" t="s">
        <v>70</v>
      </c>
      <c r="D195" s="296">
        <v>2018</v>
      </c>
      <c r="E195" s="297">
        <v>20018</v>
      </c>
      <c r="F195" s="27" t="s">
        <v>165</v>
      </c>
      <c r="G195" s="73" t="s">
        <v>158</v>
      </c>
      <c r="H195" s="35">
        <v>412317</v>
      </c>
      <c r="I195" s="35">
        <v>208</v>
      </c>
      <c r="J195" s="37" t="s">
        <v>10</v>
      </c>
      <c r="K195" s="37" t="s">
        <v>159</v>
      </c>
      <c r="L195" s="8">
        <v>25</v>
      </c>
      <c r="M195" s="8">
        <v>111919</v>
      </c>
      <c r="N195" s="9"/>
      <c r="O195" s="8">
        <v>20661</v>
      </c>
      <c r="P195" s="9"/>
      <c r="Q195" s="8">
        <v>2147</v>
      </c>
      <c r="R195" s="9"/>
      <c r="S195" s="8">
        <v>23660</v>
      </c>
      <c r="T195" s="9"/>
      <c r="U195" s="8">
        <v>0</v>
      </c>
      <c r="V195" s="9"/>
      <c r="W195" s="33">
        <v>158387</v>
      </c>
      <c r="X195" s="9"/>
      <c r="Y195" s="30">
        <v>281</v>
      </c>
      <c r="Z195" s="9"/>
      <c r="AA195" s="30">
        <v>10</v>
      </c>
      <c r="AB195" s="9"/>
      <c r="AC195" s="30">
        <v>1</v>
      </c>
      <c r="AD195" s="9"/>
      <c r="AE195" s="30">
        <v>12</v>
      </c>
      <c r="AF195" s="9"/>
      <c r="AG195" s="30">
        <v>0</v>
      </c>
      <c r="AH195" s="9"/>
      <c r="AI195" s="32">
        <v>304</v>
      </c>
      <c r="AJ195" s="12"/>
      <c r="AK195" s="22">
        <v>2042303</v>
      </c>
      <c r="AM195" s="22">
        <v>518566</v>
      </c>
      <c r="AO195" s="22">
        <v>43680</v>
      </c>
      <c r="AQ195" s="22">
        <v>543666</v>
      </c>
      <c r="AS195" s="26">
        <v>3148215</v>
      </c>
      <c r="AU195" s="23">
        <v>18.248000000000001</v>
      </c>
      <c r="AW195" s="23">
        <v>25.098800000000001</v>
      </c>
      <c r="AY195" s="23">
        <v>0.39029999999999998</v>
      </c>
      <c r="BA195" s="23">
        <v>22.978300000000001</v>
      </c>
      <c r="BC195" s="24">
        <v>19.8767</v>
      </c>
      <c r="BE195" s="1" t="str">
        <f t="shared" si="3"/>
        <v>No</v>
      </c>
    </row>
    <row r="196" spans="1:57" ht="11.25" customHeight="1">
      <c r="A196" s="7" t="s">
        <v>1122</v>
      </c>
      <c r="B196" s="7" t="s">
        <v>474</v>
      </c>
      <c r="C196" s="37" t="s">
        <v>73</v>
      </c>
      <c r="D196" s="296">
        <v>5010</v>
      </c>
      <c r="E196" s="297">
        <v>50010</v>
      </c>
      <c r="F196" s="27" t="s">
        <v>165</v>
      </c>
      <c r="G196" s="73" t="s">
        <v>158</v>
      </c>
      <c r="H196" s="35">
        <v>569499</v>
      </c>
      <c r="I196" s="35">
        <v>208</v>
      </c>
      <c r="J196" s="37" t="s">
        <v>18</v>
      </c>
      <c r="K196" s="37" t="s">
        <v>159</v>
      </c>
      <c r="L196" s="8">
        <v>7</v>
      </c>
      <c r="M196" s="8">
        <v>13578</v>
      </c>
      <c r="N196" s="9"/>
      <c r="O196" s="8">
        <v>3581</v>
      </c>
      <c r="P196" s="9"/>
      <c r="Q196" s="8">
        <v>446</v>
      </c>
      <c r="R196" s="9"/>
      <c r="S196" s="8">
        <v>2102</v>
      </c>
      <c r="T196" s="9"/>
      <c r="U196" s="8">
        <v>0</v>
      </c>
      <c r="V196" s="9"/>
      <c r="W196" s="33">
        <v>19707</v>
      </c>
      <c r="X196" s="9"/>
      <c r="Y196" s="30">
        <v>6.65</v>
      </c>
      <c r="Z196" s="9"/>
      <c r="AA196" s="30">
        <v>1.89</v>
      </c>
      <c r="AB196" s="9"/>
      <c r="AC196" s="30">
        <v>0.28999999999999998</v>
      </c>
      <c r="AD196" s="9"/>
      <c r="AE196" s="30">
        <v>1.43</v>
      </c>
      <c r="AF196" s="9"/>
      <c r="AG196" s="30">
        <v>0</v>
      </c>
      <c r="AH196" s="9"/>
      <c r="AI196" s="32">
        <v>10.26</v>
      </c>
      <c r="AJ196" s="12"/>
      <c r="AK196" s="22">
        <v>298654</v>
      </c>
      <c r="AM196" s="22">
        <v>86840</v>
      </c>
      <c r="AO196" s="22">
        <v>10748</v>
      </c>
      <c r="AQ196" s="22">
        <v>47478</v>
      </c>
      <c r="AS196" s="26">
        <v>443720</v>
      </c>
      <c r="AU196" s="23">
        <v>21.9954</v>
      </c>
      <c r="AW196" s="23">
        <v>24.2502</v>
      </c>
      <c r="AY196" s="23">
        <v>0.79159999999999997</v>
      </c>
      <c r="BA196" s="23">
        <v>22.5871</v>
      </c>
      <c r="BC196" s="24">
        <v>22.515899999999998</v>
      </c>
      <c r="BE196" s="1" t="str">
        <f t="shared" si="3"/>
        <v>No</v>
      </c>
    </row>
    <row r="197" spans="1:57" ht="11.25" customHeight="1">
      <c r="A197" s="7" t="s">
        <v>227</v>
      </c>
      <c r="B197" s="7" t="s">
        <v>228</v>
      </c>
      <c r="C197" s="37" t="s">
        <v>52</v>
      </c>
      <c r="D197" s="296">
        <v>5148</v>
      </c>
      <c r="E197" s="297">
        <v>50148</v>
      </c>
      <c r="F197" s="27" t="s">
        <v>165</v>
      </c>
      <c r="G197" s="73" t="s">
        <v>158</v>
      </c>
      <c r="H197" s="35">
        <v>87106</v>
      </c>
      <c r="I197" s="35">
        <v>205</v>
      </c>
      <c r="J197" s="37" t="s">
        <v>10</v>
      </c>
      <c r="K197" s="37" t="s">
        <v>159</v>
      </c>
      <c r="L197" s="8">
        <v>43</v>
      </c>
      <c r="M197" s="8">
        <v>101408</v>
      </c>
      <c r="N197" s="9"/>
      <c r="O197" s="8">
        <v>23785</v>
      </c>
      <c r="P197" s="9"/>
      <c r="Q197" s="8">
        <v>6095</v>
      </c>
      <c r="R197" s="9"/>
      <c r="S197" s="8">
        <v>7252</v>
      </c>
      <c r="T197" s="9"/>
      <c r="U197" s="8">
        <v>0</v>
      </c>
      <c r="V197" s="9"/>
      <c r="W197" s="33">
        <v>138540</v>
      </c>
      <c r="X197" s="9"/>
      <c r="Y197" s="30">
        <v>72.099999999999994</v>
      </c>
      <c r="Z197" s="9"/>
      <c r="AA197" s="30">
        <v>14</v>
      </c>
      <c r="AB197" s="9"/>
      <c r="AC197" s="30">
        <v>4</v>
      </c>
      <c r="AD197" s="9"/>
      <c r="AE197" s="30">
        <v>4</v>
      </c>
      <c r="AF197" s="9"/>
      <c r="AG197" s="30">
        <v>0</v>
      </c>
      <c r="AH197" s="9"/>
      <c r="AI197" s="32">
        <v>94.1</v>
      </c>
      <c r="AJ197" s="12"/>
      <c r="AK197" s="22">
        <v>1810626</v>
      </c>
      <c r="AM197" s="22">
        <v>473329</v>
      </c>
      <c r="AO197" s="22">
        <v>121306</v>
      </c>
      <c r="AQ197" s="22">
        <v>377791</v>
      </c>
      <c r="AS197" s="26">
        <v>2783052</v>
      </c>
      <c r="AU197" s="23">
        <v>17.854900000000001</v>
      </c>
      <c r="AW197" s="23">
        <v>19.900300000000001</v>
      </c>
      <c r="AY197" s="23">
        <v>1.1961999999999999</v>
      </c>
      <c r="BA197" s="23">
        <v>52.094700000000003</v>
      </c>
      <c r="BC197" s="24">
        <v>20.0884</v>
      </c>
      <c r="BE197" s="1" t="str">
        <f t="shared" si="3"/>
        <v>No</v>
      </c>
    </row>
    <row r="198" spans="1:57" ht="11.25" customHeight="1">
      <c r="A198" s="7" t="s">
        <v>227</v>
      </c>
      <c r="B198" s="7" t="s">
        <v>228</v>
      </c>
      <c r="C198" s="37" t="s">
        <v>52</v>
      </c>
      <c r="D198" s="296">
        <v>5148</v>
      </c>
      <c r="E198" s="297">
        <v>50148</v>
      </c>
      <c r="F198" s="27" t="s">
        <v>165</v>
      </c>
      <c r="G198" s="73" t="s">
        <v>158</v>
      </c>
      <c r="H198" s="35">
        <v>87106</v>
      </c>
      <c r="I198" s="35">
        <v>205</v>
      </c>
      <c r="J198" s="37" t="s">
        <v>7</v>
      </c>
      <c r="K198" s="37" t="s">
        <v>159</v>
      </c>
      <c r="L198" s="8">
        <v>9</v>
      </c>
      <c r="M198" s="8">
        <v>45479</v>
      </c>
      <c r="N198" s="9"/>
      <c r="O198" s="8">
        <v>10667</v>
      </c>
      <c r="P198" s="9"/>
      <c r="Q198" s="8">
        <v>2733</v>
      </c>
      <c r="R198" s="9"/>
      <c r="S198" s="8">
        <v>3253</v>
      </c>
      <c r="T198" s="9"/>
      <c r="U198" s="8">
        <v>0</v>
      </c>
      <c r="V198" s="9"/>
      <c r="W198" s="33">
        <v>62132</v>
      </c>
      <c r="X198" s="9"/>
      <c r="Y198" s="30">
        <v>32.340000000000003</v>
      </c>
      <c r="Z198" s="9"/>
      <c r="AA198" s="30">
        <v>6.28</v>
      </c>
      <c r="AB198" s="9"/>
      <c r="AC198" s="30">
        <v>1.8</v>
      </c>
      <c r="AD198" s="9"/>
      <c r="AE198" s="30">
        <v>1.8</v>
      </c>
      <c r="AF198" s="9"/>
      <c r="AG198" s="30">
        <v>0</v>
      </c>
      <c r="AH198" s="9"/>
      <c r="AI198" s="32">
        <v>42.22</v>
      </c>
      <c r="AJ198" s="12"/>
      <c r="AK198" s="22">
        <v>812109</v>
      </c>
      <c r="AM198" s="22">
        <v>212300</v>
      </c>
      <c r="AO198" s="22">
        <v>54408</v>
      </c>
      <c r="AQ198" s="22">
        <v>169448</v>
      </c>
      <c r="AS198" s="26">
        <v>1248265</v>
      </c>
      <c r="AU198" s="23">
        <v>17.8568</v>
      </c>
      <c r="AW198" s="23">
        <v>19.9025</v>
      </c>
      <c r="AY198" s="23">
        <v>1.1962999999999999</v>
      </c>
      <c r="BA198" s="23">
        <v>52.089799999999997</v>
      </c>
      <c r="BC198" s="24">
        <v>20.090499999999999</v>
      </c>
      <c r="BE198" s="1" t="str">
        <f t="shared" si="3"/>
        <v>No</v>
      </c>
    </row>
    <row r="199" spans="1:57" ht="11.25" customHeight="1">
      <c r="A199" s="7" t="s">
        <v>227</v>
      </c>
      <c r="B199" s="7" t="s">
        <v>228</v>
      </c>
      <c r="C199" s="37" t="s">
        <v>52</v>
      </c>
      <c r="D199" s="296">
        <v>5148</v>
      </c>
      <c r="E199" s="297">
        <v>50148</v>
      </c>
      <c r="F199" s="27" t="s">
        <v>165</v>
      </c>
      <c r="G199" s="73" t="s">
        <v>158</v>
      </c>
      <c r="H199" s="35">
        <v>87106</v>
      </c>
      <c r="I199" s="35">
        <v>205</v>
      </c>
      <c r="J199" s="37" t="s">
        <v>18</v>
      </c>
      <c r="K199" s="37" t="s">
        <v>159</v>
      </c>
      <c r="L199" s="8">
        <v>3</v>
      </c>
      <c r="M199" s="8">
        <v>5013</v>
      </c>
      <c r="N199" s="9"/>
      <c r="O199" s="8">
        <v>1175</v>
      </c>
      <c r="P199" s="9"/>
      <c r="Q199" s="8">
        <v>300</v>
      </c>
      <c r="R199" s="9"/>
      <c r="S199" s="8">
        <v>356</v>
      </c>
      <c r="T199" s="9"/>
      <c r="U199" s="8">
        <v>0</v>
      </c>
      <c r="V199" s="9"/>
      <c r="W199" s="33">
        <v>6844</v>
      </c>
      <c r="X199" s="9"/>
      <c r="Y199" s="30">
        <v>3.6</v>
      </c>
      <c r="Z199" s="9"/>
      <c r="AA199" s="30">
        <v>0.7</v>
      </c>
      <c r="AB199" s="9"/>
      <c r="AC199" s="30">
        <v>0.2</v>
      </c>
      <c r="AD199" s="9"/>
      <c r="AE199" s="30">
        <v>0.2</v>
      </c>
      <c r="AF199" s="9"/>
      <c r="AG199" s="30">
        <v>0</v>
      </c>
      <c r="AH199" s="9"/>
      <c r="AI199" s="32">
        <v>4.7</v>
      </c>
      <c r="AJ199" s="12"/>
      <c r="AK199" s="22">
        <v>90627</v>
      </c>
      <c r="AM199" s="22">
        <v>23691</v>
      </c>
      <c r="AO199" s="22">
        <v>6072</v>
      </c>
      <c r="AQ199" s="22">
        <v>18909</v>
      </c>
      <c r="AS199" s="26">
        <v>139299</v>
      </c>
      <c r="AU199" s="23">
        <v>18.078399999999998</v>
      </c>
      <c r="AW199" s="23">
        <v>20.162600000000001</v>
      </c>
      <c r="AY199" s="23">
        <v>1.2113</v>
      </c>
      <c r="BA199" s="23">
        <v>53.115200000000002</v>
      </c>
      <c r="BC199" s="24">
        <v>20.353400000000001</v>
      </c>
      <c r="BE199" s="1" t="str">
        <f t="shared" si="3"/>
        <v>No</v>
      </c>
    </row>
    <row r="200" spans="1:57" ht="11.25" customHeight="1">
      <c r="A200" s="7" t="s">
        <v>417</v>
      </c>
      <c r="B200" s="7" t="s">
        <v>418</v>
      </c>
      <c r="C200" s="37" t="s">
        <v>42</v>
      </c>
      <c r="D200" s="296">
        <v>5050</v>
      </c>
      <c r="E200" s="297">
        <v>50050</v>
      </c>
      <c r="F200" s="27" t="s">
        <v>165</v>
      </c>
      <c r="G200" s="73" t="s">
        <v>158</v>
      </c>
      <c r="H200" s="35">
        <v>1487483</v>
      </c>
      <c r="I200" s="35">
        <v>202</v>
      </c>
      <c r="J200" s="37" t="s">
        <v>7</v>
      </c>
      <c r="K200" s="37" t="s">
        <v>159</v>
      </c>
      <c r="L200" s="8">
        <v>136</v>
      </c>
      <c r="M200" s="8">
        <v>732394</v>
      </c>
      <c r="N200" s="9"/>
      <c r="O200" s="8">
        <v>121225</v>
      </c>
      <c r="P200" s="9"/>
      <c r="Q200" s="8">
        <v>76262</v>
      </c>
      <c r="R200" s="9"/>
      <c r="S200" s="8">
        <v>90565</v>
      </c>
      <c r="T200" s="9"/>
      <c r="U200" s="8">
        <v>0</v>
      </c>
      <c r="V200" s="9"/>
      <c r="W200" s="33">
        <v>1020446</v>
      </c>
      <c r="X200" s="9"/>
      <c r="Y200" s="30">
        <v>388</v>
      </c>
      <c r="Z200" s="9"/>
      <c r="AA200" s="30">
        <v>59</v>
      </c>
      <c r="AB200" s="9"/>
      <c r="AC200" s="30">
        <v>38</v>
      </c>
      <c r="AD200" s="9"/>
      <c r="AE200" s="30">
        <v>55</v>
      </c>
      <c r="AF200" s="9"/>
      <c r="AG200" s="30">
        <v>0</v>
      </c>
      <c r="AH200" s="9"/>
      <c r="AI200" s="32">
        <v>540</v>
      </c>
      <c r="AJ200" s="12"/>
      <c r="AK200" s="22">
        <v>16803677</v>
      </c>
      <c r="AM200" s="22">
        <v>3522034</v>
      </c>
      <c r="AO200" s="22">
        <v>1218179</v>
      </c>
      <c r="AQ200" s="22">
        <v>2814507</v>
      </c>
      <c r="AS200" s="26">
        <v>24358397</v>
      </c>
      <c r="AU200" s="23">
        <v>22.9435</v>
      </c>
      <c r="AW200" s="23">
        <v>29.053699999999999</v>
      </c>
      <c r="AY200" s="23">
        <v>1.6633</v>
      </c>
      <c r="BA200" s="23">
        <v>31.077200000000001</v>
      </c>
      <c r="BC200" s="24">
        <v>23.8703</v>
      </c>
      <c r="BE200" s="1" t="str">
        <f t="shared" si="3"/>
        <v>No</v>
      </c>
    </row>
    <row r="201" spans="1:57" ht="11.25" customHeight="1">
      <c r="A201" s="7" t="s">
        <v>1123</v>
      </c>
      <c r="B201" s="7" t="s">
        <v>469</v>
      </c>
      <c r="C201" s="37" t="s">
        <v>52</v>
      </c>
      <c r="D201" s="296">
        <v>5032</v>
      </c>
      <c r="E201" s="297">
        <v>50032</v>
      </c>
      <c r="F201" s="27" t="s">
        <v>165</v>
      </c>
      <c r="G201" s="73" t="s">
        <v>158</v>
      </c>
      <c r="H201" s="35">
        <v>356218</v>
      </c>
      <c r="I201" s="35">
        <v>202</v>
      </c>
      <c r="J201" s="37" t="s">
        <v>10</v>
      </c>
      <c r="K201" s="37" t="s">
        <v>159</v>
      </c>
      <c r="L201" s="8">
        <v>101</v>
      </c>
      <c r="M201" s="8">
        <v>380367</v>
      </c>
      <c r="N201" s="9"/>
      <c r="O201" s="8">
        <v>17811</v>
      </c>
      <c r="P201" s="9"/>
      <c r="Q201" s="8">
        <v>12478</v>
      </c>
      <c r="R201" s="9"/>
      <c r="S201" s="8">
        <v>39801</v>
      </c>
      <c r="T201" s="9"/>
      <c r="U201" s="8">
        <v>169</v>
      </c>
      <c r="V201" s="9"/>
      <c r="W201" s="33">
        <v>450626</v>
      </c>
      <c r="X201" s="9"/>
      <c r="Y201" s="30">
        <v>245</v>
      </c>
      <c r="Z201" s="9"/>
      <c r="AA201" s="30">
        <v>8.6</v>
      </c>
      <c r="AB201" s="9"/>
      <c r="AC201" s="30">
        <v>7.8</v>
      </c>
      <c r="AD201" s="9"/>
      <c r="AE201" s="30">
        <v>26</v>
      </c>
      <c r="AF201" s="9"/>
      <c r="AG201" s="30">
        <v>0.1</v>
      </c>
      <c r="AH201" s="9"/>
      <c r="AI201" s="32">
        <v>287.5</v>
      </c>
      <c r="AJ201" s="12"/>
      <c r="AK201" s="22">
        <v>4233663</v>
      </c>
      <c r="AM201" s="22">
        <v>303223</v>
      </c>
      <c r="AO201" s="22">
        <v>208483</v>
      </c>
      <c r="AQ201" s="22">
        <v>1147402</v>
      </c>
      <c r="AS201" s="26">
        <v>5892771</v>
      </c>
      <c r="AU201" s="23">
        <v>11.1305</v>
      </c>
      <c r="AW201" s="23">
        <v>17.0245</v>
      </c>
      <c r="AY201" s="23">
        <v>0.54810000000000003</v>
      </c>
      <c r="BA201" s="23">
        <v>28.828499999999998</v>
      </c>
      <c r="BC201" s="24">
        <v>13.0769</v>
      </c>
      <c r="BE201" s="1" t="str">
        <f t="shared" si="3"/>
        <v>No</v>
      </c>
    </row>
    <row r="202" spans="1:57" ht="11.25" customHeight="1">
      <c r="A202" s="7" t="s">
        <v>1123</v>
      </c>
      <c r="B202" s="7" t="s">
        <v>469</v>
      </c>
      <c r="C202" s="37" t="s">
        <v>52</v>
      </c>
      <c r="D202" s="296">
        <v>5032</v>
      </c>
      <c r="E202" s="297">
        <v>50032</v>
      </c>
      <c r="F202" s="27" t="s">
        <v>165</v>
      </c>
      <c r="G202" s="73" t="s">
        <v>158</v>
      </c>
      <c r="H202" s="35">
        <v>356218</v>
      </c>
      <c r="I202" s="35">
        <v>202</v>
      </c>
      <c r="J202" s="37" t="s">
        <v>7</v>
      </c>
      <c r="K202" s="37" t="s">
        <v>159</v>
      </c>
      <c r="L202" s="8">
        <v>99</v>
      </c>
      <c r="M202" s="8">
        <v>282459</v>
      </c>
      <c r="N202" s="9"/>
      <c r="O202" s="8">
        <v>73083</v>
      </c>
      <c r="P202" s="9"/>
      <c r="Q202" s="8">
        <v>12838</v>
      </c>
      <c r="R202" s="9"/>
      <c r="S202" s="8">
        <v>40986</v>
      </c>
      <c r="T202" s="9"/>
      <c r="U202" s="8">
        <v>175</v>
      </c>
      <c r="V202" s="9"/>
      <c r="W202" s="33">
        <v>409541</v>
      </c>
      <c r="X202" s="9"/>
      <c r="Y202" s="30">
        <v>183</v>
      </c>
      <c r="Z202" s="9"/>
      <c r="AA202" s="30">
        <v>38</v>
      </c>
      <c r="AB202" s="9"/>
      <c r="AC202" s="30">
        <v>8.1</v>
      </c>
      <c r="AD202" s="9"/>
      <c r="AE202" s="30">
        <v>26.8</v>
      </c>
      <c r="AF202" s="9"/>
      <c r="AG202" s="30">
        <v>0.1</v>
      </c>
      <c r="AH202" s="9"/>
      <c r="AI202" s="32">
        <v>256</v>
      </c>
      <c r="AJ202" s="12"/>
      <c r="AK202" s="22">
        <v>4759515</v>
      </c>
      <c r="AM202" s="22">
        <v>1752054</v>
      </c>
      <c r="AO202" s="22">
        <v>215229</v>
      </c>
      <c r="AQ202" s="22">
        <v>1182688</v>
      </c>
      <c r="AS202" s="26">
        <v>7909486</v>
      </c>
      <c r="AU202" s="23">
        <v>16.850300000000001</v>
      </c>
      <c r="AW202" s="23">
        <v>23.973500000000001</v>
      </c>
      <c r="AY202" s="23">
        <v>0.76200000000000001</v>
      </c>
      <c r="BA202" s="23">
        <v>28.855899999999998</v>
      </c>
      <c r="BC202" s="24">
        <v>19.313099999999999</v>
      </c>
      <c r="BE202" s="1" t="str">
        <f t="shared" si="3"/>
        <v>No</v>
      </c>
    </row>
    <row r="203" spans="1:57" ht="11.25" customHeight="1">
      <c r="A203" s="7" t="s">
        <v>410</v>
      </c>
      <c r="B203" s="7" t="s">
        <v>411</v>
      </c>
      <c r="C203" s="37" t="s">
        <v>32</v>
      </c>
      <c r="D203" s="296">
        <v>4041</v>
      </c>
      <c r="E203" s="297">
        <v>40041</v>
      </c>
      <c r="F203" s="27" t="s">
        <v>165</v>
      </c>
      <c r="G203" s="73" t="s">
        <v>158</v>
      </c>
      <c r="H203" s="35">
        <v>2441770</v>
      </c>
      <c r="I203" s="35">
        <v>201</v>
      </c>
      <c r="J203" s="37" t="s">
        <v>7</v>
      </c>
      <c r="K203" s="37" t="s">
        <v>159</v>
      </c>
      <c r="L203" s="8">
        <v>162</v>
      </c>
      <c r="M203" s="8">
        <v>883307</v>
      </c>
      <c r="N203" s="9"/>
      <c r="O203" s="8">
        <v>168722</v>
      </c>
      <c r="P203" s="9"/>
      <c r="Q203" s="8">
        <v>98378</v>
      </c>
      <c r="R203" s="9"/>
      <c r="S203" s="8">
        <v>158282</v>
      </c>
      <c r="T203" s="9"/>
      <c r="U203" s="8">
        <v>29873</v>
      </c>
      <c r="V203" s="9"/>
      <c r="W203" s="33">
        <v>1338562</v>
      </c>
      <c r="X203" s="9"/>
      <c r="Y203" s="30">
        <v>464</v>
      </c>
      <c r="Z203" s="9"/>
      <c r="AA203" s="30">
        <v>102</v>
      </c>
      <c r="AB203" s="9"/>
      <c r="AC203" s="30">
        <v>52</v>
      </c>
      <c r="AD203" s="9"/>
      <c r="AE203" s="30">
        <v>94</v>
      </c>
      <c r="AF203" s="9"/>
      <c r="AG203" s="30">
        <v>15</v>
      </c>
      <c r="AH203" s="9"/>
      <c r="AI203" s="32">
        <v>727</v>
      </c>
      <c r="AJ203" s="12"/>
      <c r="AK203" s="22">
        <v>17412549</v>
      </c>
      <c r="AM203" s="22">
        <v>3725526</v>
      </c>
      <c r="AO203" s="22">
        <v>1795644</v>
      </c>
      <c r="AQ203" s="22">
        <v>6675665</v>
      </c>
      <c r="AS203" s="26">
        <v>29609384</v>
      </c>
      <c r="AU203" s="23">
        <v>19.712900000000001</v>
      </c>
      <c r="AW203" s="23">
        <v>22.0809</v>
      </c>
      <c r="AY203" s="23">
        <v>2.0329000000000002</v>
      </c>
      <c r="BA203" s="23">
        <v>42.175800000000002</v>
      </c>
      <c r="BC203" s="24">
        <v>22.1203</v>
      </c>
      <c r="BE203" s="1" t="str">
        <f t="shared" si="3"/>
        <v>No</v>
      </c>
    </row>
    <row r="204" spans="1:57" ht="11.25" customHeight="1">
      <c r="A204" s="7" t="s">
        <v>410</v>
      </c>
      <c r="B204" s="7" t="s">
        <v>411</v>
      </c>
      <c r="C204" s="37" t="s">
        <v>32</v>
      </c>
      <c r="D204" s="296">
        <v>4041</v>
      </c>
      <c r="E204" s="297">
        <v>40041</v>
      </c>
      <c r="F204" s="27" t="s">
        <v>165</v>
      </c>
      <c r="G204" s="73" t="s">
        <v>158</v>
      </c>
      <c r="H204" s="35">
        <v>2441770</v>
      </c>
      <c r="I204" s="35">
        <v>201</v>
      </c>
      <c r="J204" s="37" t="s">
        <v>10</v>
      </c>
      <c r="K204" s="37" t="s">
        <v>159</v>
      </c>
      <c r="L204" s="8">
        <v>36</v>
      </c>
      <c r="M204" s="8">
        <v>131475</v>
      </c>
      <c r="N204" s="9"/>
      <c r="O204" s="8">
        <v>3616</v>
      </c>
      <c r="P204" s="9"/>
      <c r="Q204" s="8">
        <v>10720</v>
      </c>
      <c r="R204" s="9"/>
      <c r="S204" s="8">
        <v>28599</v>
      </c>
      <c r="T204" s="9"/>
      <c r="U204" s="8">
        <v>0</v>
      </c>
      <c r="V204" s="9"/>
      <c r="W204" s="33">
        <v>174410</v>
      </c>
      <c r="X204" s="9"/>
      <c r="Y204" s="30">
        <v>72</v>
      </c>
      <c r="Z204" s="9"/>
      <c r="AA204" s="30">
        <v>2</v>
      </c>
      <c r="AB204" s="9"/>
      <c r="AC204" s="30">
        <v>6</v>
      </c>
      <c r="AD204" s="9"/>
      <c r="AE204" s="30">
        <v>16</v>
      </c>
      <c r="AF204" s="9"/>
      <c r="AG204" s="30">
        <v>0</v>
      </c>
      <c r="AH204" s="9"/>
      <c r="AI204" s="32">
        <v>96</v>
      </c>
      <c r="AJ204" s="12"/>
      <c r="AK204" s="22">
        <v>2559722</v>
      </c>
      <c r="AM204" s="22">
        <v>85999</v>
      </c>
      <c r="AO204" s="22">
        <v>199516</v>
      </c>
      <c r="AQ204" s="22">
        <v>714772</v>
      </c>
      <c r="AS204" s="26">
        <v>3560009</v>
      </c>
      <c r="AU204" s="23">
        <v>19.4693</v>
      </c>
      <c r="AW204" s="23">
        <v>23.782900000000001</v>
      </c>
      <c r="AY204" s="23">
        <v>1.5175000000000001</v>
      </c>
      <c r="BA204" s="23">
        <v>24.992899999999999</v>
      </c>
      <c r="BC204" s="24">
        <v>20.4117</v>
      </c>
      <c r="BE204" s="1" t="str">
        <f t="shared" si="3"/>
        <v>No</v>
      </c>
    </row>
    <row r="205" spans="1:57" ht="11.25" customHeight="1">
      <c r="A205" s="7" t="s">
        <v>410</v>
      </c>
      <c r="B205" s="7" t="s">
        <v>411</v>
      </c>
      <c r="C205" s="37" t="s">
        <v>32</v>
      </c>
      <c r="D205" s="296">
        <v>4041</v>
      </c>
      <c r="E205" s="297">
        <v>40041</v>
      </c>
      <c r="F205" s="27" t="s">
        <v>165</v>
      </c>
      <c r="G205" s="73" t="s">
        <v>158</v>
      </c>
      <c r="H205" s="35">
        <v>2441770</v>
      </c>
      <c r="I205" s="35">
        <v>201</v>
      </c>
      <c r="J205" s="37" t="s">
        <v>12</v>
      </c>
      <c r="K205" s="37" t="s">
        <v>159</v>
      </c>
      <c r="L205" s="8">
        <v>3</v>
      </c>
      <c r="M205" s="8">
        <v>18854</v>
      </c>
      <c r="N205" s="9"/>
      <c r="O205" s="8">
        <v>15165</v>
      </c>
      <c r="P205" s="9"/>
      <c r="Q205" s="8">
        <v>8529</v>
      </c>
      <c r="R205" s="9"/>
      <c r="S205" s="8">
        <v>1177</v>
      </c>
      <c r="T205" s="9"/>
      <c r="U205" s="8">
        <v>0</v>
      </c>
      <c r="V205" s="9"/>
      <c r="W205" s="33">
        <v>43725</v>
      </c>
      <c r="X205" s="9"/>
      <c r="Y205" s="30">
        <v>9</v>
      </c>
      <c r="Z205" s="9"/>
      <c r="AA205" s="30">
        <v>8</v>
      </c>
      <c r="AB205" s="9"/>
      <c r="AC205" s="30">
        <v>5</v>
      </c>
      <c r="AD205" s="9"/>
      <c r="AE205" s="30">
        <v>37</v>
      </c>
      <c r="AF205" s="9"/>
      <c r="AG205" s="30">
        <v>0</v>
      </c>
      <c r="AH205" s="9"/>
      <c r="AI205" s="32">
        <v>59</v>
      </c>
      <c r="AJ205" s="12"/>
      <c r="AK205" s="22">
        <v>442648</v>
      </c>
      <c r="AM205" s="22">
        <v>298260</v>
      </c>
      <c r="AO205" s="22">
        <v>152449</v>
      </c>
      <c r="AQ205" s="22">
        <v>24330</v>
      </c>
      <c r="AS205" s="26">
        <v>917687</v>
      </c>
      <c r="AU205" s="23">
        <v>23.477699999999999</v>
      </c>
      <c r="AW205" s="23">
        <v>19.6677</v>
      </c>
      <c r="AY205" s="23">
        <v>8.0858000000000008</v>
      </c>
      <c r="BA205" s="23">
        <v>20.671199999999999</v>
      </c>
      <c r="BC205" s="24">
        <v>20.9877</v>
      </c>
      <c r="BE205" s="1" t="str">
        <f t="shared" si="3"/>
        <v>No</v>
      </c>
    </row>
    <row r="206" spans="1:57" ht="11.25" customHeight="1">
      <c r="A206" s="7" t="s">
        <v>451</v>
      </c>
      <c r="B206" s="7" t="s">
        <v>306</v>
      </c>
      <c r="C206" s="37" t="s">
        <v>17</v>
      </c>
      <c r="D206" s="296">
        <v>9023</v>
      </c>
      <c r="E206" s="297">
        <v>90023</v>
      </c>
      <c r="F206" s="27" t="s">
        <v>401</v>
      </c>
      <c r="G206" s="73" t="s">
        <v>158</v>
      </c>
      <c r="H206" s="35">
        <v>12150996</v>
      </c>
      <c r="I206" s="35">
        <v>197</v>
      </c>
      <c r="J206" s="37" t="s">
        <v>7</v>
      </c>
      <c r="K206" s="37" t="s">
        <v>159</v>
      </c>
      <c r="L206" s="8">
        <v>187</v>
      </c>
      <c r="M206" s="8">
        <v>956459</v>
      </c>
      <c r="N206" s="9"/>
      <c r="O206" s="8">
        <v>217109</v>
      </c>
      <c r="P206" s="9"/>
      <c r="Q206" s="8">
        <v>54103</v>
      </c>
      <c r="R206" s="9"/>
      <c r="S206" s="8">
        <v>146853</v>
      </c>
      <c r="T206" s="9"/>
      <c r="U206" s="8">
        <v>0</v>
      </c>
      <c r="V206" s="9"/>
      <c r="W206" s="33">
        <v>1374524</v>
      </c>
      <c r="X206" s="9"/>
      <c r="Y206" s="30">
        <v>521</v>
      </c>
      <c r="Z206" s="9"/>
      <c r="AA206" s="30">
        <v>113</v>
      </c>
      <c r="AB206" s="9"/>
      <c r="AC206" s="30">
        <v>28</v>
      </c>
      <c r="AD206" s="9"/>
      <c r="AE206" s="30">
        <v>83</v>
      </c>
      <c r="AF206" s="9"/>
      <c r="AG206" s="30">
        <v>0</v>
      </c>
      <c r="AH206" s="9"/>
      <c r="AI206" s="32">
        <v>745</v>
      </c>
      <c r="AJ206" s="12"/>
      <c r="AK206" s="22">
        <v>26068269</v>
      </c>
      <c r="AM206" s="22">
        <v>6555125</v>
      </c>
      <c r="AO206" s="22">
        <v>1284760</v>
      </c>
      <c r="AQ206" s="22">
        <v>4969168</v>
      </c>
      <c r="AS206" s="26">
        <v>38877322</v>
      </c>
      <c r="AU206" s="23">
        <v>27.254999999999999</v>
      </c>
      <c r="AW206" s="23">
        <v>30.192799999999998</v>
      </c>
      <c r="AY206" s="23">
        <v>1.3431999999999999</v>
      </c>
      <c r="BA206" s="23">
        <v>33.837699999999998</v>
      </c>
      <c r="BC206" s="24">
        <v>28.284199999999998</v>
      </c>
      <c r="BE206" s="1" t="str">
        <f t="shared" si="3"/>
        <v>No</v>
      </c>
    </row>
    <row r="207" spans="1:57" ht="11.25" customHeight="1">
      <c r="A207" s="7" t="s">
        <v>633</v>
      </c>
      <c r="B207" s="7" t="s">
        <v>634</v>
      </c>
      <c r="C207" s="37" t="s">
        <v>69</v>
      </c>
      <c r="D207" s="296">
        <v>6019</v>
      </c>
      <c r="E207" s="297">
        <v>60019</v>
      </c>
      <c r="F207" s="27" t="s">
        <v>162</v>
      </c>
      <c r="G207" s="73" t="s">
        <v>158</v>
      </c>
      <c r="H207" s="35">
        <v>741318</v>
      </c>
      <c r="I207" s="35">
        <v>193</v>
      </c>
      <c r="J207" s="37" t="s">
        <v>7</v>
      </c>
      <c r="K207" s="37" t="s">
        <v>159</v>
      </c>
      <c r="L207" s="8">
        <v>131</v>
      </c>
      <c r="M207" s="8">
        <v>584080</v>
      </c>
      <c r="N207" s="9"/>
      <c r="O207" s="8">
        <v>155547</v>
      </c>
      <c r="P207" s="9"/>
      <c r="Q207" s="8">
        <v>19587</v>
      </c>
      <c r="R207" s="9"/>
      <c r="S207" s="8">
        <v>65974</v>
      </c>
      <c r="T207" s="9"/>
      <c r="U207" s="8">
        <v>0</v>
      </c>
      <c r="V207" s="9"/>
      <c r="W207" s="33">
        <v>825188</v>
      </c>
      <c r="X207" s="9"/>
      <c r="Y207" s="30">
        <v>269.2</v>
      </c>
      <c r="Z207" s="9"/>
      <c r="AA207" s="30">
        <v>85</v>
      </c>
      <c r="AB207" s="9"/>
      <c r="AC207" s="30">
        <v>12</v>
      </c>
      <c r="AD207" s="9"/>
      <c r="AE207" s="30">
        <v>34.4</v>
      </c>
      <c r="AF207" s="9"/>
      <c r="AG207" s="30">
        <v>0</v>
      </c>
      <c r="AH207" s="9"/>
      <c r="AI207" s="32">
        <v>400.6</v>
      </c>
      <c r="AJ207" s="12"/>
      <c r="AK207" s="22">
        <v>10818911</v>
      </c>
      <c r="AM207" s="22">
        <v>3331255</v>
      </c>
      <c r="AO207" s="22">
        <v>379352</v>
      </c>
      <c r="AQ207" s="22">
        <v>1741705</v>
      </c>
      <c r="AS207" s="26">
        <v>16271223</v>
      </c>
      <c r="AU207" s="23">
        <v>18.523</v>
      </c>
      <c r="AW207" s="23">
        <v>21.416399999999999</v>
      </c>
      <c r="AY207" s="23">
        <v>0.64949999999999997</v>
      </c>
      <c r="BA207" s="23">
        <v>26.399899999999999</v>
      </c>
      <c r="BC207" s="24">
        <v>19.7182</v>
      </c>
      <c r="BE207" s="1" t="str">
        <f t="shared" si="3"/>
        <v>No</v>
      </c>
    </row>
    <row r="208" spans="1:57" ht="11.25" customHeight="1">
      <c r="A208" s="7" t="s">
        <v>633</v>
      </c>
      <c r="B208" s="7" t="s">
        <v>634</v>
      </c>
      <c r="C208" s="37" t="s">
        <v>69</v>
      </c>
      <c r="D208" s="296">
        <v>6019</v>
      </c>
      <c r="E208" s="297">
        <v>60019</v>
      </c>
      <c r="F208" s="27" t="s">
        <v>162</v>
      </c>
      <c r="G208" s="73" t="s">
        <v>158</v>
      </c>
      <c r="H208" s="35">
        <v>741318</v>
      </c>
      <c r="I208" s="35">
        <v>193</v>
      </c>
      <c r="J208" s="37" t="s">
        <v>10</v>
      </c>
      <c r="K208" s="37" t="s">
        <v>159</v>
      </c>
      <c r="L208" s="8">
        <v>62</v>
      </c>
      <c r="M208" s="8">
        <v>172049</v>
      </c>
      <c r="N208" s="9"/>
      <c r="O208" s="8">
        <v>13790</v>
      </c>
      <c r="P208" s="9"/>
      <c r="Q208" s="8">
        <v>4897</v>
      </c>
      <c r="R208" s="9"/>
      <c r="S208" s="8">
        <v>16494</v>
      </c>
      <c r="T208" s="9"/>
      <c r="U208" s="8">
        <v>0</v>
      </c>
      <c r="V208" s="9"/>
      <c r="W208" s="33">
        <v>207230</v>
      </c>
      <c r="X208" s="9"/>
      <c r="Y208" s="30">
        <v>82.8</v>
      </c>
      <c r="Z208" s="9"/>
      <c r="AA208" s="30">
        <v>8</v>
      </c>
      <c r="AB208" s="9"/>
      <c r="AC208" s="30">
        <v>3</v>
      </c>
      <c r="AD208" s="9"/>
      <c r="AE208" s="30">
        <v>8.6</v>
      </c>
      <c r="AF208" s="9"/>
      <c r="AG208" s="30">
        <v>0</v>
      </c>
      <c r="AH208" s="9"/>
      <c r="AI208" s="32">
        <v>102.4</v>
      </c>
      <c r="AJ208" s="12"/>
      <c r="AK208" s="22">
        <v>2995654</v>
      </c>
      <c r="AM208" s="22">
        <v>317511</v>
      </c>
      <c r="AO208" s="22">
        <v>94653</v>
      </c>
      <c r="AQ208" s="22">
        <v>434344</v>
      </c>
      <c r="AS208" s="26">
        <v>3842162</v>
      </c>
      <c r="AU208" s="23">
        <v>17.4116</v>
      </c>
      <c r="AW208" s="23">
        <v>23.024699999999999</v>
      </c>
      <c r="AY208" s="23">
        <v>0.55020000000000002</v>
      </c>
      <c r="BA208" s="23">
        <v>26.333500000000001</v>
      </c>
      <c r="BC208" s="24">
        <v>18.540600000000001</v>
      </c>
      <c r="BE208" s="1" t="str">
        <f t="shared" si="3"/>
        <v>No</v>
      </c>
    </row>
    <row r="209" spans="1:57" ht="11.25" customHeight="1">
      <c r="A209" s="7" t="s">
        <v>374</v>
      </c>
      <c r="B209" s="7" t="s">
        <v>375</v>
      </c>
      <c r="C209" s="37" t="s">
        <v>84</v>
      </c>
      <c r="D209" s="296">
        <v>6007</v>
      </c>
      <c r="E209" s="297">
        <v>60007</v>
      </c>
      <c r="F209" s="27" t="s">
        <v>165</v>
      </c>
      <c r="G209" s="73" t="s">
        <v>158</v>
      </c>
      <c r="H209" s="35">
        <v>5121892</v>
      </c>
      <c r="I209" s="35">
        <v>192</v>
      </c>
      <c r="J209" s="37" t="s">
        <v>7</v>
      </c>
      <c r="K209" s="37" t="s">
        <v>159</v>
      </c>
      <c r="L209" s="8">
        <v>108</v>
      </c>
      <c r="M209" s="8">
        <v>478666</v>
      </c>
      <c r="N209" s="9"/>
      <c r="O209" s="8">
        <v>156873</v>
      </c>
      <c r="P209" s="9"/>
      <c r="Q209" s="8">
        <v>69498</v>
      </c>
      <c r="R209" s="9"/>
      <c r="S209" s="8">
        <v>150550</v>
      </c>
      <c r="T209" s="9"/>
      <c r="U209" s="8">
        <v>0</v>
      </c>
      <c r="V209" s="9"/>
      <c r="W209" s="33">
        <v>855587</v>
      </c>
      <c r="X209" s="9"/>
      <c r="Y209" s="30">
        <v>233</v>
      </c>
      <c r="Z209" s="9"/>
      <c r="AA209" s="30">
        <v>75</v>
      </c>
      <c r="AB209" s="9"/>
      <c r="AC209" s="30">
        <v>33</v>
      </c>
      <c r="AD209" s="9"/>
      <c r="AE209" s="30">
        <v>73</v>
      </c>
      <c r="AF209" s="9"/>
      <c r="AG209" s="30">
        <v>0</v>
      </c>
      <c r="AH209" s="9"/>
      <c r="AI209" s="32">
        <v>414</v>
      </c>
      <c r="AJ209" s="12"/>
      <c r="AK209" s="22">
        <v>9902595</v>
      </c>
      <c r="AM209" s="22">
        <v>3634207</v>
      </c>
      <c r="AO209" s="22">
        <v>905294</v>
      </c>
      <c r="AQ209" s="22">
        <v>2906268</v>
      </c>
      <c r="AS209" s="26">
        <v>17348364</v>
      </c>
      <c r="AU209" s="23">
        <v>20.687899999999999</v>
      </c>
      <c r="AW209" s="23">
        <v>23.166599999999999</v>
      </c>
      <c r="AY209" s="23">
        <v>1.8913</v>
      </c>
      <c r="BA209" s="23">
        <v>19.304300000000001</v>
      </c>
      <c r="BC209" s="24">
        <v>20.276599999999998</v>
      </c>
      <c r="BE209" s="1" t="str">
        <f t="shared" si="3"/>
        <v>No</v>
      </c>
    </row>
    <row r="210" spans="1:57" ht="11.25" customHeight="1">
      <c r="A210" s="7" t="s">
        <v>374</v>
      </c>
      <c r="B210" s="7" t="s">
        <v>375</v>
      </c>
      <c r="C210" s="37" t="s">
        <v>84</v>
      </c>
      <c r="D210" s="296">
        <v>6007</v>
      </c>
      <c r="E210" s="297">
        <v>60007</v>
      </c>
      <c r="F210" s="27" t="s">
        <v>165</v>
      </c>
      <c r="G210" s="73" t="s">
        <v>158</v>
      </c>
      <c r="H210" s="35">
        <v>5121892</v>
      </c>
      <c r="I210" s="35">
        <v>192</v>
      </c>
      <c r="J210" s="37" t="s">
        <v>10</v>
      </c>
      <c r="K210" s="37" t="s">
        <v>159</v>
      </c>
      <c r="L210" s="8">
        <v>34</v>
      </c>
      <c r="M210" s="8">
        <v>111264</v>
      </c>
      <c r="N210" s="9"/>
      <c r="O210" s="8">
        <v>18887</v>
      </c>
      <c r="P210" s="9"/>
      <c r="Q210" s="8">
        <v>27716</v>
      </c>
      <c r="R210" s="9" t="s">
        <v>121</v>
      </c>
      <c r="S210" s="8">
        <v>63304</v>
      </c>
      <c r="T210" s="9" t="s">
        <v>121</v>
      </c>
      <c r="U210" s="8">
        <v>0</v>
      </c>
      <c r="V210" s="9"/>
      <c r="W210" s="33">
        <v>221171</v>
      </c>
      <c r="X210" s="9" t="s">
        <v>121</v>
      </c>
      <c r="Y210" s="30">
        <v>51</v>
      </c>
      <c r="Z210" s="9"/>
      <c r="AA210" s="30">
        <v>8</v>
      </c>
      <c r="AB210" s="9"/>
      <c r="AC210" s="30">
        <v>13</v>
      </c>
      <c r="AD210" s="9"/>
      <c r="AE210" s="30">
        <v>31</v>
      </c>
      <c r="AF210" s="9"/>
      <c r="AG210" s="30">
        <v>0</v>
      </c>
      <c r="AH210" s="9"/>
      <c r="AI210" s="32">
        <v>103</v>
      </c>
      <c r="AJ210" s="12"/>
      <c r="AK210" s="22">
        <v>2542796</v>
      </c>
      <c r="AM210" s="22">
        <v>484876</v>
      </c>
      <c r="AO210" s="22">
        <v>126770</v>
      </c>
      <c r="AP210" s="22" t="s">
        <v>121</v>
      </c>
      <c r="AQ210" s="22">
        <v>401639</v>
      </c>
      <c r="AR210" s="22" t="s">
        <v>121</v>
      </c>
      <c r="AS210" s="26">
        <v>3556081</v>
      </c>
      <c r="AT210" s="22" t="s">
        <v>121</v>
      </c>
      <c r="AU210" s="23">
        <v>22.8537</v>
      </c>
      <c r="AW210" s="23">
        <v>25.672499999999999</v>
      </c>
      <c r="AY210" s="23">
        <v>1.1394</v>
      </c>
      <c r="AZ210" s="23" t="s">
        <v>121</v>
      </c>
      <c r="BA210" s="23">
        <v>6.3445999999999998</v>
      </c>
      <c r="BB210" s="23" t="s">
        <v>121</v>
      </c>
      <c r="BC210" s="24">
        <v>16.078399999999998</v>
      </c>
      <c r="BD210" s="1" t="s">
        <v>121</v>
      </c>
      <c r="BE210" s="1" t="str">
        <f t="shared" si="3"/>
        <v>Yes</v>
      </c>
    </row>
    <row r="211" spans="1:57" ht="11.25" customHeight="1">
      <c r="A211" s="7" t="s">
        <v>467</v>
      </c>
      <c r="B211" s="7" t="s">
        <v>468</v>
      </c>
      <c r="C211" s="37" t="s">
        <v>84</v>
      </c>
      <c r="D211" s="296">
        <v>6006</v>
      </c>
      <c r="E211" s="297">
        <v>60006</v>
      </c>
      <c r="F211" s="27" t="s">
        <v>162</v>
      </c>
      <c r="G211" s="73" t="s">
        <v>158</v>
      </c>
      <c r="H211" s="35">
        <v>803086</v>
      </c>
      <c r="I211" s="35">
        <v>186</v>
      </c>
      <c r="J211" s="37" t="s">
        <v>7</v>
      </c>
      <c r="K211" s="37" t="s">
        <v>159</v>
      </c>
      <c r="L211" s="8">
        <v>125</v>
      </c>
      <c r="M211" s="8">
        <v>931557</v>
      </c>
      <c r="N211" s="9"/>
      <c r="O211" s="8">
        <v>238689</v>
      </c>
      <c r="P211" s="9"/>
      <c r="Q211" s="8">
        <v>34885</v>
      </c>
      <c r="R211" s="9"/>
      <c r="S211" s="8">
        <v>62283</v>
      </c>
      <c r="T211" s="9"/>
      <c r="U211" s="8">
        <v>0</v>
      </c>
      <c r="V211" s="9"/>
      <c r="W211" s="33">
        <v>1267414</v>
      </c>
      <c r="X211" s="9"/>
      <c r="Y211" s="30">
        <v>452.75</v>
      </c>
      <c r="Z211" s="9"/>
      <c r="AA211" s="30">
        <v>130</v>
      </c>
      <c r="AB211" s="9"/>
      <c r="AC211" s="30">
        <v>19</v>
      </c>
      <c r="AD211" s="9"/>
      <c r="AE211" s="30">
        <v>40</v>
      </c>
      <c r="AF211" s="9"/>
      <c r="AG211" s="30">
        <v>0</v>
      </c>
      <c r="AH211" s="9"/>
      <c r="AI211" s="32">
        <v>641.75</v>
      </c>
      <c r="AJ211" s="12"/>
      <c r="AK211" s="22">
        <v>17742942</v>
      </c>
      <c r="AM211" s="22">
        <v>4491223</v>
      </c>
      <c r="AO211" s="22">
        <v>629618</v>
      </c>
      <c r="AQ211" s="22">
        <v>2084265</v>
      </c>
      <c r="AS211" s="26">
        <v>24948048</v>
      </c>
      <c r="AU211" s="23">
        <v>19.046500000000002</v>
      </c>
      <c r="AW211" s="23">
        <v>18.816199999999998</v>
      </c>
      <c r="AY211" s="23">
        <v>0.67589999999999995</v>
      </c>
      <c r="BA211" s="23">
        <v>33.464399999999998</v>
      </c>
      <c r="BC211" s="24">
        <v>19.684200000000001</v>
      </c>
      <c r="BE211" s="1" t="str">
        <f t="shared" si="3"/>
        <v>No</v>
      </c>
    </row>
    <row r="212" spans="1:57" ht="11.25" customHeight="1">
      <c r="A212" s="7" t="s">
        <v>703</v>
      </c>
      <c r="B212" s="7" t="s">
        <v>704</v>
      </c>
      <c r="C212" s="37" t="s">
        <v>77</v>
      </c>
      <c r="D212" s="296">
        <v>3027</v>
      </c>
      <c r="E212" s="297">
        <v>30027</v>
      </c>
      <c r="F212" s="27" t="s">
        <v>165</v>
      </c>
      <c r="G212" s="73" t="s">
        <v>158</v>
      </c>
      <c r="H212" s="35">
        <v>232045</v>
      </c>
      <c r="I212" s="35">
        <v>178</v>
      </c>
      <c r="J212" s="37" t="s">
        <v>10</v>
      </c>
      <c r="K212" s="37" t="s">
        <v>159</v>
      </c>
      <c r="L212" s="8">
        <v>103</v>
      </c>
      <c r="M212" s="8">
        <v>232547</v>
      </c>
      <c r="N212" s="9"/>
      <c r="O212" s="8">
        <v>11943</v>
      </c>
      <c r="P212" s="9"/>
      <c r="Q212" s="8">
        <v>748</v>
      </c>
      <c r="R212" s="9"/>
      <c r="S212" s="8">
        <v>7265</v>
      </c>
      <c r="T212" s="9"/>
      <c r="U212" s="8">
        <v>0</v>
      </c>
      <c r="V212" s="9"/>
      <c r="W212" s="33">
        <v>252503</v>
      </c>
      <c r="X212" s="9"/>
      <c r="Y212" s="30">
        <v>159.47999999999999</v>
      </c>
      <c r="Z212" s="9"/>
      <c r="AA212" s="30">
        <v>6.62</v>
      </c>
      <c r="AB212" s="9"/>
      <c r="AC212" s="30">
        <v>0.7</v>
      </c>
      <c r="AD212" s="9"/>
      <c r="AE212" s="30">
        <v>4.9000000000000004</v>
      </c>
      <c r="AF212" s="9"/>
      <c r="AG212" s="30">
        <v>0</v>
      </c>
      <c r="AH212" s="9"/>
      <c r="AI212" s="32">
        <v>171.7</v>
      </c>
      <c r="AJ212" s="12"/>
      <c r="AK212" s="22">
        <v>3478965</v>
      </c>
      <c r="AM212" s="22">
        <v>266543</v>
      </c>
      <c r="AO212" s="22">
        <v>7788</v>
      </c>
      <c r="AQ212" s="22">
        <v>290607</v>
      </c>
      <c r="AS212" s="26">
        <v>4043903</v>
      </c>
      <c r="AU212" s="23">
        <v>14.9603</v>
      </c>
      <c r="AW212" s="23">
        <v>22.317900000000002</v>
      </c>
      <c r="AY212" s="23">
        <v>3.3500000000000002E-2</v>
      </c>
      <c r="BA212" s="23">
        <v>40.000999999999998</v>
      </c>
      <c r="BC212" s="24">
        <v>16.0153</v>
      </c>
      <c r="BE212" s="1" t="str">
        <f t="shared" si="3"/>
        <v>No</v>
      </c>
    </row>
    <row r="213" spans="1:57" ht="11.25" customHeight="1">
      <c r="A213" s="7" t="s">
        <v>491</v>
      </c>
      <c r="B213" s="7" t="s">
        <v>492</v>
      </c>
      <c r="C213" s="37" t="s">
        <v>73</v>
      </c>
      <c r="D213" s="296">
        <v>5017</v>
      </c>
      <c r="E213" s="297">
        <v>50017</v>
      </c>
      <c r="F213" s="27" t="s">
        <v>165</v>
      </c>
      <c r="G213" s="73" t="s">
        <v>158</v>
      </c>
      <c r="H213" s="35">
        <v>724091</v>
      </c>
      <c r="I213" s="35">
        <v>178</v>
      </c>
      <c r="J213" s="37" t="s">
        <v>7</v>
      </c>
      <c r="K213" s="37" t="s">
        <v>159</v>
      </c>
      <c r="L213" s="8">
        <v>98</v>
      </c>
      <c r="M213" s="8">
        <v>586237</v>
      </c>
      <c r="N213" s="9"/>
      <c r="O213" s="8">
        <v>107666</v>
      </c>
      <c r="P213" s="9"/>
      <c r="Q213" s="8">
        <v>23929</v>
      </c>
      <c r="R213" s="9"/>
      <c r="S213" s="8">
        <v>76153</v>
      </c>
      <c r="T213" s="9"/>
      <c r="U213" s="8">
        <v>2227</v>
      </c>
      <c r="V213" s="9"/>
      <c r="W213" s="33">
        <v>796212</v>
      </c>
      <c r="X213" s="9"/>
      <c r="Y213" s="30">
        <v>276.10000000000002</v>
      </c>
      <c r="Z213" s="9"/>
      <c r="AA213" s="30">
        <v>51</v>
      </c>
      <c r="AB213" s="9"/>
      <c r="AC213" s="30">
        <v>13.3</v>
      </c>
      <c r="AD213" s="9"/>
      <c r="AE213" s="30">
        <v>44</v>
      </c>
      <c r="AF213" s="9"/>
      <c r="AG213" s="30">
        <v>1.1000000000000001</v>
      </c>
      <c r="AH213" s="9"/>
      <c r="AI213" s="32">
        <v>385.5</v>
      </c>
      <c r="AJ213" s="12"/>
      <c r="AK213" s="22">
        <v>13243477</v>
      </c>
      <c r="AM213" s="22">
        <v>2737679</v>
      </c>
      <c r="AO213" s="22">
        <v>640187</v>
      </c>
      <c r="AQ213" s="22">
        <v>1925242</v>
      </c>
      <c r="AS213" s="26">
        <v>18546585</v>
      </c>
      <c r="AU213" s="23">
        <v>22.590699999999998</v>
      </c>
      <c r="AW213" s="23">
        <v>25.427499999999998</v>
      </c>
      <c r="AY213" s="23">
        <v>1.0920000000000001</v>
      </c>
      <c r="BA213" s="23">
        <v>25.281199999999998</v>
      </c>
      <c r="BC213" s="24">
        <v>23.293500000000002</v>
      </c>
      <c r="BE213" s="1" t="str">
        <f t="shared" si="3"/>
        <v>No</v>
      </c>
    </row>
    <row r="214" spans="1:57" ht="11.25" customHeight="1">
      <c r="A214" s="7" t="s">
        <v>491</v>
      </c>
      <c r="B214" s="7" t="s">
        <v>492</v>
      </c>
      <c r="C214" s="37" t="s">
        <v>73</v>
      </c>
      <c r="D214" s="296">
        <v>5017</v>
      </c>
      <c r="E214" s="297">
        <v>50017</v>
      </c>
      <c r="F214" s="27" t="s">
        <v>165</v>
      </c>
      <c r="G214" s="73" t="s">
        <v>158</v>
      </c>
      <c r="H214" s="35">
        <v>724091</v>
      </c>
      <c r="I214" s="35">
        <v>178</v>
      </c>
      <c r="J214" s="37" t="s">
        <v>10</v>
      </c>
      <c r="K214" s="37" t="s">
        <v>159</v>
      </c>
      <c r="L214" s="8">
        <v>54</v>
      </c>
      <c r="M214" s="8">
        <v>251737</v>
      </c>
      <c r="N214" s="9"/>
      <c r="O214" s="8">
        <v>41907</v>
      </c>
      <c r="P214" s="9"/>
      <c r="Q214" s="8">
        <v>12050</v>
      </c>
      <c r="R214" s="9"/>
      <c r="S214" s="8">
        <v>46446</v>
      </c>
      <c r="T214" s="9"/>
      <c r="U214" s="8">
        <v>1268</v>
      </c>
      <c r="V214" s="9"/>
      <c r="W214" s="33">
        <v>353408</v>
      </c>
      <c r="X214" s="9"/>
      <c r="Y214" s="30">
        <v>106.6</v>
      </c>
      <c r="Z214" s="9"/>
      <c r="AA214" s="30">
        <v>19.899999999999999</v>
      </c>
      <c r="AB214" s="9"/>
      <c r="AC214" s="30">
        <v>6.1</v>
      </c>
      <c r="AD214" s="9"/>
      <c r="AE214" s="30">
        <v>23.9</v>
      </c>
      <c r="AF214" s="9"/>
      <c r="AG214" s="30">
        <v>0.8</v>
      </c>
      <c r="AH214" s="9"/>
      <c r="AI214" s="32">
        <v>157.30000000000001</v>
      </c>
      <c r="AJ214" s="12"/>
      <c r="AK214" s="22">
        <v>3716615</v>
      </c>
      <c r="AM214" s="22">
        <v>911632</v>
      </c>
      <c r="AO214" s="22">
        <v>338161</v>
      </c>
      <c r="AQ214" s="22">
        <v>1141230</v>
      </c>
      <c r="AS214" s="26">
        <v>6107638</v>
      </c>
      <c r="AU214" s="23">
        <v>14.7639</v>
      </c>
      <c r="AW214" s="23">
        <v>21.753699999999998</v>
      </c>
      <c r="AY214" s="23">
        <v>1.3432999999999999</v>
      </c>
      <c r="BA214" s="23">
        <v>24.571100000000001</v>
      </c>
      <c r="BC214" s="24">
        <v>17.2821</v>
      </c>
      <c r="BE214" s="1" t="str">
        <f t="shared" si="3"/>
        <v>No</v>
      </c>
    </row>
    <row r="215" spans="1:57" ht="11.25" customHeight="1">
      <c r="A215" s="7" t="s">
        <v>703</v>
      </c>
      <c r="B215" s="7" t="s">
        <v>704</v>
      </c>
      <c r="C215" s="37" t="s">
        <v>77</v>
      </c>
      <c r="D215" s="296">
        <v>3027</v>
      </c>
      <c r="E215" s="297">
        <v>30027</v>
      </c>
      <c r="F215" s="27" t="s">
        <v>165</v>
      </c>
      <c r="G215" s="73" t="s">
        <v>158</v>
      </c>
      <c r="H215" s="35">
        <v>232045</v>
      </c>
      <c r="I215" s="35">
        <v>178</v>
      </c>
      <c r="J215" s="37" t="s">
        <v>7</v>
      </c>
      <c r="K215" s="37" t="s">
        <v>159</v>
      </c>
      <c r="L215" s="8">
        <v>35</v>
      </c>
      <c r="M215" s="8">
        <v>151147</v>
      </c>
      <c r="N215" s="9"/>
      <c r="O215" s="8">
        <v>23630</v>
      </c>
      <c r="P215" s="9"/>
      <c r="Q215" s="8">
        <v>2691</v>
      </c>
      <c r="R215" s="9"/>
      <c r="S215" s="8">
        <v>15374</v>
      </c>
      <c r="T215" s="9"/>
      <c r="U215" s="8">
        <v>0</v>
      </c>
      <c r="V215" s="9"/>
      <c r="W215" s="33">
        <v>192842</v>
      </c>
      <c r="X215" s="9"/>
      <c r="Y215" s="30">
        <v>79.319999999999993</v>
      </c>
      <c r="Z215" s="9"/>
      <c r="AA215" s="30">
        <v>13.13</v>
      </c>
      <c r="AB215" s="9"/>
      <c r="AC215" s="30">
        <v>2</v>
      </c>
      <c r="AD215" s="9"/>
      <c r="AE215" s="30">
        <v>9.1</v>
      </c>
      <c r="AF215" s="9"/>
      <c r="AG215" s="30">
        <v>0</v>
      </c>
      <c r="AH215" s="9"/>
      <c r="AI215" s="32">
        <v>103.55</v>
      </c>
      <c r="AJ215" s="12"/>
      <c r="AK215" s="22">
        <v>3183331</v>
      </c>
      <c r="AM215" s="22">
        <v>465192</v>
      </c>
      <c r="AO215" s="22">
        <v>26042</v>
      </c>
      <c r="AQ215" s="22">
        <v>479251</v>
      </c>
      <c r="AS215" s="26">
        <v>4153816</v>
      </c>
      <c r="AU215" s="23">
        <v>21.061199999999999</v>
      </c>
      <c r="AW215" s="23">
        <v>19.686499999999999</v>
      </c>
      <c r="AY215" s="23">
        <v>0.17230000000000001</v>
      </c>
      <c r="BA215" s="23">
        <v>31.172799999999999</v>
      </c>
      <c r="BC215" s="24">
        <v>21.54</v>
      </c>
      <c r="BE215" s="1" t="str">
        <f t="shared" si="3"/>
        <v>No</v>
      </c>
    </row>
    <row r="216" spans="1:57" ht="11.25" customHeight="1">
      <c r="A216" s="7" t="s">
        <v>491</v>
      </c>
      <c r="B216" s="7" t="s">
        <v>492</v>
      </c>
      <c r="C216" s="37" t="s">
        <v>73</v>
      </c>
      <c r="D216" s="296">
        <v>5017</v>
      </c>
      <c r="E216" s="297">
        <v>50017</v>
      </c>
      <c r="F216" s="27" t="s">
        <v>165</v>
      </c>
      <c r="G216" s="73" t="s">
        <v>158</v>
      </c>
      <c r="H216" s="35">
        <v>724091</v>
      </c>
      <c r="I216" s="35">
        <v>178</v>
      </c>
      <c r="J216" s="37" t="s">
        <v>25</v>
      </c>
      <c r="K216" s="37" t="s">
        <v>159</v>
      </c>
      <c r="L216" s="8">
        <v>26</v>
      </c>
      <c r="M216" s="8">
        <v>104886</v>
      </c>
      <c r="N216" s="9"/>
      <c r="O216" s="8">
        <v>38809</v>
      </c>
      <c r="P216" s="9"/>
      <c r="Q216" s="8">
        <v>32598</v>
      </c>
      <c r="R216" s="9"/>
      <c r="S216" s="8">
        <v>20579</v>
      </c>
      <c r="T216" s="9"/>
      <c r="U216" s="8">
        <v>967</v>
      </c>
      <c r="V216" s="9"/>
      <c r="W216" s="33">
        <v>197839</v>
      </c>
      <c r="X216" s="9"/>
      <c r="Y216" s="30">
        <v>51.6</v>
      </c>
      <c r="Z216" s="9"/>
      <c r="AA216" s="30">
        <v>19.3</v>
      </c>
      <c r="AB216" s="9"/>
      <c r="AC216" s="30">
        <v>18.899999999999999</v>
      </c>
      <c r="AD216" s="9"/>
      <c r="AE216" s="30">
        <v>11.7</v>
      </c>
      <c r="AF216" s="9"/>
      <c r="AG216" s="30">
        <v>0.6</v>
      </c>
      <c r="AH216" s="9"/>
      <c r="AI216" s="32">
        <v>102.1</v>
      </c>
      <c r="AJ216" s="12"/>
      <c r="AK216" s="22">
        <v>2353972</v>
      </c>
      <c r="AM216" s="22">
        <v>846655</v>
      </c>
      <c r="AO216" s="22">
        <v>810783</v>
      </c>
      <c r="AQ216" s="22">
        <v>511567</v>
      </c>
      <c r="AS216" s="26">
        <v>4522977</v>
      </c>
      <c r="AU216" s="23">
        <v>22.443100000000001</v>
      </c>
      <c r="AW216" s="23">
        <v>21.815899999999999</v>
      </c>
      <c r="AY216" s="23">
        <v>7.7301000000000002</v>
      </c>
      <c r="BA216" s="23">
        <v>24.858699999999999</v>
      </c>
      <c r="BC216" s="24">
        <v>22.861899999999999</v>
      </c>
      <c r="BE216" s="1" t="str">
        <f t="shared" si="3"/>
        <v>No</v>
      </c>
    </row>
    <row r="217" spans="1:57" ht="11.25" customHeight="1">
      <c r="A217" s="7" t="s">
        <v>703</v>
      </c>
      <c r="B217" s="7" t="s">
        <v>704</v>
      </c>
      <c r="C217" s="37" t="s">
        <v>77</v>
      </c>
      <c r="D217" s="296">
        <v>3027</v>
      </c>
      <c r="E217" s="297">
        <v>30027</v>
      </c>
      <c r="F217" s="27" t="s">
        <v>165</v>
      </c>
      <c r="G217" s="73" t="s">
        <v>158</v>
      </c>
      <c r="H217" s="35">
        <v>232045</v>
      </c>
      <c r="I217" s="35">
        <v>178</v>
      </c>
      <c r="J217" s="37" t="s">
        <v>18</v>
      </c>
      <c r="K217" s="37" t="s">
        <v>159</v>
      </c>
      <c r="L217" s="8">
        <v>9</v>
      </c>
      <c r="M217" s="8">
        <v>21423</v>
      </c>
      <c r="N217" s="9"/>
      <c r="O217" s="8">
        <v>2293</v>
      </c>
      <c r="P217" s="9"/>
      <c r="Q217" s="8">
        <v>382</v>
      </c>
      <c r="R217" s="9"/>
      <c r="S217" s="8">
        <v>1655</v>
      </c>
      <c r="T217" s="9"/>
      <c r="U217" s="8">
        <v>0</v>
      </c>
      <c r="V217" s="9"/>
      <c r="W217" s="33">
        <v>25753</v>
      </c>
      <c r="X217" s="9"/>
      <c r="Y217" s="30">
        <v>12.2</v>
      </c>
      <c r="Z217" s="9"/>
      <c r="AA217" s="30">
        <v>1.26</v>
      </c>
      <c r="AB217" s="9"/>
      <c r="AC217" s="30">
        <v>0.3</v>
      </c>
      <c r="AD217" s="9"/>
      <c r="AE217" s="30">
        <v>1</v>
      </c>
      <c r="AF217" s="9"/>
      <c r="AG217" s="30">
        <v>0</v>
      </c>
      <c r="AH217" s="9"/>
      <c r="AI217" s="32">
        <v>14.76</v>
      </c>
      <c r="AJ217" s="12"/>
      <c r="AK217" s="22">
        <v>390023</v>
      </c>
      <c r="AM217" s="22">
        <v>61230</v>
      </c>
      <c r="AO217" s="22">
        <v>3428</v>
      </c>
      <c r="AQ217" s="22">
        <v>63080</v>
      </c>
      <c r="AS217" s="26">
        <v>517761</v>
      </c>
      <c r="AU217" s="23">
        <v>18.2058</v>
      </c>
      <c r="AW217" s="23">
        <v>26.702999999999999</v>
      </c>
      <c r="AY217" s="23">
        <v>0.16</v>
      </c>
      <c r="BA217" s="23">
        <v>38.114800000000002</v>
      </c>
      <c r="BC217" s="24">
        <v>20.104900000000001</v>
      </c>
      <c r="BE217" s="1" t="str">
        <f t="shared" si="3"/>
        <v>No</v>
      </c>
    </row>
    <row r="218" spans="1:57" ht="11.25" customHeight="1">
      <c r="A218" s="7" t="s">
        <v>248</v>
      </c>
      <c r="B218" s="7" t="s">
        <v>249</v>
      </c>
      <c r="C218" s="37" t="s">
        <v>52</v>
      </c>
      <c r="D218" s="296">
        <v>5036</v>
      </c>
      <c r="E218" s="297">
        <v>50036</v>
      </c>
      <c r="F218" s="27" t="s">
        <v>165</v>
      </c>
      <c r="G218" s="73" t="s">
        <v>158</v>
      </c>
      <c r="H218" s="35">
        <v>313532</v>
      </c>
      <c r="I218" s="35">
        <v>176</v>
      </c>
      <c r="J218" s="37" t="s">
        <v>7</v>
      </c>
      <c r="K218" s="37" t="s">
        <v>159</v>
      </c>
      <c r="L218" s="8">
        <v>76</v>
      </c>
      <c r="M218" s="8">
        <v>340702</v>
      </c>
      <c r="N218" s="9"/>
      <c r="O218" s="8">
        <v>57678</v>
      </c>
      <c r="P218" s="9"/>
      <c r="Q218" s="8">
        <v>11625</v>
      </c>
      <c r="R218" s="9"/>
      <c r="S218" s="8">
        <v>51000</v>
      </c>
      <c r="T218" s="9"/>
      <c r="U218" s="8">
        <v>0</v>
      </c>
      <c r="V218" s="9"/>
      <c r="W218" s="33">
        <v>461005</v>
      </c>
      <c r="X218" s="9"/>
      <c r="Y218" s="30">
        <v>174</v>
      </c>
      <c r="Z218" s="9"/>
      <c r="AA218" s="30">
        <v>29</v>
      </c>
      <c r="AB218" s="9"/>
      <c r="AC218" s="30">
        <v>7</v>
      </c>
      <c r="AD218" s="9"/>
      <c r="AE218" s="30">
        <v>38.299999999999997</v>
      </c>
      <c r="AF218" s="9"/>
      <c r="AG218" s="30">
        <v>0</v>
      </c>
      <c r="AH218" s="9"/>
      <c r="AI218" s="32">
        <v>248.3</v>
      </c>
      <c r="AJ218" s="12"/>
      <c r="AK218" s="22">
        <v>10067689</v>
      </c>
      <c r="AM218" s="22">
        <v>1672663</v>
      </c>
      <c r="AO218" s="22">
        <v>220810</v>
      </c>
      <c r="AQ218" s="22">
        <v>1019707</v>
      </c>
      <c r="AS218" s="26">
        <v>12980869</v>
      </c>
      <c r="AU218" s="23">
        <v>29.549800000000001</v>
      </c>
      <c r="AW218" s="23">
        <v>29</v>
      </c>
      <c r="AY218" s="23">
        <v>0.64810000000000001</v>
      </c>
      <c r="BA218" s="23">
        <v>19.994299999999999</v>
      </c>
      <c r="BC218" s="24">
        <v>28.157800000000002</v>
      </c>
      <c r="BE218" s="1" t="str">
        <f t="shared" si="3"/>
        <v>No</v>
      </c>
    </row>
    <row r="219" spans="1:57" ht="11.25" customHeight="1">
      <c r="A219" s="7" t="s">
        <v>318</v>
      </c>
      <c r="B219" s="7" t="s">
        <v>319</v>
      </c>
      <c r="C219" s="37" t="s">
        <v>89</v>
      </c>
      <c r="D219" s="296">
        <v>24</v>
      </c>
      <c r="E219" s="297">
        <v>24</v>
      </c>
      <c r="F219" s="27" t="s">
        <v>165</v>
      </c>
      <c r="G219" s="73" t="s">
        <v>158</v>
      </c>
      <c r="H219" s="35">
        <v>1849898</v>
      </c>
      <c r="I219" s="35">
        <v>176</v>
      </c>
      <c r="J219" s="37" t="s">
        <v>7</v>
      </c>
      <c r="K219" s="37" t="s">
        <v>159</v>
      </c>
      <c r="L219" s="8">
        <v>56</v>
      </c>
      <c r="M219" s="8">
        <v>323865</v>
      </c>
      <c r="N219" s="9"/>
      <c r="O219" s="8">
        <v>54082</v>
      </c>
      <c r="P219" s="9"/>
      <c r="Q219" s="8">
        <v>11293</v>
      </c>
      <c r="R219" s="9"/>
      <c r="S219" s="8">
        <v>66476</v>
      </c>
      <c r="T219" s="9"/>
      <c r="U219" s="8">
        <v>3088</v>
      </c>
      <c r="V219" s="9"/>
      <c r="W219" s="33">
        <v>458804</v>
      </c>
      <c r="X219" s="9"/>
      <c r="Y219" s="30">
        <v>176</v>
      </c>
      <c r="Z219" s="9"/>
      <c r="AA219" s="30">
        <v>29.35</v>
      </c>
      <c r="AB219" s="9"/>
      <c r="AC219" s="30">
        <v>6.04</v>
      </c>
      <c r="AD219" s="9"/>
      <c r="AE219" s="30">
        <v>38.28</v>
      </c>
      <c r="AF219" s="9"/>
      <c r="AG219" s="30">
        <v>2</v>
      </c>
      <c r="AH219" s="9"/>
      <c r="AI219" s="32">
        <v>251.67</v>
      </c>
      <c r="AJ219" s="12"/>
      <c r="AK219" s="22">
        <v>8932814</v>
      </c>
      <c r="AM219" s="22">
        <v>1512949</v>
      </c>
      <c r="AO219" s="22">
        <v>297671</v>
      </c>
      <c r="AQ219" s="22">
        <v>2131477</v>
      </c>
      <c r="AS219" s="26">
        <v>12874911</v>
      </c>
      <c r="AU219" s="23">
        <v>27.581900000000001</v>
      </c>
      <c r="AW219" s="23">
        <v>27.975100000000001</v>
      </c>
      <c r="AY219" s="23">
        <v>0.91910000000000003</v>
      </c>
      <c r="BA219" s="23">
        <v>32.063899999999997</v>
      </c>
      <c r="BC219" s="24">
        <v>28.061900000000001</v>
      </c>
      <c r="BE219" s="1" t="str">
        <f t="shared" si="3"/>
        <v>No</v>
      </c>
    </row>
    <row r="220" spans="1:57" ht="11.25" customHeight="1">
      <c r="A220" s="7" t="s">
        <v>318</v>
      </c>
      <c r="B220" s="7" t="s">
        <v>319</v>
      </c>
      <c r="C220" s="37" t="s">
        <v>89</v>
      </c>
      <c r="D220" s="296">
        <v>24</v>
      </c>
      <c r="E220" s="297">
        <v>24</v>
      </c>
      <c r="F220" s="27" t="s">
        <v>165</v>
      </c>
      <c r="G220" s="73" t="s">
        <v>158</v>
      </c>
      <c r="H220" s="35">
        <v>1849898</v>
      </c>
      <c r="I220" s="35">
        <v>176</v>
      </c>
      <c r="J220" s="37" t="s">
        <v>10</v>
      </c>
      <c r="K220" s="37" t="s">
        <v>159</v>
      </c>
      <c r="L220" s="8">
        <v>46</v>
      </c>
      <c r="M220" s="8">
        <v>155147</v>
      </c>
      <c r="N220" s="9"/>
      <c r="O220" s="8">
        <v>13161</v>
      </c>
      <c r="P220" s="9"/>
      <c r="Q220" s="8">
        <v>4749</v>
      </c>
      <c r="R220" s="9"/>
      <c r="S220" s="8">
        <v>28751</v>
      </c>
      <c r="T220" s="9"/>
      <c r="U220" s="8">
        <v>0</v>
      </c>
      <c r="V220" s="9"/>
      <c r="W220" s="33">
        <v>201808</v>
      </c>
      <c r="X220" s="9"/>
      <c r="Y220" s="30">
        <v>81.96</v>
      </c>
      <c r="Z220" s="9"/>
      <c r="AA220" s="30">
        <v>7.47</v>
      </c>
      <c r="AB220" s="9"/>
      <c r="AC220" s="30">
        <v>2.62</v>
      </c>
      <c r="AD220" s="9"/>
      <c r="AE220" s="30">
        <v>16.62</v>
      </c>
      <c r="AF220" s="9"/>
      <c r="AG220" s="30">
        <v>0</v>
      </c>
      <c r="AH220" s="9"/>
      <c r="AI220" s="32">
        <v>108.67</v>
      </c>
      <c r="AJ220" s="12"/>
      <c r="AK220" s="22">
        <v>3712756</v>
      </c>
      <c r="AM220" s="22">
        <v>407525</v>
      </c>
      <c r="AO220" s="22">
        <v>126136</v>
      </c>
      <c r="AQ220" s="22">
        <v>918898</v>
      </c>
      <c r="AS220" s="26">
        <v>5165315</v>
      </c>
      <c r="AU220" s="23">
        <v>23.930599999999998</v>
      </c>
      <c r="AW220" s="23">
        <v>30.964600000000001</v>
      </c>
      <c r="AY220" s="23">
        <v>0.81299999999999994</v>
      </c>
      <c r="BA220" s="23">
        <v>31.960599999999999</v>
      </c>
      <c r="BC220" s="24">
        <v>25.595199999999998</v>
      </c>
      <c r="BE220" s="1" t="str">
        <f t="shared" si="3"/>
        <v>No</v>
      </c>
    </row>
    <row r="221" spans="1:57" ht="11.25" customHeight="1">
      <c r="A221" s="7" t="s">
        <v>318</v>
      </c>
      <c r="B221" s="7" t="s">
        <v>319</v>
      </c>
      <c r="C221" s="37" t="s">
        <v>89</v>
      </c>
      <c r="D221" s="296">
        <v>24</v>
      </c>
      <c r="E221" s="297">
        <v>24</v>
      </c>
      <c r="F221" s="27" t="s">
        <v>165</v>
      </c>
      <c r="G221" s="73" t="s">
        <v>158</v>
      </c>
      <c r="H221" s="35">
        <v>1849898</v>
      </c>
      <c r="I221" s="35">
        <v>176</v>
      </c>
      <c r="J221" s="37" t="s">
        <v>18</v>
      </c>
      <c r="K221" s="37" t="s">
        <v>159</v>
      </c>
      <c r="L221" s="8">
        <v>41</v>
      </c>
      <c r="M221" s="8">
        <v>68143</v>
      </c>
      <c r="N221" s="9"/>
      <c r="O221" s="8">
        <v>11379</v>
      </c>
      <c r="P221" s="9"/>
      <c r="Q221" s="8">
        <v>2376</v>
      </c>
      <c r="R221" s="9"/>
      <c r="S221" s="8">
        <v>13987</v>
      </c>
      <c r="T221" s="9"/>
      <c r="U221" s="8">
        <v>0</v>
      </c>
      <c r="V221" s="9"/>
      <c r="W221" s="33">
        <v>95885</v>
      </c>
      <c r="X221" s="9"/>
      <c r="Y221" s="30">
        <v>37.04</v>
      </c>
      <c r="Z221" s="9"/>
      <c r="AA221" s="30">
        <v>6.18</v>
      </c>
      <c r="AB221" s="9"/>
      <c r="AC221" s="30">
        <v>1.27</v>
      </c>
      <c r="AD221" s="9"/>
      <c r="AE221" s="30">
        <v>8.06</v>
      </c>
      <c r="AF221" s="9"/>
      <c r="AG221" s="30">
        <v>0</v>
      </c>
      <c r="AH221" s="9"/>
      <c r="AI221" s="32">
        <v>52.55</v>
      </c>
      <c r="AJ221" s="12"/>
      <c r="AK221" s="22">
        <v>1879499</v>
      </c>
      <c r="AM221" s="22">
        <v>318330</v>
      </c>
      <c r="AO221" s="22">
        <v>62631</v>
      </c>
      <c r="AQ221" s="22">
        <v>448471</v>
      </c>
      <c r="AS221" s="26">
        <v>2708931</v>
      </c>
      <c r="AU221" s="23">
        <v>27.581700000000001</v>
      </c>
      <c r="AW221" s="23">
        <v>27.975200000000001</v>
      </c>
      <c r="AY221" s="23">
        <v>0.91910000000000003</v>
      </c>
      <c r="BA221" s="23">
        <v>32.063400000000001</v>
      </c>
      <c r="BC221" s="24">
        <v>28.251899999999999</v>
      </c>
      <c r="BE221" s="1" t="str">
        <f t="shared" si="3"/>
        <v>No</v>
      </c>
    </row>
    <row r="222" spans="1:57" ht="11.25" customHeight="1">
      <c r="A222" s="7" t="s">
        <v>248</v>
      </c>
      <c r="B222" s="7" t="s">
        <v>249</v>
      </c>
      <c r="C222" s="37" t="s">
        <v>52</v>
      </c>
      <c r="D222" s="296">
        <v>5036</v>
      </c>
      <c r="E222" s="297">
        <v>50036</v>
      </c>
      <c r="F222" s="27" t="s">
        <v>165</v>
      </c>
      <c r="G222" s="73" t="s">
        <v>158</v>
      </c>
      <c r="H222" s="35">
        <v>313532</v>
      </c>
      <c r="I222" s="35">
        <v>176</v>
      </c>
      <c r="J222" s="37" t="s">
        <v>10</v>
      </c>
      <c r="K222" s="37" t="s">
        <v>159</v>
      </c>
      <c r="L222" s="8">
        <v>37</v>
      </c>
      <c r="M222" s="8">
        <v>85264</v>
      </c>
      <c r="N222" s="9"/>
      <c r="O222" s="8">
        <v>8058</v>
      </c>
      <c r="P222" s="9"/>
      <c r="Q222" s="8">
        <v>0</v>
      </c>
      <c r="R222" s="9"/>
      <c r="S222" s="8">
        <v>18124</v>
      </c>
      <c r="T222" s="9"/>
      <c r="U222" s="8">
        <v>0</v>
      </c>
      <c r="V222" s="9"/>
      <c r="W222" s="33">
        <v>111446</v>
      </c>
      <c r="X222" s="9"/>
      <c r="Y222" s="30">
        <v>45</v>
      </c>
      <c r="Z222" s="9"/>
      <c r="AA222" s="30">
        <v>4</v>
      </c>
      <c r="AB222" s="9"/>
      <c r="AC222" s="30">
        <v>0</v>
      </c>
      <c r="AD222" s="9"/>
      <c r="AE222" s="30">
        <v>10.45</v>
      </c>
      <c r="AF222" s="9"/>
      <c r="AG222" s="30">
        <v>0</v>
      </c>
      <c r="AH222" s="9"/>
      <c r="AI222" s="32">
        <v>59.45</v>
      </c>
      <c r="AJ222" s="12"/>
      <c r="AK222" s="22">
        <v>2426734</v>
      </c>
      <c r="AM222" s="22">
        <v>209601</v>
      </c>
      <c r="AO222" s="22">
        <v>0</v>
      </c>
      <c r="AQ222" s="22">
        <v>318600</v>
      </c>
      <c r="AS222" s="26">
        <v>2954935</v>
      </c>
      <c r="AU222" s="23">
        <v>28.461400000000001</v>
      </c>
      <c r="AW222" s="23">
        <v>26.011500000000002</v>
      </c>
      <c r="AY222" s="23">
        <v>0</v>
      </c>
      <c r="BA222" s="23">
        <v>17.578900000000001</v>
      </c>
      <c r="BC222" s="24">
        <v>26.514500000000002</v>
      </c>
      <c r="BE222" s="1" t="str">
        <f t="shared" si="3"/>
        <v>No</v>
      </c>
    </row>
    <row r="223" spans="1:57" ht="11.25" customHeight="1">
      <c r="A223" s="7" t="s">
        <v>318</v>
      </c>
      <c r="B223" s="7" t="s">
        <v>319</v>
      </c>
      <c r="C223" s="37" t="s">
        <v>89</v>
      </c>
      <c r="D223" s="296">
        <v>24</v>
      </c>
      <c r="E223" s="297">
        <v>24</v>
      </c>
      <c r="F223" s="27" t="s">
        <v>165</v>
      </c>
      <c r="G223" s="73" t="s">
        <v>158</v>
      </c>
      <c r="H223" s="35">
        <v>1849898</v>
      </c>
      <c r="I223" s="35">
        <v>176</v>
      </c>
      <c r="J223" s="37" t="s">
        <v>8</v>
      </c>
      <c r="K223" s="37" t="s">
        <v>159</v>
      </c>
      <c r="L223" s="8">
        <v>33</v>
      </c>
      <c r="M223" s="8">
        <v>0</v>
      </c>
      <c r="N223" s="9"/>
      <c r="O223" s="8">
        <v>9</v>
      </c>
      <c r="P223" s="9"/>
      <c r="Q223" s="8">
        <v>136</v>
      </c>
      <c r="R223" s="9"/>
      <c r="S223" s="8">
        <v>3762</v>
      </c>
      <c r="T223" s="9"/>
      <c r="U223" s="8">
        <v>0</v>
      </c>
      <c r="V223" s="9"/>
      <c r="W223" s="33">
        <v>3907</v>
      </c>
      <c r="X223" s="9"/>
      <c r="Y223" s="30">
        <v>0</v>
      </c>
      <c r="Z223" s="9"/>
      <c r="AA223" s="30">
        <v>0.01</v>
      </c>
      <c r="AB223" s="9"/>
      <c r="AC223" s="30">
        <v>7.0000000000000007E-2</v>
      </c>
      <c r="AD223" s="9"/>
      <c r="AE223" s="30">
        <v>2.04</v>
      </c>
      <c r="AF223" s="9"/>
      <c r="AG223" s="30">
        <v>0</v>
      </c>
      <c r="AH223" s="9"/>
      <c r="AI223" s="32">
        <v>2.12</v>
      </c>
      <c r="AJ223" s="12"/>
      <c r="AK223" s="22">
        <v>0</v>
      </c>
      <c r="AM223" s="22">
        <v>219</v>
      </c>
      <c r="AO223" s="22">
        <v>3462</v>
      </c>
      <c r="AQ223" s="22">
        <v>120034</v>
      </c>
      <c r="AS223" s="26">
        <v>123715</v>
      </c>
      <c r="AW223" s="23">
        <v>24.333300000000001</v>
      </c>
      <c r="BA223" s="23">
        <v>31.907</v>
      </c>
      <c r="BC223" s="24">
        <v>31.664999999999999</v>
      </c>
      <c r="BE223" s="1" t="str">
        <f t="shared" si="3"/>
        <v>No</v>
      </c>
    </row>
    <row r="224" spans="1:57" ht="11.25" customHeight="1">
      <c r="A224" s="7" t="s">
        <v>449</v>
      </c>
      <c r="B224" s="7" t="s">
        <v>450</v>
      </c>
      <c r="C224" s="37" t="s">
        <v>77</v>
      </c>
      <c r="D224" s="296">
        <v>3010</v>
      </c>
      <c r="E224" s="297">
        <v>30010</v>
      </c>
      <c r="F224" s="27" t="s">
        <v>165</v>
      </c>
      <c r="G224" s="73" t="s">
        <v>158</v>
      </c>
      <c r="H224" s="35">
        <v>664651</v>
      </c>
      <c r="I224" s="35">
        <v>175</v>
      </c>
      <c r="J224" s="37" t="s">
        <v>7</v>
      </c>
      <c r="K224" s="37" t="s">
        <v>159</v>
      </c>
      <c r="L224" s="8">
        <v>71</v>
      </c>
      <c r="M224" s="8">
        <v>363095</v>
      </c>
      <c r="N224" s="9"/>
      <c r="O224" s="8">
        <v>55571</v>
      </c>
      <c r="P224" s="9"/>
      <c r="Q224" s="8">
        <v>20</v>
      </c>
      <c r="R224" s="9"/>
      <c r="S224" s="8">
        <v>35412</v>
      </c>
      <c r="T224" s="9"/>
      <c r="U224" s="8">
        <v>0</v>
      </c>
      <c r="V224" s="9"/>
      <c r="W224" s="33">
        <v>454098</v>
      </c>
      <c r="X224" s="9"/>
      <c r="Y224" s="30">
        <v>168</v>
      </c>
      <c r="Z224" s="9"/>
      <c r="AA224" s="30">
        <v>34</v>
      </c>
      <c r="AB224" s="9"/>
      <c r="AC224" s="30">
        <v>1</v>
      </c>
      <c r="AD224" s="9"/>
      <c r="AE224" s="30">
        <v>26</v>
      </c>
      <c r="AF224" s="9"/>
      <c r="AG224" s="30">
        <v>0</v>
      </c>
      <c r="AH224" s="9"/>
      <c r="AI224" s="32">
        <v>229</v>
      </c>
      <c r="AJ224" s="12"/>
      <c r="AK224" s="22">
        <v>7392664</v>
      </c>
      <c r="AM224" s="22">
        <v>1234602</v>
      </c>
      <c r="AO224" s="22">
        <v>450</v>
      </c>
      <c r="AQ224" s="22">
        <v>708376</v>
      </c>
      <c r="AS224" s="26">
        <v>9336092</v>
      </c>
      <c r="AU224" s="23">
        <v>20.360099999999999</v>
      </c>
      <c r="AW224" s="23">
        <v>22.216699999999999</v>
      </c>
      <c r="AY224" s="23">
        <v>1.1999999999999999E-3</v>
      </c>
      <c r="BA224" s="23">
        <v>20.003799999999998</v>
      </c>
      <c r="BC224" s="24">
        <v>20.5596</v>
      </c>
      <c r="BE224" s="1" t="str">
        <f t="shared" si="3"/>
        <v>No</v>
      </c>
    </row>
    <row r="225" spans="1:57" ht="11.25" customHeight="1">
      <c r="A225" s="7" t="s">
        <v>166</v>
      </c>
      <c r="B225" s="7" t="s">
        <v>167</v>
      </c>
      <c r="C225" s="37" t="s">
        <v>17</v>
      </c>
      <c r="D225" s="296">
        <v>9008</v>
      </c>
      <c r="E225" s="297">
        <v>90008</v>
      </c>
      <c r="F225" s="27" t="s">
        <v>162</v>
      </c>
      <c r="G225" s="73" t="s">
        <v>158</v>
      </c>
      <c r="H225" s="35">
        <v>12150996</v>
      </c>
      <c r="I225" s="35">
        <v>173</v>
      </c>
      <c r="J225" s="37" t="s">
        <v>7</v>
      </c>
      <c r="K225" s="37" t="s">
        <v>159</v>
      </c>
      <c r="L225" s="8">
        <v>167</v>
      </c>
      <c r="M225" s="8">
        <v>753803</v>
      </c>
      <c r="N225" s="9"/>
      <c r="O225" s="8">
        <v>136538</v>
      </c>
      <c r="P225" s="9"/>
      <c r="Q225" s="8">
        <v>8095</v>
      </c>
      <c r="R225" s="9"/>
      <c r="S225" s="8">
        <v>55714</v>
      </c>
      <c r="T225" s="9"/>
      <c r="U225" s="8">
        <v>14292</v>
      </c>
      <c r="V225" s="9"/>
      <c r="W225" s="33">
        <v>968442</v>
      </c>
      <c r="X225" s="9"/>
      <c r="Y225" s="30">
        <v>371.8</v>
      </c>
      <c r="Z225" s="9"/>
      <c r="AA225" s="30">
        <v>81.650000000000006</v>
      </c>
      <c r="AB225" s="9"/>
      <c r="AC225" s="30">
        <v>7.35</v>
      </c>
      <c r="AD225" s="9"/>
      <c r="AE225" s="30">
        <v>27.25</v>
      </c>
      <c r="AF225" s="9"/>
      <c r="AG225" s="30">
        <v>7.94</v>
      </c>
      <c r="AH225" s="9"/>
      <c r="AI225" s="32">
        <v>495.99</v>
      </c>
      <c r="AJ225" s="12"/>
      <c r="AK225" s="22">
        <v>24844962</v>
      </c>
      <c r="AM225" s="22">
        <v>4821231</v>
      </c>
      <c r="AO225" s="22">
        <v>360287</v>
      </c>
      <c r="AQ225" s="22">
        <v>2156616</v>
      </c>
      <c r="AS225" s="26">
        <v>32183096</v>
      </c>
      <c r="AU225" s="23">
        <v>32.959499999999998</v>
      </c>
      <c r="AW225" s="23">
        <v>35.310499999999998</v>
      </c>
      <c r="AY225" s="23">
        <v>0.47799999999999998</v>
      </c>
      <c r="BA225" s="23">
        <v>38.7087</v>
      </c>
      <c r="BC225" s="24">
        <v>33.2318</v>
      </c>
      <c r="BE225" s="1" t="str">
        <f t="shared" si="3"/>
        <v>No</v>
      </c>
    </row>
    <row r="226" spans="1:57" ht="11.25" customHeight="1">
      <c r="A226" s="7" t="s">
        <v>689</v>
      </c>
      <c r="B226" s="7" t="s">
        <v>690</v>
      </c>
      <c r="C226" s="37" t="s">
        <v>44</v>
      </c>
      <c r="D226" s="296">
        <v>7015</v>
      </c>
      <c r="E226" s="297">
        <v>70015</v>
      </c>
      <c r="F226" s="27" t="s">
        <v>162</v>
      </c>
      <c r="G226" s="73" t="s">
        <v>158</v>
      </c>
      <c r="H226" s="35">
        <v>472870</v>
      </c>
      <c r="I226" s="35">
        <v>170</v>
      </c>
      <c r="J226" s="37" t="s">
        <v>7</v>
      </c>
      <c r="K226" s="37" t="s">
        <v>159</v>
      </c>
      <c r="L226" s="8">
        <v>38</v>
      </c>
      <c r="M226" s="8">
        <v>144604</v>
      </c>
      <c r="N226" s="9"/>
      <c r="O226" s="8">
        <v>27460</v>
      </c>
      <c r="P226" s="9"/>
      <c r="Q226" s="8">
        <v>4310</v>
      </c>
      <c r="R226" s="9"/>
      <c r="S226" s="8">
        <v>24283</v>
      </c>
      <c r="T226" s="9"/>
      <c r="U226" s="8">
        <v>0</v>
      </c>
      <c r="V226" s="9"/>
      <c r="W226" s="33">
        <v>200657</v>
      </c>
      <c r="X226" s="9"/>
      <c r="Y226" s="30">
        <v>68.650000000000006</v>
      </c>
      <c r="Z226" s="9"/>
      <c r="AA226" s="30">
        <v>13.63</v>
      </c>
      <c r="AB226" s="9"/>
      <c r="AC226" s="30">
        <v>2.11</v>
      </c>
      <c r="AD226" s="9"/>
      <c r="AE226" s="30">
        <v>13.24</v>
      </c>
      <c r="AF226" s="9"/>
      <c r="AG226" s="30">
        <v>0</v>
      </c>
      <c r="AH226" s="9"/>
      <c r="AI226" s="32">
        <v>97.63</v>
      </c>
      <c r="AJ226" s="12"/>
      <c r="AK226" s="22">
        <v>2902229</v>
      </c>
      <c r="AM226" s="22">
        <v>698054</v>
      </c>
      <c r="AO226" s="22">
        <v>68468</v>
      </c>
      <c r="AQ226" s="22">
        <v>817994</v>
      </c>
      <c r="AS226" s="26">
        <v>4486745</v>
      </c>
      <c r="AU226" s="23">
        <v>20.0702</v>
      </c>
      <c r="AW226" s="23">
        <v>25.4208</v>
      </c>
      <c r="AY226" s="23">
        <v>0.47349999999999998</v>
      </c>
      <c r="BA226" s="23">
        <v>33.685899999999997</v>
      </c>
      <c r="BC226" s="24">
        <v>22.360299999999999</v>
      </c>
      <c r="BE226" s="1" t="str">
        <f t="shared" si="3"/>
        <v>No</v>
      </c>
    </row>
    <row r="227" spans="1:57" ht="11.25" customHeight="1">
      <c r="A227" s="7" t="s">
        <v>320</v>
      </c>
      <c r="B227" s="7" t="s">
        <v>321</v>
      </c>
      <c r="C227" s="37" t="s">
        <v>26</v>
      </c>
      <c r="D227" s="296">
        <v>8005</v>
      </c>
      <c r="E227" s="297">
        <v>80005</v>
      </c>
      <c r="F227" s="27" t="s">
        <v>162</v>
      </c>
      <c r="G227" s="73" t="s">
        <v>158</v>
      </c>
      <c r="H227" s="35">
        <v>559409</v>
      </c>
      <c r="I227" s="35">
        <v>170</v>
      </c>
      <c r="J227" s="37" t="s">
        <v>8</v>
      </c>
      <c r="K227" s="37" t="s">
        <v>159</v>
      </c>
      <c r="L227" s="8">
        <v>34</v>
      </c>
      <c r="M227" s="8">
        <v>0</v>
      </c>
      <c r="N227" s="9"/>
      <c r="O227" s="8">
        <v>2594</v>
      </c>
      <c r="P227" s="9"/>
      <c r="Q227" s="8">
        <v>528</v>
      </c>
      <c r="R227" s="9"/>
      <c r="S227" s="8">
        <v>4792</v>
      </c>
      <c r="T227" s="9"/>
      <c r="U227" s="8">
        <v>0</v>
      </c>
      <c r="V227" s="9"/>
      <c r="W227" s="33">
        <v>7914</v>
      </c>
      <c r="X227" s="9"/>
      <c r="Y227" s="30">
        <v>0</v>
      </c>
      <c r="Z227" s="9"/>
      <c r="AA227" s="30">
        <v>1.5</v>
      </c>
      <c r="AB227" s="9"/>
      <c r="AC227" s="30">
        <v>0.33</v>
      </c>
      <c r="AD227" s="9"/>
      <c r="AE227" s="30">
        <v>2.83</v>
      </c>
      <c r="AF227" s="9"/>
      <c r="AG227" s="30">
        <v>0</v>
      </c>
      <c r="AH227" s="9"/>
      <c r="AI227" s="32">
        <v>4.66</v>
      </c>
      <c r="AJ227" s="12"/>
      <c r="AK227" s="22">
        <v>0</v>
      </c>
      <c r="AM227" s="22">
        <v>48961</v>
      </c>
      <c r="AO227" s="22">
        <v>27591</v>
      </c>
      <c r="AQ227" s="22">
        <v>149684</v>
      </c>
      <c r="AS227" s="26">
        <v>226236</v>
      </c>
      <c r="AW227" s="23">
        <v>18.874700000000001</v>
      </c>
      <c r="BA227" s="23">
        <v>31.2362</v>
      </c>
      <c r="BC227" s="24">
        <v>28.5868</v>
      </c>
      <c r="BE227" s="1" t="str">
        <f t="shared" si="3"/>
        <v>No</v>
      </c>
    </row>
    <row r="228" spans="1:57" ht="11.25" customHeight="1">
      <c r="A228" s="7" t="s">
        <v>689</v>
      </c>
      <c r="B228" s="7" t="s">
        <v>690</v>
      </c>
      <c r="C228" s="37" t="s">
        <v>44</v>
      </c>
      <c r="D228" s="296">
        <v>7015</v>
      </c>
      <c r="E228" s="297">
        <v>70015</v>
      </c>
      <c r="F228" s="27" t="s">
        <v>162</v>
      </c>
      <c r="G228" s="73" t="s">
        <v>158</v>
      </c>
      <c r="H228" s="35">
        <v>472870</v>
      </c>
      <c r="I228" s="35">
        <v>170</v>
      </c>
      <c r="J228" s="37" t="s">
        <v>10</v>
      </c>
      <c r="K228" s="37" t="s">
        <v>159</v>
      </c>
      <c r="L228" s="8">
        <v>23</v>
      </c>
      <c r="M228" s="8">
        <v>46139</v>
      </c>
      <c r="N228" s="9"/>
      <c r="O228" s="8">
        <v>3781</v>
      </c>
      <c r="P228" s="9"/>
      <c r="Q228" s="8">
        <v>491</v>
      </c>
      <c r="R228" s="9"/>
      <c r="S228" s="8">
        <v>2683</v>
      </c>
      <c r="T228" s="9"/>
      <c r="U228" s="8">
        <v>0</v>
      </c>
      <c r="V228" s="9"/>
      <c r="W228" s="33">
        <v>53094</v>
      </c>
      <c r="X228" s="9"/>
      <c r="Y228" s="30">
        <v>23.45</v>
      </c>
      <c r="Z228" s="9"/>
      <c r="AA228" s="30">
        <v>2</v>
      </c>
      <c r="AB228" s="9"/>
      <c r="AC228" s="30">
        <v>0.25</v>
      </c>
      <c r="AD228" s="9"/>
      <c r="AE228" s="30">
        <v>1.45</v>
      </c>
      <c r="AF228" s="9"/>
      <c r="AG228" s="30">
        <v>0</v>
      </c>
      <c r="AH228" s="9"/>
      <c r="AI228" s="32">
        <v>27.15</v>
      </c>
      <c r="AJ228" s="12"/>
      <c r="AK228" s="22">
        <v>923269</v>
      </c>
      <c r="AM228" s="22">
        <v>42062</v>
      </c>
      <c r="AO228" s="22">
        <v>4268</v>
      </c>
      <c r="AQ228" s="22">
        <v>91989</v>
      </c>
      <c r="AS228" s="26">
        <v>1061588</v>
      </c>
      <c r="AU228" s="23">
        <v>20.0106</v>
      </c>
      <c r="AW228" s="23">
        <v>11.124599999999999</v>
      </c>
      <c r="AY228" s="23">
        <v>9.2499999999999999E-2</v>
      </c>
      <c r="BA228" s="23">
        <v>34.285899999999998</v>
      </c>
      <c r="BC228" s="24">
        <v>19.994499999999999</v>
      </c>
      <c r="BE228" s="1" t="str">
        <f t="shared" si="3"/>
        <v>No</v>
      </c>
    </row>
    <row r="229" spans="1:57" ht="11.25" customHeight="1">
      <c r="A229" s="7" t="s">
        <v>413</v>
      </c>
      <c r="B229" s="7" t="s">
        <v>414</v>
      </c>
      <c r="C229" s="37" t="s">
        <v>63</v>
      </c>
      <c r="D229" s="296">
        <v>2126</v>
      </c>
      <c r="E229" s="297">
        <v>20126</v>
      </c>
      <c r="F229" s="27" t="s">
        <v>173</v>
      </c>
      <c r="G229" s="73" t="s">
        <v>158</v>
      </c>
      <c r="H229" s="35">
        <v>18351295</v>
      </c>
      <c r="I229" s="35">
        <v>161</v>
      </c>
      <c r="J229" s="37" t="s">
        <v>18</v>
      </c>
      <c r="K229" s="37" t="s">
        <v>159</v>
      </c>
      <c r="L229" s="8">
        <v>161</v>
      </c>
      <c r="M229" s="8">
        <v>443900</v>
      </c>
      <c r="N229" s="9"/>
      <c r="O229" s="8">
        <v>106200</v>
      </c>
      <c r="P229" s="9"/>
      <c r="Q229" s="8">
        <v>0</v>
      </c>
      <c r="R229" s="9"/>
      <c r="S229" s="8">
        <v>32890</v>
      </c>
      <c r="T229" s="9"/>
      <c r="U229" s="8">
        <v>0</v>
      </c>
      <c r="V229" s="9"/>
      <c r="W229" s="33">
        <v>582990</v>
      </c>
      <c r="X229" s="9"/>
      <c r="Y229" s="30">
        <v>226</v>
      </c>
      <c r="Z229" s="9"/>
      <c r="AA229" s="30">
        <v>54</v>
      </c>
      <c r="AB229" s="9"/>
      <c r="AC229" s="30">
        <v>0</v>
      </c>
      <c r="AD229" s="9"/>
      <c r="AE229" s="30">
        <v>18</v>
      </c>
      <c r="AF229" s="9"/>
      <c r="AG229" s="30">
        <v>0</v>
      </c>
      <c r="AH229" s="9"/>
      <c r="AI229" s="32">
        <v>298</v>
      </c>
      <c r="AJ229" s="12"/>
      <c r="AK229" s="22">
        <v>13940457</v>
      </c>
      <c r="AM229" s="22">
        <v>2697970</v>
      </c>
      <c r="AO229" s="22">
        <v>0</v>
      </c>
      <c r="AQ229" s="22">
        <v>977660</v>
      </c>
      <c r="AS229" s="26">
        <v>17616087</v>
      </c>
      <c r="AU229" s="23">
        <v>31.404499999999999</v>
      </c>
      <c r="AW229" s="23">
        <v>25.404599999999999</v>
      </c>
      <c r="AY229" s="23">
        <v>0</v>
      </c>
      <c r="BA229" s="23">
        <v>29.725100000000001</v>
      </c>
      <c r="BC229" s="24">
        <v>30.216799999999999</v>
      </c>
      <c r="BE229" s="1" t="str">
        <f t="shared" si="3"/>
        <v>No</v>
      </c>
    </row>
    <row r="230" spans="1:57" ht="11.25" customHeight="1">
      <c r="A230" s="7" t="s">
        <v>201</v>
      </c>
      <c r="B230" s="7" t="s">
        <v>202</v>
      </c>
      <c r="C230" s="37" t="s">
        <v>52</v>
      </c>
      <c r="D230" s="296">
        <v>5040</v>
      </c>
      <c r="E230" s="297">
        <v>50040</v>
      </c>
      <c r="F230" s="27" t="s">
        <v>165</v>
      </c>
      <c r="G230" s="73" t="s">
        <v>158</v>
      </c>
      <c r="H230" s="35">
        <v>306022</v>
      </c>
      <c r="I230" s="35">
        <v>160</v>
      </c>
      <c r="J230" s="37" t="s">
        <v>7</v>
      </c>
      <c r="K230" s="37" t="s">
        <v>159</v>
      </c>
      <c r="L230" s="8">
        <v>84</v>
      </c>
      <c r="M230" s="8">
        <v>345546</v>
      </c>
      <c r="N230" s="9"/>
      <c r="O230" s="8">
        <v>75225</v>
      </c>
      <c r="P230" s="9"/>
      <c r="Q230" s="8">
        <v>8483</v>
      </c>
      <c r="R230" s="9"/>
      <c r="S230" s="8">
        <v>64476</v>
      </c>
      <c r="T230" s="9"/>
      <c r="U230" s="8">
        <v>0</v>
      </c>
      <c r="V230" s="9"/>
      <c r="W230" s="33">
        <v>493730</v>
      </c>
      <c r="X230" s="9"/>
      <c r="Y230" s="30">
        <v>193.4</v>
      </c>
      <c r="Z230" s="9"/>
      <c r="AA230" s="30">
        <v>50.5</v>
      </c>
      <c r="AB230" s="9"/>
      <c r="AC230" s="30">
        <v>4.9000000000000004</v>
      </c>
      <c r="AD230" s="9"/>
      <c r="AE230" s="30">
        <v>37.799999999999997</v>
      </c>
      <c r="AF230" s="9"/>
      <c r="AG230" s="30">
        <v>0</v>
      </c>
      <c r="AH230" s="9"/>
      <c r="AI230" s="32">
        <v>286.60000000000002</v>
      </c>
      <c r="AJ230" s="12"/>
      <c r="AK230" s="22">
        <v>8694062</v>
      </c>
      <c r="AM230" s="22">
        <v>2009639</v>
      </c>
      <c r="AO230" s="22">
        <v>201759</v>
      </c>
      <c r="AQ230" s="22">
        <v>2074089</v>
      </c>
      <c r="AS230" s="26">
        <v>12979549</v>
      </c>
      <c r="AU230" s="23">
        <v>25.160399999999999</v>
      </c>
      <c r="AW230" s="23">
        <v>26.715</v>
      </c>
      <c r="AY230" s="23">
        <v>0.58389999999999997</v>
      </c>
      <c r="BA230" s="23">
        <v>32.168399999999998</v>
      </c>
      <c r="BC230" s="24">
        <v>26.288799999999998</v>
      </c>
      <c r="BE230" s="1" t="str">
        <f t="shared" si="3"/>
        <v>No</v>
      </c>
    </row>
    <row r="231" spans="1:57" ht="11.25" customHeight="1">
      <c r="A231" s="7" t="s">
        <v>201</v>
      </c>
      <c r="B231" s="7" t="s">
        <v>202</v>
      </c>
      <c r="C231" s="37" t="s">
        <v>52</v>
      </c>
      <c r="D231" s="296">
        <v>5040</v>
      </c>
      <c r="E231" s="297">
        <v>50040</v>
      </c>
      <c r="F231" s="27" t="s">
        <v>165</v>
      </c>
      <c r="G231" s="73" t="s">
        <v>158</v>
      </c>
      <c r="H231" s="35">
        <v>306022</v>
      </c>
      <c r="I231" s="35">
        <v>160</v>
      </c>
      <c r="J231" s="37" t="s">
        <v>10</v>
      </c>
      <c r="K231" s="37" t="s">
        <v>159</v>
      </c>
      <c r="L231" s="8">
        <v>9</v>
      </c>
      <c r="M231" s="8">
        <v>13757</v>
      </c>
      <c r="N231" s="9"/>
      <c r="O231" s="8">
        <v>1949</v>
      </c>
      <c r="P231" s="9"/>
      <c r="Q231" s="8">
        <v>228</v>
      </c>
      <c r="R231" s="9"/>
      <c r="S231" s="8">
        <v>1221</v>
      </c>
      <c r="T231" s="9"/>
      <c r="U231" s="8">
        <v>0</v>
      </c>
      <c r="V231" s="9"/>
      <c r="W231" s="33">
        <v>17155</v>
      </c>
      <c r="X231" s="9"/>
      <c r="Y231" s="30">
        <v>0</v>
      </c>
      <c r="Z231" s="9"/>
      <c r="AA231" s="30">
        <v>0</v>
      </c>
      <c r="AB231" s="9"/>
      <c r="AC231" s="30">
        <v>0</v>
      </c>
      <c r="AD231" s="9"/>
      <c r="AE231" s="30">
        <v>0</v>
      </c>
      <c r="AF231" s="9"/>
      <c r="AG231" s="30">
        <v>0</v>
      </c>
      <c r="AH231" s="9"/>
      <c r="AI231" s="32">
        <v>0</v>
      </c>
      <c r="AJ231" s="12"/>
      <c r="AK231" s="22">
        <v>376391</v>
      </c>
      <c r="AM231" s="22">
        <v>54339</v>
      </c>
      <c r="AO231" s="22">
        <v>5607</v>
      </c>
      <c r="AQ231" s="22">
        <v>45226</v>
      </c>
      <c r="AS231" s="26">
        <v>481563</v>
      </c>
      <c r="AU231" s="23">
        <v>27.36</v>
      </c>
      <c r="AW231" s="23">
        <v>27.880500000000001</v>
      </c>
      <c r="AY231" s="23">
        <v>0.40760000000000002</v>
      </c>
      <c r="BA231" s="23">
        <v>37.040100000000002</v>
      </c>
      <c r="BC231" s="24">
        <v>28.071300000000001</v>
      </c>
      <c r="BE231" s="1" t="str">
        <f t="shared" si="3"/>
        <v>No</v>
      </c>
    </row>
    <row r="232" spans="1:57" ht="11.25" customHeight="1">
      <c r="A232" s="7" t="s">
        <v>201</v>
      </c>
      <c r="B232" s="7" t="s">
        <v>202</v>
      </c>
      <c r="C232" s="37" t="s">
        <v>52</v>
      </c>
      <c r="D232" s="296">
        <v>5040</v>
      </c>
      <c r="E232" s="297">
        <v>50040</v>
      </c>
      <c r="F232" s="27" t="s">
        <v>165</v>
      </c>
      <c r="G232" s="73" t="s">
        <v>158</v>
      </c>
      <c r="H232" s="35">
        <v>306022</v>
      </c>
      <c r="I232" s="35">
        <v>160</v>
      </c>
      <c r="J232" s="37" t="s">
        <v>18</v>
      </c>
      <c r="K232" s="37" t="s">
        <v>159</v>
      </c>
      <c r="L232" s="8">
        <v>2</v>
      </c>
      <c r="M232" s="8">
        <v>3450</v>
      </c>
      <c r="N232" s="9"/>
      <c r="O232" s="8">
        <v>769</v>
      </c>
      <c r="P232" s="9"/>
      <c r="Q232" s="8">
        <v>145</v>
      </c>
      <c r="R232" s="9"/>
      <c r="S232" s="8">
        <v>320</v>
      </c>
      <c r="T232" s="9"/>
      <c r="U232" s="8">
        <v>0</v>
      </c>
      <c r="V232" s="9"/>
      <c r="W232" s="33">
        <v>4684</v>
      </c>
      <c r="X232" s="9"/>
      <c r="Y232" s="30">
        <v>2.5</v>
      </c>
      <c r="Z232" s="9"/>
      <c r="AA232" s="30">
        <v>0.5</v>
      </c>
      <c r="AB232" s="9"/>
      <c r="AC232" s="30">
        <v>0.08</v>
      </c>
      <c r="AD232" s="9"/>
      <c r="AE232" s="30">
        <v>0.2</v>
      </c>
      <c r="AF232" s="9"/>
      <c r="AG232" s="30">
        <v>0</v>
      </c>
      <c r="AH232" s="9"/>
      <c r="AI232" s="32">
        <v>3.28</v>
      </c>
      <c r="AJ232" s="12"/>
      <c r="AK232" s="22">
        <v>90034</v>
      </c>
      <c r="AM232" s="22">
        <v>21441</v>
      </c>
      <c r="AO232" s="22">
        <v>3565</v>
      </c>
      <c r="AQ232" s="22">
        <v>11862</v>
      </c>
      <c r="AS232" s="26">
        <v>126902</v>
      </c>
      <c r="AU232" s="23">
        <v>26.096800000000002</v>
      </c>
      <c r="AW232" s="23">
        <v>27.881699999999999</v>
      </c>
      <c r="AY232" s="23">
        <v>1.0333000000000001</v>
      </c>
      <c r="BA232" s="23">
        <v>37.068800000000003</v>
      </c>
      <c r="BC232" s="24">
        <v>27.092700000000001</v>
      </c>
      <c r="BE232" s="1" t="str">
        <f t="shared" si="3"/>
        <v>No</v>
      </c>
    </row>
    <row r="233" spans="1:57" ht="11.25" customHeight="1">
      <c r="A233" s="7" t="s">
        <v>120</v>
      </c>
      <c r="B233" s="7" t="s">
        <v>564</v>
      </c>
      <c r="C233" s="37" t="s">
        <v>58</v>
      </c>
      <c r="D233" s="296">
        <v>4108</v>
      </c>
      <c r="E233" s="297">
        <v>40108</v>
      </c>
      <c r="F233" s="27" t="s">
        <v>165</v>
      </c>
      <c r="G233" s="73" t="s">
        <v>158</v>
      </c>
      <c r="H233" s="35">
        <v>347602</v>
      </c>
      <c r="I233" s="35">
        <v>153</v>
      </c>
      <c r="J233" s="37" t="s">
        <v>8</v>
      </c>
      <c r="K233" s="37" t="s">
        <v>159</v>
      </c>
      <c r="L233" s="8">
        <v>60</v>
      </c>
      <c r="M233" s="8">
        <v>7347</v>
      </c>
      <c r="N233" s="9"/>
      <c r="O233" s="8">
        <v>7313</v>
      </c>
      <c r="P233" s="9"/>
      <c r="Q233" s="8">
        <v>0</v>
      </c>
      <c r="R233" s="9"/>
      <c r="S233" s="8">
        <v>22683</v>
      </c>
      <c r="T233" s="9"/>
      <c r="U233" s="8">
        <v>0</v>
      </c>
      <c r="V233" s="9"/>
      <c r="W233" s="33">
        <v>37343</v>
      </c>
      <c r="X233" s="9"/>
      <c r="Y233" s="30">
        <v>4</v>
      </c>
      <c r="Z233" s="9"/>
      <c r="AA233" s="30">
        <v>4</v>
      </c>
      <c r="AB233" s="9"/>
      <c r="AC233" s="30">
        <v>0</v>
      </c>
      <c r="AD233" s="9"/>
      <c r="AE233" s="30">
        <v>15.5</v>
      </c>
      <c r="AF233" s="9"/>
      <c r="AG233" s="30">
        <v>0</v>
      </c>
      <c r="AH233" s="9"/>
      <c r="AI233" s="32">
        <v>23.5</v>
      </c>
      <c r="AJ233" s="12"/>
      <c r="AK233" s="22">
        <v>205595</v>
      </c>
      <c r="AM233" s="22">
        <v>191179</v>
      </c>
      <c r="AO233" s="22">
        <v>0</v>
      </c>
      <c r="AQ233" s="22">
        <v>861916</v>
      </c>
      <c r="AS233" s="26">
        <v>1258690</v>
      </c>
      <c r="AU233" s="23">
        <v>27.983499999999999</v>
      </c>
      <c r="AW233" s="23">
        <v>26.142299999999999</v>
      </c>
      <c r="AY233" s="23">
        <v>0</v>
      </c>
      <c r="BA233" s="23">
        <v>37.9983</v>
      </c>
      <c r="BC233" s="24">
        <v>33.706200000000003</v>
      </c>
      <c r="BE233" s="1" t="str">
        <f t="shared" si="3"/>
        <v>No</v>
      </c>
    </row>
    <row r="234" spans="1:57" ht="11.25" customHeight="1">
      <c r="A234" s="7" t="s">
        <v>120</v>
      </c>
      <c r="B234" s="7" t="s">
        <v>564</v>
      </c>
      <c r="C234" s="37" t="s">
        <v>58</v>
      </c>
      <c r="D234" s="296">
        <v>4108</v>
      </c>
      <c r="E234" s="297">
        <v>40108</v>
      </c>
      <c r="F234" s="27" t="s">
        <v>165</v>
      </c>
      <c r="G234" s="73" t="s">
        <v>158</v>
      </c>
      <c r="H234" s="35">
        <v>347602</v>
      </c>
      <c r="I234" s="35">
        <v>153</v>
      </c>
      <c r="J234" s="37" t="s">
        <v>7</v>
      </c>
      <c r="K234" s="37" t="s">
        <v>159</v>
      </c>
      <c r="L234" s="8">
        <v>58</v>
      </c>
      <c r="M234" s="8">
        <v>180681</v>
      </c>
      <c r="N234" s="9"/>
      <c r="O234" s="8">
        <v>39697</v>
      </c>
      <c r="P234" s="9"/>
      <c r="Q234" s="8">
        <v>0</v>
      </c>
      <c r="R234" s="9"/>
      <c r="S234" s="8">
        <v>27219</v>
      </c>
      <c r="T234" s="9"/>
      <c r="U234" s="8">
        <v>0</v>
      </c>
      <c r="V234" s="9"/>
      <c r="W234" s="33">
        <v>247597</v>
      </c>
      <c r="X234" s="9"/>
      <c r="Y234" s="30">
        <v>103</v>
      </c>
      <c r="Z234" s="9"/>
      <c r="AA234" s="30">
        <v>21</v>
      </c>
      <c r="AB234" s="9"/>
      <c r="AC234" s="30">
        <v>0</v>
      </c>
      <c r="AD234" s="9"/>
      <c r="AE234" s="30">
        <v>18.5</v>
      </c>
      <c r="AF234" s="9"/>
      <c r="AG234" s="30">
        <v>0</v>
      </c>
      <c r="AH234" s="9"/>
      <c r="AI234" s="32">
        <v>142.5</v>
      </c>
      <c r="AJ234" s="12"/>
      <c r="AK234" s="22">
        <v>3988014</v>
      </c>
      <c r="AM234" s="22">
        <v>1037830</v>
      </c>
      <c r="AO234" s="22">
        <v>0</v>
      </c>
      <c r="AQ234" s="22">
        <v>1034299</v>
      </c>
      <c r="AS234" s="26">
        <v>6060143</v>
      </c>
      <c r="AU234" s="23">
        <v>22.072099999999999</v>
      </c>
      <c r="AW234" s="23">
        <v>26.143799999999999</v>
      </c>
      <c r="AY234" s="23">
        <v>0</v>
      </c>
      <c r="BA234" s="23">
        <v>37.999200000000002</v>
      </c>
      <c r="BC234" s="24">
        <v>24.4758</v>
      </c>
      <c r="BE234" s="1" t="str">
        <f t="shared" si="3"/>
        <v>No</v>
      </c>
    </row>
    <row r="235" spans="1:57" ht="11.25" customHeight="1">
      <c r="A235" s="7" t="s">
        <v>120</v>
      </c>
      <c r="B235" s="7" t="s">
        <v>564</v>
      </c>
      <c r="C235" s="37" t="s">
        <v>58</v>
      </c>
      <c r="D235" s="296">
        <v>4108</v>
      </c>
      <c r="E235" s="297">
        <v>40108</v>
      </c>
      <c r="F235" s="27" t="s">
        <v>165</v>
      </c>
      <c r="G235" s="73" t="s">
        <v>158</v>
      </c>
      <c r="H235" s="35">
        <v>347602</v>
      </c>
      <c r="I235" s="35">
        <v>153</v>
      </c>
      <c r="J235" s="37" t="s">
        <v>10</v>
      </c>
      <c r="K235" s="37" t="s">
        <v>159</v>
      </c>
      <c r="L235" s="8">
        <v>15</v>
      </c>
      <c r="M235" s="8">
        <v>53457</v>
      </c>
      <c r="N235" s="9"/>
      <c r="O235" s="8">
        <v>5223</v>
      </c>
      <c r="P235" s="9"/>
      <c r="Q235" s="8">
        <v>0</v>
      </c>
      <c r="R235" s="9"/>
      <c r="S235" s="8">
        <v>6805</v>
      </c>
      <c r="T235" s="9"/>
      <c r="U235" s="8">
        <v>0</v>
      </c>
      <c r="V235" s="9"/>
      <c r="W235" s="33">
        <v>65485</v>
      </c>
      <c r="X235" s="9"/>
      <c r="Y235" s="30">
        <v>24</v>
      </c>
      <c r="Z235" s="9"/>
      <c r="AA235" s="30">
        <v>3</v>
      </c>
      <c r="AB235" s="9"/>
      <c r="AC235" s="30">
        <v>0</v>
      </c>
      <c r="AD235" s="9"/>
      <c r="AE235" s="30">
        <v>5</v>
      </c>
      <c r="AF235" s="9"/>
      <c r="AG235" s="30">
        <v>0</v>
      </c>
      <c r="AH235" s="9"/>
      <c r="AI235" s="32">
        <v>32</v>
      </c>
      <c r="AJ235" s="12"/>
      <c r="AK235" s="22">
        <v>1200313</v>
      </c>
      <c r="AM235" s="22">
        <v>136557</v>
      </c>
      <c r="AO235" s="22">
        <v>0</v>
      </c>
      <c r="AQ235" s="22">
        <v>258575</v>
      </c>
      <c r="AS235" s="26">
        <v>1595445</v>
      </c>
      <c r="AU235" s="23">
        <v>22.453800000000001</v>
      </c>
      <c r="AW235" s="23">
        <v>26.145299999999999</v>
      </c>
      <c r="AY235" s="23">
        <v>0</v>
      </c>
      <c r="BA235" s="23">
        <v>37.997799999999998</v>
      </c>
      <c r="BC235" s="24">
        <v>24.363499999999998</v>
      </c>
      <c r="BE235" s="1" t="str">
        <f t="shared" si="3"/>
        <v>No</v>
      </c>
    </row>
    <row r="236" spans="1:57" ht="11.25" customHeight="1">
      <c r="A236" s="7" t="s">
        <v>385</v>
      </c>
      <c r="B236" s="7" t="s">
        <v>386</v>
      </c>
      <c r="C236" s="37" t="s">
        <v>17</v>
      </c>
      <c r="D236" s="296">
        <v>9016</v>
      </c>
      <c r="E236" s="297">
        <v>90016</v>
      </c>
      <c r="F236" s="27" t="s">
        <v>165</v>
      </c>
      <c r="G236" s="73" t="s">
        <v>158</v>
      </c>
      <c r="H236" s="35">
        <v>3281212</v>
      </c>
      <c r="I236" s="35">
        <v>152</v>
      </c>
      <c r="J236" s="37" t="s">
        <v>7</v>
      </c>
      <c r="K236" s="37" t="s">
        <v>159</v>
      </c>
      <c r="L236" s="8">
        <v>129</v>
      </c>
      <c r="M236" s="8">
        <v>483644</v>
      </c>
      <c r="N236" s="9"/>
      <c r="O236" s="8">
        <v>71396</v>
      </c>
      <c r="P236" s="9"/>
      <c r="Q236" s="8">
        <v>7373</v>
      </c>
      <c r="R236" s="9"/>
      <c r="S236" s="8">
        <v>134802</v>
      </c>
      <c r="T236" s="9"/>
      <c r="U236" s="8">
        <v>541</v>
      </c>
      <c r="V236" s="9"/>
      <c r="W236" s="33">
        <v>697756</v>
      </c>
      <c r="X236" s="9"/>
      <c r="Y236" s="30">
        <v>256</v>
      </c>
      <c r="Z236" s="9"/>
      <c r="AA236" s="30">
        <v>47</v>
      </c>
      <c r="AB236" s="9"/>
      <c r="AC236" s="30">
        <v>4</v>
      </c>
      <c r="AD236" s="9"/>
      <c r="AE236" s="30">
        <v>74</v>
      </c>
      <c r="AF236" s="9"/>
      <c r="AG236" s="30">
        <v>0.25</v>
      </c>
      <c r="AH236" s="9"/>
      <c r="AI236" s="32">
        <v>381.25</v>
      </c>
      <c r="AJ236" s="12"/>
      <c r="AK236" s="22">
        <v>18138196</v>
      </c>
      <c r="AM236" s="22">
        <v>3917140</v>
      </c>
      <c r="AO236" s="22">
        <v>328099</v>
      </c>
      <c r="AQ236" s="22">
        <v>4583488</v>
      </c>
      <c r="AS236" s="26">
        <v>26966923</v>
      </c>
      <c r="AU236" s="23">
        <v>37.5032</v>
      </c>
      <c r="AW236" s="23">
        <v>54.865000000000002</v>
      </c>
      <c r="AY236" s="23">
        <v>0.6784</v>
      </c>
      <c r="BA236" s="23">
        <v>34.001600000000003</v>
      </c>
      <c r="BC236" s="24">
        <v>38.648099999999999</v>
      </c>
      <c r="BE236" s="1" t="str">
        <f t="shared" si="3"/>
        <v>No</v>
      </c>
    </row>
    <row r="237" spans="1:57" ht="11.25" customHeight="1">
      <c r="A237" s="7" t="s">
        <v>514</v>
      </c>
      <c r="B237" s="7" t="s">
        <v>156</v>
      </c>
      <c r="C237" s="37" t="s">
        <v>5</v>
      </c>
      <c r="D237" s="296">
        <v>12</v>
      </c>
      <c r="E237" s="297">
        <v>12</v>
      </c>
      <c r="F237" s="27" t="s">
        <v>162</v>
      </c>
      <c r="G237" s="73" t="s">
        <v>158</v>
      </c>
      <c r="H237" s="35">
        <v>251243</v>
      </c>
      <c r="I237" s="35">
        <v>152</v>
      </c>
      <c r="J237" s="37" t="s">
        <v>7</v>
      </c>
      <c r="K237" s="37" t="s">
        <v>159</v>
      </c>
      <c r="L237" s="8">
        <v>43</v>
      </c>
      <c r="M237" s="8">
        <v>189684</v>
      </c>
      <c r="N237" s="9"/>
      <c r="O237" s="8">
        <v>55731</v>
      </c>
      <c r="P237" s="9"/>
      <c r="Q237" s="8">
        <v>6739</v>
      </c>
      <c r="R237" s="9"/>
      <c r="S237" s="8">
        <v>33910</v>
      </c>
      <c r="T237" s="9"/>
      <c r="U237" s="8">
        <v>1690</v>
      </c>
      <c r="V237" s="9"/>
      <c r="W237" s="33">
        <v>287754</v>
      </c>
      <c r="X237" s="9"/>
      <c r="Y237" s="30">
        <v>104</v>
      </c>
      <c r="Z237" s="9"/>
      <c r="AA237" s="30">
        <v>33</v>
      </c>
      <c r="AB237" s="9"/>
      <c r="AC237" s="30">
        <v>4</v>
      </c>
      <c r="AD237" s="9"/>
      <c r="AE237" s="30">
        <v>20</v>
      </c>
      <c r="AF237" s="9"/>
      <c r="AG237" s="30">
        <v>1</v>
      </c>
      <c r="AH237" s="9"/>
      <c r="AI237" s="32">
        <v>162</v>
      </c>
      <c r="AJ237" s="12"/>
      <c r="AK237" s="22">
        <v>6077766</v>
      </c>
      <c r="AM237" s="22">
        <v>1962095</v>
      </c>
      <c r="AO237" s="22">
        <v>173759</v>
      </c>
      <c r="AQ237" s="22">
        <v>789081</v>
      </c>
      <c r="AS237" s="26">
        <v>9002701</v>
      </c>
      <c r="AU237" s="23">
        <v>32.041499999999999</v>
      </c>
      <c r="AW237" s="23">
        <v>35.206499999999998</v>
      </c>
      <c r="AY237" s="23">
        <v>0.91600000000000004</v>
      </c>
      <c r="BA237" s="23">
        <v>23.2699</v>
      </c>
      <c r="BC237" s="24">
        <v>31.286100000000001</v>
      </c>
      <c r="BE237" s="1" t="str">
        <f t="shared" si="3"/>
        <v>No</v>
      </c>
    </row>
    <row r="238" spans="1:57" ht="11.25" customHeight="1">
      <c r="A238" s="7" t="s">
        <v>618</v>
      </c>
      <c r="B238" s="7" t="s">
        <v>619</v>
      </c>
      <c r="C238" s="37" t="s">
        <v>32</v>
      </c>
      <c r="D238" s="296">
        <v>4063</v>
      </c>
      <c r="E238" s="297">
        <v>40063</v>
      </c>
      <c r="F238" s="27" t="s">
        <v>162</v>
      </c>
      <c r="G238" s="73" t="s">
        <v>158</v>
      </c>
      <c r="H238" s="35">
        <v>452791</v>
      </c>
      <c r="I238" s="35">
        <v>152</v>
      </c>
      <c r="J238" s="37" t="s">
        <v>7</v>
      </c>
      <c r="K238" s="37" t="s">
        <v>159</v>
      </c>
      <c r="L238" s="8">
        <v>29</v>
      </c>
      <c r="M238" s="8">
        <v>123600</v>
      </c>
      <c r="N238" s="9"/>
      <c r="O238" s="8">
        <v>0</v>
      </c>
      <c r="P238" s="9"/>
      <c r="Q238" s="8">
        <v>0</v>
      </c>
      <c r="R238" s="9"/>
      <c r="S238" s="8">
        <v>9840</v>
      </c>
      <c r="T238" s="9"/>
      <c r="U238" s="8">
        <v>0</v>
      </c>
      <c r="V238" s="9"/>
      <c r="W238" s="33">
        <v>133440</v>
      </c>
      <c r="X238" s="9"/>
      <c r="Y238" s="30">
        <v>60</v>
      </c>
      <c r="Z238" s="9"/>
      <c r="AA238" s="30">
        <v>0</v>
      </c>
      <c r="AB238" s="9"/>
      <c r="AC238" s="30">
        <v>0</v>
      </c>
      <c r="AD238" s="9"/>
      <c r="AE238" s="30">
        <v>5</v>
      </c>
      <c r="AF238" s="9"/>
      <c r="AG238" s="30">
        <v>0</v>
      </c>
      <c r="AH238" s="9"/>
      <c r="AI238" s="32">
        <v>65</v>
      </c>
      <c r="AJ238" s="12"/>
      <c r="AK238" s="22">
        <v>2206962</v>
      </c>
      <c r="AM238" s="22">
        <v>0</v>
      </c>
      <c r="AO238" s="22">
        <v>0</v>
      </c>
      <c r="AQ238" s="22">
        <v>205091</v>
      </c>
      <c r="AS238" s="26">
        <v>2412053</v>
      </c>
      <c r="AU238" s="23">
        <v>17.855699999999999</v>
      </c>
      <c r="AY238" s="23">
        <v>0</v>
      </c>
      <c r="BA238" s="23">
        <v>20.842600000000001</v>
      </c>
      <c r="BC238" s="24">
        <v>18.075900000000001</v>
      </c>
      <c r="BE238" s="1" t="str">
        <f t="shared" si="3"/>
        <v>No</v>
      </c>
    </row>
    <row r="239" spans="1:57" ht="11.25" customHeight="1">
      <c r="A239" s="7" t="s">
        <v>618</v>
      </c>
      <c r="B239" s="7" t="s">
        <v>619</v>
      </c>
      <c r="C239" s="37" t="s">
        <v>32</v>
      </c>
      <c r="D239" s="296">
        <v>4063</v>
      </c>
      <c r="E239" s="297">
        <v>40063</v>
      </c>
      <c r="F239" s="27" t="s">
        <v>162</v>
      </c>
      <c r="G239" s="73" t="s">
        <v>158</v>
      </c>
      <c r="H239" s="35">
        <v>452791</v>
      </c>
      <c r="I239" s="35">
        <v>152</v>
      </c>
      <c r="J239" s="37" t="s">
        <v>10</v>
      </c>
      <c r="K239" s="37" t="s">
        <v>159</v>
      </c>
      <c r="L239" s="8">
        <v>27</v>
      </c>
      <c r="M239" s="8">
        <v>64770</v>
      </c>
      <c r="N239" s="9"/>
      <c r="O239" s="8">
        <v>0</v>
      </c>
      <c r="P239" s="9"/>
      <c r="Q239" s="8">
        <v>0</v>
      </c>
      <c r="R239" s="9"/>
      <c r="S239" s="8">
        <v>5960</v>
      </c>
      <c r="T239" s="9"/>
      <c r="U239" s="8">
        <v>0</v>
      </c>
      <c r="V239" s="9"/>
      <c r="W239" s="33">
        <v>70730</v>
      </c>
      <c r="X239" s="9"/>
      <c r="Y239" s="30">
        <v>35.5</v>
      </c>
      <c r="Z239" s="9"/>
      <c r="AA239" s="30">
        <v>0</v>
      </c>
      <c r="AB239" s="9"/>
      <c r="AC239" s="30">
        <v>0</v>
      </c>
      <c r="AD239" s="9"/>
      <c r="AE239" s="30">
        <v>3</v>
      </c>
      <c r="AF239" s="9"/>
      <c r="AG239" s="30">
        <v>0</v>
      </c>
      <c r="AH239" s="9"/>
      <c r="AI239" s="32">
        <v>38.5</v>
      </c>
      <c r="AJ239" s="12"/>
      <c r="AK239" s="22">
        <v>1824684</v>
      </c>
      <c r="AM239" s="22">
        <v>0</v>
      </c>
      <c r="AO239" s="22">
        <v>0</v>
      </c>
      <c r="AQ239" s="22">
        <v>101335</v>
      </c>
      <c r="AS239" s="26">
        <v>1926019</v>
      </c>
      <c r="AU239" s="23">
        <v>28.171700000000001</v>
      </c>
      <c r="AY239" s="23">
        <v>0</v>
      </c>
      <c r="BA239" s="23">
        <v>17.002500000000001</v>
      </c>
      <c r="BC239" s="24">
        <v>27.230599999999999</v>
      </c>
      <c r="BE239" s="1" t="str">
        <f t="shared" si="3"/>
        <v>No</v>
      </c>
    </row>
    <row r="240" spans="1:57" ht="11.25" customHeight="1">
      <c r="A240" s="7" t="s">
        <v>385</v>
      </c>
      <c r="B240" s="7" t="s">
        <v>386</v>
      </c>
      <c r="C240" s="37" t="s">
        <v>17</v>
      </c>
      <c r="D240" s="296">
        <v>9016</v>
      </c>
      <c r="E240" s="297">
        <v>90016</v>
      </c>
      <c r="F240" s="27" t="s">
        <v>165</v>
      </c>
      <c r="G240" s="73" t="s">
        <v>158</v>
      </c>
      <c r="H240" s="35">
        <v>3281212</v>
      </c>
      <c r="I240" s="35">
        <v>152</v>
      </c>
      <c r="J240" s="37" t="s">
        <v>19</v>
      </c>
      <c r="K240" s="37" t="s">
        <v>159</v>
      </c>
      <c r="L240" s="8">
        <v>6</v>
      </c>
      <c r="M240" s="8">
        <v>154196</v>
      </c>
      <c r="N240" s="9"/>
      <c r="O240" s="8">
        <v>13727</v>
      </c>
      <c r="P240" s="9"/>
      <c r="Q240" s="8">
        <v>5077</v>
      </c>
      <c r="R240" s="9"/>
      <c r="S240" s="8">
        <v>66268</v>
      </c>
      <c r="T240" s="9"/>
      <c r="U240" s="8">
        <v>1072</v>
      </c>
      <c r="V240" s="9"/>
      <c r="W240" s="33">
        <v>240340</v>
      </c>
      <c r="X240" s="9"/>
      <c r="Y240" s="30">
        <v>115</v>
      </c>
      <c r="Z240" s="9"/>
      <c r="AA240" s="30">
        <v>11.5</v>
      </c>
      <c r="AB240" s="9"/>
      <c r="AC240" s="30">
        <v>2.5</v>
      </c>
      <c r="AD240" s="9"/>
      <c r="AE240" s="30">
        <v>33</v>
      </c>
      <c r="AF240" s="9"/>
      <c r="AG240" s="30">
        <v>0.5</v>
      </c>
      <c r="AH240" s="9"/>
      <c r="AI240" s="32">
        <v>162.5</v>
      </c>
      <c r="AJ240" s="12"/>
      <c r="AK240" s="22">
        <v>5905923</v>
      </c>
      <c r="AM240" s="22">
        <v>670066</v>
      </c>
      <c r="AO240" s="22">
        <v>247011</v>
      </c>
      <c r="AQ240" s="22">
        <v>2364348</v>
      </c>
      <c r="AS240" s="26">
        <v>9187348</v>
      </c>
      <c r="AU240" s="23">
        <v>38.301400000000001</v>
      </c>
      <c r="AW240" s="23">
        <v>48.813699999999997</v>
      </c>
      <c r="AY240" s="23">
        <v>1.6019000000000001</v>
      </c>
      <c r="BA240" s="23">
        <v>35.678600000000003</v>
      </c>
      <c r="BC240" s="24">
        <v>38.226500000000001</v>
      </c>
      <c r="BE240" s="1" t="str">
        <f t="shared" si="3"/>
        <v>No</v>
      </c>
    </row>
    <row r="241" spans="1:57" ht="11.25" customHeight="1">
      <c r="A241" s="7" t="s">
        <v>472</v>
      </c>
      <c r="B241" s="7" t="s">
        <v>473</v>
      </c>
      <c r="C241" s="37" t="s">
        <v>83</v>
      </c>
      <c r="D241" s="296">
        <v>4003</v>
      </c>
      <c r="E241" s="297">
        <v>40003</v>
      </c>
      <c r="F241" s="27" t="s">
        <v>162</v>
      </c>
      <c r="G241" s="73" t="s">
        <v>158</v>
      </c>
      <c r="H241" s="35">
        <v>1060061</v>
      </c>
      <c r="I241" s="35">
        <v>150</v>
      </c>
      <c r="J241" s="37" t="s">
        <v>7</v>
      </c>
      <c r="K241" s="37" t="s">
        <v>159</v>
      </c>
      <c r="L241" s="8">
        <v>108</v>
      </c>
      <c r="M241" s="8">
        <v>500213</v>
      </c>
      <c r="N241" s="9"/>
      <c r="O241" s="8">
        <v>113508</v>
      </c>
      <c r="P241" s="9"/>
      <c r="Q241" s="8">
        <v>10070</v>
      </c>
      <c r="R241" s="9"/>
      <c r="S241" s="8">
        <v>91288</v>
      </c>
      <c r="T241" s="9"/>
      <c r="U241" s="8">
        <v>0</v>
      </c>
      <c r="V241" s="9"/>
      <c r="W241" s="33">
        <v>715079</v>
      </c>
      <c r="X241" s="9"/>
      <c r="Y241" s="30">
        <v>242</v>
      </c>
      <c r="Z241" s="9"/>
      <c r="AA241" s="30">
        <v>71</v>
      </c>
      <c r="AB241" s="9"/>
      <c r="AC241" s="30">
        <v>6</v>
      </c>
      <c r="AD241" s="9"/>
      <c r="AE241" s="30">
        <v>43.5</v>
      </c>
      <c r="AF241" s="9"/>
      <c r="AG241" s="30">
        <v>0</v>
      </c>
      <c r="AH241" s="9"/>
      <c r="AI241" s="32">
        <v>362.5</v>
      </c>
      <c r="AJ241" s="12"/>
      <c r="AK241" s="22">
        <v>11427525</v>
      </c>
      <c r="AM241" s="22">
        <v>2644699</v>
      </c>
      <c r="AO241" s="22">
        <v>372866</v>
      </c>
      <c r="AQ241" s="22">
        <v>2094458</v>
      </c>
      <c r="AS241" s="26">
        <v>16539548</v>
      </c>
      <c r="AU241" s="23">
        <v>22.845300000000002</v>
      </c>
      <c r="AW241" s="23">
        <v>23.299700000000001</v>
      </c>
      <c r="AY241" s="23">
        <v>0.74539999999999995</v>
      </c>
      <c r="BA241" s="23">
        <v>22.9434</v>
      </c>
      <c r="BC241" s="24">
        <v>23.1297</v>
      </c>
      <c r="BE241" s="1" t="str">
        <f t="shared" si="3"/>
        <v>No</v>
      </c>
    </row>
    <row r="242" spans="1:57" ht="11.25" customHeight="1">
      <c r="A242" s="7" t="s">
        <v>472</v>
      </c>
      <c r="B242" s="7" t="s">
        <v>473</v>
      </c>
      <c r="C242" s="37" t="s">
        <v>83</v>
      </c>
      <c r="D242" s="296">
        <v>4003</v>
      </c>
      <c r="E242" s="297">
        <v>40003</v>
      </c>
      <c r="F242" s="27" t="s">
        <v>162</v>
      </c>
      <c r="G242" s="73" t="s">
        <v>158</v>
      </c>
      <c r="H242" s="35">
        <v>1060061</v>
      </c>
      <c r="I242" s="35">
        <v>150</v>
      </c>
      <c r="J242" s="37" t="s">
        <v>10</v>
      </c>
      <c r="K242" s="37" t="s">
        <v>159</v>
      </c>
      <c r="L242" s="8">
        <v>42</v>
      </c>
      <c r="M242" s="8">
        <v>133017</v>
      </c>
      <c r="N242" s="9"/>
      <c r="O242" s="8">
        <v>5967</v>
      </c>
      <c r="P242" s="9"/>
      <c r="Q242" s="8">
        <v>43</v>
      </c>
      <c r="R242" s="9"/>
      <c r="S242" s="8">
        <v>4320</v>
      </c>
      <c r="T242" s="9"/>
      <c r="U242" s="8">
        <v>0</v>
      </c>
      <c r="V242" s="9"/>
      <c r="W242" s="33">
        <v>143347</v>
      </c>
      <c r="X242" s="9"/>
      <c r="Y242" s="30">
        <v>71</v>
      </c>
      <c r="Z242" s="9"/>
      <c r="AA242" s="30">
        <v>4</v>
      </c>
      <c r="AB242" s="9"/>
      <c r="AC242" s="30">
        <v>0</v>
      </c>
      <c r="AD242" s="9"/>
      <c r="AE242" s="30">
        <v>2.5</v>
      </c>
      <c r="AF242" s="9"/>
      <c r="AG242" s="30">
        <v>0</v>
      </c>
      <c r="AH242" s="9"/>
      <c r="AI242" s="32">
        <v>77.5</v>
      </c>
      <c r="AJ242" s="12"/>
      <c r="AK242" s="22">
        <v>2637109</v>
      </c>
      <c r="AM242" s="22">
        <v>223163</v>
      </c>
      <c r="AO242" s="22">
        <v>2213</v>
      </c>
      <c r="AQ242" s="22">
        <v>192874</v>
      </c>
      <c r="AS242" s="26">
        <v>3055359</v>
      </c>
      <c r="AU242" s="23">
        <v>19.825399999999998</v>
      </c>
      <c r="AW242" s="23">
        <v>37.399500000000003</v>
      </c>
      <c r="AY242" s="23">
        <v>1.66E-2</v>
      </c>
      <c r="BA242" s="23">
        <v>44.646799999999999</v>
      </c>
      <c r="BC242" s="24">
        <v>21.314399999999999</v>
      </c>
      <c r="BE242" s="1" t="str">
        <f t="shared" si="3"/>
        <v>No</v>
      </c>
    </row>
    <row r="243" spans="1:57" ht="11.25" customHeight="1">
      <c r="A243" s="7" t="s">
        <v>472</v>
      </c>
      <c r="B243" s="7" t="s">
        <v>473</v>
      </c>
      <c r="C243" s="37" t="s">
        <v>83</v>
      </c>
      <c r="D243" s="296">
        <v>4003</v>
      </c>
      <c r="E243" s="297">
        <v>40003</v>
      </c>
      <c r="F243" s="27" t="s">
        <v>162</v>
      </c>
      <c r="G243" s="73" t="s">
        <v>158</v>
      </c>
      <c r="H243" s="35">
        <v>1060061</v>
      </c>
      <c r="I243" s="35">
        <v>150</v>
      </c>
      <c r="J243" s="37" t="s">
        <v>12</v>
      </c>
      <c r="K243" s="37" t="s">
        <v>159</v>
      </c>
      <c r="L243" s="8">
        <v>0</v>
      </c>
      <c r="M243" s="8">
        <v>0</v>
      </c>
      <c r="N243" s="9"/>
      <c r="O243" s="8">
        <v>32857</v>
      </c>
      <c r="P243" s="9"/>
      <c r="Q243" s="8">
        <v>0</v>
      </c>
      <c r="R243" s="9"/>
      <c r="S243" s="8">
        <v>9867</v>
      </c>
      <c r="T243" s="9"/>
      <c r="U243" s="8">
        <v>0</v>
      </c>
      <c r="V243" s="9"/>
      <c r="W243" s="33">
        <v>42724</v>
      </c>
      <c r="X243" s="9"/>
      <c r="Y243" s="30">
        <v>0</v>
      </c>
      <c r="Z243" s="9"/>
      <c r="AA243" s="30">
        <v>15</v>
      </c>
      <c r="AB243" s="9"/>
      <c r="AC243" s="30">
        <v>0</v>
      </c>
      <c r="AD243" s="9"/>
      <c r="AE243" s="30">
        <v>5</v>
      </c>
      <c r="AF243" s="9"/>
      <c r="AG243" s="30">
        <v>0</v>
      </c>
      <c r="AH243" s="9"/>
      <c r="AI243" s="32">
        <v>20</v>
      </c>
      <c r="AJ243" s="12"/>
      <c r="AK243" s="22">
        <v>0</v>
      </c>
      <c r="AM243" s="22">
        <v>405152</v>
      </c>
      <c r="AO243" s="22">
        <v>0</v>
      </c>
      <c r="AQ243" s="22">
        <v>255503</v>
      </c>
      <c r="AS243" s="26">
        <v>660655</v>
      </c>
      <c r="AW243" s="23">
        <v>12.3308</v>
      </c>
      <c r="BA243" s="23">
        <v>25.8947</v>
      </c>
      <c r="BC243" s="24">
        <v>15.4633</v>
      </c>
      <c r="BE243" s="1" t="str">
        <f t="shared" si="3"/>
        <v>No</v>
      </c>
    </row>
    <row r="244" spans="1:57" ht="11.25" customHeight="1">
      <c r="A244" s="7" t="s">
        <v>459</v>
      </c>
      <c r="B244" s="7" t="s">
        <v>460</v>
      </c>
      <c r="C244" s="37" t="s">
        <v>40</v>
      </c>
      <c r="D244" s="296">
        <v>5146</v>
      </c>
      <c r="E244" s="297">
        <v>50146</v>
      </c>
      <c r="F244" s="27" t="s">
        <v>165</v>
      </c>
      <c r="G244" s="73" t="s">
        <v>158</v>
      </c>
      <c r="H244" s="35">
        <v>2150706</v>
      </c>
      <c r="I244" s="35">
        <v>145</v>
      </c>
      <c r="J244" s="37" t="s">
        <v>8</v>
      </c>
      <c r="K244" s="37" t="s">
        <v>159</v>
      </c>
      <c r="L244" s="8">
        <v>52</v>
      </c>
      <c r="M244" s="8">
        <v>0</v>
      </c>
      <c r="N244" s="9"/>
      <c r="O244" s="8">
        <v>2030</v>
      </c>
      <c r="P244" s="9"/>
      <c r="Q244" s="8">
        <v>0</v>
      </c>
      <c r="R244" s="9"/>
      <c r="S244" s="8">
        <v>8769</v>
      </c>
      <c r="T244" s="9"/>
      <c r="U244" s="8">
        <v>0</v>
      </c>
      <c r="V244" s="9"/>
      <c r="W244" s="33">
        <v>10799</v>
      </c>
      <c r="X244" s="9"/>
      <c r="Y244" s="30">
        <v>0</v>
      </c>
      <c r="Z244" s="9"/>
      <c r="AA244" s="30">
        <v>1.1000000000000001</v>
      </c>
      <c r="AB244" s="9"/>
      <c r="AC244" s="30">
        <v>0</v>
      </c>
      <c r="AD244" s="9"/>
      <c r="AE244" s="30">
        <v>3.7</v>
      </c>
      <c r="AF244" s="9"/>
      <c r="AG244" s="30">
        <v>0</v>
      </c>
      <c r="AH244" s="9"/>
      <c r="AI244" s="32">
        <v>4.8</v>
      </c>
      <c r="AJ244" s="12"/>
      <c r="AK244" s="22">
        <v>0</v>
      </c>
      <c r="AM244" s="22">
        <v>54684</v>
      </c>
      <c r="AO244" s="22">
        <v>0</v>
      </c>
      <c r="AQ244" s="22">
        <v>206920</v>
      </c>
      <c r="AS244" s="26">
        <v>261604</v>
      </c>
      <c r="AW244" s="23">
        <v>26.937899999999999</v>
      </c>
      <c r="BA244" s="23">
        <v>23.596800000000002</v>
      </c>
      <c r="BC244" s="24">
        <v>24.224799999999998</v>
      </c>
      <c r="BE244" s="1" t="str">
        <f t="shared" si="3"/>
        <v>No</v>
      </c>
    </row>
    <row r="245" spans="1:57" ht="11.25" customHeight="1">
      <c r="A245" s="7" t="s">
        <v>379</v>
      </c>
      <c r="B245" s="7" t="s">
        <v>380</v>
      </c>
      <c r="C245" s="37" t="s">
        <v>32</v>
      </c>
      <c r="D245" s="296">
        <v>4030</v>
      </c>
      <c r="E245" s="297">
        <v>40030</v>
      </c>
      <c r="F245" s="27" t="s">
        <v>162</v>
      </c>
      <c r="G245" s="73" t="s">
        <v>158</v>
      </c>
      <c r="H245" s="35">
        <v>187781</v>
      </c>
      <c r="I245" s="35">
        <v>143</v>
      </c>
      <c r="J245" s="37" t="s">
        <v>7</v>
      </c>
      <c r="K245" s="37" t="s">
        <v>159</v>
      </c>
      <c r="L245" s="8">
        <v>108</v>
      </c>
      <c r="M245" s="8">
        <v>455226</v>
      </c>
      <c r="N245" s="9"/>
      <c r="O245" s="8">
        <v>76411</v>
      </c>
      <c r="P245" s="9"/>
      <c r="Q245" s="8">
        <v>8402</v>
      </c>
      <c r="R245" s="9"/>
      <c r="S245" s="8">
        <v>80363</v>
      </c>
      <c r="T245" s="9"/>
      <c r="U245" s="8">
        <v>0</v>
      </c>
      <c r="V245" s="9"/>
      <c r="W245" s="33">
        <v>620402</v>
      </c>
      <c r="X245" s="9"/>
      <c r="Y245" s="30">
        <v>230</v>
      </c>
      <c r="Z245" s="9"/>
      <c r="AA245" s="30">
        <v>43</v>
      </c>
      <c r="AB245" s="9"/>
      <c r="AC245" s="30">
        <v>5</v>
      </c>
      <c r="AD245" s="9"/>
      <c r="AE245" s="30">
        <v>44</v>
      </c>
      <c r="AF245" s="9"/>
      <c r="AG245" s="30">
        <v>0</v>
      </c>
      <c r="AH245" s="9"/>
      <c r="AI245" s="32">
        <v>322</v>
      </c>
      <c r="AJ245" s="12"/>
      <c r="AK245" s="22">
        <v>8090536</v>
      </c>
      <c r="AM245" s="22">
        <v>1398455</v>
      </c>
      <c r="AO245" s="22">
        <v>154906</v>
      </c>
      <c r="AQ245" s="22">
        <v>1784500</v>
      </c>
      <c r="AS245" s="26">
        <v>11428397</v>
      </c>
      <c r="AU245" s="23">
        <v>17.772600000000001</v>
      </c>
      <c r="AW245" s="23">
        <v>18.3017</v>
      </c>
      <c r="AY245" s="23">
        <v>0.34029999999999999</v>
      </c>
      <c r="BA245" s="23">
        <v>22.205500000000001</v>
      </c>
      <c r="BC245" s="24">
        <v>18.420999999999999</v>
      </c>
      <c r="BE245" s="1" t="str">
        <f t="shared" si="3"/>
        <v>No</v>
      </c>
    </row>
    <row r="246" spans="1:57" ht="11.25" customHeight="1">
      <c r="A246" s="7" t="s">
        <v>257</v>
      </c>
      <c r="B246" s="7" t="s">
        <v>258</v>
      </c>
      <c r="C246" s="37" t="s">
        <v>17</v>
      </c>
      <c r="D246" s="296">
        <v>9078</v>
      </c>
      <c r="E246" s="297">
        <v>90078</v>
      </c>
      <c r="F246" s="27" t="s">
        <v>165</v>
      </c>
      <c r="G246" s="73" t="s">
        <v>158</v>
      </c>
      <c r="H246" s="35">
        <v>615968</v>
      </c>
      <c r="I246" s="35">
        <v>143</v>
      </c>
      <c r="J246" s="37" t="s">
        <v>7</v>
      </c>
      <c r="K246" s="37" t="s">
        <v>159</v>
      </c>
      <c r="L246" s="8">
        <v>93</v>
      </c>
      <c r="M246" s="8">
        <v>332488</v>
      </c>
      <c r="N246" s="9"/>
      <c r="O246" s="8">
        <v>57348</v>
      </c>
      <c r="P246" s="9"/>
      <c r="Q246" s="8">
        <v>9376</v>
      </c>
      <c r="R246" s="9"/>
      <c r="S246" s="8">
        <v>61714</v>
      </c>
      <c r="T246" s="9"/>
      <c r="U246" s="8">
        <v>0</v>
      </c>
      <c r="V246" s="9"/>
      <c r="W246" s="33">
        <v>460926</v>
      </c>
      <c r="X246" s="9"/>
      <c r="Y246" s="30">
        <v>192</v>
      </c>
      <c r="Z246" s="9"/>
      <c r="AA246" s="30">
        <v>32</v>
      </c>
      <c r="AB246" s="9"/>
      <c r="AC246" s="30">
        <v>5</v>
      </c>
      <c r="AD246" s="9"/>
      <c r="AE246" s="30">
        <v>35</v>
      </c>
      <c r="AF246" s="9"/>
      <c r="AG246" s="30">
        <v>0</v>
      </c>
      <c r="AH246" s="9"/>
      <c r="AI246" s="32">
        <v>264</v>
      </c>
      <c r="AJ246" s="12"/>
      <c r="AK246" s="22">
        <v>9205107</v>
      </c>
      <c r="AM246" s="22">
        <v>1971873</v>
      </c>
      <c r="AO246" s="22">
        <v>289186</v>
      </c>
      <c r="AQ246" s="22">
        <v>2168461</v>
      </c>
      <c r="AS246" s="26">
        <v>13634627</v>
      </c>
      <c r="AU246" s="23">
        <v>27.685500000000001</v>
      </c>
      <c r="AW246" s="23">
        <v>34.384300000000003</v>
      </c>
      <c r="AY246" s="23">
        <v>0.86980000000000002</v>
      </c>
      <c r="BA246" s="23">
        <v>35.137300000000003</v>
      </c>
      <c r="BC246" s="24">
        <v>29.5809</v>
      </c>
      <c r="BE246" s="1" t="str">
        <f t="shared" si="3"/>
        <v>No</v>
      </c>
    </row>
    <row r="247" spans="1:57" ht="11.25" customHeight="1">
      <c r="A247" s="7" t="s">
        <v>27</v>
      </c>
      <c r="B247" s="7" t="s">
        <v>563</v>
      </c>
      <c r="C247" s="37" t="s">
        <v>26</v>
      </c>
      <c r="D247" s="296">
        <v>8109</v>
      </c>
      <c r="E247" s="297">
        <v>80109</v>
      </c>
      <c r="F247" s="27" t="s">
        <v>243</v>
      </c>
      <c r="G247" s="73" t="s">
        <v>158</v>
      </c>
      <c r="H247" s="35">
        <v>2374203</v>
      </c>
      <c r="I247" s="35">
        <v>135</v>
      </c>
      <c r="J247" s="37" t="s">
        <v>8</v>
      </c>
      <c r="K247" s="37" t="s">
        <v>159</v>
      </c>
      <c r="L247" s="8">
        <v>135</v>
      </c>
      <c r="M247" s="8">
        <v>0</v>
      </c>
      <c r="N247" s="9"/>
      <c r="O247" s="8">
        <v>0</v>
      </c>
      <c r="P247" s="9"/>
      <c r="Q247" s="8">
        <v>0</v>
      </c>
      <c r="R247" s="9"/>
      <c r="S247" s="8">
        <v>4951</v>
      </c>
      <c r="T247" s="9"/>
      <c r="U247" s="8">
        <v>0</v>
      </c>
      <c r="V247" s="9"/>
      <c r="W247" s="33">
        <v>4951</v>
      </c>
      <c r="X247" s="9"/>
      <c r="Y247" s="30">
        <v>0</v>
      </c>
      <c r="Z247" s="9"/>
      <c r="AA247" s="30">
        <v>0</v>
      </c>
      <c r="AB247" s="9"/>
      <c r="AC247" s="30">
        <v>0</v>
      </c>
      <c r="AD247" s="9"/>
      <c r="AE247" s="30">
        <v>4</v>
      </c>
      <c r="AF247" s="9"/>
      <c r="AG247" s="30">
        <v>0</v>
      </c>
      <c r="AH247" s="9"/>
      <c r="AI247" s="32">
        <v>4</v>
      </c>
      <c r="AJ247" s="12"/>
      <c r="AK247" s="22">
        <v>0</v>
      </c>
      <c r="AM247" s="22">
        <v>0</v>
      </c>
      <c r="AO247" s="22">
        <v>0</v>
      </c>
      <c r="AQ247" s="22">
        <v>124147</v>
      </c>
      <c r="AS247" s="26">
        <v>124147</v>
      </c>
      <c r="BA247" s="23">
        <v>25.075099999999999</v>
      </c>
      <c r="BC247" s="24">
        <v>25.075099999999999</v>
      </c>
      <c r="BE247" s="1" t="str">
        <f t="shared" si="3"/>
        <v>No</v>
      </c>
    </row>
    <row r="248" spans="1:57" ht="11.25" customHeight="1">
      <c r="A248" s="7" t="s">
        <v>23</v>
      </c>
      <c r="B248" s="7" t="s">
        <v>578</v>
      </c>
      <c r="C248" s="37" t="s">
        <v>17</v>
      </c>
      <c r="D248" s="296">
        <v>9223</v>
      </c>
      <c r="E248" s="297">
        <v>90223</v>
      </c>
      <c r="F248" s="27" t="s">
        <v>165</v>
      </c>
      <c r="G248" s="73" t="s">
        <v>158</v>
      </c>
      <c r="H248" s="35">
        <v>1723634</v>
      </c>
      <c r="I248" s="35">
        <v>134</v>
      </c>
      <c r="J248" s="37" t="s">
        <v>10</v>
      </c>
      <c r="K248" s="37" t="s">
        <v>159</v>
      </c>
      <c r="L248" s="8">
        <v>93</v>
      </c>
      <c r="M248" s="8">
        <v>357230</v>
      </c>
      <c r="N248" s="9"/>
      <c r="O248" s="8">
        <v>20515</v>
      </c>
      <c r="P248" s="9"/>
      <c r="Q248" s="8">
        <v>2175</v>
      </c>
      <c r="R248" s="9"/>
      <c r="S248" s="8">
        <v>41359</v>
      </c>
      <c r="T248" s="9"/>
      <c r="U248" s="8">
        <v>0</v>
      </c>
      <c r="V248" s="9"/>
      <c r="W248" s="33">
        <v>421279</v>
      </c>
      <c r="X248" s="9"/>
      <c r="Y248" s="30">
        <v>184.5</v>
      </c>
      <c r="Z248" s="9"/>
      <c r="AA248" s="30">
        <v>11.7</v>
      </c>
      <c r="AB248" s="9"/>
      <c r="AC248" s="30">
        <v>0.5</v>
      </c>
      <c r="AD248" s="9"/>
      <c r="AE248" s="30">
        <v>22.9</v>
      </c>
      <c r="AF248" s="9"/>
      <c r="AG248" s="30">
        <v>0</v>
      </c>
      <c r="AH248" s="9"/>
      <c r="AI248" s="32">
        <v>219.6</v>
      </c>
      <c r="AJ248" s="12"/>
      <c r="AK248" s="22">
        <v>5647077</v>
      </c>
      <c r="AM248" s="22">
        <v>442089</v>
      </c>
      <c r="AO248" s="22">
        <v>35546</v>
      </c>
      <c r="AQ248" s="22">
        <v>864186</v>
      </c>
      <c r="AS248" s="26">
        <v>6988898</v>
      </c>
      <c r="AU248" s="23">
        <v>15.808</v>
      </c>
      <c r="AW248" s="23">
        <v>21.549499999999998</v>
      </c>
      <c r="AY248" s="23">
        <v>9.9500000000000005E-2</v>
      </c>
      <c r="BA248" s="23">
        <v>20.8948</v>
      </c>
      <c r="BC248" s="24">
        <v>16.589700000000001</v>
      </c>
      <c r="BE248" s="1" t="str">
        <f t="shared" si="3"/>
        <v>No</v>
      </c>
    </row>
    <row r="249" spans="1:57" ht="11.25" customHeight="1">
      <c r="A249" s="7" t="s">
        <v>338</v>
      </c>
      <c r="B249" s="7" t="s">
        <v>339</v>
      </c>
      <c r="C249" s="37" t="s">
        <v>32</v>
      </c>
      <c r="D249" s="296">
        <v>4032</v>
      </c>
      <c r="E249" s="297">
        <v>40032</v>
      </c>
      <c r="F249" s="27" t="s">
        <v>162</v>
      </c>
      <c r="G249" s="73" t="s">
        <v>158</v>
      </c>
      <c r="H249" s="35">
        <v>349064</v>
      </c>
      <c r="I249" s="35">
        <v>133</v>
      </c>
      <c r="J249" s="37" t="s">
        <v>7</v>
      </c>
      <c r="K249" s="37" t="s">
        <v>159</v>
      </c>
      <c r="L249" s="8">
        <v>54</v>
      </c>
      <c r="M249" s="8">
        <v>222912</v>
      </c>
      <c r="N249" s="9"/>
      <c r="O249" s="8">
        <v>42227</v>
      </c>
      <c r="P249" s="9"/>
      <c r="Q249" s="8">
        <v>19105</v>
      </c>
      <c r="R249" s="9"/>
      <c r="S249" s="8">
        <v>45229</v>
      </c>
      <c r="T249" s="9"/>
      <c r="U249" s="8">
        <v>0</v>
      </c>
      <c r="V249" s="9"/>
      <c r="W249" s="33">
        <v>329473</v>
      </c>
      <c r="X249" s="9"/>
      <c r="Y249" s="30">
        <v>112</v>
      </c>
      <c r="Z249" s="9"/>
      <c r="AA249" s="30">
        <v>21</v>
      </c>
      <c r="AB249" s="9"/>
      <c r="AC249" s="30">
        <v>9</v>
      </c>
      <c r="AD249" s="9"/>
      <c r="AE249" s="30">
        <v>28</v>
      </c>
      <c r="AF249" s="9"/>
      <c r="AG249" s="30">
        <v>0</v>
      </c>
      <c r="AH249" s="9"/>
      <c r="AI249" s="32">
        <v>170</v>
      </c>
      <c r="AJ249" s="12"/>
      <c r="AK249" s="22">
        <v>4233622</v>
      </c>
      <c r="AM249" s="22">
        <v>619626</v>
      </c>
      <c r="AO249" s="22">
        <v>436751</v>
      </c>
      <c r="AQ249" s="22">
        <v>658602</v>
      </c>
      <c r="AS249" s="26">
        <v>5948601</v>
      </c>
      <c r="AU249" s="23">
        <v>18.9923</v>
      </c>
      <c r="AW249" s="23">
        <v>14.6737</v>
      </c>
      <c r="AY249" s="23">
        <v>1.9593</v>
      </c>
      <c r="BA249" s="23">
        <v>14.561500000000001</v>
      </c>
      <c r="BC249" s="24">
        <v>18.0549</v>
      </c>
      <c r="BE249" s="1" t="str">
        <f t="shared" si="3"/>
        <v>No</v>
      </c>
    </row>
    <row r="250" spans="1:57" ht="11.25" customHeight="1">
      <c r="A250" s="7" t="s">
        <v>338</v>
      </c>
      <c r="B250" s="7" t="s">
        <v>339</v>
      </c>
      <c r="C250" s="37" t="s">
        <v>32</v>
      </c>
      <c r="D250" s="296">
        <v>4032</v>
      </c>
      <c r="E250" s="297">
        <v>40032</v>
      </c>
      <c r="F250" s="27" t="s">
        <v>162</v>
      </c>
      <c r="G250" s="73" t="s">
        <v>158</v>
      </c>
      <c r="H250" s="35">
        <v>349064</v>
      </c>
      <c r="I250" s="35">
        <v>133</v>
      </c>
      <c r="J250" s="37" t="s">
        <v>10</v>
      </c>
      <c r="K250" s="37" t="s">
        <v>159</v>
      </c>
      <c r="L250" s="8">
        <v>49</v>
      </c>
      <c r="M250" s="8">
        <v>123571</v>
      </c>
      <c r="N250" s="9"/>
      <c r="O250" s="8">
        <v>18497</v>
      </c>
      <c r="P250" s="9"/>
      <c r="Q250" s="8">
        <v>2059</v>
      </c>
      <c r="R250" s="9"/>
      <c r="S250" s="8">
        <v>39921</v>
      </c>
      <c r="T250" s="9"/>
      <c r="U250" s="8">
        <v>0</v>
      </c>
      <c r="V250" s="9"/>
      <c r="W250" s="33">
        <v>184048</v>
      </c>
      <c r="X250" s="9"/>
      <c r="Y250" s="30">
        <v>71</v>
      </c>
      <c r="Z250" s="9"/>
      <c r="AA250" s="30">
        <v>12</v>
      </c>
      <c r="AB250" s="9"/>
      <c r="AC250" s="30">
        <v>1.3</v>
      </c>
      <c r="AD250" s="9"/>
      <c r="AE250" s="30">
        <v>23</v>
      </c>
      <c r="AF250" s="9"/>
      <c r="AG250" s="30">
        <v>0</v>
      </c>
      <c r="AH250" s="9"/>
      <c r="AI250" s="32">
        <v>107.3</v>
      </c>
      <c r="AJ250" s="12"/>
      <c r="AK250" s="22">
        <v>1725993</v>
      </c>
      <c r="AM250" s="22">
        <v>262658</v>
      </c>
      <c r="AO250" s="22">
        <v>26000</v>
      </c>
      <c r="AQ250" s="22">
        <v>575270</v>
      </c>
      <c r="AS250" s="26">
        <v>2589921</v>
      </c>
      <c r="AU250" s="23">
        <v>13.967599999999999</v>
      </c>
      <c r="AW250" s="23">
        <v>14.2</v>
      </c>
      <c r="AY250" s="23">
        <v>0.2104</v>
      </c>
      <c r="BA250" s="23">
        <v>14.4102</v>
      </c>
      <c r="BC250" s="24">
        <v>14.071999999999999</v>
      </c>
      <c r="BE250" s="1" t="str">
        <f t="shared" si="3"/>
        <v>No</v>
      </c>
    </row>
    <row r="251" spans="1:57" ht="11.25" customHeight="1">
      <c r="A251" s="7" t="s">
        <v>377</v>
      </c>
      <c r="B251" s="7" t="s">
        <v>378</v>
      </c>
      <c r="C251" s="37" t="s">
        <v>17</v>
      </c>
      <c r="D251" s="296">
        <v>9027</v>
      </c>
      <c r="E251" s="297">
        <v>90027</v>
      </c>
      <c r="F251" s="27" t="s">
        <v>162</v>
      </c>
      <c r="G251" s="73" t="s">
        <v>158</v>
      </c>
      <c r="H251" s="35">
        <v>654628</v>
      </c>
      <c r="I251" s="35">
        <v>129</v>
      </c>
      <c r="J251" s="37" t="s">
        <v>7</v>
      </c>
      <c r="K251" s="37" t="s">
        <v>159</v>
      </c>
      <c r="L251" s="8">
        <v>80</v>
      </c>
      <c r="M251" s="8">
        <v>453170</v>
      </c>
      <c r="N251" s="9"/>
      <c r="O251" s="8">
        <v>86273</v>
      </c>
      <c r="P251" s="9"/>
      <c r="Q251" s="8">
        <v>14810</v>
      </c>
      <c r="R251" s="9"/>
      <c r="S251" s="8">
        <v>51185</v>
      </c>
      <c r="T251" s="9"/>
      <c r="U251" s="8">
        <v>0</v>
      </c>
      <c r="V251" s="9"/>
      <c r="W251" s="33">
        <v>605438</v>
      </c>
      <c r="X251" s="9"/>
      <c r="Y251" s="30">
        <v>236</v>
      </c>
      <c r="Z251" s="9"/>
      <c r="AA251" s="30">
        <v>48</v>
      </c>
      <c r="AB251" s="9"/>
      <c r="AC251" s="30">
        <v>8</v>
      </c>
      <c r="AD251" s="9"/>
      <c r="AE251" s="30">
        <v>25</v>
      </c>
      <c r="AF251" s="9"/>
      <c r="AG251" s="30">
        <v>0</v>
      </c>
      <c r="AH251" s="9"/>
      <c r="AI251" s="32">
        <v>317</v>
      </c>
      <c r="AJ251" s="12"/>
      <c r="AK251" s="22">
        <v>13163687</v>
      </c>
      <c r="AM251" s="22">
        <v>2659598</v>
      </c>
      <c r="AO251" s="22">
        <v>415286</v>
      </c>
      <c r="AQ251" s="22">
        <v>1433179</v>
      </c>
      <c r="AS251" s="26">
        <v>17671750</v>
      </c>
      <c r="AU251" s="23">
        <v>29.047999999999998</v>
      </c>
      <c r="AW251" s="23">
        <v>30.8277</v>
      </c>
      <c r="AY251" s="23">
        <v>0.91639999999999999</v>
      </c>
      <c r="BA251" s="23">
        <v>28</v>
      </c>
      <c r="BC251" s="24">
        <v>29.188400000000001</v>
      </c>
      <c r="BE251" s="1" t="str">
        <f t="shared" si="3"/>
        <v>No</v>
      </c>
    </row>
    <row r="252" spans="1:57" ht="11.25" customHeight="1">
      <c r="A252" s="7" t="s">
        <v>174</v>
      </c>
      <c r="B252" s="7" t="s">
        <v>175</v>
      </c>
      <c r="C252" s="37" t="s">
        <v>48</v>
      </c>
      <c r="D252" s="296">
        <v>3085</v>
      </c>
      <c r="E252" s="297">
        <v>30085</v>
      </c>
      <c r="F252" s="27" t="s">
        <v>162</v>
      </c>
      <c r="G252" s="73" t="s">
        <v>158</v>
      </c>
      <c r="H252" s="35">
        <v>4586770</v>
      </c>
      <c r="I252" s="35">
        <v>128</v>
      </c>
      <c r="J252" s="37" t="s">
        <v>10</v>
      </c>
      <c r="K252" s="37" t="s">
        <v>159</v>
      </c>
      <c r="L252" s="8">
        <v>52</v>
      </c>
      <c r="M252" s="8">
        <v>52291</v>
      </c>
      <c r="N252" s="9"/>
      <c r="O252" s="8">
        <v>3219</v>
      </c>
      <c r="P252" s="9"/>
      <c r="Q252" s="8">
        <v>2972</v>
      </c>
      <c r="R252" s="9"/>
      <c r="S252" s="8">
        <v>12922</v>
      </c>
      <c r="T252" s="9"/>
      <c r="U252" s="8">
        <v>0</v>
      </c>
      <c r="V252" s="9"/>
      <c r="W252" s="33">
        <v>71404</v>
      </c>
      <c r="X252" s="9"/>
      <c r="Y252" s="30">
        <v>27.75</v>
      </c>
      <c r="Z252" s="9"/>
      <c r="AA252" s="30">
        <v>1.95</v>
      </c>
      <c r="AB252" s="9"/>
      <c r="AC252" s="30">
        <v>1.8</v>
      </c>
      <c r="AD252" s="9"/>
      <c r="AE252" s="30">
        <v>7.83</v>
      </c>
      <c r="AF252" s="9"/>
      <c r="AG252" s="30">
        <v>0</v>
      </c>
      <c r="AH252" s="9"/>
      <c r="AI252" s="32">
        <v>39.33</v>
      </c>
      <c r="AJ252" s="12"/>
      <c r="AK252" s="22">
        <v>1042506</v>
      </c>
      <c r="AM252" s="22">
        <v>58417</v>
      </c>
      <c r="AO252" s="22">
        <v>68566</v>
      </c>
      <c r="AQ252" s="22">
        <v>414458</v>
      </c>
      <c r="AS252" s="26">
        <v>1583947</v>
      </c>
      <c r="AU252" s="23">
        <v>19.936599999999999</v>
      </c>
      <c r="AW252" s="23">
        <v>18.147600000000001</v>
      </c>
      <c r="AY252" s="23">
        <v>1.3111999999999999</v>
      </c>
      <c r="BA252" s="23">
        <v>32.073799999999999</v>
      </c>
      <c r="BC252" s="24">
        <v>22.1829</v>
      </c>
      <c r="BE252" s="1" t="str">
        <f t="shared" si="3"/>
        <v>No</v>
      </c>
    </row>
    <row r="253" spans="1:57" ht="11.25" customHeight="1">
      <c r="A253" s="7" t="s">
        <v>1110</v>
      </c>
      <c r="B253" s="7" t="s">
        <v>409</v>
      </c>
      <c r="C253" s="37" t="s">
        <v>84</v>
      </c>
      <c r="D253" s="296">
        <v>6084</v>
      </c>
      <c r="E253" s="297">
        <v>60084</v>
      </c>
      <c r="F253" s="27" t="s">
        <v>243</v>
      </c>
      <c r="G253" s="73" t="s">
        <v>158</v>
      </c>
      <c r="H253" s="35">
        <v>5121892</v>
      </c>
      <c r="I253" s="35">
        <v>127</v>
      </c>
      <c r="J253" s="37" t="s">
        <v>8</v>
      </c>
      <c r="K253" s="37" t="s">
        <v>159</v>
      </c>
      <c r="L253" s="8">
        <v>127</v>
      </c>
      <c r="M253" s="8">
        <v>0</v>
      </c>
      <c r="N253" s="9"/>
      <c r="O253" s="8">
        <v>0</v>
      </c>
      <c r="P253" s="9"/>
      <c r="Q253" s="8">
        <v>0</v>
      </c>
      <c r="R253" s="9"/>
      <c r="S253" s="8">
        <v>6203</v>
      </c>
      <c r="T253" s="9"/>
      <c r="U253" s="8">
        <v>0</v>
      </c>
      <c r="V253" s="9"/>
      <c r="W253" s="33">
        <v>6203</v>
      </c>
      <c r="X253" s="9"/>
      <c r="Y253" s="30">
        <v>0</v>
      </c>
      <c r="Z253" s="9"/>
      <c r="AA253" s="30">
        <v>0</v>
      </c>
      <c r="AB253" s="9"/>
      <c r="AC253" s="30">
        <v>0</v>
      </c>
      <c r="AD253" s="9"/>
      <c r="AE253" s="30">
        <v>4</v>
      </c>
      <c r="AF253" s="9"/>
      <c r="AG253" s="30">
        <v>0</v>
      </c>
      <c r="AH253" s="9"/>
      <c r="AI253" s="32">
        <v>4</v>
      </c>
      <c r="AJ253" s="12"/>
      <c r="AK253" s="22">
        <v>0</v>
      </c>
      <c r="AM253" s="22">
        <v>0</v>
      </c>
      <c r="AO253" s="22">
        <v>0</v>
      </c>
      <c r="AQ253" s="22">
        <v>89431</v>
      </c>
      <c r="AS253" s="26">
        <v>89431</v>
      </c>
      <c r="BA253" s="23">
        <v>14.417400000000001</v>
      </c>
      <c r="BC253" s="24">
        <v>14.417400000000001</v>
      </c>
      <c r="BE253" s="1" t="str">
        <f t="shared" si="3"/>
        <v>No</v>
      </c>
    </row>
    <row r="254" spans="1:57" ht="11.25" customHeight="1">
      <c r="A254" s="7" t="s">
        <v>168</v>
      </c>
      <c r="B254" s="7" t="s">
        <v>169</v>
      </c>
      <c r="C254" s="37" t="s">
        <v>84</v>
      </c>
      <c r="D254" s="296">
        <v>6091</v>
      </c>
      <c r="E254" s="297">
        <v>60091</v>
      </c>
      <c r="F254" s="27" t="s">
        <v>165</v>
      </c>
      <c r="G254" s="73" t="s">
        <v>158</v>
      </c>
      <c r="H254" s="35">
        <v>217630</v>
      </c>
      <c r="I254" s="35">
        <v>122</v>
      </c>
      <c r="J254" s="37" t="s">
        <v>10</v>
      </c>
      <c r="K254" s="37" t="s">
        <v>159</v>
      </c>
      <c r="L254" s="8">
        <v>108</v>
      </c>
      <c r="M254" s="8">
        <v>231548</v>
      </c>
      <c r="N254" s="9"/>
      <c r="O254" s="8">
        <v>15138</v>
      </c>
      <c r="P254" s="9"/>
      <c r="Q254" s="8">
        <v>7746</v>
      </c>
      <c r="R254" s="9"/>
      <c r="S254" s="8">
        <v>19808</v>
      </c>
      <c r="T254" s="9"/>
      <c r="U254" s="8">
        <v>0</v>
      </c>
      <c r="V254" s="9"/>
      <c r="W254" s="33">
        <v>274240</v>
      </c>
      <c r="X254" s="9"/>
      <c r="Y254" s="30">
        <v>112.79</v>
      </c>
      <c r="Z254" s="9"/>
      <c r="AA254" s="30">
        <v>6.2</v>
      </c>
      <c r="AB254" s="9"/>
      <c r="AC254" s="30">
        <v>4.34</v>
      </c>
      <c r="AD254" s="9"/>
      <c r="AE254" s="30">
        <v>10.37</v>
      </c>
      <c r="AF254" s="9"/>
      <c r="AG254" s="30">
        <v>0</v>
      </c>
      <c r="AH254" s="9"/>
      <c r="AI254" s="32">
        <v>133.69999999999999</v>
      </c>
      <c r="AJ254" s="12"/>
      <c r="AK254" s="22">
        <v>3142180</v>
      </c>
      <c r="AM254" s="22">
        <v>300522</v>
      </c>
      <c r="AO254" s="22">
        <v>89559</v>
      </c>
      <c r="AQ254" s="22">
        <v>544888</v>
      </c>
      <c r="AS254" s="26">
        <v>4077149</v>
      </c>
      <c r="AU254" s="23">
        <v>13.5703</v>
      </c>
      <c r="AW254" s="23">
        <v>19.8522</v>
      </c>
      <c r="AY254" s="23">
        <v>0.38679999999999998</v>
      </c>
      <c r="BA254" s="23">
        <v>27.508500000000002</v>
      </c>
      <c r="BC254" s="24">
        <v>14.867100000000001</v>
      </c>
      <c r="BE254" s="1" t="str">
        <f t="shared" si="3"/>
        <v>No</v>
      </c>
    </row>
    <row r="255" spans="1:57" ht="11.25" customHeight="1">
      <c r="A255" s="7" t="s">
        <v>168</v>
      </c>
      <c r="B255" s="7" t="s">
        <v>169</v>
      </c>
      <c r="C255" s="37" t="s">
        <v>84</v>
      </c>
      <c r="D255" s="296">
        <v>6091</v>
      </c>
      <c r="E255" s="297">
        <v>60091</v>
      </c>
      <c r="F255" s="27" t="s">
        <v>165</v>
      </c>
      <c r="G255" s="73" t="s">
        <v>158</v>
      </c>
      <c r="H255" s="35">
        <v>217630</v>
      </c>
      <c r="I255" s="35">
        <v>122</v>
      </c>
      <c r="J255" s="37" t="s">
        <v>7</v>
      </c>
      <c r="K255" s="37" t="s">
        <v>159</v>
      </c>
      <c r="L255" s="8">
        <v>14</v>
      </c>
      <c r="M255" s="8">
        <v>80736</v>
      </c>
      <c r="N255" s="9"/>
      <c r="O255" s="8">
        <v>8071</v>
      </c>
      <c r="P255" s="9"/>
      <c r="Q255" s="8">
        <v>4415</v>
      </c>
      <c r="R255" s="9"/>
      <c r="S255" s="8">
        <v>7056</v>
      </c>
      <c r="T255" s="9"/>
      <c r="U255" s="8">
        <v>0</v>
      </c>
      <c r="V255" s="9"/>
      <c r="W255" s="33">
        <v>100278</v>
      </c>
      <c r="X255" s="9"/>
      <c r="Y255" s="30">
        <v>37.21</v>
      </c>
      <c r="Z255" s="9"/>
      <c r="AA255" s="30">
        <v>3.8</v>
      </c>
      <c r="AB255" s="9"/>
      <c r="AC255" s="30">
        <v>2.66</v>
      </c>
      <c r="AD255" s="9"/>
      <c r="AE255" s="30">
        <v>3.6</v>
      </c>
      <c r="AF255" s="9"/>
      <c r="AG255" s="30">
        <v>0</v>
      </c>
      <c r="AH255" s="9"/>
      <c r="AI255" s="32">
        <v>47.27</v>
      </c>
      <c r="AJ255" s="12"/>
      <c r="AK255" s="22">
        <v>1144226</v>
      </c>
      <c r="AM255" s="22">
        <v>159018</v>
      </c>
      <c r="AO255" s="22">
        <v>51039</v>
      </c>
      <c r="AQ255" s="22">
        <v>194620</v>
      </c>
      <c r="AS255" s="26">
        <v>1548903</v>
      </c>
      <c r="AU255" s="23">
        <v>14.1724</v>
      </c>
      <c r="AW255" s="23">
        <v>19.702400000000001</v>
      </c>
      <c r="AY255" s="23">
        <v>0.63219999999999998</v>
      </c>
      <c r="BA255" s="23">
        <v>27.5822</v>
      </c>
      <c r="BC255" s="24">
        <v>15.446099999999999</v>
      </c>
      <c r="BE255" s="1" t="str">
        <f t="shared" si="3"/>
        <v>No</v>
      </c>
    </row>
    <row r="256" spans="1:57" ht="11.25" customHeight="1">
      <c r="A256" s="7" t="s">
        <v>269</v>
      </c>
      <c r="B256" s="7" t="s">
        <v>270</v>
      </c>
      <c r="C256" s="37" t="s">
        <v>40</v>
      </c>
      <c r="D256" s="296">
        <v>5060</v>
      </c>
      <c r="E256" s="297">
        <v>50060</v>
      </c>
      <c r="F256" s="27" t="s">
        <v>165</v>
      </c>
      <c r="G256" s="73" t="s">
        <v>158</v>
      </c>
      <c r="H256" s="35">
        <v>145361</v>
      </c>
      <c r="I256" s="35">
        <v>120</v>
      </c>
      <c r="J256" s="37" t="s">
        <v>7</v>
      </c>
      <c r="K256" s="37" t="s">
        <v>159</v>
      </c>
      <c r="L256" s="8">
        <v>97</v>
      </c>
      <c r="M256" s="8">
        <v>397450</v>
      </c>
      <c r="N256" s="9"/>
      <c r="O256" s="8">
        <v>74725</v>
      </c>
      <c r="P256" s="9"/>
      <c r="Q256" s="8">
        <v>14980</v>
      </c>
      <c r="R256" s="9"/>
      <c r="S256" s="8">
        <v>39936</v>
      </c>
      <c r="T256" s="9"/>
      <c r="U256" s="8">
        <v>0</v>
      </c>
      <c r="V256" s="9"/>
      <c r="W256" s="33">
        <v>527091</v>
      </c>
      <c r="X256" s="9"/>
      <c r="Y256" s="30">
        <v>255.2</v>
      </c>
      <c r="Z256" s="9"/>
      <c r="AA256" s="30">
        <v>42.1</v>
      </c>
      <c r="AB256" s="9"/>
      <c r="AC256" s="30">
        <v>9</v>
      </c>
      <c r="AD256" s="9"/>
      <c r="AE256" s="30">
        <v>25.7</v>
      </c>
      <c r="AF256" s="9"/>
      <c r="AG256" s="30">
        <v>0</v>
      </c>
      <c r="AH256" s="9"/>
      <c r="AI256" s="32">
        <v>332</v>
      </c>
      <c r="AJ256" s="12"/>
      <c r="AK256" s="22">
        <v>9887471</v>
      </c>
      <c r="AM256" s="22">
        <v>1922863</v>
      </c>
      <c r="AO256" s="22">
        <v>240053</v>
      </c>
      <c r="AQ256" s="22">
        <v>1524418</v>
      </c>
      <c r="AS256" s="26">
        <v>13574805</v>
      </c>
      <c r="AU256" s="23">
        <v>24.877300000000002</v>
      </c>
      <c r="AW256" s="23">
        <v>25.732500000000002</v>
      </c>
      <c r="AY256" s="23">
        <v>0.60399999999999998</v>
      </c>
      <c r="BA256" s="23">
        <v>38.171500000000002</v>
      </c>
      <c r="BC256" s="24">
        <v>25.754200000000001</v>
      </c>
      <c r="BE256" s="1" t="str">
        <f t="shared" si="3"/>
        <v>No</v>
      </c>
    </row>
    <row r="257" spans="1:57" ht="11.25" customHeight="1">
      <c r="A257" s="7" t="s">
        <v>269</v>
      </c>
      <c r="B257" s="7" t="s">
        <v>270</v>
      </c>
      <c r="C257" s="37" t="s">
        <v>40</v>
      </c>
      <c r="D257" s="296">
        <v>5060</v>
      </c>
      <c r="E257" s="297">
        <v>50060</v>
      </c>
      <c r="F257" s="27" t="s">
        <v>165</v>
      </c>
      <c r="G257" s="73" t="s">
        <v>158</v>
      </c>
      <c r="H257" s="35">
        <v>145361</v>
      </c>
      <c r="I257" s="35">
        <v>120</v>
      </c>
      <c r="J257" s="37" t="s">
        <v>10</v>
      </c>
      <c r="K257" s="37" t="s">
        <v>159</v>
      </c>
      <c r="L257" s="8">
        <v>8</v>
      </c>
      <c r="M257" s="8">
        <v>26048</v>
      </c>
      <c r="N257" s="9"/>
      <c r="O257" s="8">
        <v>3705</v>
      </c>
      <c r="P257" s="9"/>
      <c r="Q257" s="8">
        <v>548</v>
      </c>
      <c r="R257" s="9"/>
      <c r="S257" s="8">
        <v>3040</v>
      </c>
      <c r="T257" s="9"/>
      <c r="U257" s="8">
        <v>0</v>
      </c>
      <c r="V257" s="9"/>
      <c r="W257" s="33">
        <v>33341</v>
      </c>
      <c r="X257" s="9"/>
      <c r="Y257" s="30">
        <v>16.899999999999999</v>
      </c>
      <c r="Z257" s="9"/>
      <c r="AA257" s="30">
        <v>2.6</v>
      </c>
      <c r="AB257" s="9"/>
      <c r="AC257" s="30">
        <v>1.1499999999999999</v>
      </c>
      <c r="AD257" s="9"/>
      <c r="AE257" s="30">
        <v>1.8</v>
      </c>
      <c r="AF257" s="9"/>
      <c r="AG257" s="30">
        <v>0</v>
      </c>
      <c r="AH257" s="9"/>
      <c r="AI257" s="32">
        <v>22.45</v>
      </c>
      <c r="AJ257" s="12"/>
      <c r="AK257" s="22">
        <v>526303</v>
      </c>
      <c r="AM257" s="22">
        <v>53415</v>
      </c>
      <c r="AO257" s="22">
        <v>10285</v>
      </c>
      <c r="AQ257" s="22">
        <v>48290</v>
      </c>
      <c r="AS257" s="26">
        <v>638293</v>
      </c>
      <c r="AU257" s="23">
        <v>20.205100000000002</v>
      </c>
      <c r="AW257" s="23">
        <v>14.417</v>
      </c>
      <c r="AY257" s="23">
        <v>0.39479999999999998</v>
      </c>
      <c r="BA257" s="23">
        <v>15.8849</v>
      </c>
      <c r="BC257" s="24">
        <v>19.144400000000001</v>
      </c>
      <c r="BE257" s="1" t="str">
        <f t="shared" si="3"/>
        <v>No</v>
      </c>
    </row>
    <row r="258" spans="1:57" ht="11.25" customHeight="1">
      <c r="A258" s="7" t="s">
        <v>779</v>
      </c>
      <c r="B258" s="7" t="s">
        <v>343</v>
      </c>
      <c r="C258" s="37" t="s">
        <v>40</v>
      </c>
      <c r="D258" s="296">
        <v>5211</v>
      </c>
      <c r="E258" s="297">
        <v>50211</v>
      </c>
      <c r="F258" s="27" t="s">
        <v>165</v>
      </c>
      <c r="G258" s="73" t="s">
        <v>158</v>
      </c>
      <c r="H258" s="35">
        <v>67821</v>
      </c>
      <c r="I258" s="35">
        <v>119</v>
      </c>
      <c r="J258" s="37" t="s">
        <v>7</v>
      </c>
      <c r="K258" s="37" t="s">
        <v>159</v>
      </c>
      <c r="L258" s="8">
        <v>119</v>
      </c>
      <c r="M258" s="8">
        <v>318344</v>
      </c>
      <c r="N258" s="9"/>
      <c r="O258" s="8">
        <v>38241</v>
      </c>
      <c r="P258" s="9"/>
      <c r="Q258" s="8">
        <v>0</v>
      </c>
      <c r="R258" s="9"/>
      <c r="S258" s="8">
        <v>48144</v>
      </c>
      <c r="T258" s="9"/>
      <c r="U258" s="8">
        <v>0</v>
      </c>
      <c r="V258" s="9"/>
      <c r="W258" s="33">
        <v>404729</v>
      </c>
      <c r="X258" s="9"/>
      <c r="Y258" s="30">
        <v>176</v>
      </c>
      <c r="Z258" s="9"/>
      <c r="AA258" s="30">
        <v>20</v>
      </c>
      <c r="AB258" s="9"/>
      <c r="AC258" s="30">
        <v>0</v>
      </c>
      <c r="AD258" s="9"/>
      <c r="AE258" s="30">
        <v>28</v>
      </c>
      <c r="AF258" s="9"/>
      <c r="AG258" s="30">
        <v>0</v>
      </c>
      <c r="AH258" s="9"/>
      <c r="AI258" s="32">
        <v>224</v>
      </c>
      <c r="AJ258" s="12"/>
      <c r="AK258" s="22">
        <v>3881513</v>
      </c>
      <c r="AM258" s="22">
        <v>600484</v>
      </c>
      <c r="AO258" s="22">
        <v>0</v>
      </c>
      <c r="AQ258" s="22">
        <v>1535364</v>
      </c>
      <c r="AS258" s="26">
        <v>6017361</v>
      </c>
      <c r="AU258" s="23">
        <v>12.1928</v>
      </c>
      <c r="AW258" s="23">
        <v>15.7026</v>
      </c>
      <c r="AY258" s="23">
        <v>0</v>
      </c>
      <c r="BA258" s="23">
        <v>31.891100000000002</v>
      </c>
      <c r="BC258" s="24">
        <v>14.867599999999999</v>
      </c>
      <c r="BE258" s="1" t="str">
        <f t="shared" ref="BE258:BE321" si="4">IF(BD258&amp;BB258&amp;AZ258&amp;AX258&amp;AV258&amp;AT258&amp;AR258&amp;AP258&amp;AN258&amp;AL258&amp;AJ258&amp;AH258&amp;AF258&amp;AD258&amp;AB258&amp;Z258&amp;X258&amp;V258&amp;T258&amp;R258&amp;P258&amp;N258&lt;&gt;"","Yes","No")</f>
        <v>No</v>
      </c>
    </row>
    <row r="259" spans="1:57" ht="11.25" customHeight="1">
      <c r="A259" s="7" t="s">
        <v>482</v>
      </c>
      <c r="B259" s="7" t="s">
        <v>483</v>
      </c>
      <c r="C259" s="37" t="s">
        <v>79</v>
      </c>
      <c r="D259" s="296">
        <v>4086</v>
      </c>
      <c r="E259" s="297">
        <v>40086</v>
      </c>
      <c r="F259" s="27" t="s">
        <v>165</v>
      </c>
      <c r="G259" s="73" t="s">
        <v>158</v>
      </c>
      <c r="H259" s="35">
        <v>2148346</v>
      </c>
      <c r="I259" s="35">
        <v>118</v>
      </c>
      <c r="J259" s="37" t="s">
        <v>7</v>
      </c>
      <c r="K259" s="37" t="s">
        <v>159</v>
      </c>
      <c r="L259" s="8">
        <v>88</v>
      </c>
      <c r="M259" s="8">
        <v>663555</v>
      </c>
      <c r="N259" s="9"/>
      <c r="O259" s="8">
        <v>342192</v>
      </c>
      <c r="P259" s="9"/>
      <c r="Q259" s="8">
        <v>113076</v>
      </c>
      <c r="R259" s="9"/>
      <c r="S259" s="8">
        <v>182126</v>
      </c>
      <c r="T259" s="9"/>
      <c r="U259" s="8">
        <v>0</v>
      </c>
      <c r="V259" s="9"/>
      <c r="W259" s="33">
        <v>1300949</v>
      </c>
      <c r="X259" s="9"/>
      <c r="Y259" s="30">
        <v>354</v>
      </c>
      <c r="Z259" s="9"/>
      <c r="AA259" s="30">
        <v>188</v>
      </c>
      <c r="AB259" s="9"/>
      <c r="AC259" s="30">
        <v>67</v>
      </c>
      <c r="AD259" s="9"/>
      <c r="AE259" s="30">
        <v>104</v>
      </c>
      <c r="AF259" s="9"/>
      <c r="AG259" s="30">
        <v>0</v>
      </c>
      <c r="AH259" s="9"/>
      <c r="AI259" s="32">
        <v>713</v>
      </c>
      <c r="AJ259" s="12"/>
      <c r="AK259" s="22">
        <v>12234245</v>
      </c>
      <c r="AM259" s="22">
        <v>5002976</v>
      </c>
      <c r="AO259" s="22">
        <v>1590609</v>
      </c>
      <c r="AQ259" s="22">
        <v>4168525</v>
      </c>
      <c r="AS259" s="26">
        <v>22996355</v>
      </c>
      <c r="AU259" s="23">
        <v>18.4374</v>
      </c>
      <c r="AW259" s="23">
        <v>14.6204</v>
      </c>
      <c r="AY259" s="23">
        <v>2.3971</v>
      </c>
      <c r="BA259" s="23">
        <v>22.888100000000001</v>
      </c>
      <c r="BC259" s="24">
        <v>17.676600000000001</v>
      </c>
      <c r="BE259" s="1" t="str">
        <f t="shared" si="4"/>
        <v>No</v>
      </c>
    </row>
    <row r="260" spans="1:57" ht="11.25" customHeight="1">
      <c r="A260" s="7" t="s">
        <v>482</v>
      </c>
      <c r="B260" s="7" t="s">
        <v>483</v>
      </c>
      <c r="C260" s="37" t="s">
        <v>79</v>
      </c>
      <c r="D260" s="296">
        <v>4086</v>
      </c>
      <c r="E260" s="297">
        <v>40086</v>
      </c>
      <c r="F260" s="27" t="s">
        <v>165</v>
      </c>
      <c r="G260" s="73" t="s">
        <v>158</v>
      </c>
      <c r="H260" s="35">
        <v>2148346</v>
      </c>
      <c r="I260" s="35">
        <v>118</v>
      </c>
      <c r="J260" s="37" t="s">
        <v>10</v>
      </c>
      <c r="K260" s="37" t="s">
        <v>159</v>
      </c>
      <c r="L260" s="8">
        <v>30</v>
      </c>
      <c r="M260" s="8">
        <v>154377</v>
      </c>
      <c r="N260" s="9"/>
      <c r="O260" s="8">
        <v>20518</v>
      </c>
      <c r="P260" s="9"/>
      <c r="Q260" s="8">
        <v>6205</v>
      </c>
      <c r="R260" s="9"/>
      <c r="S260" s="8">
        <v>10629</v>
      </c>
      <c r="T260" s="9"/>
      <c r="U260" s="8">
        <v>0</v>
      </c>
      <c r="V260" s="9"/>
      <c r="W260" s="33">
        <v>191729</v>
      </c>
      <c r="X260" s="9"/>
      <c r="Y260" s="30">
        <v>85</v>
      </c>
      <c r="Z260" s="9"/>
      <c r="AA260" s="30">
        <v>13</v>
      </c>
      <c r="AB260" s="9"/>
      <c r="AC260" s="30">
        <v>3</v>
      </c>
      <c r="AD260" s="9"/>
      <c r="AE260" s="30">
        <v>7</v>
      </c>
      <c r="AF260" s="9"/>
      <c r="AG260" s="30">
        <v>0</v>
      </c>
      <c r="AH260" s="9"/>
      <c r="AI260" s="32">
        <v>108</v>
      </c>
      <c r="AJ260" s="12"/>
      <c r="AK260" s="22">
        <v>2693076</v>
      </c>
      <c r="AM260" s="22">
        <v>208457</v>
      </c>
      <c r="AO260" s="22">
        <v>74950</v>
      </c>
      <c r="AQ260" s="22">
        <v>128923</v>
      </c>
      <c r="AS260" s="26">
        <v>3105406</v>
      </c>
      <c r="AU260" s="23">
        <v>17.444800000000001</v>
      </c>
      <c r="AW260" s="23">
        <v>10.159700000000001</v>
      </c>
      <c r="AY260" s="23">
        <v>0.48549999999999999</v>
      </c>
      <c r="BA260" s="23">
        <v>12.1294</v>
      </c>
      <c r="BC260" s="24">
        <v>16.196899999999999</v>
      </c>
      <c r="BE260" s="1" t="str">
        <f t="shared" si="4"/>
        <v>No</v>
      </c>
    </row>
    <row r="261" spans="1:57" ht="11.25" customHeight="1">
      <c r="A261" s="7" t="s">
        <v>593</v>
      </c>
      <c r="B261" s="7" t="s">
        <v>594</v>
      </c>
      <c r="C261" s="37" t="s">
        <v>17</v>
      </c>
      <c r="D261" s="296">
        <v>9006</v>
      </c>
      <c r="E261" s="297">
        <v>90006</v>
      </c>
      <c r="F261" s="27" t="s">
        <v>165</v>
      </c>
      <c r="G261" s="73" t="s">
        <v>158</v>
      </c>
      <c r="H261" s="35">
        <v>163703</v>
      </c>
      <c r="I261" s="35">
        <v>117</v>
      </c>
      <c r="J261" s="37" t="s">
        <v>7</v>
      </c>
      <c r="K261" s="37" t="s">
        <v>159</v>
      </c>
      <c r="L261" s="8">
        <v>67</v>
      </c>
      <c r="M261" s="8">
        <v>298598</v>
      </c>
      <c r="N261" s="9"/>
      <c r="O261" s="8">
        <v>55577</v>
      </c>
      <c r="P261" s="9"/>
      <c r="Q261" s="8">
        <v>25325</v>
      </c>
      <c r="R261" s="9"/>
      <c r="S261" s="8">
        <v>64449</v>
      </c>
      <c r="T261" s="9"/>
      <c r="U261" s="8">
        <v>280</v>
      </c>
      <c r="V261" s="9"/>
      <c r="W261" s="33">
        <v>444229</v>
      </c>
      <c r="X261" s="9"/>
      <c r="Y261" s="30">
        <v>145.4</v>
      </c>
      <c r="Z261" s="9"/>
      <c r="AA261" s="30">
        <v>28.4</v>
      </c>
      <c r="AB261" s="9"/>
      <c r="AC261" s="30">
        <v>14.1</v>
      </c>
      <c r="AD261" s="9"/>
      <c r="AE261" s="30">
        <v>36.9</v>
      </c>
      <c r="AF261" s="9"/>
      <c r="AG261" s="30">
        <v>0.2</v>
      </c>
      <c r="AH261" s="9"/>
      <c r="AI261" s="32">
        <v>225</v>
      </c>
      <c r="AJ261" s="12"/>
      <c r="AK261" s="22">
        <v>9862666</v>
      </c>
      <c r="AM261" s="22">
        <v>1924862</v>
      </c>
      <c r="AO261" s="22">
        <v>712164</v>
      </c>
      <c r="AQ261" s="22">
        <v>2466507</v>
      </c>
      <c r="AS261" s="26">
        <v>14966199</v>
      </c>
      <c r="AU261" s="23">
        <v>33.029899999999998</v>
      </c>
      <c r="AW261" s="23">
        <v>34.634099999999997</v>
      </c>
      <c r="AY261" s="23">
        <v>2.3849999999999998</v>
      </c>
      <c r="BA261" s="23">
        <v>38.270699999999998</v>
      </c>
      <c r="BC261" s="24">
        <v>33.690300000000001</v>
      </c>
      <c r="BE261" s="1" t="str">
        <f t="shared" si="4"/>
        <v>No</v>
      </c>
    </row>
    <row r="262" spans="1:57" ht="11.25" customHeight="1">
      <c r="A262" s="7" t="s">
        <v>593</v>
      </c>
      <c r="B262" s="7" t="s">
        <v>594</v>
      </c>
      <c r="C262" s="37" t="s">
        <v>17</v>
      </c>
      <c r="D262" s="296">
        <v>9006</v>
      </c>
      <c r="E262" s="297">
        <v>90006</v>
      </c>
      <c r="F262" s="27" t="s">
        <v>165</v>
      </c>
      <c r="G262" s="73" t="s">
        <v>158</v>
      </c>
      <c r="H262" s="35">
        <v>163703</v>
      </c>
      <c r="I262" s="35">
        <v>117</v>
      </c>
      <c r="J262" s="37" t="s">
        <v>10</v>
      </c>
      <c r="K262" s="37" t="s">
        <v>159</v>
      </c>
      <c r="L262" s="8">
        <v>29</v>
      </c>
      <c r="M262" s="8">
        <v>90670</v>
      </c>
      <c r="N262" s="9"/>
      <c r="O262" s="8">
        <v>3411</v>
      </c>
      <c r="P262" s="9"/>
      <c r="Q262" s="8">
        <v>0</v>
      </c>
      <c r="R262" s="9"/>
      <c r="S262" s="8">
        <v>1908</v>
      </c>
      <c r="T262" s="9"/>
      <c r="U262" s="8">
        <v>0</v>
      </c>
      <c r="V262" s="9"/>
      <c r="W262" s="33">
        <v>95989</v>
      </c>
      <c r="X262" s="9"/>
      <c r="Y262" s="30">
        <v>48</v>
      </c>
      <c r="Z262" s="9"/>
      <c r="AA262" s="30">
        <v>1.8</v>
      </c>
      <c r="AB262" s="9"/>
      <c r="AC262" s="30">
        <v>0</v>
      </c>
      <c r="AD262" s="9"/>
      <c r="AE262" s="30">
        <v>1</v>
      </c>
      <c r="AF262" s="9"/>
      <c r="AG262" s="30">
        <v>0</v>
      </c>
      <c r="AH262" s="9"/>
      <c r="AI262" s="32">
        <v>50.8</v>
      </c>
      <c r="AJ262" s="12"/>
      <c r="AK262" s="22">
        <v>2209597</v>
      </c>
      <c r="AM262" s="22">
        <v>104684</v>
      </c>
      <c r="AO262" s="22">
        <v>0</v>
      </c>
      <c r="AQ262" s="22">
        <v>45320</v>
      </c>
      <c r="AS262" s="26">
        <v>2359601</v>
      </c>
      <c r="AU262" s="23">
        <v>24.369700000000002</v>
      </c>
      <c r="AW262" s="23">
        <v>30.690100000000001</v>
      </c>
      <c r="AY262" s="23">
        <v>0</v>
      </c>
      <c r="BA262" s="23">
        <v>23.752600000000001</v>
      </c>
      <c r="BC262" s="24">
        <v>24.582000000000001</v>
      </c>
      <c r="BE262" s="1" t="str">
        <f t="shared" si="4"/>
        <v>No</v>
      </c>
    </row>
    <row r="263" spans="1:57" ht="11.25" customHeight="1">
      <c r="A263" s="7" t="s">
        <v>593</v>
      </c>
      <c r="B263" s="7" t="s">
        <v>594</v>
      </c>
      <c r="C263" s="37" t="s">
        <v>17</v>
      </c>
      <c r="D263" s="296">
        <v>9006</v>
      </c>
      <c r="E263" s="297">
        <v>90006</v>
      </c>
      <c r="F263" s="27" t="s">
        <v>165</v>
      </c>
      <c r="G263" s="73" t="s">
        <v>158</v>
      </c>
      <c r="H263" s="35">
        <v>163703</v>
      </c>
      <c r="I263" s="35">
        <v>117</v>
      </c>
      <c r="J263" s="37" t="s">
        <v>18</v>
      </c>
      <c r="K263" s="37" t="s">
        <v>159</v>
      </c>
      <c r="L263" s="8">
        <v>15</v>
      </c>
      <c r="M263" s="8">
        <v>40294</v>
      </c>
      <c r="N263" s="9"/>
      <c r="O263" s="8">
        <v>7500</v>
      </c>
      <c r="P263" s="9"/>
      <c r="Q263" s="8">
        <v>3417</v>
      </c>
      <c r="R263" s="9"/>
      <c r="S263" s="8">
        <v>8697</v>
      </c>
      <c r="T263" s="9"/>
      <c r="U263" s="8">
        <v>0</v>
      </c>
      <c r="V263" s="9"/>
      <c r="W263" s="33">
        <v>59908</v>
      </c>
      <c r="X263" s="9"/>
      <c r="Y263" s="30">
        <v>19.600000000000001</v>
      </c>
      <c r="Z263" s="9"/>
      <c r="AA263" s="30">
        <v>3.8</v>
      </c>
      <c r="AB263" s="9"/>
      <c r="AC263" s="30">
        <v>1.9</v>
      </c>
      <c r="AD263" s="9"/>
      <c r="AE263" s="30">
        <v>5</v>
      </c>
      <c r="AF263" s="9"/>
      <c r="AG263" s="30">
        <v>0</v>
      </c>
      <c r="AH263" s="9"/>
      <c r="AI263" s="32">
        <v>30.3</v>
      </c>
      <c r="AJ263" s="12"/>
      <c r="AK263" s="22">
        <v>1330917</v>
      </c>
      <c r="AM263" s="22">
        <v>259750</v>
      </c>
      <c r="AO263" s="22">
        <v>96103</v>
      </c>
      <c r="AQ263" s="22">
        <v>332843</v>
      </c>
      <c r="AS263" s="26">
        <v>2019613</v>
      </c>
      <c r="AU263" s="23">
        <v>33.030200000000001</v>
      </c>
      <c r="AW263" s="23">
        <v>34.633299999999998</v>
      </c>
      <c r="AY263" s="23">
        <v>2.3849999999999998</v>
      </c>
      <c r="BA263" s="23">
        <v>38.271000000000001</v>
      </c>
      <c r="BC263" s="24">
        <v>33.7119</v>
      </c>
      <c r="BE263" s="1" t="str">
        <f t="shared" si="4"/>
        <v>No</v>
      </c>
    </row>
    <row r="264" spans="1:57" ht="11.25" customHeight="1">
      <c r="A264" s="7" t="s">
        <v>364</v>
      </c>
      <c r="B264" s="7" t="s">
        <v>365</v>
      </c>
      <c r="C264" s="37" t="s">
        <v>77</v>
      </c>
      <c r="D264" s="296">
        <v>3013</v>
      </c>
      <c r="E264" s="297">
        <v>30013</v>
      </c>
      <c r="F264" s="27" t="s">
        <v>165</v>
      </c>
      <c r="G264" s="73" t="s">
        <v>158</v>
      </c>
      <c r="H264" s="35">
        <v>196611</v>
      </c>
      <c r="I264" s="35">
        <v>116</v>
      </c>
      <c r="J264" s="37" t="s">
        <v>7</v>
      </c>
      <c r="K264" s="37" t="s">
        <v>159</v>
      </c>
      <c r="L264" s="8">
        <v>61</v>
      </c>
      <c r="M264" s="8">
        <v>220194</v>
      </c>
      <c r="N264" s="9"/>
      <c r="O264" s="8">
        <v>34016</v>
      </c>
      <c r="P264" s="9"/>
      <c r="Q264" s="8">
        <v>16046</v>
      </c>
      <c r="R264" s="9"/>
      <c r="S264" s="8">
        <v>20208</v>
      </c>
      <c r="T264" s="9"/>
      <c r="U264" s="8">
        <v>0</v>
      </c>
      <c r="V264" s="9"/>
      <c r="W264" s="33">
        <v>290464</v>
      </c>
      <c r="X264" s="9"/>
      <c r="Y264" s="30">
        <v>111</v>
      </c>
      <c r="Z264" s="9"/>
      <c r="AA264" s="30">
        <v>18</v>
      </c>
      <c r="AB264" s="9"/>
      <c r="AC264" s="30">
        <v>8</v>
      </c>
      <c r="AD264" s="9"/>
      <c r="AE264" s="30">
        <v>10</v>
      </c>
      <c r="AF264" s="9"/>
      <c r="AG264" s="30">
        <v>0</v>
      </c>
      <c r="AH264" s="9"/>
      <c r="AI264" s="32">
        <v>147</v>
      </c>
      <c r="AJ264" s="12"/>
      <c r="AK264" s="22">
        <v>5321219</v>
      </c>
      <c r="AM264" s="22">
        <v>851985</v>
      </c>
      <c r="AO264" s="22">
        <v>302996</v>
      </c>
      <c r="AQ264" s="22">
        <v>377360</v>
      </c>
      <c r="AS264" s="26">
        <v>6853560</v>
      </c>
      <c r="AU264" s="23">
        <v>24.166</v>
      </c>
      <c r="AW264" s="23">
        <v>25.046600000000002</v>
      </c>
      <c r="AY264" s="23">
        <v>1.3759999999999999</v>
      </c>
      <c r="BA264" s="23">
        <v>18.6738</v>
      </c>
      <c r="BC264" s="24">
        <v>23.595199999999998</v>
      </c>
      <c r="BE264" s="1" t="str">
        <f t="shared" si="4"/>
        <v>No</v>
      </c>
    </row>
    <row r="265" spans="1:57" ht="11.25" customHeight="1">
      <c r="A265" s="7" t="s">
        <v>364</v>
      </c>
      <c r="B265" s="7" t="s">
        <v>365</v>
      </c>
      <c r="C265" s="37" t="s">
        <v>77</v>
      </c>
      <c r="D265" s="296">
        <v>3013</v>
      </c>
      <c r="E265" s="297">
        <v>30013</v>
      </c>
      <c r="F265" s="27" t="s">
        <v>165</v>
      </c>
      <c r="G265" s="73" t="s">
        <v>158</v>
      </c>
      <c r="H265" s="35">
        <v>196611</v>
      </c>
      <c r="I265" s="35">
        <v>116</v>
      </c>
      <c r="J265" s="37" t="s">
        <v>10</v>
      </c>
      <c r="K265" s="37" t="s">
        <v>159</v>
      </c>
      <c r="L265" s="8">
        <v>55</v>
      </c>
      <c r="M265" s="8">
        <v>130603</v>
      </c>
      <c r="N265" s="9"/>
      <c r="O265" s="8">
        <v>12621</v>
      </c>
      <c r="P265" s="9"/>
      <c r="Q265" s="8">
        <v>1083</v>
      </c>
      <c r="R265" s="9"/>
      <c r="S265" s="8">
        <v>12910</v>
      </c>
      <c r="T265" s="9"/>
      <c r="U265" s="8">
        <v>0</v>
      </c>
      <c r="V265" s="9"/>
      <c r="W265" s="33">
        <v>157217</v>
      </c>
      <c r="X265" s="9"/>
      <c r="Y265" s="30">
        <v>73</v>
      </c>
      <c r="Z265" s="9"/>
      <c r="AA265" s="30">
        <v>4</v>
      </c>
      <c r="AB265" s="9"/>
      <c r="AC265" s="30">
        <v>1</v>
      </c>
      <c r="AD265" s="9"/>
      <c r="AE265" s="30">
        <v>7</v>
      </c>
      <c r="AF265" s="9"/>
      <c r="AG265" s="30">
        <v>0</v>
      </c>
      <c r="AH265" s="9"/>
      <c r="AI265" s="32">
        <v>85</v>
      </c>
      <c r="AJ265" s="12"/>
      <c r="AK265" s="22">
        <v>1746154</v>
      </c>
      <c r="AM265" s="22">
        <v>218805</v>
      </c>
      <c r="AO265" s="22">
        <v>29947</v>
      </c>
      <c r="AQ265" s="22">
        <v>331552</v>
      </c>
      <c r="AS265" s="26">
        <v>2326458</v>
      </c>
      <c r="AU265" s="23">
        <v>13.369899999999999</v>
      </c>
      <c r="AW265" s="23">
        <v>17.336600000000001</v>
      </c>
      <c r="AY265" s="23">
        <v>0.2293</v>
      </c>
      <c r="BA265" s="23">
        <v>25.681799999999999</v>
      </c>
      <c r="BC265" s="24">
        <v>14.797800000000001</v>
      </c>
      <c r="BE265" s="1" t="str">
        <f t="shared" si="4"/>
        <v>No</v>
      </c>
    </row>
    <row r="266" spans="1:57" ht="11.25" customHeight="1">
      <c r="A266" s="7" t="s">
        <v>267</v>
      </c>
      <c r="B266" s="7" t="s">
        <v>268</v>
      </c>
      <c r="C266" s="37" t="s">
        <v>77</v>
      </c>
      <c r="D266" s="296">
        <v>3054</v>
      </c>
      <c r="E266" s="297">
        <v>30054</v>
      </c>
      <c r="F266" s="27" t="s">
        <v>165</v>
      </c>
      <c r="G266" s="73" t="s">
        <v>158</v>
      </c>
      <c r="H266" s="35">
        <v>87454</v>
      </c>
      <c r="I266" s="35">
        <v>114</v>
      </c>
      <c r="J266" s="37" t="s">
        <v>7</v>
      </c>
      <c r="K266" s="37" t="s">
        <v>159</v>
      </c>
      <c r="L266" s="8">
        <v>61</v>
      </c>
      <c r="M266" s="8">
        <v>234743</v>
      </c>
      <c r="N266" s="9"/>
      <c r="O266" s="8">
        <v>34393</v>
      </c>
      <c r="P266" s="9"/>
      <c r="Q266" s="8">
        <v>4826</v>
      </c>
      <c r="R266" s="9"/>
      <c r="S266" s="8">
        <v>19254</v>
      </c>
      <c r="T266" s="9"/>
      <c r="U266" s="8">
        <v>0</v>
      </c>
      <c r="V266" s="9"/>
      <c r="W266" s="33">
        <v>293216</v>
      </c>
      <c r="X266" s="9"/>
      <c r="Y266" s="30">
        <v>140.27000000000001</v>
      </c>
      <c r="Z266" s="9"/>
      <c r="AA266" s="30">
        <v>20.2</v>
      </c>
      <c r="AB266" s="9"/>
      <c r="AC266" s="30">
        <v>2.64</v>
      </c>
      <c r="AD266" s="9"/>
      <c r="AE266" s="30">
        <v>14.06</v>
      </c>
      <c r="AF266" s="9"/>
      <c r="AG266" s="30">
        <v>0</v>
      </c>
      <c r="AH266" s="9"/>
      <c r="AI266" s="32">
        <v>177.17</v>
      </c>
      <c r="AJ266" s="12"/>
      <c r="AK266" s="22">
        <v>5988221</v>
      </c>
      <c r="AM266" s="22">
        <v>1115508</v>
      </c>
      <c r="AO266" s="22">
        <v>116119</v>
      </c>
      <c r="AQ266" s="22">
        <v>779897</v>
      </c>
      <c r="AS266" s="26">
        <v>7999745</v>
      </c>
      <c r="AU266" s="23">
        <v>25.509699999999999</v>
      </c>
      <c r="AW266" s="23">
        <v>32.434199999999997</v>
      </c>
      <c r="AY266" s="23">
        <v>0.49469999999999997</v>
      </c>
      <c r="BA266" s="23">
        <v>40.505699999999997</v>
      </c>
      <c r="BC266" s="24">
        <v>27.282800000000002</v>
      </c>
      <c r="BE266" s="1" t="str">
        <f t="shared" si="4"/>
        <v>No</v>
      </c>
    </row>
    <row r="267" spans="1:57" ht="11.25" customHeight="1">
      <c r="A267" s="7" t="s">
        <v>725</v>
      </c>
      <c r="B267" s="7" t="s">
        <v>726</v>
      </c>
      <c r="C267" s="37" t="s">
        <v>84</v>
      </c>
      <c r="D267" s="296">
        <v>6101</v>
      </c>
      <c r="E267" s="297">
        <v>60101</v>
      </c>
      <c r="F267" s="27" t="s">
        <v>165</v>
      </c>
      <c r="G267" s="73" t="s">
        <v>158</v>
      </c>
      <c r="H267" s="35">
        <v>366174</v>
      </c>
      <c r="I267" s="35">
        <v>114</v>
      </c>
      <c r="J267" s="37" t="s">
        <v>7</v>
      </c>
      <c r="K267" s="37" t="s">
        <v>159</v>
      </c>
      <c r="L267" s="8">
        <v>50</v>
      </c>
      <c r="M267" s="8">
        <v>213173</v>
      </c>
      <c r="N267" s="9"/>
      <c r="O267" s="8">
        <v>29139</v>
      </c>
      <c r="P267" s="9"/>
      <c r="Q267" s="8">
        <v>1659</v>
      </c>
      <c r="R267" s="9"/>
      <c r="S267" s="8">
        <v>31802</v>
      </c>
      <c r="T267" s="9"/>
      <c r="U267" s="8">
        <v>0</v>
      </c>
      <c r="V267" s="9"/>
      <c r="W267" s="33">
        <v>275773</v>
      </c>
      <c r="X267" s="9"/>
      <c r="Y267" s="30">
        <v>131.56</v>
      </c>
      <c r="Z267" s="9"/>
      <c r="AA267" s="30">
        <v>12.25</v>
      </c>
      <c r="AB267" s="9"/>
      <c r="AC267" s="30">
        <v>0.87</v>
      </c>
      <c r="AD267" s="9"/>
      <c r="AE267" s="30">
        <v>18.600000000000001</v>
      </c>
      <c r="AF267" s="9"/>
      <c r="AG267" s="30">
        <v>0</v>
      </c>
      <c r="AH267" s="9"/>
      <c r="AI267" s="32">
        <v>163.28</v>
      </c>
      <c r="AJ267" s="12"/>
      <c r="AK267" s="22">
        <v>3842893</v>
      </c>
      <c r="AM267" s="22">
        <v>577828</v>
      </c>
      <c r="AO267" s="22">
        <v>31818</v>
      </c>
      <c r="AQ267" s="22">
        <v>1332008</v>
      </c>
      <c r="AS267" s="26">
        <v>5784547</v>
      </c>
      <c r="AU267" s="23">
        <v>18.027100000000001</v>
      </c>
      <c r="AW267" s="23">
        <v>19.830100000000002</v>
      </c>
      <c r="AY267" s="23">
        <v>0.14929999999999999</v>
      </c>
      <c r="BA267" s="23">
        <v>41.884399999999999</v>
      </c>
      <c r="BC267" s="24">
        <v>20.9758</v>
      </c>
      <c r="BE267" s="1" t="str">
        <f t="shared" si="4"/>
        <v>No</v>
      </c>
    </row>
    <row r="268" spans="1:57" ht="11.25" customHeight="1">
      <c r="A268" s="7" t="s">
        <v>267</v>
      </c>
      <c r="B268" s="7" t="s">
        <v>268</v>
      </c>
      <c r="C268" s="37" t="s">
        <v>77</v>
      </c>
      <c r="D268" s="296">
        <v>3054</v>
      </c>
      <c r="E268" s="297">
        <v>30054</v>
      </c>
      <c r="F268" s="27" t="s">
        <v>165</v>
      </c>
      <c r="G268" s="73" t="s">
        <v>158</v>
      </c>
      <c r="H268" s="35">
        <v>87454</v>
      </c>
      <c r="I268" s="35">
        <v>114</v>
      </c>
      <c r="J268" s="37" t="s">
        <v>8</v>
      </c>
      <c r="K268" s="37" t="s">
        <v>159</v>
      </c>
      <c r="L268" s="8">
        <v>43</v>
      </c>
      <c r="M268" s="8">
        <v>2993</v>
      </c>
      <c r="N268" s="9"/>
      <c r="O268" s="8">
        <v>4760</v>
      </c>
      <c r="P268" s="9"/>
      <c r="Q268" s="8">
        <v>668</v>
      </c>
      <c r="R268" s="9"/>
      <c r="S268" s="8">
        <v>2665</v>
      </c>
      <c r="T268" s="9"/>
      <c r="U268" s="8">
        <v>0</v>
      </c>
      <c r="V268" s="9"/>
      <c r="W268" s="33">
        <v>11086</v>
      </c>
      <c r="X268" s="9"/>
      <c r="Y268" s="30">
        <v>1.83</v>
      </c>
      <c r="Z268" s="9"/>
      <c r="AA268" s="30">
        <v>2.8</v>
      </c>
      <c r="AB268" s="9"/>
      <c r="AC268" s="30">
        <v>0.36</v>
      </c>
      <c r="AD268" s="9"/>
      <c r="AE268" s="30">
        <v>1.94</v>
      </c>
      <c r="AF268" s="9"/>
      <c r="AG268" s="30">
        <v>0</v>
      </c>
      <c r="AH268" s="9"/>
      <c r="AI268" s="32">
        <v>6.93</v>
      </c>
      <c r="AJ268" s="12"/>
      <c r="AK268" s="22">
        <v>59660</v>
      </c>
      <c r="AM268" s="22">
        <v>58786</v>
      </c>
      <c r="AO268" s="22">
        <v>17752</v>
      </c>
      <c r="AQ268" s="22">
        <v>119228</v>
      </c>
      <c r="AS268" s="26">
        <v>255426</v>
      </c>
      <c r="AU268" s="23">
        <v>19.933199999999999</v>
      </c>
      <c r="AW268" s="23">
        <v>12.35</v>
      </c>
      <c r="AY268" s="23">
        <v>5.9311999999999996</v>
      </c>
      <c r="BA268" s="23">
        <v>44.738500000000002</v>
      </c>
      <c r="BC268" s="24">
        <v>23.040400000000002</v>
      </c>
      <c r="BE268" s="1" t="str">
        <f t="shared" si="4"/>
        <v>No</v>
      </c>
    </row>
    <row r="269" spans="1:57" ht="11.25" customHeight="1">
      <c r="A269" s="7" t="s">
        <v>725</v>
      </c>
      <c r="B269" s="7" t="s">
        <v>726</v>
      </c>
      <c r="C269" s="37" t="s">
        <v>84</v>
      </c>
      <c r="D269" s="296">
        <v>6101</v>
      </c>
      <c r="E269" s="297">
        <v>60101</v>
      </c>
      <c r="F269" s="27" t="s">
        <v>165</v>
      </c>
      <c r="G269" s="73" t="s">
        <v>158</v>
      </c>
      <c r="H269" s="35">
        <v>366174</v>
      </c>
      <c r="I269" s="35">
        <v>114</v>
      </c>
      <c r="J269" s="37" t="s">
        <v>10</v>
      </c>
      <c r="K269" s="37" t="s">
        <v>159</v>
      </c>
      <c r="L269" s="8">
        <v>14</v>
      </c>
      <c r="M269" s="8">
        <v>35581</v>
      </c>
      <c r="N269" s="9"/>
      <c r="O269" s="8">
        <v>4170</v>
      </c>
      <c r="P269" s="9"/>
      <c r="Q269" s="8">
        <v>237</v>
      </c>
      <c r="R269" s="9"/>
      <c r="S269" s="8">
        <v>4337</v>
      </c>
      <c r="T269" s="9"/>
      <c r="U269" s="8">
        <v>0</v>
      </c>
      <c r="V269" s="9"/>
      <c r="W269" s="33">
        <v>44325</v>
      </c>
      <c r="X269" s="9"/>
      <c r="Y269" s="30">
        <v>21.44</v>
      </c>
      <c r="Z269" s="9"/>
      <c r="AA269" s="30">
        <v>1.75</v>
      </c>
      <c r="AB269" s="9"/>
      <c r="AC269" s="30">
        <v>0.13</v>
      </c>
      <c r="AD269" s="9"/>
      <c r="AE269" s="30">
        <v>2.5</v>
      </c>
      <c r="AF269" s="9"/>
      <c r="AG269" s="30">
        <v>0</v>
      </c>
      <c r="AH269" s="9"/>
      <c r="AI269" s="32">
        <v>25.82</v>
      </c>
      <c r="AJ269" s="12"/>
      <c r="AK269" s="22">
        <v>636525</v>
      </c>
      <c r="AM269" s="22">
        <v>82727</v>
      </c>
      <c r="AO269" s="22">
        <v>4507</v>
      </c>
      <c r="AQ269" s="22">
        <v>192483</v>
      </c>
      <c r="AS269" s="26">
        <v>916242</v>
      </c>
      <c r="AU269" s="23">
        <v>17.889500000000002</v>
      </c>
      <c r="AW269" s="23">
        <v>19.8386</v>
      </c>
      <c r="AY269" s="23">
        <v>0.12670000000000001</v>
      </c>
      <c r="BA269" s="23">
        <v>44.381599999999999</v>
      </c>
      <c r="BC269" s="24">
        <v>20.670999999999999</v>
      </c>
      <c r="BE269" s="1" t="str">
        <f t="shared" si="4"/>
        <v>No</v>
      </c>
    </row>
    <row r="270" spans="1:57" ht="11.25" customHeight="1">
      <c r="A270" s="7" t="s">
        <v>657</v>
      </c>
      <c r="B270" s="7" t="s">
        <v>658</v>
      </c>
      <c r="C270" s="37" t="s">
        <v>45</v>
      </c>
      <c r="D270" s="296">
        <v>4019</v>
      </c>
      <c r="E270" s="297">
        <v>40019</v>
      </c>
      <c r="F270" s="27" t="s">
        <v>165</v>
      </c>
      <c r="G270" s="73" t="s">
        <v>158</v>
      </c>
      <c r="H270" s="35">
        <v>1624827</v>
      </c>
      <c r="I270" s="35">
        <v>113</v>
      </c>
      <c r="J270" s="37" t="s">
        <v>7</v>
      </c>
      <c r="K270" s="37" t="s">
        <v>159</v>
      </c>
      <c r="L270" s="8">
        <v>91</v>
      </c>
      <c r="M270" s="8">
        <v>343919</v>
      </c>
      <c r="N270" s="9"/>
      <c r="O270" s="8">
        <v>77518</v>
      </c>
      <c r="P270" s="9"/>
      <c r="Q270" s="8">
        <v>9062</v>
      </c>
      <c r="R270" s="9"/>
      <c r="S270" s="8">
        <v>33811</v>
      </c>
      <c r="T270" s="9"/>
      <c r="U270" s="8">
        <v>0</v>
      </c>
      <c r="V270" s="9"/>
      <c r="W270" s="33">
        <v>464310</v>
      </c>
      <c r="X270" s="9"/>
      <c r="Y270" s="30">
        <v>175</v>
      </c>
      <c r="Z270" s="9"/>
      <c r="AA270" s="30">
        <v>40.299999999999997</v>
      </c>
      <c r="AB270" s="9"/>
      <c r="AC270" s="30">
        <v>4.8</v>
      </c>
      <c r="AD270" s="9"/>
      <c r="AE270" s="30">
        <v>17.7</v>
      </c>
      <c r="AF270" s="9"/>
      <c r="AG270" s="30">
        <v>0</v>
      </c>
      <c r="AH270" s="9"/>
      <c r="AI270" s="32">
        <v>237.8</v>
      </c>
      <c r="AJ270" s="12"/>
      <c r="AK270" s="22">
        <v>7027513</v>
      </c>
      <c r="AM270" s="22">
        <v>1575355</v>
      </c>
      <c r="AO270" s="22">
        <v>172361</v>
      </c>
      <c r="AQ270" s="22">
        <v>641081</v>
      </c>
      <c r="AS270" s="26">
        <v>9416310</v>
      </c>
      <c r="AU270" s="23">
        <v>20.433599999999998</v>
      </c>
      <c r="AW270" s="23">
        <v>20.322399999999998</v>
      </c>
      <c r="AY270" s="23">
        <v>0.50119999999999998</v>
      </c>
      <c r="BA270" s="23">
        <v>18.960699999999999</v>
      </c>
      <c r="BC270" s="24">
        <v>20.280200000000001</v>
      </c>
      <c r="BE270" s="1" t="str">
        <f t="shared" si="4"/>
        <v>No</v>
      </c>
    </row>
    <row r="271" spans="1:57" ht="11.25" customHeight="1">
      <c r="A271" s="7" t="s">
        <v>657</v>
      </c>
      <c r="B271" s="7" t="s">
        <v>658</v>
      </c>
      <c r="C271" s="37" t="s">
        <v>45</v>
      </c>
      <c r="D271" s="296">
        <v>4019</v>
      </c>
      <c r="E271" s="297">
        <v>40019</v>
      </c>
      <c r="F271" s="27" t="s">
        <v>165</v>
      </c>
      <c r="G271" s="73" t="s">
        <v>158</v>
      </c>
      <c r="H271" s="35">
        <v>1624827</v>
      </c>
      <c r="I271" s="35">
        <v>113</v>
      </c>
      <c r="J271" s="37" t="s">
        <v>10</v>
      </c>
      <c r="K271" s="37" t="s">
        <v>159</v>
      </c>
      <c r="L271" s="8">
        <v>22</v>
      </c>
      <c r="M271" s="8">
        <v>70206</v>
      </c>
      <c r="N271" s="9"/>
      <c r="O271" s="8">
        <v>3777</v>
      </c>
      <c r="P271" s="9"/>
      <c r="Q271" s="8">
        <v>2191</v>
      </c>
      <c r="R271" s="9"/>
      <c r="S271" s="8">
        <v>8174</v>
      </c>
      <c r="T271" s="9"/>
      <c r="U271" s="8">
        <v>0</v>
      </c>
      <c r="V271" s="9"/>
      <c r="W271" s="33">
        <v>84348</v>
      </c>
      <c r="X271" s="9"/>
      <c r="Y271" s="30">
        <v>38</v>
      </c>
      <c r="Z271" s="9"/>
      <c r="AA271" s="30">
        <v>2.5</v>
      </c>
      <c r="AB271" s="9"/>
      <c r="AC271" s="30">
        <v>1</v>
      </c>
      <c r="AD271" s="9"/>
      <c r="AE271" s="30">
        <v>4.3</v>
      </c>
      <c r="AF271" s="9"/>
      <c r="AG271" s="30">
        <v>0</v>
      </c>
      <c r="AH271" s="9"/>
      <c r="AI271" s="32">
        <v>45.8</v>
      </c>
      <c r="AJ271" s="12"/>
      <c r="AK271" s="22">
        <v>1276432</v>
      </c>
      <c r="AM271" s="22">
        <v>92964</v>
      </c>
      <c r="AO271" s="22">
        <v>40774</v>
      </c>
      <c r="AQ271" s="22">
        <v>141092</v>
      </c>
      <c r="AS271" s="26">
        <v>1551262</v>
      </c>
      <c r="AU271" s="23">
        <v>18.1812</v>
      </c>
      <c r="AW271" s="23">
        <v>24.613199999999999</v>
      </c>
      <c r="AY271" s="23">
        <v>0.58079999999999998</v>
      </c>
      <c r="BA271" s="23">
        <v>17.261099999999999</v>
      </c>
      <c r="BC271" s="24">
        <v>18.391200000000001</v>
      </c>
      <c r="BE271" s="1" t="str">
        <f t="shared" si="4"/>
        <v>No</v>
      </c>
    </row>
    <row r="272" spans="1:57" ht="11.25" customHeight="1">
      <c r="A272" s="7" t="s">
        <v>659</v>
      </c>
      <c r="B272" s="7" t="s">
        <v>660</v>
      </c>
      <c r="C272" s="37" t="s">
        <v>60</v>
      </c>
      <c r="D272" s="296">
        <v>7002</v>
      </c>
      <c r="E272" s="297">
        <v>70002</v>
      </c>
      <c r="F272" s="27" t="s">
        <v>165</v>
      </c>
      <c r="G272" s="73" t="s">
        <v>158</v>
      </c>
      <c r="H272" s="35">
        <v>725008</v>
      </c>
      <c r="I272" s="35">
        <v>112</v>
      </c>
      <c r="J272" s="37" t="s">
        <v>7</v>
      </c>
      <c r="K272" s="37" t="s">
        <v>159</v>
      </c>
      <c r="L272" s="8">
        <v>90</v>
      </c>
      <c r="M272" s="8">
        <v>328585</v>
      </c>
      <c r="N272" s="9"/>
      <c r="O272" s="8">
        <v>53894</v>
      </c>
      <c r="P272" s="9"/>
      <c r="Q272" s="8">
        <v>26161</v>
      </c>
      <c r="R272" s="9"/>
      <c r="S272" s="8">
        <v>55358</v>
      </c>
      <c r="T272" s="9"/>
      <c r="U272" s="8">
        <v>0</v>
      </c>
      <c r="V272" s="9"/>
      <c r="W272" s="33">
        <v>463998</v>
      </c>
      <c r="X272" s="9"/>
      <c r="Y272" s="30">
        <v>149</v>
      </c>
      <c r="Z272" s="9"/>
      <c r="AA272" s="30">
        <v>30</v>
      </c>
      <c r="AB272" s="9"/>
      <c r="AC272" s="30">
        <v>16</v>
      </c>
      <c r="AD272" s="9"/>
      <c r="AE272" s="30">
        <v>33</v>
      </c>
      <c r="AF272" s="9"/>
      <c r="AG272" s="30">
        <v>0</v>
      </c>
      <c r="AH272" s="9"/>
      <c r="AI272" s="32">
        <v>228</v>
      </c>
      <c r="AJ272" s="12"/>
      <c r="AK272" s="22">
        <v>8133862</v>
      </c>
      <c r="AM272" s="22">
        <v>1680496</v>
      </c>
      <c r="AO272" s="22">
        <v>641651</v>
      </c>
      <c r="AQ272" s="22">
        <v>772542</v>
      </c>
      <c r="AS272" s="26">
        <v>11228551</v>
      </c>
      <c r="AU272" s="23">
        <v>24.754200000000001</v>
      </c>
      <c r="AW272" s="23">
        <v>31.1815</v>
      </c>
      <c r="AY272" s="23">
        <v>1.9528000000000001</v>
      </c>
      <c r="BA272" s="23">
        <v>13.955399999999999</v>
      </c>
      <c r="BC272" s="24">
        <v>24.1996</v>
      </c>
      <c r="BE272" s="1" t="str">
        <f t="shared" si="4"/>
        <v>No</v>
      </c>
    </row>
    <row r="273" spans="1:57" ht="11.25" customHeight="1">
      <c r="A273" s="7" t="s">
        <v>659</v>
      </c>
      <c r="B273" s="7" t="s">
        <v>660</v>
      </c>
      <c r="C273" s="37" t="s">
        <v>60</v>
      </c>
      <c r="D273" s="296">
        <v>7002</v>
      </c>
      <c r="E273" s="297">
        <v>70002</v>
      </c>
      <c r="F273" s="27" t="s">
        <v>165</v>
      </c>
      <c r="G273" s="73" t="s">
        <v>158</v>
      </c>
      <c r="H273" s="35">
        <v>725008</v>
      </c>
      <c r="I273" s="35">
        <v>112</v>
      </c>
      <c r="J273" s="37" t="s">
        <v>10</v>
      </c>
      <c r="K273" s="37" t="s">
        <v>159</v>
      </c>
      <c r="L273" s="8">
        <v>22</v>
      </c>
      <c r="M273" s="8">
        <v>65148</v>
      </c>
      <c r="N273" s="9"/>
      <c r="O273" s="8">
        <v>1875</v>
      </c>
      <c r="P273" s="9"/>
      <c r="Q273" s="8">
        <v>3925</v>
      </c>
      <c r="R273" s="9"/>
      <c r="S273" s="8">
        <v>5553</v>
      </c>
      <c r="T273" s="9"/>
      <c r="U273" s="8">
        <v>0</v>
      </c>
      <c r="V273" s="9"/>
      <c r="W273" s="33">
        <v>76501</v>
      </c>
      <c r="X273" s="9"/>
      <c r="Y273" s="30">
        <v>27</v>
      </c>
      <c r="Z273" s="9"/>
      <c r="AA273" s="30">
        <v>1</v>
      </c>
      <c r="AB273" s="9"/>
      <c r="AC273" s="30">
        <v>2</v>
      </c>
      <c r="AD273" s="9"/>
      <c r="AE273" s="30">
        <v>3</v>
      </c>
      <c r="AF273" s="9"/>
      <c r="AG273" s="30">
        <v>0</v>
      </c>
      <c r="AH273" s="9"/>
      <c r="AI273" s="32">
        <v>33</v>
      </c>
      <c r="AJ273" s="12"/>
      <c r="AK273" s="22">
        <v>1301489</v>
      </c>
      <c r="AM273" s="22">
        <v>49414</v>
      </c>
      <c r="AO273" s="22">
        <v>56743</v>
      </c>
      <c r="AQ273" s="22">
        <v>52669</v>
      </c>
      <c r="AS273" s="26">
        <v>1460315</v>
      </c>
      <c r="AU273" s="23">
        <v>19.977399999999999</v>
      </c>
      <c r="AW273" s="23">
        <v>26.354099999999999</v>
      </c>
      <c r="AY273" s="23">
        <v>0.871</v>
      </c>
      <c r="BA273" s="23">
        <v>9.4847999999999999</v>
      </c>
      <c r="BC273" s="24">
        <v>19.088799999999999</v>
      </c>
      <c r="BE273" s="1" t="str">
        <f t="shared" si="4"/>
        <v>No</v>
      </c>
    </row>
    <row r="274" spans="1:57" ht="11.25" customHeight="1">
      <c r="A274" s="7" t="s">
        <v>342</v>
      </c>
      <c r="B274" s="7" t="s">
        <v>343</v>
      </c>
      <c r="C274" s="37" t="s">
        <v>77</v>
      </c>
      <c r="D274" s="296">
        <v>3014</v>
      </c>
      <c r="E274" s="297">
        <v>30014</v>
      </c>
      <c r="F274" s="27" t="s">
        <v>165</v>
      </c>
      <c r="G274" s="73" t="s">
        <v>158</v>
      </c>
      <c r="H274" s="35">
        <v>444474</v>
      </c>
      <c r="I274" s="35">
        <v>111</v>
      </c>
      <c r="J274" s="37" t="s">
        <v>7</v>
      </c>
      <c r="K274" s="37" t="s">
        <v>159</v>
      </c>
      <c r="L274" s="8">
        <v>63</v>
      </c>
      <c r="M274" s="8">
        <v>222215</v>
      </c>
      <c r="N274" s="9"/>
      <c r="O274" s="8">
        <v>56058</v>
      </c>
      <c r="P274" s="9"/>
      <c r="Q274" s="8">
        <v>7744</v>
      </c>
      <c r="R274" s="9"/>
      <c r="S274" s="8">
        <v>22635</v>
      </c>
      <c r="T274" s="9"/>
      <c r="U274" s="8">
        <v>0</v>
      </c>
      <c r="V274" s="9"/>
      <c r="W274" s="33">
        <v>308652</v>
      </c>
      <c r="X274" s="9"/>
      <c r="Y274" s="30">
        <v>115.45</v>
      </c>
      <c r="Z274" s="9"/>
      <c r="AA274" s="30">
        <v>24.4</v>
      </c>
      <c r="AB274" s="9"/>
      <c r="AC274" s="30">
        <v>3.34</v>
      </c>
      <c r="AD274" s="9"/>
      <c r="AE274" s="30">
        <v>11.2</v>
      </c>
      <c r="AF274" s="9"/>
      <c r="AG274" s="30">
        <v>0</v>
      </c>
      <c r="AH274" s="9"/>
      <c r="AI274" s="32">
        <v>154.38999999999999</v>
      </c>
      <c r="AJ274" s="12"/>
      <c r="AK274" s="22">
        <v>5169241</v>
      </c>
      <c r="AM274" s="22">
        <v>1244652</v>
      </c>
      <c r="AO274" s="22">
        <v>206025</v>
      </c>
      <c r="AQ274" s="22">
        <v>573068</v>
      </c>
      <c r="AS274" s="26">
        <v>7192986</v>
      </c>
      <c r="AU274" s="23">
        <v>23.2623</v>
      </c>
      <c r="AW274" s="23">
        <v>22.2029</v>
      </c>
      <c r="AY274" s="23">
        <v>0.92710000000000004</v>
      </c>
      <c r="BA274" s="23">
        <v>25.317799999999998</v>
      </c>
      <c r="BC274" s="24">
        <v>23.304500000000001</v>
      </c>
      <c r="BE274" s="1" t="str">
        <f t="shared" si="4"/>
        <v>No</v>
      </c>
    </row>
    <row r="275" spans="1:57" ht="11.25" customHeight="1">
      <c r="A275" s="7" t="s">
        <v>342</v>
      </c>
      <c r="B275" s="7" t="s">
        <v>343</v>
      </c>
      <c r="C275" s="37" t="s">
        <v>77</v>
      </c>
      <c r="D275" s="296">
        <v>3014</v>
      </c>
      <c r="E275" s="297">
        <v>30014</v>
      </c>
      <c r="F275" s="27" t="s">
        <v>165</v>
      </c>
      <c r="G275" s="73" t="s">
        <v>158</v>
      </c>
      <c r="H275" s="35">
        <v>444474</v>
      </c>
      <c r="I275" s="35">
        <v>111</v>
      </c>
      <c r="J275" s="37" t="s">
        <v>10</v>
      </c>
      <c r="K275" s="37" t="s">
        <v>159</v>
      </c>
      <c r="L275" s="8">
        <v>27</v>
      </c>
      <c r="M275" s="8">
        <v>79827</v>
      </c>
      <c r="N275" s="9"/>
      <c r="O275" s="8">
        <v>7131</v>
      </c>
      <c r="P275" s="9"/>
      <c r="Q275" s="8">
        <v>989</v>
      </c>
      <c r="R275" s="9"/>
      <c r="S275" s="8">
        <v>2110</v>
      </c>
      <c r="T275" s="9"/>
      <c r="U275" s="8">
        <v>0</v>
      </c>
      <c r="V275" s="9"/>
      <c r="W275" s="33">
        <v>90057</v>
      </c>
      <c r="X275" s="9"/>
      <c r="Y275" s="30">
        <v>40.840000000000003</v>
      </c>
      <c r="Z275" s="9"/>
      <c r="AA275" s="30">
        <v>3.12</v>
      </c>
      <c r="AB275" s="9"/>
      <c r="AC275" s="30">
        <v>0.45</v>
      </c>
      <c r="AD275" s="9"/>
      <c r="AE275" s="30">
        <v>0.95</v>
      </c>
      <c r="AF275" s="9"/>
      <c r="AG275" s="30">
        <v>0</v>
      </c>
      <c r="AH275" s="9"/>
      <c r="AI275" s="32">
        <v>45.36</v>
      </c>
      <c r="AJ275" s="12"/>
      <c r="AK275" s="22">
        <v>1043829</v>
      </c>
      <c r="AM275" s="22">
        <v>206091</v>
      </c>
      <c r="AO275" s="22">
        <v>30326</v>
      </c>
      <c r="AQ275" s="22">
        <v>56539</v>
      </c>
      <c r="AS275" s="26">
        <v>1336785</v>
      </c>
      <c r="AU275" s="23">
        <v>13.0761</v>
      </c>
      <c r="AW275" s="23">
        <v>28.900700000000001</v>
      </c>
      <c r="AY275" s="23">
        <v>0.37990000000000002</v>
      </c>
      <c r="BA275" s="23">
        <v>26.7957</v>
      </c>
      <c r="BC275" s="24">
        <v>14.8438</v>
      </c>
      <c r="BE275" s="1" t="str">
        <f t="shared" si="4"/>
        <v>No</v>
      </c>
    </row>
    <row r="276" spans="1:57" ht="11.25" customHeight="1">
      <c r="A276" s="7" t="s">
        <v>655</v>
      </c>
      <c r="B276" s="7" t="s">
        <v>656</v>
      </c>
      <c r="C276" s="37" t="s">
        <v>45</v>
      </c>
      <c r="D276" s="296">
        <v>4017</v>
      </c>
      <c r="E276" s="297">
        <v>40017</v>
      </c>
      <c r="F276" s="27" t="s">
        <v>165</v>
      </c>
      <c r="G276" s="73" t="s">
        <v>158</v>
      </c>
      <c r="H276" s="35">
        <v>290263</v>
      </c>
      <c r="I276" s="35">
        <v>108</v>
      </c>
      <c r="J276" s="37" t="s">
        <v>7</v>
      </c>
      <c r="K276" s="37" t="s">
        <v>159</v>
      </c>
      <c r="L276" s="8">
        <v>54</v>
      </c>
      <c r="M276" s="8">
        <v>242754</v>
      </c>
      <c r="N276" s="9"/>
      <c r="O276" s="8">
        <v>72093</v>
      </c>
      <c r="P276" s="9"/>
      <c r="Q276" s="8">
        <v>7724</v>
      </c>
      <c r="R276" s="9"/>
      <c r="S276" s="8">
        <v>25603</v>
      </c>
      <c r="T276" s="9"/>
      <c r="U276" s="8">
        <v>0</v>
      </c>
      <c r="V276" s="9"/>
      <c r="W276" s="33">
        <v>348174</v>
      </c>
      <c r="X276" s="9"/>
      <c r="Y276" s="30">
        <v>126</v>
      </c>
      <c r="Z276" s="9"/>
      <c r="AA276" s="30">
        <v>44</v>
      </c>
      <c r="AB276" s="9"/>
      <c r="AC276" s="30">
        <v>4</v>
      </c>
      <c r="AD276" s="9"/>
      <c r="AE276" s="30">
        <v>13</v>
      </c>
      <c r="AF276" s="9"/>
      <c r="AG276" s="30">
        <v>0</v>
      </c>
      <c r="AH276" s="9"/>
      <c r="AI276" s="32">
        <v>187</v>
      </c>
      <c r="AJ276" s="12"/>
      <c r="AK276" s="22">
        <v>5368411</v>
      </c>
      <c r="AM276" s="22">
        <v>1736296</v>
      </c>
      <c r="AO276" s="22">
        <v>143641</v>
      </c>
      <c r="AQ276" s="22">
        <v>599729</v>
      </c>
      <c r="AS276" s="26">
        <v>7848077</v>
      </c>
      <c r="AU276" s="23">
        <v>22.114599999999999</v>
      </c>
      <c r="AW276" s="23">
        <v>24.084099999999999</v>
      </c>
      <c r="AY276" s="23">
        <v>0.5917</v>
      </c>
      <c r="BA276" s="23">
        <v>23.424199999999999</v>
      </c>
      <c r="BC276" s="24">
        <v>22.540700000000001</v>
      </c>
      <c r="BE276" s="1" t="str">
        <f t="shared" si="4"/>
        <v>No</v>
      </c>
    </row>
    <row r="277" spans="1:57" ht="11.25" customHeight="1">
      <c r="A277" s="7" t="s">
        <v>506</v>
      </c>
      <c r="B277" s="7" t="s">
        <v>507</v>
      </c>
      <c r="C277" s="37" t="s">
        <v>17</v>
      </c>
      <c r="D277" s="296">
        <v>9041</v>
      </c>
      <c r="E277" s="297">
        <v>90041</v>
      </c>
      <c r="F277" s="27" t="s">
        <v>162</v>
      </c>
      <c r="G277" s="73" t="s">
        <v>158</v>
      </c>
      <c r="H277" s="35">
        <v>12150996</v>
      </c>
      <c r="I277" s="35">
        <v>107</v>
      </c>
      <c r="J277" s="37" t="s">
        <v>7</v>
      </c>
      <c r="K277" s="37" t="s">
        <v>159</v>
      </c>
      <c r="L277" s="8">
        <v>62</v>
      </c>
      <c r="M277" s="8">
        <v>278042</v>
      </c>
      <c r="N277" s="9"/>
      <c r="O277" s="8">
        <v>50929</v>
      </c>
      <c r="P277" s="9"/>
      <c r="Q277" s="8">
        <v>14304</v>
      </c>
      <c r="R277" s="9"/>
      <c r="S277" s="8">
        <v>20665</v>
      </c>
      <c r="T277" s="9"/>
      <c r="U277" s="8">
        <v>0</v>
      </c>
      <c r="V277" s="9"/>
      <c r="W277" s="33">
        <v>363940</v>
      </c>
      <c r="X277" s="9"/>
      <c r="Y277" s="30">
        <v>153</v>
      </c>
      <c r="Z277" s="9"/>
      <c r="AA277" s="30">
        <v>30</v>
      </c>
      <c r="AB277" s="9"/>
      <c r="AC277" s="30">
        <v>8</v>
      </c>
      <c r="AD277" s="9"/>
      <c r="AE277" s="30">
        <v>12</v>
      </c>
      <c r="AF277" s="9"/>
      <c r="AG277" s="30">
        <v>0</v>
      </c>
      <c r="AH277" s="9"/>
      <c r="AI277" s="32">
        <v>203</v>
      </c>
      <c r="AJ277" s="12"/>
      <c r="AK277" s="22">
        <v>7251742</v>
      </c>
      <c r="AM277" s="22">
        <v>1725966</v>
      </c>
      <c r="AO277" s="22">
        <v>258895</v>
      </c>
      <c r="AQ277" s="22">
        <v>819198</v>
      </c>
      <c r="AS277" s="26">
        <v>10055801</v>
      </c>
      <c r="AU277" s="23">
        <v>26.081499999999998</v>
      </c>
      <c r="AW277" s="23">
        <v>33.889699999999998</v>
      </c>
      <c r="AY277" s="23">
        <v>0.93110000000000004</v>
      </c>
      <c r="BA277" s="23">
        <v>39.641800000000003</v>
      </c>
      <c r="BC277" s="24">
        <v>27.630400000000002</v>
      </c>
      <c r="BE277" s="1" t="str">
        <f t="shared" si="4"/>
        <v>No</v>
      </c>
    </row>
    <row r="278" spans="1:57" ht="11.25" customHeight="1">
      <c r="A278" s="7" t="s">
        <v>508</v>
      </c>
      <c r="B278" s="7" t="s">
        <v>509</v>
      </c>
      <c r="C278" s="37" t="s">
        <v>17</v>
      </c>
      <c r="D278" s="296">
        <v>9062</v>
      </c>
      <c r="E278" s="297">
        <v>90062</v>
      </c>
      <c r="F278" s="27" t="s">
        <v>165</v>
      </c>
      <c r="G278" s="73" t="s">
        <v>158</v>
      </c>
      <c r="H278" s="35">
        <v>114237</v>
      </c>
      <c r="I278" s="35">
        <v>105</v>
      </c>
      <c r="J278" s="37" t="s">
        <v>7</v>
      </c>
      <c r="K278" s="37" t="s">
        <v>159</v>
      </c>
      <c r="L278" s="8">
        <v>51</v>
      </c>
      <c r="M278" s="8">
        <v>276688</v>
      </c>
      <c r="N278" s="9"/>
      <c r="O278" s="8">
        <v>58139</v>
      </c>
      <c r="P278" s="9"/>
      <c r="Q278" s="8">
        <v>10535</v>
      </c>
      <c r="R278" s="9"/>
      <c r="S278" s="8">
        <v>51784</v>
      </c>
      <c r="T278" s="9"/>
      <c r="U278" s="8">
        <v>0</v>
      </c>
      <c r="V278" s="9"/>
      <c r="W278" s="33">
        <v>397146</v>
      </c>
      <c r="X278" s="9"/>
      <c r="Y278" s="30">
        <v>142.5</v>
      </c>
      <c r="Z278" s="9"/>
      <c r="AA278" s="30">
        <v>30.6</v>
      </c>
      <c r="AB278" s="9"/>
      <c r="AC278" s="30">
        <v>5.2</v>
      </c>
      <c r="AD278" s="9"/>
      <c r="AE278" s="30">
        <v>28</v>
      </c>
      <c r="AF278" s="9"/>
      <c r="AG278" s="30">
        <v>0</v>
      </c>
      <c r="AH278" s="9"/>
      <c r="AI278" s="32">
        <v>206.3</v>
      </c>
      <c r="AJ278" s="12"/>
      <c r="AK278" s="22">
        <v>7769201</v>
      </c>
      <c r="AM278" s="22">
        <v>1712117</v>
      </c>
      <c r="AO278" s="22">
        <v>321022</v>
      </c>
      <c r="AQ278" s="22">
        <v>1872628</v>
      </c>
      <c r="AS278" s="26">
        <v>11674968</v>
      </c>
      <c r="AU278" s="23">
        <v>28.0793</v>
      </c>
      <c r="AW278" s="23">
        <v>29.448699999999999</v>
      </c>
      <c r="AY278" s="23">
        <v>1.1601999999999999</v>
      </c>
      <c r="BA278" s="23">
        <v>36.162300000000002</v>
      </c>
      <c r="BC278" s="24">
        <v>29.397200000000002</v>
      </c>
      <c r="BE278" s="1" t="str">
        <f t="shared" si="4"/>
        <v>No</v>
      </c>
    </row>
    <row r="279" spans="1:57" ht="11.25" customHeight="1">
      <c r="A279" s="7" t="s">
        <v>508</v>
      </c>
      <c r="B279" s="7" t="s">
        <v>509</v>
      </c>
      <c r="C279" s="37" t="s">
        <v>17</v>
      </c>
      <c r="D279" s="296">
        <v>9062</v>
      </c>
      <c r="E279" s="297">
        <v>90062</v>
      </c>
      <c r="F279" s="27" t="s">
        <v>165</v>
      </c>
      <c r="G279" s="73" t="s">
        <v>158</v>
      </c>
      <c r="H279" s="35">
        <v>114237</v>
      </c>
      <c r="I279" s="35">
        <v>105</v>
      </c>
      <c r="J279" s="37" t="s">
        <v>18</v>
      </c>
      <c r="K279" s="37" t="s">
        <v>159</v>
      </c>
      <c r="L279" s="8">
        <v>7</v>
      </c>
      <c r="M279" s="8">
        <v>39837</v>
      </c>
      <c r="N279" s="9"/>
      <c r="O279" s="8">
        <v>8371</v>
      </c>
      <c r="P279" s="9"/>
      <c r="Q279" s="8">
        <v>1517</v>
      </c>
      <c r="R279" s="9"/>
      <c r="S279" s="8">
        <v>7456</v>
      </c>
      <c r="T279" s="9"/>
      <c r="U279" s="8">
        <v>0</v>
      </c>
      <c r="V279" s="9"/>
      <c r="W279" s="33">
        <v>57181</v>
      </c>
      <c r="X279" s="9"/>
      <c r="Y279" s="30">
        <v>20.5</v>
      </c>
      <c r="Z279" s="9"/>
      <c r="AA279" s="30">
        <v>4.4000000000000004</v>
      </c>
      <c r="AB279" s="9"/>
      <c r="AC279" s="30">
        <v>0.8</v>
      </c>
      <c r="AD279" s="9"/>
      <c r="AE279" s="30">
        <v>4</v>
      </c>
      <c r="AF279" s="9"/>
      <c r="AG279" s="30">
        <v>0</v>
      </c>
      <c r="AH279" s="9"/>
      <c r="AI279" s="32">
        <v>29.7</v>
      </c>
      <c r="AJ279" s="12"/>
      <c r="AK279" s="22">
        <v>1118604</v>
      </c>
      <c r="AM279" s="22">
        <v>246510</v>
      </c>
      <c r="AO279" s="22">
        <v>46221</v>
      </c>
      <c r="AQ279" s="22">
        <v>269620</v>
      </c>
      <c r="AS279" s="26">
        <v>1680955</v>
      </c>
      <c r="AU279" s="23">
        <v>28.079499999999999</v>
      </c>
      <c r="AW279" s="23">
        <v>29.4481</v>
      </c>
      <c r="AY279" s="23">
        <v>1.1603000000000001</v>
      </c>
      <c r="BA279" s="23">
        <v>36.161499999999997</v>
      </c>
      <c r="BC279" s="24">
        <v>29.397099999999998</v>
      </c>
      <c r="BE279" s="1" t="str">
        <f t="shared" si="4"/>
        <v>No</v>
      </c>
    </row>
    <row r="280" spans="1:57" ht="11.25" customHeight="1">
      <c r="A280" s="7" t="s">
        <v>597</v>
      </c>
      <c r="B280" s="7" t="s">
        <v>598</v>
      </c>
      <c r="C280" s="37" t="s">
        <v>32</v>
      </c>
      <c r="D280" s="296">
        <v>4046</v>
      </c>
      <c r="E280" s="297">
        <v>40046</v>
      </c>
      <c r="F280" s="27" t="s">
        <v>162</v>
      </c>
      <c r="G280" s="73" t="s">
        <v>158</v>
      </c>
      <c r="H280" s="35">
        <v>643260</v>
      </c>
      <c r="I280" s="35">
        <v>104</v>
      </c>
      <c r="J280" s="37" t="s">
        <v>7</v>
      </c>
      <c r="K280" s="37" t="s">
        <v>159</v>
      </c>
      <c r="L280" s="8">
        <v>49</v>
      </c>
      <c r="M280" s="8">
        <v>327030</v>
      </c>
      <c r="N280" s="9"/>
      <c r="O280" s="8">
        <v>26511</v>
      </c>
      <c r="P280" s="9"/>
      <c r="Q280" s="8">
        <v>6419</v>
      </c>
      <c r="R280" s="9"/>
      <c r="S280" s="8">
        <v>18577</v>
      </c>
      <c r="T280" s="9"/>
      <c r="U280" s="8">
        <v>0</v>
      </c>
      <c r="V280" s="9"/>
      <c r="W280" s="33">
        <v>378537</v>
      </c>
      <c r="X280" s="9"/>
      <c r="Y280" s="30">
        <v>175.7</v>
      </c>
      <c r="Z280" s="9"/>
      <c r="AA280" s="30">
        <v>12.1</v>
      </c>
      <c r="AB280" s="9"/>
      <c r="AC280" s="30">
        <v>2.89</v>
      </c>
      <c r="AD280" s="9"/>
      <c r="AE280" s="30">
        <v>8.5399999999999991</v>
      </c>
      <c r="AF280" s="9"/>
      <c r="AG280" s="30">
        <v>0</v>
      </c>
      <c r="AH280" s="9"/>
      <c r="AI280" s="32">
        <v>199.23</v>
      </c>
      <c r="AJ280" s="12"/>
      <c r="AK280" s="22">
        <v>5484149</v>
      </c>
      <c r="AM280" s="22">
        <v>610082</v>
      </c>
      <c r="AO280" s="22">
        <v>138275</v>
      </c>
      <c r="AQ280" s="22">
        <v>507384</v>
      </c>
      <c r="AS280" s="26">
        <v>6739890</v>
      </c>
      <c r="AU280" s="23">
        <v>16.769600000000001</v>
      </c>
      <c r="AW280" s="23">
        <v>23.0124</v>
      </c>
      <c r="AY280" s="23">
        <v>0.42280000000000001</v>
      </c>
      <c r="BA280" s="23">
        <v>27.3125</v>
      </c>
      <c r="BC280" s="24">
        <v>17.805099999999999</v>
      </c>
      <c r="BE280" s="1" t="str">
        <f t="shared" si="4"/>
        <v>No</v>
      </c>
    </row>
    <row r="281" spans="1:57" ht="11.25" customHeight="1">
      <c r="A281" s="7" t="s">
        <v>587</v>
      </c>
      <c r="B281" s="7" t="s">
        <v>588</v>
      </c>
      <c r="C281" s="37" t="s">
        <v>17</v>
      </c>
      <c r="D281" s="296">
        <v>9012</v>
      </c>
      <c r="E281" s="297">
        <v>90012</v>
      </c>
      <c r="F281" s="27" t="s">
        <v>165</v>
      </c>
      <c r="G281" s="73" t="s">
        <v>158</v>
      </c>
      <c r="H281" s="35">
        <v>370583</v>
      </c>
      <c r="I281" s="35">
        <v>104</v>
      </c>
      <c r="J281" s="37" t="s">
        <v>7</v>
      </c>
      <c r="K281" s="37" t="s">
        <v>159</v>
      </c>
      <c r="L281" s="8">
        <v>48</v>
      </c>
      <c r="M281" s="8">
        <v>196346</v>
      </c>
      <c r="N281" s="9"/>
      <c r="O281" s="8">
        <v>58516</v>
      </c>
      <c r="P281" s="9"/>
      <c r="Q281" s="8">
        <v>28532</v>
      </c>
      <c r="R281" s="9"/>
      <c r="S281" s="8">
        <v>76736</v>
      </c>
      <c r="T281" s="9"/>
      <c r="U281" s="8">
        <v>14039</v>
      </c>
      <c r="V281" s="9"/>
      <c r="W281" s="33">
        <v>374169</v>
      </c>
      <c r="X281" s="9"/>
      <c r="Y281" s="30">
        <v>103</v>
      </c>
      <c r="Z281" s="9"/>
      <c r="AA281" s="30">
        <v>30</v>
      </c>
      <c r="AB281" s="9"/>
      <c r="AC281" s="30">
        <v>15</v>
      </c>
      <c r="AD281" s="9"/>
      <c r="AE281" s="30">
        <v>37</v>
      </c>
      <c r="AF281" s="9"/>
      <c r="AG281" s="30">
        <v>9</v>
      </c>
      <c r="AH281" s="9"/>
      <c r="AI281" s="32">
        <v>194</v>
      </c>
      <c r="AJ281" s="12"/>
      <c r="AK281" s="22">
        <v>4475541</v>
      </c>
      <c r="AM281" s="22">
        <v>1407102</v>
      </c>
      <c r="AO281" s="22">
        <v>398943</v>
      </c>
      <c r="AQ281" s="22">
        <v>2201922</v>
      </c>
      <c r="AS281" s="26">
        <v>8483508</v>
      </c>
      <c r="AU281" s="23">
        <v>22.7942</v>
      </c>
      <c r="AW281" s="23">
        <v>24.046399999999998</v>
      </c>
      <c r="AY281" s="23">
        <v>2.0318000000000001</v>
      </c>
      <c r="BA281" s="23">
        <v>28.694800000000001</v>
      </c>
      <c r="BC281" s="24">
        <v>22.672899999999998</v>
      </c>
      <c r="BE281" s="1" t="str">
        <f t="shared" si="4"/>
        <v>No</v>
      </c>
    </row>
    <row r="282" spans="1:57" ht="11.25" customHeight="1">
      <c r="A282" s="7" t="s">
        <v>597</v>
      </c>
      <c r="B282" s="7" t="s">
        <v>598</v>
      </c>
      <c r="C282" s="37" t="s">
        <v>32</v>
      </c>
      <c r="D282" s="296">
        <v>4046</v>
      </c>
      <c r="E282" s="297">
        <v>40046</v>
      </c>
      <c r="F282" s="27" t="s">
        <v>162</v>
      </c>
      <c r="G282" s="73" t="s">
        <v>158</v>
      </c>
      <c r="H282" s="35">
        <v>643260</v>
      </c>
      <c r="I282" s="35">
        <v>104</v>
      </c>
      <c r="J282" s="37" t="s">
        <v>10</v>
      </c>
      <c r="K282" s="37" t="s">
        <v>159</v>
      </c>
      <c r="L282" s="8">
        <v>14</v>
      </c>
      <c r="M282" s="8">
        <v>23056</v>
      </c>
      <c r="N282" s="9"/>
      <c r="O282" s="8">
        <v>6361</v>
      </c>
      <c r="P282" s="9"/>
      <c r="Q282" s="8">
        <v>564</v>
      </c>
      <c r="R282" s="9"/>
      <c r="S282" s="8">
        <v>787</v>
      </c>
      <c r="T282" s="9"/>
      <c r="U282" s="8">
        <v>0</v>
      </c>
      <c r="V282" s="9"/>
      <c r="W282" s="33">
        <v>30768</v>
      </c>
      <c r="X282" s="9"/>
      <c r="Y282" s="30">
        <v>10.45</v>
      </c>
      <c r="Z282" s="9"/>
      <c r="AA282" s="30">
        <v>2.82</v>
      </c>
      <c r="AB282" s="9"/>
      <c r="AC282" s="30">
        <v>0.23</v>
      </c>
      <c r="AD282" s="9"/>
      <c r="AE282" s="30">
        <v>3.15</v>
      </c>
      <c r="AF282" s="9"/>
      <c r="AG282" s="30">
        <v>0</v>
      </c>
      <c r="AH282" s="9"/>
      <c r="AI282" s="32">
        <v>16.649999999999999</v>
      </c>
      <c r="AJ282" s="12"/>
      <c r="AK282" s="22">
        <v>388976</v>
      </c>
      <c r="AM282" s="22">
        <v>159017</v>
      </c>
      <c r="AO282" s="22">
        <v>16090</v>
      </c>
      <c r="AQ282" s="22">
        <v>21775</v>
      </c>
      <c r="AS282" s="26">
        <v>585858</v>
      </c>
      <c r="AU282" s="23">
        <v>16.870899999999999</v>
      </c>
      <c r="AW282" s="23">
        <v>24.998699999999999</v>
      </c>
      <c r="AY282" s="23">
        <v>0.69789999999999996</v>
      </c>
      <c r="BA282" s="23">
        <v>27.668399999999998</v>
      </c>
      <c r="BC282" s="24">
        <v>19.0411</v>
      </c>
      <c r="BE282" s="1" t="str">
        <f t="shared" si="4"/>
        <v>No</v>
      </c>
    </row>
    <row r="283" spans="1:57" ht="11.25" customHeight="1">
      <c r="A283" s="7" t="s">
        <v>597</v>
      </c>
      <c r="B283" s="7" t="s">
        <v>598</v>
      </c>
      <c r="C283" s="37" t="s">
        <v>32</v>
      </c>
      <c r="D283" s="296">
        <v>4046</v>
      </c>
      <c r="E283" s="297">
        <v>40046</v>
      </c>
      <c r="F283" s="27" t="s">
        <v>162</v>
      </c>
      <c r="G283" s="73" t="s">
        <v>158</v>
      </c>
      <c r="H283" s="35">
        <v>643260</v>
      </c>
      <c r="I283" s="35">
        <v>104</v>
      </c>
      <c r="J283" s="37" t="s">
        <v>18</v>
      </c>
      <c r="K283" s="37" t="s">
        <v>159</v>
      </c>
      <c r="L283" s="8">
        <v>5</v>
      </c>
      <c r="M283" s="8">
        <v>20103</v>
      </c>
      <c r="N283" s="9"/>
      <c r="O283" s="8">
        <v>2171</v>
      </c>
      <c r="P283" s="9"/>
      <c r="Q283" s="8">
        <v>1277</v>
      </c>
      <c r="R283" s="9"/>
      <c r="S283" s="8">
        <v>2194</v>
      </c>
      <c r="T283" s="9"/>
      <c r="U283" s="8">
        <v>0</v>
      </c>
      <c r="V283" s="9"/>
      <c r="W283" s="33">
        <v>25745</v>
      </c>
      <c r="X283" s="9"/>
      <c r="Y283" s="30">
        <v>9.77</v>
      </c>
      <c r="Z283" s="9"/>
      <c r="AA283" s="30">
        <v>0.92</v>
      </c>
      <c r="AB283" s="9"/>
      <c r="AC283" s="30">
        <v>0.5</v>
      </c>
      <c r="AD283" s="9"/>
      <c r="AE283" s="30">
        <v>0.93</v>
      </c>
      <c r="AF283" s="9"/>
      <c r="AG283" s="30">
        <v>0</v>
      </c>
      <c r="AH283" s="9"/>
      <c r="AI283" s="32">
        <v>12.12</v>
      </c>
      <c r="AJ283" s="12"/>
      <c r="AK283" s="22">
        <v>338492</v>
      </c>
      <c r="AM283" s="22">
        <v>49028</v>
      </c>
      <c r="AO283" s="22">
        <v>33342</v>
      </c>
      <c r="AQ283" s="22">
        <v>63805</v>
      </c>
      <c r="AS283" s="26">
        <v>484667</v>
      </c>
      <c r="AU283" s="23">
        <v>16.837900000000001</v>
      </c>
      <c r="AW283" s="23">
        <v>22.583100000000002</v>
      </c>
      <c r="AY283" s="23">
        <v>1.6586000000000001</v>
      </c>
      <c r="BA283" s="23">
        <v>29.081600000000002</v>
      </c>
      <c r="BC283" s="24">
        <v>18.825700000000001</v>
      </c>
      <c r="BE283" s="1" t="str">
        <f t="shared" si="4"/>
        <v>No</v>
      </c>
    </row>
    <row r="284" spans="1:57" ht="11.25" customHeight="1">
      <c r="A284" s="7" t="s">
        <v>699</v>
      </c>
      <c r="B284" s="7" t="s">
        <v>700</v>
      </c>
      <c r="C284" s="37" t="s">
        <v>47</v>
      </c>
      <c r="D284" s="296">
        <v>1014</v>
      </c>
      <c r="E284" s="297">
        <v>10014</v>
      </c>
      <c r="F284" s="27" t="s">
        <v>165</v>
      </c>
      <c r="G284" s="73" t="s">
        <v>158</v>
      </c>
      <c r="H284" s="35">
        <v>486514</v>
      </c>
      <c r="I284" s="35">
        <v>103</v>
      </c>
      <c r="J284" s="37" t="s">
        <v>7</v>
      </c>
      <c r="K284" s="37" t="s">
        <v>159</v>
      </c>
      <c r="L284" s="8">
        <v>44</v>
      </c>
      <c r="M284" s="8">
        <v>230369</v>
      </c>
      <c r="N284" s="9"/>
      <c r="O284" s="8">
        <v>55761</v>
      </c>
      <c r="P284" s="9"/>
      <c r="Q284" s="8">
        <v>8139</v>
      </c>
      <c r="R284" s="9"/>
      <c r="S284" s="8">
        <v>28155</v>
      </c>
      <c r="T284" s="9"/>
      <c r="U284" s="8">
        <v>0</v>
      </c>
      <c r="V284" s="9"/>
      <c r="W284" s="33">
        <v>322424</v>
      </c>
      <c r="X284" s="9"/>
      <c r="Y284" s="30">
        <v>114.6</v>
      </c>
      <c r="Z284" s="9"/>
      <c r="AA284" s="30">
        <v>25.3</v>
      </c>
      <c r="AB284" s="9"/>
      <c r="AC284" s="30">
        <v>4.8</v>
      </c>
      <c r="AD284" s="9"/>
      <c r="AE284" s="30">
        <v>14.6</v>
      </c>
      <c r="AF284" s="9"/>
      <c r="AG284" s="30">
        <v>0</v>
      </c>
      <c r="AH284" s="9"/>
      <c r="AI284" s="32">
        <v>159.30000000000001</v>
      </c>
      <c r="AJ284" s="12"/>
      <c r="AK284" s="22">
        <v>5973504</v>
      </c>
      <c r="AM284" s="22">
        <v>1727370</v>
      </c>
      <c r="AO284" s="22">
        <v>280127</v>
      </c>
      <c r="AQ284" s="22">
        <v>758840</v>
      </c>
      <c r="AS284" s="26">
        <v>8739841</v>
      </c>
      <c r="AU284" s="23">
        <v>25.930199999999999</v>
      </c>
      <c r="AW284" s="23">
        <v>30.978100000000001</v>
      </c>
      <c r="AY284" s="23">
        <v>1.216</v>
      </c>
      <c r="BA284" s="23">
        <v>26.952200000000001</v>
      </c>
      <c r="BC284" s="24">
        <v>27.1067</v>
      </c>
      <c r="BE284" s="1" t="str">
        <f t="shared" si="4"/>
        <v>No</v>
      </c>
    </row>
    <row r="285" spans="1:57" ht="11.25" customHeight="1">
      <c r="A285" s="7" t="s">
        <v>699</v>
      </c>
      <c r="B285" s="7" t="s">
        <v>700</v>
      </c>
      <c r="C285" s="37" t="s">
        <v>47</v>
      </c>
      <c r="D285" s="296">
        <v>1014</v>
      </c>
      <c r="E285" s="297">
        <v>10014</v>
      </c>
      <c r="F285" s="27" t="s">
        <v>165</v>
      </c>
      <c r="G285" s="73" t="s">
        <v>158</v>
      </c>
      <c r="H285" s="35">
        <v>486514</v>
      </c>
      <c r="I285" s="35">
        <v>103</v>
      </c>
      <c r="J285" s="37" t="s">
        <v>10</v>
      </c>
      <c r="K285" s="37" t="s">
        <v>159</v>
      </c>
      <c r="L285" s="8">
        <v>10</v>
      </c>
      <c r="M285" s="8">
        <v>32803</v>
      </c>
      <c r="N285" s="9"/>
      <c r="O285" s="8">
        <v>4697</v>
      </c>
      <c r="P285" s="9"/>
      <c r="Q285" s="8">
        <v>401</v>
      </c>
      <c r="R285" s="9"/>
      <c r="S285" s="8">
        <v>3984</v>
      </c>
      <c r="T285" s="9"/>
      <c r="U285" s="8">
        <v>0</v>
      </c>
      <c r="V285" s="9"/>
      <c r="W285" s="33">
        <v>41885</v>
      </c>
      <c r="X285" s="9"/>
      <c r="Y285" s="30">
        <v>16.600000000000001</v>
      </c>
      <c r="Z285" s="9"/>
      <c r="AA285" s="30">
        <v>2.7</v>
      </c>
      <c r="AB285" s="9"/>
      <c r="AC285" s="30">
        <v>0.2</v>
      </c>
      <c r="AD285" s="9"/>
      <c r="AE285" s="30">
        <v>2.2000000000000002</v>
      </c>
      <c r="AF285" s="9"/>
      <c r="AG285" s="30">
        <v>0</v>
      </c>
      <c r="AH285" s="9"/>
      <c r="AI285" s="32">
        <v>21.7</v>
      </c>
      <c r="AJ285" s="12"/>
      <c r="AK285" s="22">
        <v>658852</v>
      </c>
      <c r="AM285" s="22">
        <v>114508</v>
      </c>
      <c r="AO285" s="22">
        <v>14280</v>
      </c>
      <c r="AQ285" s="22">
        <v>102780</v>
      </c>
      <c r="AS285" s="26">
        <v>890420</v>
      </c>
      <c r="AU285" s="23">
        <v>20.085100000000001</v>
      </c>
      <c r="AW285" s="23">
        <v>24.379000000000001</v>
      </c>
      <c r="AY285" s="23">
        <v>0.43530000000000002</v>
      </c>
      <c r="BA285" s="23">
        <v>25.798200000000001</v>
      </c>
      <c r="BC285" s="24">
        <v>21.258700000000001</v>
      </c>
      <c r="BE285" s="1" t="str">
        <f t="shared" si="4"/>
        <v>No</v>
      </c>
    </row>
    <row r="286" spans="1:57" ht="11.25" customHeight="1">
      <c r="A286" s="7" t="s">
        <v>631</v>
      </c>
      <c r="B286" s="7" t="s">
        <v>632</v>
      </c>
      <c r="C286" s="37" t="s">
        <v>63</v>
      </c>
      <c r="D286" s="296">
        <v>2128</v>
      </c>
      <c r="E286" s="297">
        <v>20128</v>
      </c>
      <c r="F286" s="27" t="s">
        <v>173</v>
      </c>
      <c r="G286" s="73" t="s">
        <v>158</v>
      </c>
      <c r="H286" s="35">
        <v>18351295</v>
      </c>
      <c r="I286" s="35">
        <v>102</v>
      </c>
      <c r="J286" s="37" t="s">
        <v>18</v>
      </c>
      <c r="K286" s="37" t="s">
        <v>159</v>
      </c>
      <c r="L286" s="8">
        <v>102</v>
      </c>
      <c r="M286" s="8">
        <v>278621</v>
      </c>
      <c r="N286" s="9"/>
      <c r="O286" s="8">
        <v>93312</v>
      </c>
      <c r="P286" s="9"/>
      <c r="Q286" s="8">
        <v>0</v>
      </c>
      <c r="R286" s="9"/>
      <c r="S286" s="8">
        <v>57210</v>
      </c>
      <c r="T286" s="9"/>
      <c r="U286" s="8">
        <v>0</v>
      </c>
      <c r="V286" s="9"/>
      <c r="W286" s="33">
        <v>429143</v>
      </c>
      <c r="X286" s="9"/>
      <c r="Y286" s="30">
        <v>175</v>
      </c>
      <c r="Z286" s="9"/>
      <c r="AA286" s="30">
        <v>33</v>
      </c>
      <c r="AB286" s="9"/>
      <c r="AC286" s="30">
        <v>0</v>
      </c>
      <c r="AD286" s="9"/>
      <c r="AE286" s="30">
        <v>31</v>
      </c>
      <c r="AF286" s="9"/>
      <c r="AG286" s="30">
        <v>0</v>
      </c>
      <c r="AH286" s="9"/>
      <c r="AI286" s="32">
        <v>239</v>
      </c>
      <c r="AJ286" s="12"/>
      <c r="AK286" s="22">
        <v>9168974</v>
      </c>
      <c r="AM286" s="22">
        <v>1993234</v>
      </c>
      <c r="AO286" s="22">
        <v>0</v>
      </c>
      <c r="AQ286" s="22">
        <v>1192670</v>
      </c>
      <c r="AS286" s="26">
        <v>12354878</v>
      </c>
      <c r="AU286" s="23">
        <v>32.9084</v>
      </c>
      <c r="AW286" s="23">
        <v>21.361000000000001</v>
      </c>
      <c r="AY286" s="23">
        <v>0</v>
      </c>
      <c r="BA286" s="23">
        <v>20.847200000000001</v>
      </c>
      <c r="BC286" s="24">
        <v>28.7897</v>
      </c>
      <c r="BE286" s="1" t="str">
        <f t="shared" si="4"/>
        <v>No</v>
      </c>
    </row>
    <row r="287" spans="1:57" ht="11.25" customHeight="1">
      <c r="A287" s="7" t="s">
        <v>334</v>
      </c>
      <c r="B287" s="7" t="s">
        <v>335</v>
      </c>
      <c r="C287" s="37" t="s">
        <v>84</v>
      </c>
      <c r="D287" s="296">
        <v>6051</v>
      </c>
      <c r="E287" s="297">
        <v>60051</v>
      </c>
      <c r="F287" s="27" t="s">
        <v>165</v>
      </c>
      <c r="G287" s="73" t="s">
        <v>158</v>
      </c>
      <c r="H287" s="35">
        <v>320069</v>
      </c>
      <c r="I287" s="35">
        <v>102</v>
      </c>
      <c r="J287" s="37" t="s">
        <v>7</v>
      </c>
      <c r="K287" s="37" t="s">
        <v>159</v>
      </c>
      <c r="L287" s="8">
        <v>58</v>
      </c>
      <c r="M287" s="8">
        <v>292655</v>
      </c>
      <c r="N287" s="9"/>
      <c r="O287" s="8">
        <v>74512</v>
      </c>
      <c r="P287" s="9"/>
      <c r="Q287" s="8">
        <v>27632</v>
      </c>
      <c r="R287" s="9"/>
      <c r="S287" s="8">
        <v>48225</v>
      </c>
      <c r="T287" s="9"/>
      <c r="U287" s="8">
        <v>0</v>
      </c>
      <c r="V287" s="9"/>
      <c r="W287" s="33">
        <v>443024</v>
      </c>
      <c r="X287" s="9"/>
      <c r="Y287" s="30">
        <v>159</v>
      </c>
      <c r="Z287" s="9"/>
      <c r="AA287" s="30">
        <v>42</v>
      </c>
      <c r="AB287" s="9"/>
      <c r="AC287" s="30">
        <v>20.399999999999999</v>
      </c>
      <c r="AD287" s="9"/>
      <c r="AE287" s="30">
        <v>33.200000000000003</v>
      </c>
      <c r="AF287" s="9"/>
      <c r="AG287" s="30">
        <v>0</v>
      </c>
      <c r="AH287" s="9"/>
      <c r="AI287" s="32">
        <v>254.6</v>
      </c>
      <c r="AJ287" s="12"/>
      <c r="AK287" s="22">
        <v>5832676</v>
      </c>
      <c r="AM287" s="22">
        <v>1559377</v>
      </c>
      <c r="AO287" s="22">
        <v>384338</v>
      </c>
      <c r="AQ287" s="22">
        <v>1652914</v>
      </c>
      <c r="AS287" s="26">
        <v>9429305</v>
      </c>
      <c r="AU287" s="23">
        <v>19.930199999999999</v>
      </c>
      <c r="AW287" s="23">
        <v>20.927900000000001</v>
      </c>
      <c r="AY287" s="23">
        <v>1.3132999999999999</v>
      </c>
      <c r="BA287" s="23">
        <v>34.274999999999999</v>
      </c>
      <c r="BC287" s="24">
        <v>21.283999999999999</v>
      </c>
      <c r="BE287" s="1" t="str">
        <f t="shared" si="4"/>
        <v>No</v>
      </c>
    </row>
    <row r="288" spans="1:57" ht="11.25" customHeight="1">
      <c r="A288" s="7" t="s">
        <v>334</v>
      </c>
      <c r="B288" s="7" t="s">
        <v>335</v>
      </c>
      <c r="C288" s="37" t="s">
        <v>84</v>
      </c>
      <c r="D288" s="296">
        <v>6051</v>
      </c>
      <c r="E288" s="297">
        <v>60051</v>
      </c>
      <c r="F288" s="27" t="s">
        <v>165</v>
      </c>
      <c r="G288" s="73" t="s">
        <v>158</v>
      </c>
      <c r="H288" s="35">
        <v>320069</v>
      </c>
      <c r="I288" s="35">
        <v>102</v>
      </c>
      <c r="J288" s="37" t="s">
        <v>10</v>
      </c>
      <c r="K288" s="37" t="s">
        <v>159</v>
      </c>
      <c r="L288" s="8">
        <v>1</v>
      </c>
      <c r="M288" s="8">
        <v>3065</v>
      </c>
      <c r="N288" s="9"/>
      <c r="O288" s="8">
        <v>59</v>
      </c>
      <c r="P288" s="9"/>
      <c r="Q288" s="8">
        <v>19</v>
      </c>
      <c r="R288" s="9"/>
      <c r="S288" s="8">
        <v>524</v>
      </c>
      <c r="T288" s="9"/>
      <c r="U288" s="8">
        <v>0</v>
      </c>
      <c r="V288" s="9"/>
      <c r="W288" s="33">
        <v>3667</v>
      </c>
      <c r="X288" s="9"/>
      <c r="Y288" s="30">
        <v>3.1</v>
      </c>
      <c r="Z288" s="9"/>
      <c r="AA288" s="30">
        <v>0.03</v>
      </c>
      <c r="AB288" s="9"/>
      <c r="AC288" s="30">
        <v>0.01</v>
      </c>
      <c r="AD288" s="9"/>
      <c r="AE288" s="30">
        <v>0.28999999999999998</v>
      </c>
      <c r="AF288" s="9"/>
      <c r="AG288" s="30">
        <v>0</v>
      </c>
      <c r="AH288" s="9"/>
      <c r="AI288" s="32">
        <v>3.43</v>
      </c>
      <c r="AJ288" s="12"/>
      <c r="AK288" s="22">
        <v>46221</v>
      </c>
      <c r="AM288" s="22">
        <v>1158</v>
      </c>
      <c r="AO288" s="22">
        <v>278</v>
      </c>
      <c r="AQ288" s="22">
        <v>17608</v>
      </c>
      <c r="AS288" s="26">
        <v>65265</v>
      </c>
      <c r="AU288" s="23">
        <v>15.080299999999999</v>
      </c>
      <c r="AW288" s="23">
        <v>19.627099999999999</v>
      </c>
      <c r="AY288" s="23">
        <v>9.0700000000000003E-2</v>
      </c>
      <c r="BA288" s="23">
        <v>33.603099999999998</v>
      </c>
      <c r="BC288" s="24">
        <v>17.797899999999998</v>
      </c>
      <c r="BE288" s="1" t="str">
        <f t="shared" si="4"/>
        <v>No</v>
      </c>
    </row>
    <row r="289" spans="1:57" ht="11.25" customHeight="1">
      <c r="A289" s="7" t="s">
        <v>687</v>
      </c>
      <c r="B289" s="7" t="s">
        <v>688</v>
      </c>
      <c r="C289" s="37" t="s">
        <v>89</v>
      </c>
      <c r="D289" s="296">
        <v>21</v>
      </c>
      <c r="E289" s="297">
        <v>21</v>
      </c>
      <c r="F289" s="27" t="s">
        <v>165</v>
      </c>
      <c r="G289" s="73" t="s">
        <v>158</v>
      </c>
      <c r="H289" s="35">
        <v>114473</v>
      </c>
      <c r="I289" s="35">
        <v>101</v>
      </c>
      <c r="J289" s="37" t="s">
        <v>7</v>
      </c>
      <c r="K289" s="37" t="s">
        <v>159</v>
      </c>
      <c r="L289" s="8">
        <v>44</v>
      </c>
      <c r="M289" s="8">
        <v>209561</v>
      </c>
      <c r="N289" s="9"/>
      <c r="O289" s="8">
        <v>32044</v>
      </c>
      <c r="P289" s="9"/>
      <c r="Q289" s="8">
        <v>8287</v>
      </c>
      <c r="R289" s="9"/>
      <c r="S289" s="8">
        <v>30801</v>
      </c>
      <c r="T289" s="9"/>
      <c r="U289" s="8">
        <v>2436</v>
      </c>
      <c r="V289" s="9"/>
      <c r="W289" s="33">
        <v>283129</v>
      </c>
      <c r="X289" s="9"/>
      <c r="Y289" s="30">
        <v>125.29</v>
      </c>
      <c r="Z289" s="9"/>
      <c r="AA289" s="30">
        <v>17.75</v>
      </c>
      <c r="AB289" s="9"/>
      <c r="AC289" s="30">
        <v>4.3099999999999996</v>
      </c>
      <c r="AD289" s="9"/>
      <c r="AE289" s="30">
        <v>17.5</v>
      </c>
      <c r="AF289" s="9"/>
      <c r="AG289" s="30">
        <v>1.35</v>
      </c>
      <c r="AH289" s="9"/>
      <c r="AI289" s="32">
        <v>166.2</v>
      </c>
      <c r="AJ289" s="12"/>
      <c r="AK289" s="22">
        <v>5887791</v>
      </c>
      <c r="AM289" s="22">
        <v>893180</v>
      </c>
      <c r="AO289" s="22">
        <v>223989</v>
      </c>
      <c r="AQ289" s="22">
        <v>1138777</v>
      </c>
      <c r="AS289" s="26">
        <v>8143737</v>
      </c>
      <c r="AU289" s="23">
        <v>28.095800000000001</v>
      </c>
      <c r="AW289" s="23">
        <v>27.8735</v>
      </c>
      <c r="AY289" s="23">
        <v>1.0688</v>
      </c>
      <c r="BA289" s="23">
        <v>36.972099999999998</v>
      </c>
      <c r="BC289" s="24">
        <v>28.763300000000001</v>
      </c>
      <c r="BE289" s="1" t="str">
        <f t="shared" si="4"/>
        <v>No</v>
      </c>
    </row>
    <row r="290" spans="1:57" ht="11.25" customHeight="1">
      <c r="A290" s="7" t="s">
        <v>687</v>
      </c>
      <c r="B290" s="7" t="s">
        <v>688</v>
      </c>
      <c r="C290" s="37" t="s">
        <v>89</v>
      </c>
      <c r="D290" s="296">
        <v>21</v>
      </c>
      <c r="E290" s="297">
        <v>21</v>
      </c>
      <c r="F290" s="27" t="s">
        <v>165</v>
      </c>
      <c r="G290" s="73" t="s">
        <v>158</v>
      </c>
      <c r="H290" s="35">
        <v>114473</v>
      </c>
      <c r="I290" s="35">
        <v>101</v>
      </c>
      <c r="J290" s="37" t="s">
        <v>10</v>
      </c>
      <c r="K290" s="37" t="s">
        <v>159</v>
      </c>
      <c r="L290" s="8">
        <v>30</v>
      </c>
      <c r="M290" s="8">
        <v>108732</v>
      </c>
      <c r="N290" s="9"/>
      <c r="O290" s="8">
        <v>9340</v>
      </c>
      <c r="P290" s="9"/>
      <c r="Q290" s="8">
        <v>2214</v>
      </c>
      <c r="R290" s="9"/>
      <c r="S290" s="8">
        <v>14676</v>
      </c>
      <c r="T290" s="9"/>
      <c r="U290" s="8">
        <v>0</v>
      </c>
      <c r="V290" s="9"/>
      <c r="W290" s="33">
        <v>134962</v>
      </c>
      <c r="X290" s="9"/>
      <c r="Y290" s="30">
        <v>58.36</v>
      </c>
      <c r="Z290" s="9"/>
      <c r="AA290" s="30">
        <v>5.25</v>
      </c>
      <c r="AB290" s="9"/>
      <c r="AC290" s="30">
        <v>1.1599999999999999</v>
      </c>
      <c r="AD290" s="9"/>
      <c r="AE290" s="30">
        <v>8.34</v>
      </c>
      <c r="AF290" s="9"/>
      <c r="AG290" s="30">
        <v>0</v>
      </c>
      <c r="AH290" s="9"/>
      <c r="AI290" s="32">
        <v>73.11</v>
      </c>
      <c r="AJ290" s="12"/>
      <c r="AK290" s="22">
        <v>2726572</v>
      </c>
      <c r="AM290" s="22">
        <v>251841</v>
      </c>
      <c r="AO290" s="22">
        <v>65282</v>
      </c>
      <c r="AQ290" s="22">
        <v>538568</v>
      </c>
      <c r="AS290" s="26">
        <v>3582263</v>
      </c>
      <c r="AU290" s="23">
        <v>25.0761</v>
      </c>
      <c r="AW290" s="23">
        <v>26.963699999999999</v>
      </c>
      <c r="AY290" s="23">
        <v>0.60040000000000004</v>
      </c>
      <c r="BA290" s="23">
        <v>36.697200000000002</v>
      </c>
      <c r="BC290" s="24">
        <v>26.5428</v>
      </c>
      <c r="BE290" s="1" t="str">
        <f t="shared" si="4"/>
        <v>No</v>
      </c>
    </row>
    <row r="291" spans="1:57" ht="11.25" customHeight="1">
      <c r="A291" s="7" t="s">
        <v>687</v>
      </c>
      <c r="B291" s="7" t="s">
        <v>688</v>
      </c>
      <c r="C291" s="37" t="s">
        <v>89</v>
      </c>
      <c r="D291" s="296">
        <v>21</v>
      </c>
      <c r="E291" s="297">
        <v>21</v>
      </c>
      <c r="F291" s="27" t="s">
        <v>165</v>
      </c>
      <c r="G291" s="73" t="s">
        <v>158</v>
      </c>
      <c r="H291" s="35">
        <v>114473</v>
      </c>
      <c r="I291" s="35">
        <v>101</v>
      </c>
      <c r="J291" s="37" t="s">
        <v>8</v>
      </c>
      <c r="K291" s="37" t="s">
        <v>159</v>
      </c>
      <c r="L291" s="8">
        <v>25</v>
      </c>
      <c r="M291" s="8">
        <v>1114</v>
      </c>
      <c r="N291" s="9"/>
      <c r="O291" s="8">
        <v>921</v>
      </c>
      <c r="P291" s="9"/>
      <c r="Q291" s="8">
        <v>69</v>
      </c>
      <c r="R291" s="9"/>
      <c r="S291" s="8">
        <v>458</v>
      </c>
      <c r="T291" s="9"/>
      <c r="U291" s="8">
        <v>0</v>
      </c>
      <c r="V291" s="9"/>
      <c r="W291" s="33">
        <v>2562</v>
      </c>
      <c r="X291" s="9"/>
      <c r="Y291" s="30">
        <v>0.9</v>
      </c>
      <c r="Z291" s="9"/>
      <c r="AA291" s="30">
        <v>0.5</v>
      </c>
      <c r="AB291" s="9"/>
      <c r="AC291" s="30">
        <v>0.04</v>
      </c>
      <c r="AD291" s="9"/>
      <c r="AE291" s="30">
        <v>0.25</v>
      </c>
      <c r="AF291" s="9"/>
      <c r="AG291" s="30">
        <v>0</v>
      </c>
      <c r="AH291" s="9"/>
      <c r="AI291" s="32">
        <v>1.69</v>
      </c>
      <c r="AJ291" s="12"/>
      <c r="AK291" s="22">
        <v>39581</v>
      </c>
      <c r="AM291" s="22">
        <v>26352</v>
      </c>
      <c r="AO291" s="22">
        <v>2046</v>
      </c>
      <c r="AQ291" s="22">
        <v>16971</v>
      </c>
      <c r="AS291" s="26">
        <v>84950</v>
      </c>
      <c r="AU291" s="23">
        <v>35.530500000000004</v>
      </c>
      <c r="AW291" s="23">
        <v>28.612400000000001</v>
      </c>
      <c r="AY291" s="23">
        <v>1.8366</v>
      </c>
      <c r="BA291" s="23">
        <v>37.054600000000001</v>
      </c>
      <c r="BC291" s="24">
        <v>33.157699999999998</v>
      </c>
      <c r="BE291" s="1" t="str">
        <f t="shared" si="4"/>
        <v>No</v>
      </c>
    </row>
    <row r="292" spans="1:57" ht="11.25" customHeight="1">
      <c r="A292" s="7" t="s">
        <v>221</v>
      </c>
      <c r="B292" s="7" t="s">
        <v>222</v>
      </c>
      <c r="C292" s="37" t="s">
        <v>9</v>
      </c>
      <c r="D292" s="296">
        <v>4042</v>
      </c>
      <c r="E292" s="297">
        <v>40042</v>
      </c>
      <c r="F292" s="27" t="s">
        <v>165</v>
      </c>
      <c r="G292" s="73" t="s">
        <v>158</v>
      </c>
      <c r="H292" s="35">
        <v>749495</v>
      </c>
      <c r="I292" s="35">
        <v>100</v>
      </c>
      <c r="J292" s="37" t="s">
        <v>7</v>
      </c>
      <c r="K292" s="37" t="s">
        <v>159</v>
      </c>
      <c r="L292" s="8">
        <v>70</v>
      </c>
      <c r="M292" s="8">
        <v>260823</v>
      </c>
      <c r="N292" s="9"/>
      <c r="O292" s="8">
        <v>107867</v>
      </c>
      <c r="P292" s="9"/>
      <c r="Q292" s="8">
        <v>21699</v>
      </c>
      <c r="R292" s="9"/>
      <c r="S292" s="8">
        <v>73665</v>
      </c>
      <c r="T292" s="9"/>
      <c r="U292" s="8">
        <v>0</v>
      </c>
      <c r="V292" s="9"/>
      <c r="W292" s="33">
        <v>464054</v>
      </c>
      <c r="X292" s="9"/>
      <c r="Y292" s="30">
        <v>155</v>
      </c>
      <c r="Z292" s="9"/>
      <c r="AA292" s="30">
        <v>56</v>
      </c>
      <c r="AB292" s="9"/>
      <c r="AC292" s="30">
        <v>11</v>
      </c>
      <c r="AD292" s="9"/>
      <c r="AE292" s="30">
        <v>41</v>
      </c>
      <c r="AF292" s="9"/>
      <c r="AG292" s="30">
        <v>0</v>
      </c>
      <c r="AH292" s="9"/>
      <c r="AI292" s="32">
        <v>263</v>
      </c>
      <c r="AJ292" s="12"/>
      <c r="AK292" s="22">
        <v>6758530</v>
      </c>
      <c r="AM292" s="22">
        <v>2159258</v>
      </c>
      <c r="AO292" s="22">
        <v>614016</v>
      </c>
      <c r="AQ292" s="22">
        <v>1868163</v>
      </c>
      <c r="AS292" s="26">
        <v>11399967</v>
      </c>
      <c r="AU292" s="23">
        <v>25.912299999999998</v>
      </c>
      <c r="AW292" s="23">
        <v>20.017800000000001</v>
      </c>
      <c r="AY292" s="23">
        <v>2.3540999999999999</v>
      </c>
      <c r="BA292" s="23">
        <v>25.360299999999999</v>
      </c>
      <c r="BC292" s="24">
        <v>24.565999999999999</v>
      </c>
      <c r="BE292" s="1" t="str">
        <f t="shared" si="4"/>
        <v>No</v>
      </c>
    </row>
    <row r="293" spans="1:57" ht="11.25" customHeight="1">
      <c r="A293" s="7" t="s">
        <v>221</v>
      </c>
      <c r="B293" s="7" t="s">
        <v>222</v>
      </c>
      <c r="C293" s="37" t="s">
        <v>9</v>
      </c>
      <c r="D293" s="296">
        <v>4042</v>
      </c>
      <c r="E293" s="297">
        <v>40042</v>
      </c>
      <c r="F293" s="27" t="s">
        <v>165</v>
      </c>
      <c r="G293" s="73" t="s">
        <v>158</v>
      </c>
      <c r="H293" s="35">
        <v>749495</v>
      </c>
      <c r="I293" s="35">
        <v>100</v>
      </c>
      <c r="J293" s="37" t="s">
        <v>10</v>
      </c>
      <c r="K293" s="37" t="s">
        <v>159</v>
      </c>
      <c r="L293" s="8">
        <v>30</v>
      </c>
      <c r="M293" s="8">
        <v>98785</v>
      </c>
      <c r="N293" s="9"/>
      <c r="O293" s="8">
        <v>13332</v>
      </c>
      <c r="P293" s="9"/>
      <c r="Q293" s="8">
        <v>5425</v>
      </c>
      <c r="R293" s="9"/>
      <c r="S293" s="8">
        <v>10045</v>
      </c>
      <c r="T293" s="9"/>
      <c r="U293" s="8">
        <v>0</v>
      </c>
      <c r="V293" s="9"/>
      <c r="W293" s="33">
        <v>127587</v>
      </c>
      <c r="X293" s="9"/>
      <c r="Y293" s="30">
        <v>51</v>
      </c>
      <c r="Z293" s="9"/>
      <c r="AA293" s="30">
        <v>7</v>
      </c>
      <c r="AB293" s="9"/>
      <c r="AC293" s="30">
        <v>3</v>
      </c>
      <c r="AD293" s="9"/>
      <c r="AE293" s="30">
        <v>6</v>
      </c>
      <c r="AF293" s="9"/>
      <c r="AG293" s="30">
        <v>0</v>
      </c>
      <c r="AH293" s="9"/>
      <c r="AI293" s="32">
        <v>67</v>
      </c>
      <c r="AJ293" s="12"/>
      <c r="AK293" s="22">
        <v>1708278</v>
      </c>
      <c r="AM293" s="22">
        <v>266875</v>
      </c>
      <c r="AO293" s="22">
        <v>75890</v>
      </c>
      <c r="AQ293" s="22">
        <v>230896</v>
      </c>
      <c r="AS293" s="26">
        <v>2281939</v>
      </c>
      <c r="AU293" s="23">
        <v>17.292899999999999</v>
      </c>
      <c r="AW293" s="23">
        <v>20.017600000000002</v>
      </c>
      <c r="AY293" s="23">
        <v>0.76819999999999999</v>
      </c>
      <c r="BA293" s="23">
        <v>22.9862</v>
      </c>
      <c r="BC293" s="24">
        <v>17.885400000000001</v>
      </c>
      <c r="BE293" s="1" t="str">
        <f t="shared" si="4"/>
        <v>No</v>
      </c>
    </row>
    <row r="294" spans="1:57" ht="11.25" customHeight="1">
      <c r="A294" s="7" t="s">
        <v>1124</v>
      </c>
      <c r="B294" s="7" t="s">
        <v>285</v>
      </c>
      <c r="C294" s="37" t="s">
        <v>86</v>
      </c>
      <c r="D294" s="296">
        <v>3071</v>
      </c>
      <c r="E294" s="297">
        <v>30071</v>
      </c>
      <c r="F294" s="27" t="s">
        <v>162</v>
      </c>
      <c r="G294" s="73" t="s">
        <v>158</v>
      </c>
      <c r="H294" s="35">
        <v>4586770</v>
      </c>
      <c r="I294" s="35">
        <v>99</v>
      </c>
      <c r="J294" s="37" t="s">
        <v>7</v>
      </c>
      <c r="K294" s="37" t="s">
        <v>159</v>
      </c>
      <c r="L294" s="8">
        <v>66</v>
      </c>
      <c r="M294" s="8">
        <v>281572</v>
      </c>
      <c r="N294" s="9"/>
      <c r="O294" s="8">
        <v>44381</v>
      </c>
      <c r="P294" s="9"/>
      <c r="Q294" s="8">
        <v>2010</v>
      </c>
      <c r="R294" s="9"/>
      <c r="S294" s="8">
        <v>23455</v>
      </c>
      <c r="T294" s="9"/>
      <c r="U294" s="8">
        <v>0</v>
      </c>
      <c r="V294" s="9"/>
      <c r="W294" s="33">
        <v>351418</v>
      </c>
      <c r="X294" s="9"/>
      <c r="Y294" s="30">
        <v>141</v>
      </c>
      <c r="Z294" s="9"/>
      <c r="AA294" s="30">
        <v>26</v>
      </c>
      <c r="AB294" s="9"/>
      <c r="AC294" s="30">
        <v>1</v>
      </c>
      <c r="AD294" s="9"/>
      <c r="AE294" s="30">
        <v>12</v>
      </c>
      <c r="AF294" s="9"/>
      <c r="AG294" s="30">
        <v>0</v>
      </c>
      <c r="AH294" s="9"/>
      <c r="AI294" s="32">
        <v>180</v>
      </c>
      <c r="AJ294" s="12"/>
      <c r="AK294" s="22">
        <v>6315420</v>
      </c>
      <c r="AM294" s="22">
        <v>1124021</v>
      </c>
      <c r="AO294" s="22">
        <v>55489</v>
      </c>
      <c r="AQ294" s="22">
        <v>1041946</v>
      </c>
      <c r="AS294" s="26">
        <v>8536876</v>
      </c>
      <c r="AU294" s="23">
        <v>22.429099999999998</v>
      </c>
      <c r="AW294" s="23">
        <v>25.326599999999999</v>
      </c>
      <c r="AY294" s="23">
        <v>0.1971</v>
      </c>
      <c r="BA294" s="23">
        <v>44.423200000000001</v>
      </c>
      <c r="BC294" s="24">
        <v>24.2927</v>
      </c>
      <c r="BE294" s="1" t="str">
        <f t="shared" si="4"/>
        <v>No</v>
      </c>
    </row>
    <row r="295" spans="1:57" ht="11.25" customHeight="1">
      <c r="A295" s="7" t="s">
        <v>330</v>
      </c>
      <c r="B295" s="7" t="s">
        <v>329</v>
      </c>
      <c r="C295" s="37" t="s">
        <v>28</v>
      </c>
      <c r="D295" s="296">
        <v>1055</v>
      </c>
      <c r="E295" s="297">
        <v>10055</v>
      </c>
      <c r="F295" s="27" t="s">
        <v>157</v>
      </c>
      <c r="G295" s="73" t="s">
        <v>158</v>
      </c>
      <c r="H295" s="35">
        <v>562839</v>
      </c>
      <c r="I295" s="35">
        <v>98</v>
      </c>
      <c r="J295" s="37" t="s">
        <v>7</v>
      </c>
      <c r="K295" s="37" t="s">
        <v>159</v>
      </c>
      <c r="L295" s="8">
        <v>98</v>
      </c>
      <c r="M295" s="8">
        <v>503273</v>
      </c>
      <c r="N295" s="9"/>
      <c r="O295" s="8">
        <v>115158</v>
      </c>
      <c r="P295" s="9"/>
      <c r="Q295" s="8">
        <v>20331</v>
      </c>
      <c r="R295" s="9"/>
      <c r="S295" s="8">
        <v>59934</v>
      </c>
      <c r="T295" s="9"/>
      <c r="U295" s="8">
        <v>0</v>
      </c>
      <c r="V295" s="9"/>
      <c r="W295" s="33">
        <v>698696</v>
      </c>
      <c r="X295" s="9"/>
      <c r="Y295" s="30">
        <v>241</v>
      </c>
      <c r="Z295" s="9"/>
      <c r="AA295" s="30">
        <v>55</v>
      </c>
      <c r="AB295" s="9"/>
      <c r="AC295" s="30">
        <v>10</v>
      </c>
      <c r="AD295" s="9"/>
      <c r="AE295" s="30">
        <v>40</v>
      </c>
      <c r="AF295" s="9"/>
      <c r="AG295" s="30">
        <v>0</v>
      </c>
      <c r="AH295" s="9"/>
      <c r="AI295" s="32">
        <v>346</v>
      </c>
      <c r="AJ295" s="12"/>
      <c r="AK295" s="22">
        <v>14387136</v>
      </c>
      <c r="AM295" s="22">
        <v>3304601</v>
      </c>
      <c r="AO295" s="22">
        <v>659548</v>
      </c>
      <c r="AQ295" s="22">
        <v>1723210</v>
      </c>
      <c r="AS295" s="26">
        <v>20074495</v>
      </c>
      <c r="AU295" s="23">
        <v>28.5871</v>
      </c>
      <c r="AW295" s="23">
        <v>28.696200000000001</v>
      </c>
      <c r="AY295" s="23">
        <v>1.3105</v>
      </c>
      <c r="BA295" s="23">
        <v>28.751799999999999</v>
      </c>
      <c r="BC295" s="24">
        <v>28.731400000000001</v>
      </c>
      <c r="BE295" s="1" t="str">
        <f t="shared" si="4"/>
        <v>No</v>
      </c>
    </row>
    <row r="296" spans="1:57" ht="11.25" customHeight="1">
      <c r="A296" s="7" t="s">
        <v>447</v>
      </c>
      <c r="B296" s="7" t="s">
        <v>448</v>
      </c>
      <c r="C296" s="37" t="s">
        <v>32</v>
      </c>
      <c r="D296" s="296">
        <v>4028</v>
      </c>
      <c r="E296" s="297">
        <v>40028</v>
      </c>
      <c r="F296" s="27" t="s">
        <v>162</v>
      </c>
      <c r="G296" s="73" t="s">
        <v>158</v>
      </c>
      <c r="H296" s="35">
        <v>530290</v>
      </c>
      <c r="I296" s="35">
        <v>98</v>
      </c>
      <c r="J296" s="37" t="s">
        <v>7</v>
      </c>
      <c r="K296" s="37" t="s">
        <v>159</v>
      </c>
      <c r="L296" s="8">
        <v>48</v>
      </c>
      <c r="M296" s="8">
        <v>292286</v>
      </c>
      <c r="N296" s="9"/>
      <c r="O296" s="8">
        <v>46610</v>
      </c>
      <c r="P296" s="9"/>
      <c r="Q296" s="8">
        <v>11347</v>
      </c>
      <c r="R296" s="9"/>
      <c r="S296" s="8">
        <v>23437</v>
      </c>
      <c r="T296" s="9"/>
      <c r="U296" s="8">
        <v>0</v>
      </c>
      <c r="V296" s="9"/>
      <c r="W296" s="33">
        <v>373680</v>
      </c>
      <c r="X296" s="9"/>
      <c r="Y296" s="30">
        <v>149</v>
      </c>
      <c r="Z296" s="9"/>
      <c r="AA296" s="30">
        <v>23</v>
      </c>
      <c r="AB296" s="9"/>
      <c r="AC296" s="30">
        <v>6</v>
      </c>
      <c r="AD296" s="9"/>
      <c r="AE296" s="30">
        <v>12</v>
      </c>
      <c r="AF296" s="9"/>
      <c r="AG296" s="30">
        <v>0</v>
      </c>
      <c r="AH296" s="9"/>
      <c r="AI296" s="32">
        <v>190</v>
      </c>
      <c r="AJ296" s="12"/>
      <c r="AK296" s="22">
        <v>4856891</v>
      </c>
      <c r="AM296" s="22">
        <v>957717</v>
      </c>
      <c r="AO296" s="22">
        <v>217787</v>
      </c>
      <c r="AQ296" s="22">
        <v>686556</v>
      </c>
      <c r="AS296" s="26">
        <v>6718951</v>
      </c>
      <c r="AU296" s="23">
        <v>16.616900000000001</v>
      </c>
      <c r="AW296" s="23">
        <v>20.547499999999999</v>
      </c>
      <c r="AY296" s="23">
        <v>0.74509999999999998</v>
      </c>
      <c r="BA296" s="23">
        <v>29.293700000000001</v>
      </c>
      <c r="BC296" s="24">
        <v>17.980499999999999</v>
      </c>
      <c r="BE296" s="1" t="str">
        <f t="shared" si="4"/>
        <v>No</v>
      </c>
    </row>
    <row r="297" spans="1:57" ht="11.25" customHeight="1">
      <c r="A297" s="7" t="s">
        <v>447</v>
      </c>
      <c r="B297" s="7" t="s">
        <v>448</v>
      </c>
      <c r="C297" s="37" t="s">
        <v>32</v>
      </c>
      <c r="D297" s="296">
        <v>4028</v>
      </c>
      <c r="E297" s="297">
        <v>40028</v>
      </c>
      <c r="F297" s="27" t="s">
        <v>162</v>
      </c>
      <c r="G297" s="73" t="s">
        <v>158</v>
      </c>
      <c r="H297" s="35">
        <v>530290</v>
      </c>
      <c r="I297" s="35">
        <v>98</v>
      </c>
      <c r="J297" s="37" t="s">
        <v>10</v>
      </c>
      <c r="K297" s="37" t="s">
        <v>159</v>
      </c>
      <c r="L297" s="8">
        <v>38</v>
      </c>
      <c r="M297" s="8">
        <v>119449</v>
      </c>
      <c r="N297" s="9"/>
      <c r="O297" s="8">
        <v>7433</v>
      </c>
      <c r="P297" s="9"/>
      <c r="Q297" s="8">
        <v>0</v>
      </c>
      <c r="R297" s="9"/>
      <c r="S297" s="8">
        <v>12057</v>
      </c>
      <c r="T297" s="9"/>
      <c r="U297" s="8">
        <v>0</v>
      </c>
      <c r="V297" s="9"/>
      <c r="W297" s="33">
        <v>138939</v>
      </c>
      <c r="X297" s="9"/>
      <c r="Y297" s="30">
        <v>57</v>
      </c>
      <c r="Z297" s="9"/>
      <c r="AA297" s="30">
        <v>4</v>
      </c>
      <c r="AB297" s="9"/>
      <c r="AC297" s="30">
        <v>0</v>
      </c>
      <c r="AD297" s="9"/>
      <c r="AE297" s="30">
        <v>6.5</v>
      </c>
      <c r="AF297" s="9"/>
      <c r="AG297" s="30">
        <v>0</v>
      </c>
      <c r="AH297" s="9"/>
      <c r="AI297" s="32">
        <v>67.5</v>
      </c>
      <c r="AJ297" s="12"/>
      <c r="AK297" s="22">
        <v>2003746</v>
      </c>
      <c r="AM297" s="22">
        <v>142668</v>
      </c>
      <c r="AO297" s="22">
        <v>0</v>
      </c>
      <c r="AQ297" s="22">
        <v>295890</v>
      </c>
      <c r="AS297" s="26">
        <v>2442304</v>
      </c>
      <c r="AU297" s="23">
        <v>16.774899999999999</v>
      </c>
      <c r="AW297" s="23">
        <v>19.193899999999999</v>
      </c>
      <c r="AY297" s="23">
        <v>0</v>
      </c>
      <c r="BA297" s="23">
        <v>24.540900000000001</v>
      </c>
      <c r="BC297" s="24">
        <v>17.578199999999999</v>
      </c>
      <c r="BE297" s="1" t="str">
        <f t="shared" si="4"/>
        <v>No</v>
      </c>
    </row>
    <row r="298" spans="1:57" ht="11.25" customHeight="1">
      <c r="A298" s="7" t="s">
        <v>215</v>
      </c>
      <c r="B298" s="7" t="s">
        <v>216</v>
      </c>
      <c r="C298" s="37" t="s">
        <v>77</v>
      </c>
      <c r="D298" s="296">
        <v>3024</v>
      </c>
      <c r="E298" s="297">
        <v>30024</v>
      </c>
      <c r="F298" s="27" t="s">
        <v>165</v>
      </c>
      <c r="G298" s="73" t="s">
        <v>158</v>
      </c>
      <c r="H298" s="35">
        <v>266254</v>
      </c>
      <c r="I298" s="35">
        <v>97</v>
      </c>
      <c r="J298" s="37" t="s">
        <v>7</v>
      </c>
      <c r="K298" s="37" t="s">
        <v>159</v>
      </c>
      <c r="L298" s="8">
        <v>44</v>
      </c>
      <c r="M298" s="8">
        <v>145680</v>
      </c>
      <c r="N298" s="9"/>
      <c r="O298" s="8">
        <v>17097</v>
      </c>
      <c r="P298" s="9"/>
      <c r="Q298" s="8">
        <v>8722</v>
      </c>
      <c r="R298" s="9"/>
      <c r="S298" s="8">
        <v>23120</v>
      </c>
      <c r="T298" s="9"/>
      <c r="U298" s="8">
        <v>0</v>
      </c>
      <c r="V298" s="9"/>
      <c r="W298" s="33">
        <v>194619</v>
      </c>
      <c r="X298" s="9"/>
      <c r="Y298" s="30">
        <v>81</v>
      </c>
      <c r="Z298" s="9"/>
      <c r="AA298" s="30">
        <v>8.4</v>
      </c>
      <c r="AB298" s="9"/>
      <c r="AC298" s="30">
        <v>6.6</v>
      </c>
      <c r="AD298" s="9"/>
      <c r="AE298" s="30">
        <v>12.5</v>
      </c>
      <c r="AF298" s="9"/>
      <c r="AG298" s="30">
        <v>0</v>
      </c>
      <c r="AH298" s="9"/>
      <c r="AI298" s="32">
        <v>108.5</v>
      </c>
      <c r="AJ298" s="12"/>
      <c r="AK298" s="22">
        <v>3405216</v>
      </c>
      <c r="AM298" s="22">
        <v>591825</v>
      </c>
      <c r="AO298" s="22">
        <v>97189</v>
      </c>
      <c r="AQ298" s="22">
        <v>299627</v>
      </c>
      <c r="AS298" s="26">
        <v>4393857</v>
      </c>
      <c r="AU298" s="23">
        <v>23.374600000000001</v>
      </c>
      <c r="AW298" s="23">
        <v>34.615699999999997</v>
      </c>
      <c r="AY298" s="23">
        <v>0.66710000000000003</v>
      </c>
      <c r="BA298" s="23">
        <v>12.9596</v>
      </c>
      <c r="BC298" s="24">
        <v>22.576699999999999</v>
      </c>
      <c r="BE298" s="1" t="str">
        <f t="shared" si="4"/>
        <v>No</v>
      </c>
    </row>
    <row r="299" spans="1:57" ht="11.25" customHeight="1">
      <c r="A299" s="7" t="s">
        <v>215</v>
      </c>
      <c r="B299" s="7" t="s">
        <v>216</v>
      </c>
      <c r="C299" s="37" t="s">
        <v>77</v>
      </c>
      <c r="D299" s="296">
        <v>3024</v>
      </c>
      <c r="E299" s="297">
        <v>30024</v>
      </c>
      <c r="F299" s="27" t="s">
        <v>165</v>
      </c>
      <c r="G299" s="73" t="s">
        <v>158</v>
      </c>
      <c r="H299" s="35">
        <v>266254</v>
      </c>
      <c r="I299" s="35">
        <v>97</v>
      </c>
      <c r="J299" s="37" t="s">
        <v>10</v>
      </c>
      <c r="K299" s="37" t="s">
        <v>159</v>
      </c>
      <c r="L299" s="8">
        <v>34</v>
      </c>
      <c r="M299" s="8">
        <v>76619</v>
      </c>
      <c r="N299" s="9"/>
      <c r="O299" s="8">
        <v>11398</v>
      </c>
      <c r="P299" s="9"/>
      <c r="Q299" s="8">
        <v>5029</v>
      </c>
      <c r="R299" s="9"/>
      <c r="S299" s="8">
        <v>20160</v>
      </c>
      <c r="T299" s="9"/>
      <c r="U299" s="8">
        <v>0</v>
      </c>
      <c r="V299" s="9"/>
      <c r="W299" s="33">
        <v>113206</v>
      </c>
      <c r="X299" s="9"/>
      <c r="Y299" s="30">
        <v>38</v>
      </c>
      <c r="Z299" s="9"/>
      <c r="AA299" s="30">
        <v>5.6</v>
      </c>
      <c r="AB299" s="9"/>
      <c r="AC299" s="30">
        <v>4.4000000000000004</v>
      </c>
      <c r="AD299" s="9"/>
      <c r="AE299" s="30">
        <v>10.5</v>
      </c>
      <c r="AF299" s="9"/>
      <c r="AG299" s="30">
        <v>0</v>
      </c>
      <c r="AH299" s="9"/>
      <c r="AI299" s="32">
        <v>58.5</v>
      </c>
      <c r="AJ299" s="12"/>
      <c r="AK299" s="22">
        <v>1365470</v>
      </c>
      <c r="AM299" s="22">
        <v>289138</v>
      </c>
      <c r="AO299" s="22">
        <v>57319</v>
      </c>
      <c r="AQ299" s="22">
        <v>278039</v>
      </c>
      <c r="AS299" s="26">
        <v>1989966</v>
      </c>
      <c r="AU299" s="23">
        <v>17.8216</v>
      </c>
      <c r="AW299" s="23">
        <v>25.3674</v>
      </c>
      <c r="AY299" s="23">
        <v>0.74809999999999999</v>
      </c>
      <c r="BA299" s="23">
        <v>13.791600000000001</v>
      </c>
      <c r="BC299" s="24">
        <v>17.578299999999999</v>
      </c>
      <c r="BE299" s="1" t="str">
        <f t="shared" si="4"/>
        <v>No</v>
      </c>
    </row>
    <row r="300" spans="1:57" ht="11.25" customHeight="1">
      <c r="A300" s="7" t="s">
        <v>271</v>
      </c>
      <c r="B300" s="7" t="s">
        <v>272</v>
      </c>
      <c r="C300" s="37" t="s">
        <v>58</v>
      </c>
      <c r="D300" s="296">
        <v>4051</v>
      </c>
      <c r="E300" s="297">
        <v>40051</v>
      </c>
      <c r="F300" s="27" t="s">
        <v>162</v>
      </c>
      <c r="G300" s="73" t="s">
        <v>158</v>
      </c>
      <c r="H300" s="35">
        <v>347602</v>
      </c>
      <c r="I300" s="35">
        <v>96</v>
      </c>
      <c r="J300" s="37" t="s">
        <v>7</v>
      </c>
      <c r="K300" s="37" t="s">
        <v>159</v>
      </c>
      <c r="L300" s="8">
        <v>81</v>
      </c>
      <c r="M300" s="8">
        <v>276121</v>
      </c>
      <c r="N300" s="9"/>
      <c r="O300" s="8">
        <v>49227</v>
      </c>
      <c r="P300" s="9"/>
      <c r="Q300" s="8">
        <v>3489</v>
      </c>
      <c r="R300" s="9"/>
      <c r="S300" s="8">
        <v>24122</v>
      </c>
      <c r="T300" s="9"/>
      <c r="U300" s="8">
        <v>0</v>
      </c>
      <c r="V300" s="9"/>
      <c r="W300" s="33">
        <v>352959</v>
      </c>
      <c r="X300" s="9"/>
      <c r="Y300" s="30">
        <v>132.80000000000001</v>
      </c>
      <c r="Z300" s="9"/>
      <c r="AA300" s="30">
        <v>24.36</v>
      </c>
      <c r="AB300" s="9"/>
      <c r="AC300" s="30">
        <v>1.75</v>
      </c>
      <c r="AD300" s="9"/>
      <c r="AE300" s="30">
        <v>11.5</v>
      </c>
      <c r="AF300" s="9"/>
      <c r="AG300" s="30">
        <v>0</v>
      </c>
      <c r="AH300" s="9"/>
      <c r="AI300" s="32">
        <v>170.41</v>
      </c>
      <c r="AJ300" s="12"/>
      <c r="AK300" s="22">
        <v>4383013</v>
      </c>
      <c r="AM300" s="22">
        <v>913440</v>
      </c>
      <c r="AO300" s="22">
        <v>80672</v>
      </c>
      <c r="AQ300" s="22">
        <v>531051</v>
      </c>
      <c r="AS300" s="26">
        <v>5908176</v>
      </c>
      <c r="AU300" s="23">
        <v>15.8735</v>
      </c>
      <c r="AW300" s="23">
        <v>18.555700000000002</v>
      </c>
      <c r="AY300" s="23">
        <v>0.29220000000000002</v>
      </c>
      <c r="BA300" s="23">
        <v>22.0152</v>
      </c>
      <c r="BC300" s="24">
        <v>16.739000000000001</v>
      </c>
      <c r="BE300" s="1" t="str">
        <f t="shared" si="4"/>
        <v>No</v>
      </c>
    </row>
    <row r="301" spans="1:57" ht="11.25" customHeight="1">
      <c r="A301" s="7" t="s">
        <v>560</v>
      </c>
      <c r="B301" s="7" t="s">
        <v>561</v>
      </c>
      <c r="C301" s="37" t="s">
        <v>77</v>
      </c>
      <c r="D301" s="296">
        <v>3018</v>
      </c>
      <c r="E301" s="297">
        <v>30018</v>
      </c>
      <c r="F301" s="27" t="s">
        <v>165</v>
      </c>
      <c r="G301" s="73" t="s">
        <v>158</v>
      </c>
      <c r="H301" s="35">
        <v>402004</v>
      </c>
      <c r="I301" s="35">
        <v>96</v>
      </c>
      <c r="J301" s="37" t="s">
        <v>7</v>
      </c>
      <c r="K301" s="37" t="s">
        <v>159</v>
      </c>
      <c r="L301" s="8">
        <v>34</v>
      </c>
      <c r="M301" s="8">
        <v>130508</v>
      </c>
      <c r="N301" s="9"/>
      <c r="O301" s="8">
        <v>20556</v>
      </c>
      <c r="P301" s="9"/>
      <c r="Q301" s="8">
        <v>4723</v>
      </c>
      <c r="R301" s="9"/>
      <c r="S301" s="8">
        <v>11850</v>
      </c>
      <c r="T301" s="9"/>
      <c r="U301" s="8">
        <v>500</v>
      </c>
      <c r="V301" s="9"/>
      <c r="W301" s="33">
        <v>168137</v>
      </c>
      <c r="X301" s="9"/>
      <c r="Y301" s="30">
        <v>78</v>
      </c>
      <c r="Z301" s="9"/>
      <c r="AA301" s="30">
        <v>13</v>
      </c>
      <c r="AB301" s="9"/>
      <c r="AC301" s="30">
        <v>3</v>
      </c>
      <c r="AD301" s="9"/>
      <c r="AE301" s="30">
        <v>7.7</v>
      </c>
      <c r="AF301" s="9"/>
      <c r="AG301" s="30">
        <v>0.3</v>
      </c>
      <c r="AH301" s="9"/>
      <c r="AI301" s="32">
        <v>102</v>
      </c>
      <c r="AJ301" s="12"/>
      <c r="AK301" s="22">
        <v>3195414</v>
      </c>
      <c r="AM301" s="22">
        <v>403434</v>
      </c>
      <c r="AO301" s="22">
        <v>131047</v>
      </c>
      <c r="AQ301" s="22">
        <v>435241</v>
      </c>
      <c r="AS301" s="26">
        <v>4165136</v>
      </c>
      <c r="AU301" s="23">
        <v>24.484400000000001</v>
      </c>
      <c r="AW301" s="23">
        <v>19.626100000000001</v>
      </c>
      <c r="AY301" s="23">
        <v>1.0041</v>
      </c>
      <c r="BA301" s="23">
        <v>36.729199999999999</v>
      </c>
      <c r="BC301" s="24">
        <v>24.772300000000001</v>
      </c>
      <c r="BE301" s="1" t="str">
        <f t="shared" si="4"/>
        <v>No</v>
      </c>
    </row>
    <row r="302" spans="1:57" ht="11.25" customHeight="1">
      <c r="A302" s="7" t="s">
        <v>271</v>
      </c>
      <c r="B302" s="7" t="s">
        <v>272</v>
      </c>
      <c r="C302" s="37" t="s">
        <v>58</v>
      </c>
      <c r="D302" s="296">
        <v>4051</v>
      </c>
      <c r="E302" s="297">
        <v>40051</v>
      </c>
      <c r="F302" s="27" t="s">
        <v>162</v>
      </c>
      <c r="G302" s="73" t="s">
        <v>158</v>
      </c>
      <c r="H302" s="35">
        <v>347602</v>
      </c>
      <c r="I302" s="35">
        <v>96</v>
      </c>
      <c r="J302" s="37" t="s">
        <v>10</v>
      </c>
      <c r="K302" s="37" t="s">
        <v>159</v>
      </c>
      <c r="L302" s="8">
        <v>15</v>
      </c>
      <c r="M302" s="8">
        <v>48578</v>
      </c>
      <c r="N302" s="9"/>
      <c r="O302" s="8">
        <v>9335</v>
      </c>
      <c r="P302" s="9"/>
      <c r="Q302" s="8">
        <v>495</v>
      </c>
      <c r="R302" s="9"/>
      <c r="S302" s="8">
        <v>4457</v>
      </c>
      <c r="T302" s="9"/>
      <c r="U302" s="8">
        <v>0</v>
      </c>
      <c r="V302" s="9"/>
      <c r="W302" s="33">
        <v>62865</v>
      </c>
      <c r="X302" s="9"/>
      <c r="Y302" s="30">
        <v>23.8</v>
      </c>
      <c r="Z302" s="9"/>
      <c r="AA302" s="30">
        <v>4.6399999999999997</v>
      </c>
      <c r="AB302" s="9"/>
      <c r="AC302" s="30">
        <v>0.28999999999999998</v>
      </c>
      <c r="AD302" s="9"/>
      <c r="AE302" s="30">
        <v>2.5</v>
      </c>
      <c r="AF302" s="9"/>
      <c r="AG302" s="30">
        <v>0</v>
      </c>
      <c r="AH302" s="9"/>
      <c r="AI302" s="32">
        <v>31.23</v>
      </c>
      <c r="AJ302" s="12"/>
      <c r="AK302" s="22">
        <v>792036</v>
      </c>
      <c r="AM302" s="22">
        <v>173988</v>
      </c>
      <c r="AO302" s="22">
        <v>15366</v>
      </c>
      <c r="AQ302" s="22">
        <v>101153</v>
      </c>
      <c r="AS302" s="26">
        <v>1082543</v>
      </c>
      <c r="AU302" s="23">
        <v>16.304400000000001</v>
      </c>
      <c r="AW302" s="23">
        <v>18.638200000000001</v>
      </c>
      <c r="AY302" s="23">
        <v>0.31630000000000003</v>
      </c>
      <c r="BA302" s="23">
        <v>22.6953</v>
      </c>
      <c r="BC302" s="24">
        <v>17.220099999999999</v>
      </c>
      <c r="BE302" s="1" t="str">
        <f t="shared" si="4"/>
        <v>No</v>
      </c>
    </row>
    <row r="303" spans="1:57" ht="11.25" customHeight="1">
      <c r="A303" s="7" t="s">
        <v>74</v>
      </c>
      <c r="B303" s="7" t="s">
        <v>439</v>
      </c>
      <c r="C303" s="37" t="s">
        <v>73</v>
      </c>
      <c r="D303" s="296">
        <v>5117</v>
      </c>
      <c r="E303" s="297">
        <v>50117</v>
      </c>
      <c r="F303" s="27" t="s">
        <v>165</v>
      </c>
      <c r="G303" s="73" t="s">
        <v>158</v>
      </c>
      <c r="H303" s="35">
        <v>1780673</v>
      </c>
      <c r="I303" s="35">
        <v>95</v>
      </c>
      <c r="J303" s="37" t="s">
        <v>10</v>
      </c>
      <c r="K303" s="37" t="s">
        <v>159</v>
      </c>
      <c r="L303" s="8">
        <v>72</v>
      </c>
      <c r="M303" s="8">
        <v>171010</v>
      </c>
      <c r="N303" s="9"/>
      <c r="O303" s="8">
        <v>13960</v>
      </c>
      <c r="P303" s="9"/>
      <c r="Q303" s="8">
        <v>3615</v>
      </c>
      <c r="R303" s="9"/>
      <c r="S303" s="8">
        <v>21055</v>
      </c>
      <c r="T303" s="9"/>
      <c r="U303" s="8">
        <v>0</v>
      </c>
      <c r="V303" s="9"/>
      <c r="W303" s="33">
        <v>209640</v>
      </c>
      <c r="X303" s="9"/>
      <c r="Y303" s="30">
        <v>119</v>
      </c>
      <c r="Z303" s="9"/>
      <c r="AA303" s="30">
        <v>7</v>
      </c>
      <c r="AB303" s="9"/>
      <c r="AC303" s="30">
        <v>2</v>
      </c>
      <c r="AD303" s="9"/>
      <c r="AE303" s="30">
        <v>12</v>
      </c>
      <c r="AF303" s="9"/>
      <c r="AG303" s="30">
        <v>0</v>
      </c>
      <c r="AH303" s="9"/>
      <c r="AI303" s="32">
        <v>140</v>
      </c>
      <c r="AJ303" s="12"/>
      <c r="AK303" s="22">
        <v>3094303</v>
      </c>
      <c r="AM303" s="22">
        <v>422511</v>
      </c>
      <c r="AO303" s="22">
        <v>43028</v>
      </c>
      <c r="AQ303" s="22">
        <v>413979</v>
      </c>
      <c r="AS303" s="26">
        <v>3973821</v>
      </c>
      <c r="AU303" s="23">
        <v>18.0943</v>
      </c>
      <c r="AW303" s="23">
        <v>30.265799999999999</v>
      </c>
      <c r="AY303" s="23">
        <v>0.25159999999999999</v>
      </c>
      <c r="BA303" s="23">
        <v>19.661799999999999</v>
      </c>
      <c r="BC303" s="24">
        <v>18.955500000000001</v>
      </c>
      <c r="BE303" s="1" t="str">
        <f t="shared" si="4"/>
        <v>No</v>
      </c>
    </row>
    <row r="304" spans="1:57" ht="11.25" customHeight="1">
      <c r="A304" s="7" t="s">
        <v>74</v>
      </c>
      <c r="B304" s="7" t="s">
        <v>439</v>
      </c>
      <c r="C304" s="37" t="s">
        <v>73</v>
      </c>
      <c r="D304" s="296">
        <v>5117</v>
      </c>
      <c r="E304" s="297">
        <v>50117</v>
      </c>
      <c r="F304" s="27" t="s">
        <v>165</v>
      </c>
      <c r="G304" s="73" t="s">
        <v>158</v>
      </c>
      <c r="H304" s="35">
        <v>1780673</v>
      </c>
      <c r="I304" s="35">
        <v>95</v>
      </c>
      <c r="J304" s="37" t="s">
        <v>18</v>
      </c>
      <c r="K304" s="37" t="s">
        <v>159</v>
      </c>
      <c r="L304" s="8">
        <v>13</v>
      </c>
      <c r="M304" s="8">
        <v>30064</v>
      </c>
      <c r="N304" s="9"/>
      <c r="O304" s="8">
        <v>4230</v>
      </c>
      <c r="P304" s="9"/>
      <c r="Q304" s="8">
        <v>750</v>
      </c>
      <c r="R304" s="9"/>
      <c r="S304" s="8">
        <v>4079</v>
      </c>
      <c r="T304" s="9"/>
      <c r="U304" s="8">
        <v>0</v>
      </c>
      <c r="V304" s="9"/>
      <c r="W304" s="33">
        <v>39123</v>
      </c>
      <c r="X304" s="9"/>
      <c r="Y304" s="30">
        <v>17</v>
      </c>
      <c r="Z304" s="9"/>
      <c r="AA304" s="30">
        <v>2.5</v>
      </c>
      <c r="AB304" s="9"/>
      <c r="AC304" s="30">
        <v>0.5</v>
      </c>
      <c r="AD304" s="9"/>
      <c r="AE304" s="30">
        <v>2</v>
      </c>
      <c r="AF304" s="9"/>
      <c r="AG304" s="30">
        <v>0</v>
      </c>
      <c r="AH304" s="9"/>
      <c r="AI304" s="32">
        <v>22</v>
      </c>
      <c r="AJ304" s="12"/>
      <c r="AK304" s="22">
        <v>558963</v>
      </c>
      <c r="AM304" s="22">
        <v>39602</v>
      </c>
      <c r="AO304" s="22">
        <v>5622</v>
      </c>
      <c r="AQ304" s="22">
        <v>37667</v>
      </c>
      <c r="AS304" s="26">
        <v>641854</v>
      </c>
      <c r="AU304" s="23">
        <v>18.592400000000001</v>
      </c>
      <c r="AW304" s="23">
        <v>9.3621999999999996</v>
      </c>
      <c r="AY304" s="23">
        <v>0.187</v>
      </c>
      <c r="BA304" s="23">
        <v>9.2344000000000008</v>
      </c>
      <c r="BC304" s="24">
        <v>16.406099999999999</v>
      </c>
      <c r="BE304" s="1" t="str">
        <f t="shared" si="4"/>
        <v>No</v>
      </c>
    </row>
    <row r="305" spans="1:57" ht="11.25" customHeight="1">
      <c r="A305" s="7" t="s">
        <v>74</v>
      </c>
      <c r="B305" s="7" t="s">
        <v>439</v>
      </c>
      <c r="C305" s="37" t="s">
        <v>73</v>
      </c>
      <c r="D305" s="296">
        <v>5117</v>
      </c>
      <c r="E305" s="297">
        <v>50117</v>
      </c>
      <c r="F305" s="27" t="s">
        <v>165</v>
      </c>
      <c r="G305" s="73" t="s">
        <v>158</v>
      </c>
      <c r="H305" s="35">
        <v>1780673</v>
      </c>
      <c r="I305" s="35">
        <v>95</v>
      </c>
      <c r="J305" s="37" t="s">
        <v>7</v>
      </c>
      <c r="K305" s="37" t="s">
        <v>159</v>
      </c>
      <c r="L305" s="8">
        <v>10</v>
      </c>
      <c r="M305" s="8">
        <v>46302</v>
      </c>
      <c r="N305" s="9"/>
      <c r="O305" s="8">
        <v>3807</v>
      </c>
      <c r="P305" s="9"/>
      <c r="Q305" s="8">
        <v>750</v>
      </c>
      <c r="R305" s="9"/>
      <c r="S305" s="8">
        <v>5975</v>
      </c>
      <c r="T305" s="9"/>
      <c r="U305" s="8">
        <v>0</v>
      </c>
      <c r="V305" s="9"/>
      <c r="W305" s="33">
        <v>56834</v>
      </c>
      <c r="X305" s="9"/>
      <c r="Y305" s="30">
        <v>26</v>
      </c>
      <c r="Z305" s="9"/>
      <c r="AA305" s="30">
        <v>2.5</v>
      </c>
      <c r="AB305" s="9"/>
      <c r="AC305" s="30">
        <v>0.5</v>
      </c>
      <c r="AD305" s="9"/>
      <c r="AE305" s="30">
        <v>8</v>
      </c>
      <c r="AF305" s="9"/>
      <c r="AG305" s="30">
        <v>0</v>
      </c>
      <c r="AH305" s="9"/>
      <c r="AI305" s="32">
        <v>37</v>
      </c>
      <c r="AJ305" s="12"/>
      <c r="AK305" s="22">
        <v>1386805</v>
      </c>
      <c r="AM305" s="22">
        <v>119783</v>
      </c>
      <c r="AO305" s="22">
        <v>13998</v>
      </c>
      <c r="AQ305" s="22">
        <v>88472</v>
      </c>
      <c r="AS305" s="26">
        <v>1609058</v>
      </c>
      <c r="AU305" s="23">
        <v>29.9513</v>
      </c>
      <c r="AW305" s="23">
        <v>31.463899999999999</v>
      </c>
      <c r="AY305" s="23">
        <v>0.30230000000000001</v>
      </c>
      <c r="BA305" s="23">
        <v>14.807</v>
      </c>
      <c r="BC305" s="24">
        <v>28.311499999999999</v>
      </c>
      <c r="BE305" s="1" t="str">
        <f t="shared" si="4"/>
        <v>No</v>
      </c>
    </row>
    <row r="306" spans="1:57" ht="11.25" customHeight="1">
      <c r="A306" s="7" t="s">
        <v>489</v>
      </c>
      <c r="B306" s="7" t="s">
        <v>490</v>
      </c>
      <c r="C306" s="37" t="s">
        <v>75</v>
      </c>
      <c r="D306" s="296">
        <v>6018</v>
      </c>
      <c r="E306" s="297">
        <v>60018</v>
      </c>
      <c r="F306" s="27" t="s">
        <v>162</v>
      </c>
      <c r="G306" s="73" t="s">
        <v>158</v>
      </c>
      <c r="H306" s="35">
        <v>655479</v>
      </c>
      <c r="I306" s="35">
        <v>93</v>
      </c>
      <c r="J306" s="37" t="s">
        <v>7</v>
      </c>
      <c r="K306" s="37" t="s">
        <v>159</v>
      </c>
      <c r="L306" s="8">
        <v>53</v>
      </c>
      <c r="M306" s="8">
        <v>261451</v>
      </c>
      <c r="N306" s="9"/>
      <c r="O306" s="8">
        <v>59533</v>
      </c>
      <c r="P306" s="9"/>
      <c r="Q306" s="8">
        <v>0</v>
      </c>
      <c r="R306" s="9"/>
      <c r="S306" s="8">
        <v>63134</v>
      </c>
      <c r="T306" s="9"/>
      <c r="U306" s="8">
        <v>0</v>
      </c>
      <c r="V306" s="9"/>
      <c r="W306" s="33">
        <v>384118</v>
      </c>
      <c r="X306" s="9"/>
      <c r="Y306" s="30">
        <v>115</v>
      </c>
      <c r="Z306" s="9"/>
      <c r="AA306" s="30">
        <v>28</v>
      </c>
      <c r="AB306" s="9"/>
      <c r="AC306" s="30">
        <v>0</v>
      </c>
      <c r="AD306" s="9"/>
      <c r="AE306" s="30">
        <v>37</v>
      </c>
      <c r="AF306" s="9"/>
      <c r="AG306" s="30">
        <v>0</v>
      </c>
      <c r="AH306" s="9"/>
      <c r="AI306" s="32">
        <v>180</v>
      </c>
      <c r="AJ306" s="12"/>
      <c r="AK306" s="22">
        <v>4266173</v>
      </c>
      <c r="AM306" s="22">
        <v>1127522</v>
      </c>
      <c r="AO306" s="22">
        <v>0</v>
      </c>
      <c r="AQ306" s="22">
        <v>735331</v>
      </c>
      <c r="AS306" s="26">
        <v>6129026</v>
      </c>
      <c r="AU306" s="23">
        <v>16.317299999999999</v>
      </c>
      <c r="AW306" s="23">
        <v>18.939399999999999</v>
      </c>
      <c r="AY306" s="23">
        <v>0</v>
      </c>
      <c r="BA306" s="23">
        <v>11.6471</v>
      </c>
      <c r="BC306" s="24">
        <v>15.956099999999999</v>
      </c>
      <c r="BE306" s="1" t="str">
        <f t="shared" si="4"/>
        <v>No</v>
      </c>
    </row>
    <row r="307" spans="1:57" ht="11.25" customHeight="1">
      <c r="A307" s="7" t="s">
        <v>29</v>
      </c>
      <c r="B307" s="7" t="s">
        <v>527</v>
      </c>
      <c r="C307" s="37" t="s">
        <v>28</v>
      </c>
      <c r="D307" s="296">
        <v>1057</v>
      </c>
      <c r="E307" s="297">
        <v>10057</v>
      </c>
      <c r="F307" s="27" t="s">
        <v>165</v>
      </c>
      <c r="G307" s="73" t="s">
        <v>158</v>
      </c>
      <c r="H307" s="35">
        <v>923311</v>
      </c>
      <c r="I307" s="35">
        <v>92</v>
      </c>
      <c r="J307" s="37" t="s">
        <v>7</v>
      </c>
      <c r="K307" s="37" t="s">
        <v>159</v>
      </c>
      <c r="L307" s="8">
        <v>44</v>
      </c>
      <c r="M307" s="8">
        <v>132459</v>
      </c>
      <c r="N307" s="9"/>
      <c r="O307" s="8">
        <v>22235</v>
      </c>
      <c r="P307" s="9"/>
      <c r="Q307" s="8">
        <v>2153</v>
      </c>
      <c r="R307" s="9"/>
      <c r="S307" s="8">
        <v>9290</v>
      </c>
      <c r="T307" s="9"/>
      <c r="U307" s="8">
        <v>0</v>
      </c>
      <c r="V307" s="9"/>
      <c r="W307" s="33">
        <v>166137</v>
      </c>
      <c r="X307" s="9"/>
      <c r="Y307" s="30">
        <v>87.9</v>
      </c>
      <c r="Z307" s="9"/>
      <c r="AA307" s="30">
        <v>13.2</v>
      </c>
      <c r="AB307" s="9"/>
      <c r="AC307" s="30">
        <v>1.1000000000000001</v>
      </c>
      <c r="AD307" s="9"/>
      <c r="AE307" s="30">
        <v>5.3</v>
      </c>
      <c r="AF307" s="9"/>
      <c r="AG307" s="30">
        <v>0</v>
      </c>
      <c r="AH307" s="9"/>
      <c r="AI307" s="32">
        <v>107.5</v>
      </c>
      <c r="AJ307" s="12"/>
      <c r="AK307" s="22">
        <v>3872532</v>
      </c>
      <c r="AM307" s="22">
        <v>698195</v>
      </c>
      <c r="AO307" s="22">
        <v>65462</v>
      </c>
      <c r="AQ307" s="22">
        <v>376234</v>
      </c>
      <c r="AS307" s="26">
        <v>5012423</v>
      </c>
      <c r="AU307" s="23">
        <v>29.235700000000001</v>
      </c>
      <c r="AW307" s="23">
        <v>31.400700000000001</v>
      </c>
      <c r="AY307" s="23">
        <v>0.49419999999999997</v>
      </c>
      <c r="BA307" s="23">
        <v>40.498800000000003</v>
      </c>
      <c r="BC307" s="24">
        <v>30.170400000000001</v>
      </c>
      <c r="BE307" s="1" t="str">
        <f t="shared" si="4"/>
        <v>No</v>
      </c>
    </row>
    <row r="308" spans="1:57" ht="11.25" customHeight="1">
      <c r="A308" s="7" t="s">
        <v>29</v>
      </c>
      <c r="B308" s="7" t="s">
        <v>527</v>
      </c>
      <c r="C308" s="37" t="s">
        <v>28</v>
      </c>
      <c r="D308" s="296">
        <v>1057</v>
      </c>
      <c r="E308" s="297">
        <v>10057</v>
      </c>
      <c r="F308" s="27" t="s">
        <v>165</v>
      </c>
      <c r="G308" s="73" t="s">
        <v>158</v>
      </c>
      <c r="H308" s="35">
        <v>923311</v>
      </c>
      <c r="I308" s="35">
        <v>92</v>
      </c>
      <c r="J308" s="37" t="s">
        <v>10</v>
      </c>
      <c r="K308" s="37" t="s">
        <v>159</v>
      </c>
      <c r="L308" s="8">
        <v>20</v>
      </c>
      <c r="M308" s="8">
        <v>40569</v>
      </c>
      <c r="N308" s="9"/>
      <c r="O308" s="8">
        <v>6117</v>
      </c>
      <c r="P308" s="9"/>
      <c r="Q308" s="8">
        <v>676</v>
      </c>
      <c r="R308" s="9"/>
      <c r="S308" s="8">
        <v>2920</v>
      </c>
      <c r="T308" s="9"/>
      <c r="U308" s="8">
        <v>0</v>
      </c>
      <c r="V308" s="9"/>
      <c r="W308" s="33">
        <v>50282</v>
      </c>
      <c r="X308" s="9"/>
      <c r="Y308" s="30">
        <v>23.9</v>
      </c>
      <c r="Z308" s="9"/>
      <c r="AA308" s="30">
        <v>3.8</v>
      </c>
      <c r="AB308" s="9"/>
      <c r="AC308" s="30">
        <v>0.4</v>
      </c>
      <c r="AD308" s="9"/>
      <c r="AE308" s="30">
        <v>1.7</v>
      </c>
      <c r="AF308" s="9"/>
      <c r="AG308" s="30">
        <v>0</v>
      </c>
      <c r="AH308" s="9"/>
      <c r="AI308" s="32">
        <v>29.8</v>
      </c>
      <c r="AJ308" s="12"/>
      <c r="AK308" s="22">
        <v>1084642</v>
      </c>
      <c r="AM308" s="22">
        <v>229107</v>
      </c>
      <c r="AO308" s="22">
        <v>22076</v>
      </c>
      <c r="AQ308" s="22">
        <v>139426</v>
      </c>
      <c r="AS308" s="26">
        <v>1475251</v>
      </c>
      <c r="AU308" s="23">
        <v>26.735700000000001</v>
      </c>
      <c r="AW308" s="23">
        <v>37.454099999999997</v>
      </c>
      <c r="AY308" s="23">
        <v>0.54420000000000002</v>
      </c>
      <c r="BA308" s="23">
        <v>47.748600000000003</v>
      </c>
      <c r="BC308" s="24">
        <v>29.339500000000001</v>
      </c>
      <c r="BE308" s="1" t="str">
        <f t="shared" si="4"/>
        <v>No</v>
      </c>
    </row>
    <row r="309" spans="1:57" ht="11.25" customHeight="1">
      <c r="A309" s="7" t="s">
        <v>92</v>
      </c>
      <c r="B309" s="7" t="s">
        <v>180</v>
      </c>
      <c r="C309" s="37" t="s">
        <v>89</v>
      </c>
      <c r="D309" s="296">
        <v>44</v>
      </c>
      <c r="E309" s="297">
        <v>44</v>
      </c>
      <c r="F309" s="27" t="s">
        <v>165</v>
      </c>
      <c r="G309" s="73" t="s">
        <v>158</v>
      </c>
      <c r="H309" s="35">
        <v>62966</v>
      </c>
      <c r="I309" s="35">
        <v>90</v>
      </c>
      <c r="J309" s="37" t="s">
        <v>8</v>
      </c>
      <c r="K309" s="37" t="s">
        <v>159</v>
      </c>
      <c r="L309" s="8">
        <v>50</v>
      </c>
      <c r="M309" s="8">
        <v>0</v>
      </c>
      <c r="N309" s="9"/>
      <c r="O309" s="8">
        <v>2080</v>
      </c>
      <c r="P309" s="9"/>
      <c r="Q309" s="8">
        <v>823</v>
      </c>
      <c r="R309" s="9"/>
      <c r="S309" s="8">
        <v>2067</v>
      </c>
      <c r="T309" s="9"/>
      <c r="U309" s="8">
        <v>0</v>
      </c>
      <c r="V309" s="9"/>
      <c r="W309" s="33">
        <v>4970</v>
      </c>
      <c r="X309" s="9"/>
      <c r="Y309" s="30">
        <v>0</v>
      </c>
      <c r="Z309" s="9"/>
      <c r="AA309" s="30">
        <v>1.1499999999999999</v>
      </c>
      <c r="AB309" s="9"/>
      <c r="AC309" s="30">
        <v>0.52</v>
      </c>
      <c r="AD309" s="9"/>
      <c r="AE309" s="30">
        <v>1.1499999999999999</v>
      </c>
      <c r="AF309" s="9"/>
      <c r="AG309" s="30">
        <v>0</v>
      </c>
      <c r="AH309" s="9"/>
      <c r="AI309" s="32">
        <v>2.82</v>
      </c>
      <c r="AJ309" s="12"/>
      <c r="AK309" s="22">
        <v>0</v>
      </c>
      <c r="AM309" s="22">
        <v>56278</v>
      </c>
      <c r="AO309" s="22">
        <v>20974</v>
      </c>
      <c r="AQ309" s="22">
        <v>54511</v>
      </c>
      <c r="AS309" s="26">
        <v>131763</v>
      </c>
      <c r="AW309" s="23">
        <v>27.056699999999999</v>
      </c>
      <c r="BA309" s="23">
        <v>26.372</v>
      </c>
      <c r="BC309" s="24">
        <v>26.511700000000001</v>
      </c>
      <c r="BE309" s="1" t="str">
        <f t="shared" si="4"/>
        <v>No</v>
      </c>
    </row>
    <row r="310" spans="1:57" ht="11.25" customHeight="1">
      <c r="A310" s="7" t="s">
        <v>92</v>
      </c>
      <c r="B310" s="7" t="s">
        <v>180</v>
      </c>
      <c r="C310" s="37" t="s">
        <v>89</v>
      </c>
      <c r="D310" s="296">
        <v>44</v>
      </c>
      <c r="E310" s="297">
        <v>44</v>
      </c>
      <c r="F310" s="27" t="s">
        <v>165</v>
      </c>
      <c r="G310" s="73" t="s">
        <v>158</v>
      </c>
      <c r="H310" s="35">
        <v>62966</v>
      </c>
      <c r="I310" s="35">
        <v>90</v>
      </c>
      <c r="J310" s="37" t="s">
        <v>10</v>
      </c>
      <c r="K310" s="37" t="s">
        <v>159</v>
      </c>
      <c r="L310" s="8">
        <v>20</v>
      </c>
      <c r="M310" s="8">
        <v>58479</v>
      </c>
      <c r="N310" s="9"/>
      <c r="O310" s="8">
        <v>7275</v>
      </c>
      <c r="P310" s="9"/>
      <c r="Q310" s="8">
        <v>3674</v>
      </c>
      <c r="R310" s="9"/>
      <c r="S310" s="8">
        <v>13122</v>
      </c>
      <c r="T310" s="9"/>
      <c r="U310" s="8">
        <v>0</v>
      </c>
      <c r="V310" s="9"/>
      <c r="W310" s="33">
        <v>82550</v>
      </c>
      <c r="X310" s="9"/>
      <c r="Y310" s="30">
        <v>36.35</v>
      </c>
      <c r="Z310" s="9"/>
      <c r="AA310" s="30">
        <v>3.79</v>
      </c>
      <c r="AB310" s="9"/>
      <c r="AC310" s="30">
        <v>2.29</v>
      </c>
      <c r="AD310" s="9"/>
      <c r="AE310" s="30">
        <v>7.33</v>
      </c>
      <c r="AF310" s="9"/>
      <c r="AG310" s="30">
        <v>0</v>
      </c>
      <c r="AH310" s="9"/>
      <c r="AI310" s="32">
        <v>49.76</v>
      </c>
      <c r="AJ310" s="12"/>
      <c r="AK310" s="22">
        <v>1280472</v>
      </c>
      <c r="AM310" s="22">
        <v>186917</v>
      </c>
      <c r="AO310" s="22">
        <v>91315</v>
      </c>
      <c r="AQ310" s="22">
        <v>412167</v>
      </c>
      <c r="AS310" s="26">
        <v>1970871</v>
      </c>
      <c r="AU310" s="23">
        <v>21.8963</v>
      </c>
      <c r="AW310" s="23">
        <v>25.693100000000001</v>
      </c>
      <c r="AY310" s="23">
        <v>1.5615000000000001</v>
      </c>
      <c r="BA310" s="23">
        <v>31.410399999999999</v>
      </c>
      <c r="BC310" s="24">
        <v>23.8749</v>
      </c>
      <c r="BE310" s="1" t="str">
        <f t="shared" si="4"/>
        <v>No</v>
      </c>
    </row>
    <row r="311" spans="1:57" ht="11.25" customHeight="1">
      <c r="A311" s="7" t="s">
        <v>92</v>
      </c>
      <c r="B311" s="7" t="s">
        <v>180</v>
      </c>
      <c r="C311" s="37" t="s">
        <v>89</v>
      </c>
      <c r="D311" s="296">
        <v>44</v>
      </c>
      <c r="E311" s="297">
        <v>44</v>
      </c>
      <c r="F311" s="27" t="s">
        <v>165</v>
      </c>
      <c r="G311" s="73" t="s">
        <v>158</v>
      </c>
      <c r="H311" s="35">
        <v>62966</v>
      </c>
      <c r="I311" s="35">
        <v>90</v>
      </c>
      <c r="J311" s="37" t="s">
        <v>7</v>
      </c>
      <c r="K311" s="37" t="s">
        <v>159</v>
      </c>
      <c r="L311" s="8">
        <v>15</v>
      </c>
      <c r="M311" s="8">
        <v>73348</v>
      </c>
      <c r="N311" s="9"/>
      <c r="O311" s="8">
        <v>13344</v>
      </c>
      <c r="P311" s="9"/>
      <c r="Q311" s="8">
        <v>4155</v>
      </c>
      <c r="R311" s="9"/>
      <c r="S311" s="8">
        <v>13312</v>
      </c>
      <c r="T311" s="9"/>
      <c r="U311" s="8">
        <v>0</v>
      </c>
      <c r="V311" s="9"/>
      <c r="W311" s="33">
        <v>104159</v>
      </c>
      <c r="X311" s="9"/>
      <c r="Y311" s="30">
        <v>45.04</v>
      </c>
      <c r="Z311" s="9"/>
      <c r="AA311" s="30">
        <v>7.11</v>
      </c>
      <c r="AB311" s="9"/>
      <c r="AC311" s="30">
        <v>2.59</v>
      </c>
      <c r="AD311" s="9"/>
      <c r="AE311" s="30">
        <v>7.92</v>
      </c>
      <c r="AF311" s="9"/>
      <c r="AG311" s="30">
        <v>0</v>
      </c>
      <c r="AH311" s="9"/>
      <c r="AI311" s="32">
        <v>62.66</v>
      </c>
      <c r="AJ311" s="12"/>
      <c r="AK311" s="22">
        <v>1696135</v>
      </c>
      <c r="AM311" s="22">
        <v>347015</v>
      </c>
      <c r="AO311" s="22">
        <v>112452</v>
      </c>
      <c r="AQ311" s="22">
        <v>415171</v>
      </c>
      <c r="AS311" s="26">
        <v>2570773</v>
      </c>
      <c r="AU311" s="23">
        <v>23.124500000000001</v>
      </c>
      <c r="AW311" s="23">
        <v>26.005299999999998</v>
      </c>
      <c r="AY311" s="23">
        <v>1.5330999999999999</v>
      </c>
      <c r="BA311" s="23">
        <v>31.1877</v>
      </c>
      <c r="BC311" s="24">
        <v>24.6812</v>
      </c>
      <c r="BE311" s="1" t="str">
        <f t="shared" si="4"/>
        <v>No</v>
      </c>
    </row>
    <row r="312" spans="1:57" ht="11.25" customHeight="1">
      <c r="A312" s="7" t="s">
        <v>92</v>
      </c>
      <c r="B312" s="7" t="s">
        <v>180</v>
      </c>
      <c r="C312" s="37" t="s">
        <v>89</v>
      </c>
      <c r="D312" s="296">
        <v>44</v>
      </c>
      <c r="E312" s="297">
        <v>44</v>
      </c>
      <c r="F312" s="27" t="s">
        <v>165</v>
      </c>
      <c r="G312" s="73" t="s">
        <v>158</v>
      </c>
      <c r="H312" s="35">
        <v>62966</v>
      </c>
      <c r="I312" s="35">
        <v>90</v>
      </c>
      <c r="J312" s="37" t="s">
        <v>18</v>
      </c>
      <c r="K312" s="37" t="s">
        <v>159</v>
      </c>
      <c r="L312" s="8">
        <v>5</v>
      </c>
      <c r="M312" s="8">
        <v>13971</v>
      </c>
      <c r="N312" s="9"/>
      <c r="O312" s="8">
        <v>2542</v>
      </c>
      <c r="P312" s="9"/>
      <c r="Q312" s="8">
        <v>791</v>
      </c>
      <c r="R312" s="9"/>
      <c r="S312" s="8">
        <v>2536</v>
      </c>
      <c r="T312" s="9"/>
      <c r="U312" s="8">
        <v>0</v>
      </c>
      <c r="V312" s="9"/>
      <c r="W312" s="33">
        <v>19840</v>
      </c>
      <c r="X312" s="9"/>
      <c r="Y312" s="30">
        <v>8.5399999999999991</v>
      </c>
      <c r="Z312" s="9"/>
      <c r="AA312" s="30">
        <v>1.35</v>
      </c>
      <c r="AB312" s="9"/>
      <c r="AC312" s="30">
        <v>0.49</v>
      </c>
      <c r="AD312" s="9"/>
      <c r="AE312" s="30">
        <v>1.51</v>
      </c>
      <c r="AF312" s="9"/>
      <c r="AG312" s="30">
        <v>0</v>
      </c>
      <c r="AH312" s="9"/>
      <c r="AI312" s="32">
        <v>11.89</v>
      </c>
      <c r="AJ312" s="12"/>
      <c r="AK312" s="22">
        <v>328022</v>
      </c>
      <c r="AM312" s="22">
        <v>67579</v>
      </c>
      <c r="AO312" s="22">
        <v>21899</v>
      </c>
      <c r="AQ312" s="22">
        <v>80852</v>
      </c>
      <c r="AS312" s="26">
        <v>498352</v>
      </c>
      <c r="AU312" s="23">
        <v>23.4788</v>
      </c>
      <c r="AW312" s="23">
        <v>26.585000000000001</v>
      </c>
      <c r="AY312" s="23">
        <v>1.5674999999999999</v>
      </c>
      <c r="BA312" s="23">
        <v>31.881699999999999</v>
      </c>
      <c r="BC312" s="24">
        <v>25.118500000000001</v>
      </c>
      <c r="BE312" s="1" t="str">
        <f t="shared" si="4"/>
        <v>No</v>
      </c>
    </row>
    <row r="313" spans="1:57" ht="11.25" customHeight="1">
      <c r="A313" s="7" t="s">
        <v>282</v>
      </c>
      <c r="B313" s="7" t="s">
        <v>283</v>
      </c>
      <c r="C313" s="37" t="s">
        <v>84</v>
      </c>
      <c r="D313" s="296">
        <v>6010</v>
      </c>
      <c r="E313" s="297">
        <v>60010</v>
      </c>
      <c r="F313" s="27" t="s">
        <v>162</v>
      </c>
      <c r="G313" s="73" t="s">
        <v>158</v>
      </c>
      <c r="H313" s="35">
        <v>237356</v>
      </c>
      <c r="I313" s="35">
        <v>89</v>
      </c>
      <c r="J313" s="37" t="s">
        <v>7</v>
      </c>
      <c r="K313" s="37" t="s">
        <v>159</v>
      </c>
      <c r="L313" s="8">
        <v>60</v>
      </c>
      <c r="M313" s="8">
        <v>175533</v>
      </c>
      <c r="N313" s="9"/>
      <c r="O313" s="8">
        <v>56481</v>
      </c>
      <c r="P313" s="9"/>
      <c r="Q313" s="8">
        <v>4169</v>
      </c>
      <c r="R313" s="9"/>
      <c r="S313" s="8">
        <v>14778</v>
      </c>
      <c r="T313" s="9"/>
      <c r="U313" s="8">
        <v>0</v>
      </c>
      <c r="V313" s="9"/>
      <c r="W313" s="33">
        <v>250961</v>
      </c>
      <c r="X313" s="9"/>
      <c r="Y313" s="30">
        <v>115</v>
      </c>
      <c r="Z313" s="9"/>
      <c r="AA313" s="30">
        <v>28</v>
      </c>
      <c r="AB313" s="9"/>
      <c r="AC313" s="30">
        <v>2.1</v>
      </c>
      <c r="AD313" s="9"/>
      <c r="AE313" s="30">
        <v>7.2</v>
      </c>
      <c r="AF313" s="9"/>
      <c r="AG313" s="30">
        <v>0</v>
      </c>
      <c r="AH313" s="9"/>
      <c r="AI313" s="32">
        <v>152.30000000000001</v>
      </c>
      <c r="AJ313" s="12"/>
      <c r="AK313" s="22">
        <v>2534892</v>
      </c>
      <c r="AM313" s="22">
        <v>859173</v>
      </c>
      <c r="AO313" s="22">
        <v>70695</v>
      </c>
      <c r="AQ313" s="22">
        <v>349437</v>
      </c>
      <c r="AS313" s="26">
        <v>3814197</v>
      </c>
      <c r="AU313" s="23">
        <v>14.4411</v>
      </c>
      <c r="AW313" s="23">
        <v>15.2117</v>
      </c>
      <c r="AY313" s="23">
        <v>0.4027</v>
      </c>
      <c r="BA313" s="23">
        <v>23.645800000000001</v>
      </c>
      <c r="BC313" s="24">
        <v>15.198399999999999</v>
      </c>
      <c r="BE313" s="1" t="str">
        <f t="shared" si="4"/>
        <v>No</v>
      </c>
    </row>
    <row r="314" spans="1:57" ht="11.25" customHeight="1">
      <c r="A314" s="7" t="s">
        <v>282</v>
      </c>
      <c r="B314" s="7" t="s">
        <v>283</v>
      </c>
      <c r="C314" s="37" t="s">
        <v>84</v>
      </c>
      <c r="D314" s="296">
        <v>6010</v>
      </c>
      <c r="E314" s="297">
        <v>60010</v>
      </c>
      <c r="F314" s="27" t="s">
        <v>162</v>
      </c>
      <c r="G314" s="73" t="s">
        <v>158</v>
      </c>
      <c r="H314" s="35">
        <v>237356</v>
      </c>
      <c r="I314" s="35">
        <v>89</v>
      </c>
      <c r="J314" s="37" t="s">
        <v>10</v>
      </c>
      <c r="K314" s="37" t="s">
        <v>159</v>
      </c>
      <c r="L314" s="8">
        <v>29</v>
      </c>
      <c r="M314" s="8">
        <v>65226</v>
      </c>
      <c r="N314" s="9"/>
      <c r="O314" s="8">
        <v>17907</v>
      </c>
      <c r="P314" s="9"/>
      <c r="Q314" s="8">
        <v>2575</v>
      </c>
      <c r="R314" s="9"/>
      <c r="S314" s="8">
        <v>4551</v>
      </c>
      <c r="T314" s="9"/>
      <c r="U314" s="8">
        <v>0</v>
      </c>
      <c r="V314" s="9"/>
      <c r="W314" s="33">
        <v>90259</v>
      </c>
      <c r="X314" s="9"/>
      <c r="Y314" s="30">
        <v>32</v>
      </c>
      <c r="Z314" s="9"/>
      <c r="AA314" s="30">
        <v>9</v>
      </c>
      <c r="AB314" s="9"/>
      <c r="AC314" s="30">
        <v>1.4</v>
      </c>
      <c r="AD314" s="9"/>
      <c r="AE314" s="30">
        <v>2.2999999999999998</v>
      </c>
      <c r="AF314" s="9"/>
      <c r="AG314" s="30">
        <v>0</v>
      </c>
      <c r="AH314" s="9"/>
      <c r="AI314" s="32">
        <v>44.7</v>
      </c>
      <c r="AJ314" s="12"/>
      <c r="AK314" s="22">
        <v>1020934</v>
      </c>
      <c r="AM314" s="22">
        <v>273075</v>
      </c>
      <c r="AO314" s="22">
        <v>43664</v>
      </c>
      <c r="AQ314" s="22">
        <v>107594</v>
      </c>
      <c r="AS314" s="26">
        <v>1445267</v>
      </c>
      <c r="AU314" s="23">
        <v>15.6523</v>
      </c>
      <c r="AW314" s="23">
        <v>15.249599999999999</v>
      </c>
      <c r="AY314" s="23">
        <v>0.6694</v>
      </c>
      <c r="BA314" s="23">
        <v>23.6418</v>
      </c>
      <c r="BC314" s="24">
        <v>16.0124</v>
      </c>
      <c r="BE314" s="1" t="str">
        <f t="shared" si="4"/>
        <v>No</v>
      </c>
    </row>
    <row r="315" spans="1:57" ht="11.25" customHeight="1">
      <c r="A315" s="7" t="s">
        <v>544</v>
      </c>
      <c r="B315" s="7" t="s">
        <v>545</v>
      </c>
      <c r="C315" s="37" t="s">
        <v>32</v>
      </c>
      <c r="D315" s="296">
        <v>4074</v>
      </c>
      <c r="E315" s="297">
        <v>40074</v>
      </c>
      <c r="F315" s="27" t="s">
        <v>162</v>
      </c>
      <c r="G315" s="73" t="s">
        <v>158</v>
      </c>
      <c r="H315" s="35">
        <v>2441770</v>
      </c>
      <c r="I315" s="35">
        <v>89</v>
      </c>
      <c r="J315" s="37" t="s">
        <v>7</v>
      </c>
      <c r="K315" s="37" t="s">
        <v>159</v>
      </c>
      <c r="L315" s="8">
        <v>21</v>
      </c>
      <c r="M315" s="8">
        <v>104391</v>
      </c>
      <c r="N315" s="9"/>
      <c r="O315" s="8">
        <v>5695</v>
      </c>
      <c r="P315" s="9"/>
      <c r="Q315" s="8">
        <v>1174</v>
      </c>
      <c r="R315" s="9"/>
      <c r="S315" s="8">
        <v>7426</v>
      </c>
      <c r="T315" s="9"/>
      <c r="U315" s="8">
        <v>0</v>
      </c>
      <c r="V315" s="9"/>
      <c r="W315" s="33">
        <v>118686</v>
      </c>
      <c r="X315" s="9"/>
      <c r="Y315" s="30">
        <v>57.23</v>
      </c>
      <c r="Z315" s="9"/>
      <c r="AA315" s="30">
        <v>3.79</v>
      </c>
      <c r="AB315" s="9"/>
      <c r="AC315" s="30">
        <v>0.78</v>
      </c>
      <c r="AD315" s="9"/>
      <c r="AE315" s="30">
        <v>4.95</v>
      </c>
      <c r="AF315" s="9"/>
      <c r="AG315" s="30">
        <v>0</v>
      </c>
      <c r="AH315" s="9"/>
      <c r="AI315" s="32">
        <v>66.75</v>
      </c>
      <c r="AJ315" s="12"/>
      <c r="AK315" s="22">
        <v>1356536</v>
      </c>
      <c r="AM315" s="22">
        <v>268757</v>
      </c>
      <c r="AO315" s="22">
        <v>12706</v>
      </c>
      <c r="AQ315" s="22">
        <v>156337</v>
      </c>
      <c r="AS315" s="26">
        <v>1794336</v>
      </c>
      <c r="AU315" s="23">
        <v>12.9948</v>
      </c>
      <c r="AW315" s="23">
        <v>47.191699999999997</v>
      </c>
      <c r="AY315" s="23">
        <v>0.1217</v>
      </c>
      <c r="BA315" s="23">
        <v>21.052700000000002</v>
      </c>
      <c r="BC315" s="24">
        <v>15.1183</v>
      </c>
      <c r="BE315" s="1" t="str">
        <f t="shared" si="4"/>
        <v>No</v>
      </c>
    </row>
    <row r="316" spans="1:57" ht="11.25" customHeight="1">
      <c r="A316" s="7" t="s">
        <v>544</v>
      </c>
      <c r="B316" s="7" t="s">
        <v>545</v>
      </c>
      <c r="C316" s="37" t="s">
        <v>32</v>
      </c>
      <c r="D316" s="296">
        <v>4074</v>
      </c>
      <c r="E316" s="297">
        <v>40074</v>
      </c>
      <c r="F316" s="27" t="s">
        <v>162</v>
      </c>
      <c r="G316" s="73" t="s">
        <v>158</v>
      </c>
      <c r="H316" s="35">
        <v>2441770</v>
      </c>
      <c r="I316" s="35">
        <v>89</v>
      </c>
      <c r="J316" s="37" t="s">
        <v>10</v>
      </c>
      <c r="K316" s="37" t="s">
        <v>159</v>
      </c>
      <c r="L316" s="8">
        <v>11</v>
      </c>
      <c r="M316" s="8">
        <v>21664</v>
      </c>
      <c r="N316" s="9"/>
      <c r="O316" s="8">
        <v>654</v>
      </c>
      <c r="P316" s="9"/>
      <c r="Q316" s="8">
        <v>366</v>
      </c>
      <c r="R316" s="9"/>
      <c r="S316" s="8">
        <v>1052</v>
      </c>
      <c r="T316" s="9"/>
      <c r="U316" s="8">
        <v>0</v>
      </c>
      <c r="V316" s="9"/>
      <c r="W316" s="33">
        <v>23736</v>
      </c>
      <c r="X316" s="9"/>
      <c r="Y316" s="30">
        <v>11.88</v>
      </c>
      <c r="Z316" s="9"/>
      <c r="AA316" s="30">
        <v>0.43</v>
      </c>
      <c r="AB316" s="9"/>
      <c r="AC316" s="30">
        <v>0.24</v>
      </c>
      <c r="AD316" s="9"/>
      <c r="AE316" s="30">
        <v>0.7</v>
      </c>
      <c r="AF316" s="9"/>
      <c r="AG316" s="30">
        <v>0</v>
      </c>
      <c r="AH316" s="9"/>
      <c r="AI316" s="32">
        <v>13.25</v>
      </c>
      <c r="AJ316" s="12"/>
      <c r="AK316" s="22">
        <v>285798</v>
      </c>
      <c r="AM316" s="22">
        <v>30800</v>
      </c>
      <c r="AO316" s="22">
        <v>3032</v>
      </c>
      <c r="AQ316" s="22">
        <v>8334</v>
      </c>
      <c r="AS316" s="26">
        <v>327964</v>
      </c>
      <c r="AU316" s="23">
        <v>13.192299999999999</v>
      </c>
      <c r="AW316" s="23">
        <v>47.094799999999999</v>
      </c>
      <c r="AY316" s="23">
        <v>0.14000000000000001</v>
      </c>
      <c r="BA316" s="23">
        <v>7.9221000000000004</v>
      </c>
      <c r="BC316" s="24">
        <v>13.8172</v>
      </c>
      <c r="BE316" s="1" t="str">
        <f t="shared" si="4"/>
        <v>No</v>
      </c>
    </row>
    <row r="317" spans="1:57" ht="11.25" customHeight="1">
      <c r="A317" s="7" t="s">
        <v>760</v>
      </c>
      <c r="B317" s="7" t="s">
        <v>632</v>
      </c>
      <c r="C317" s="37" t="s">
        <v>63</v>
      </c>
      <c r="D317" s="296">
        <v>2196</v>
      </c>
      <c r="E317" s="297">
        <v>20196</v>
      </c>
      <c r="F317" s="27" t="s">
        <v>162</v>
      </c>
      <c r="G317" s="73" t="s">
        <v>158</v>
      </c>
      <c r="H317" s="35">
        <v>18351295</v>
      </c>
      <c r="I317" s="35">
        <v>88</v>
      </c>
      <c r="J317" s="37" t="s">
        <v>10</v>
      </c>
      <c r="K317" s="37" t="s">
        <v>159</v>
      </c>
      <c r="L317" s="8">
        <v>75</v>
      </c>
      <c r="M317" s="8">
        <v>86321</v>
      </c>
      <c r="N317" s="9"/>
      <c r="O317" s="8">
        <v>0</v>
      </c>
      <c r="P317" s="9"/>
      <c r="Q317" s="8">
        <v>0</v>
      </c>
      <c r="R317" s="9"/>
      <c r="S317" s="8">
        <v>8435</v>
      </c>
      <c r="T317" s="9"/>
      <c r="U317" s="8">
        <v>0</v>
      </c>
      <c r="V317" s="9"/>
      <c r="W317" s="33">
        <v>94756</v>
      </c>
      <c r="X317" s="9"/>
      <c r="Y317" s="30">
        <v>41</v>
      </c>
      <c r="Z317" s="9"/>
      <c r="AA317" s="30">
        <v>0</v>
      </c>
      <c r="AB317" s="9"/>
      <c r="AC317" s="30">
        <v>0</v>
      </c>
      <c r="AD317" s="9"/>
      <c r="AE317" s="30">
        <v>5</v>
      </c>
      <c r="AF317" s="9"/>
      <c r="AG317" s="30">
        <v>0</v>
      </c>
      <c r="AH317" s="9"/>
      <c r="AI317" s="32">
        <v>46</v>
      </c>
      <c r="AJ317" s="12"/>
      <c r="AK317" s="22">
        <v>1844156</v>
      </c>
      <c r="AM317" s="22">
        <v>0</v>
      </c>
      <c r="AO317" s="22">
        <v>0</v>
      </c>
      <c r="AQ317" s="22">
        <v>238227</v>
      </c>
      <c r="AS317" s="26">
        <v>2082383</v>
      </c>
      <c r="AU317" s="23">
        <v>21.363900000000001</v>
      </c>
      <c r="AY317" s="23">
        <v>0</v>
      </c>
      <c r="BA317" s="23">
        <v>28.242699999999999</v>
      </c>
      <c r="BC317" s="24">
        <v>21.976299999999998</v>
      </c>
      <c r="BE317" s="1" t="str">
        <f t="shared" si="4"/>
        <v>No</v>
      </c>
    </row>
    <row r="318" spans="1:57" ht="11.25" customHeight="1">
      <c r="A318" s="7" t="s">
        <v>635</v>
      </c>
      <c r="B318" s="7" t="s">
        <v>636</v>
      </c>
      <c r="C318" s="37" t="s">
        <v>17</v>
      </c>
      <c r="D318" s="296">
        <v>9079</v>
      </c>
      <c r="E318" s="297">
        <v>90079</v>
      </c>
      <c r="F318" s="27" t="s">
        <v>165</v>
      </c>
      <c r="G318" s="73" t="s">
        <v>158</v>
      </c>
      <c r="H318" s="35">
        <v>345580</v>
      </c>
      <c r="I318" s="35">
        <v>88</v>
      </c>
      <c r="J318" s="37" t="s">
        <v>7</v>
      </c>
      <c r="K318" s="37" t="s">
        <v>159</v>
      </c>
      <c r="L318" s="8">
        <v>57</v>
      </c>
      <c r="M318" s="8">
        <v>307564</v>
      </c>
      <c r="N318" s="9"/>
      <c r="O318" s="8">
        <v>61438</v>
      </c>
      <c r="P318" s="9"/>
      <c r="Q318" s="8">
        <v>4522</v>
      </c>
      <c r="R318" s="9"/>
      <c r="S318" s="8">
        <v>104189</v>
      </c>
      <c r="T318" s="9"/>
      <c r="U318" s="8">
        <v>0</v>
      </c>
      <c r="V318" s="9"/>
      <c r="W318" s="33">
        <v>477713</v>
      </c>
      <c r="X318" s="9"/>
      <c r="Y318" s="30">
        <v>177.4</v>
      </c>
      <c r="Z318" s="9"/>
      <c r="AA318" s="30">
        <v>37</v>
      </c>
      <c r="AB318" s="9"/>
      <c r="AC318" s="30">
        <v>2.68</v>
      </c>
      <c r="AD318" s="9"/>
      <c r="AE318" s="30">
        <v>66.319999999999993</v>
      </c>
      <c r="AF318" s="9"/>
      <c r="AG318" s="30">
        <v>0</v>
      </c>
      <c r="AH318" s="9"/>
      <c r="AI318" s="32">
        <v>283.39999999999998</v>
      </c>
      <c r="AJ318" s="12"/>
      <c r="AK318" s="22">
        <v>6222388</v>
      </c>
      <c r="AM318" s="22">
        <v>1491807</v>
      </c>
      <c r="AO318" s="22">
        <v>106747</v>
      </c>
      <c r="AQ318" s="22">
        <v>2489677</v>
      </c>
      <c r="AS318" s="26">
        <v>10310619</v>
      </c>
      <c r="AU318" s="23">
        <v>20.231200000000001</v>
      </c>
      <c r="AW318" s="23">
        <v>24.281500000000001</v>
      </c>
      <c r="AY318" s="23">
        <v>0.34710000000000002</v>
      </c>
      <c r="BA318" s="23">
        <v>23.895800000000001</v>
      </c>
      <c r="BC318" s="24">
        <v>21.583300000000001</v>
      </c>
      <c r="BE318" s="1" t="str">
        <f t="shared" si="4"/>
        <v>No</v>
      </c>
    </row>
    <row r="319" spans="1:57" ht="11.25" customHeight="1">
      <c r="A319" s="7" t="s">
        <v>635</v>
      </c>
      <c r="B319" s="7" t="s">
        <v>636</v>
      </c>
      <c r="C319" s="37" t="s">
        <v>17</v>
      </c>
      <c r="D319" s="296">
        <v>9079</v>
      </c>
      <c r="E319" s="297">
        <v>90079</v>
      </c>
      <c r="F319" s="27" t="s">
        <v>165</v>
      </c>
      <c r="G319" s="73" t="s">
        <v>158</v>
      </c>
      <c r="H319" s="35">
        <v>345580</v>
      </c>
      <c r="I319" s="35">
        <v>88</v>
      </c>
      <c r="J319" s="37" t="s">
        <v>10</v>
      </c>
      <c r="K319" s="37" t="s">
        <v>159</v>
      </c>
      <c r="L319" s="8">
        <v>31</v>
      </c>
      <c r="M319" s="8">
        <v>128491</v>
      </c>
      <c r="N319" s="9"/>
      <c r="O319" s="8">
        <v>15775</v>
      </c>
      <c r="P319" s="9"/>
      <c r="Q319" s="8">
        <v>2227</v>
      </c>
      <c r="R319" s="9"/>
      <c r="S319" s="8">
        <v>6854</v>
      </c>
      <c r="T319" s="9"/>
      <c r="U319" s="8">
        <v>0</v>
      </c>
      <c r="V319" s="9"/>
      <c r="W319" s="33">
        <v>153347</v>
      </c>
      <c r="X319" s="9"/>
      <c r="Y319" s="30">
        <v>72.599999999999994</v>
      </c>
      <c r="Z319" s="9"/>
      <c r="AA319" s="30">
        <v>9</v>
      </c>
      <c r="AB319" s="9"/>
      <c r="AC319" s="30">
        <v>1.32</v>
      </c>
      <c r="AD319" s="9"/>
      <c r="AE319" s="30">
        <v>4.38</v>
      </c>
      <c r="AF319" s="9"/>
      <c r="AG319" s="30">
        <v>0</v>
      </c>
      <c r="AH319" s="9"/>
      <c r="AI319" s="32">
        <v>87.3</v>
      </c>
      <c r="AJ319" s="12"/>
      <c r="AK319" s="22">
        <v>2222890</v>
      </c>
      <c r="AM319" s="22">
        <v>363267</v>
      </c>
      <c r="AO319" s="22">
        <v>52577</v>
      </c>
      <c r="AQ319" s="22">
        <v>158608</v>
      </c>
      <c r="AS319" s="26">
        <v>2797342</v>
      </c>
      <c r="AU319" s="23">
        <v>17.3</v>
      </c>
      <c r="AW319" s="23">
        <v>23.027999999999999</v>
      </c>
      <c r="AY319" s="23">
        <v>0.40920000000000001</v>
      </c>
      <c r="BA319" s="23">
        <v>23.140899999999998</v>
      </c>
      <c r="BC319" s="24">
        <v>18.241900000000001</v>
      </c>
      <c r="BE319" s="1" t="str">
        <f t="shared" si="4"/>
        <v>No</v>
      </c>
    </row>
    <row r="320" spans="1:57" ht="11.25" customHeight="1">
      <c r="A320" s="7" t="s">
        <v>760</v>
      </c>
      <c r="B320" s="7" t="s">
        <v>632</v>
      </c>
      <c r="C320" s="37" t="s">
        <v>63</v>
      </c>
      <c r="D320" s="296">
        <v>2196</v>
      </c>
      <c r="E320" s="297">
        <v>20196</v>
      </c>
      <c r="F320" s="27" t="s">
        <v>162</v>
      </c>
      <c r="G320" s="73" t="s">
        <v>158</v>
      </c>
      <c r="H320" s="35">
        <v>18351295</v>
      </c>
      <c r="I320" s="35">
        <v>88</v>
      </c>
      <c r="J320" s="37" t="s">
        <v>7</v>
      </c>
      <c r="K320" s="37" t="s">
        <v>159</v>
      </c>
      <c r="L320" s="8">
        <v>13</v>
      </c>
      <c r="M320" s="8">
        <v>41078</v>
      </c>
      <c r="N320" s="9"/>
      <c r="O320" s="8">
        <v>0</v>
      </c>
      <c r="P320" s="9"/>
      <c r="Q320" s="8">
        <v>0</v>
      </c>
      <c r="R320" s="9"/>
      <c r="S320" s="8">
        <v>6748</v>
      </c>
      <c r="T320" s="9"/>
      <c r="U320" s="8">
        <v>0</v>
      </c>
      <c r="V320" s="9"/>
      <c r="W320" s="33">
        <v>47826</v>
      </c>
      <c r="X320" s="9"/>
      <c r="Y320" s="30">
        <v>22</v>
      </c>
      <c r="Z320" s="9"/>
      <c r="AA320" s="30">
        <v>0</v>
      </c>
      <c r="AB320" s="9"/>
      <c r="AC320" s="30">
        <v>0</v>
      </c>
      <c r="AD320" s="9"/>
      <c r="AE320" s="30">
        <v>4</v>
      </c>
      <c r="AF320" s="9"/>
      <c r="AG320" s="30">
        <v>0</v>
      </c>
      <c r="AH320" s="9"/>
      <c r="AI320" s="32">
        <v>26</v>
      </c>
      <c r="AJ320" s="12"/>
      <c r="AK320" s="22">
        <v>867701</v>
      </c>
      <c r="AM320" s="22">
        <v>0</v>
      </c>
      <c r="AO320" s="22">
        <v>0</v>
      </c>
      <c r="AQ320" s="22">
        <v>158679</v>
      </c>
      <c r="AS320" s="26">
        <v>1026380</v>
      </c>
      <c r="AU320" s="23">
        <v>21.1233</v>
      </c>
      <c r="AY320" s="23">
        <v>0</v>
      </c>
      <c r="BA320" s="23">
        <v>23.515000000000001</v>
      </c>
      <c r="BC320" s="24">
        <v>21.460699999999999</v>
      </c>
      <c r="BE320" s="1" t="str">
        <f t="shared" si="4"/>
        <v>No</v>
      </c>
    </row>
    <row r="321" spans="1:57" ht="11.25" customHeight="1">
      <c r="A321" s="7" t="s">
        <v>589</v>
      </c>
      <c r="B321" s="7" t="s">
        <v>590</v>
      </c>
      <c r="C321" s="37" t="s">
        <v>17</v>
      </c>
      <c r="D321" s="296">
        <v>9020</v>
      </c>
      <c r="E321" s="297">
        <v>90020</v>
      </c>
      <c r="F321" s="27" t="s">
        <v>165</v>
      </c>
      <c r="G321" s="73" t="s">
        <v>158</v>
      </c>
      <c r="H321" s="35">
        <v>195861</v>
      </c>
      <c r="I321" s="35">
        <v>87</v>
      </c>
      <c r="J321" s="37" t="s">
        <v>7</v>
      </c>
      <c r="K321" s="37" t="s">
        <v>159</v>
      </c>
      <c r="L321" s="8">
        <v>87</v>
      </c>
      <c r="M321" s="8">
        <v>302322</v>
      </c>
      <c r="N321" s="9"/>
      <c r="O321" s="8">
        <v>48045</v>
      </c>
      <c r="P321" s="9"/>
      <c r="Q321" s="8">
        <v>5491</v>
      </c>
      <c r="R321" s="9"/>
      <c r="S321" s="8">
        <v>33097</v>
      </c>
      <c r="T321" s="9"/>
      <c r="U321" s="8">
        <v>894</v>
      </c>
      <c r="V321" s="9"/>
      <c r="W321" s="33">
        <v>389849</v>
      </c>
      <c r="X321" s="9"/>
      <c r="Y321" s="30">
        <v>161</v>
      </c>
      <c r="Z321" s="9"/>
      <c r="AA321" s="30">
        <v>29.5</v>
      </c>
      <c r="AB321" s="9"/>
      <c r="AC321" s="30">
        <v>3</v>
      </c>
      <c r="AD321" s="9"/>
      <c r="AE321" s="30">
        <v>19</v>
      </c>
      <c r="AF321" s="9"/>
      <c r="AG321" s="30">
        <v>0.5</v>
      </c>
      <c r="AH321" s="9"/>
      <c r="AI321" s="32">
        <v>213</v>
      </c>
      <c r="AJ321" s="12"/>
      <c r="AK321" s="22">
        <v>7869795</v>
      </c>
      <c r="AM321" s="22">
        <v>1328772</v>
      </c>
      <c r="AO321" s="22">
        <v>162160</v>
      </c>
      <c r="AQ321" s="22">
        <v>1228675</v>
      </c>
      <c r="AS321" s="26">
        <v>10589402</v>
      </c>
      <c r="AU321" s="23">
        <v>26.031199999999998</v>
      </c>
      <c r="AW321" s="23">
        <v>27.6568</v>
      </c>
      <c r="AY321" s="23">
        <v>0.53639999999999999</v>
      </c>
      <c r="BA321" s="23">
        <v>37.1235</v>
      </c>
      <c r="BC321" s="24">
        <v>27.162800000000001</v>
      </c>
      <c r="BE321" s="1" t="str">
        <f t="shared" si="4"/>
        <v>No</v>
      </c>
    </row>
    <row r="322" spans="1:57" ht="11.25" customHeight="1">
      <c r="A322" s="7" t="s">
        <v>750</v>
      </c>
      <c r="B322" s="7" t="s">
        <v>634</v>
      </c>
      <c r="C322" s="37" t="s">
        <v>69</v>
      </c>
      <c r="D322" s="296">
        <v>6111</v>
      </c>
      <c r="E322" s="297">
        <v>60111</v>
      </c>
      <c r="F322" s="27" t="s">
        <v>165</v>
      </c>
      <c r="G322" s="73" t="s">
        <v>158</v>
      </c>
      <c r="H322" s="35">
        <v>741318</v>
      </c>
      <c r="I322" s="35">
        <v>87</v>
      </c>
      <c r="J322" s="37" t="s">
        <v>10</v>
      </c>
      <c r="K322" s="37" t="s">
        <v>159</v>
      </c>
      <c r="L322" s="8">
        <v>22</v>
      </c>
      <c r="M322" s="8">
        <v>49354</v>
      </c>
      <c r="N322" s="9"/>
      <c r="O322" s="8">
        <v>0</v>
      </c>
      <c r="P322" s="9"/>
      <c r="Q322" s="8">
        <v>0</v>
      </c>
      <c r="R322" s="9"/>
      <c r="S322" s="8">
        <v>9473</v>
      </c>
      <c r="T322" s="9"/>
      <c r="U322" s="8">
        <v>0</v>
      </c>
      <c r="V322" s="9"/>
      <c r="W322" s="33">
        <v>58827</v>
      </c>
      <c r="X322" s="9"/>
      <c r="Y322" s="30">
        <v>23</v>
      </c>
      <c r="Z322" s="9"/>
      <c r="AA322" s="30">
        <v>0</v>
      </c>
      <c r="AB322" s="9"/>
      <c r="AC322" s="30">
        <v>0</v>
      </c>
      <c r="AD322" s="9"/>
      <c r="AE322" s="30">
        <v>5</v>
      </c>
      <c r="AF322" s="9"/>
      <c r="AG322" s="30">
        <v>0</v>
      </c>
      <c r="AH322" s="9"/>
      <c r="AI322" s="32">
        <v>28</v>
      </c>
      <c r="AJ322" s="12"/>
      <c r="AK322" s="22">
        <v>594435</v>
      </c>
      <c r="AM322" s="22">
        <v>0</v>
      </c>
      <c r="AO322" s="22">
        <v>0</v>
      </c>
      <c r="AQ322" s="22">
        <v>334737</v>
      </c>
      <c r="AS322" s="26">
        <v>929172</v>
      </c>
      <c r="AU322" s="23">
        <v>12.0443</v>
      </c>
      <c r="AY322" s="23">
        <v>0</v>
      </c>
      <c r="BA322" s="23">
        <v>35.335900000000002</v>
      </c>
      <c r="BC322" s="24">
        <v>15.795</v>
      </c>
      <c r="BE322" s="1" t="str">
        <f t="shared" ref="BE322:BE385" si="5">IF(BD322&amp;BB322&amp;AZ322&amp;AX322&amp;AV322&amp;AT322&amp;AR322&amp;AP322&amp;AN322&amp;AL322&amp;AJ322&amp;AH322&amp;AF322&amp;AD322&amp;AB322&amp;Z322&amp;X322&amp;V322&amp;T322&amp;R322&amp;P322&amp;N322&lt;&gt;"","Yes","No")</f>
        <v>No</v>
      </c>
    </row>
    <row r="323" spans="1:57" ht="11.25" customHeight="1">
      <c r="A323" s="7" t="s">
        <v>750</v>
      </c>
      <c r="B323" s="7" t="s">
        <v>634</v>
      </c>
      <c r="C323" s="37" t="s">
        <v>69</v>
      </c>
      <c r="D323" s="296">
        <v>6111</v>
      </c>
      <c r="E323" s="297">
        <v>60111</v>
      </c>
      <c r="F323" s="27" t="s">
        <v>165</v>
      </c>
      <c r="G323" s="73" t="s">
        <v>158</v>
      </c>
      <c r="H323" s="35">
        <v>741318</v>
      </c>
      <c r="I323" s="35">
        <v>87</v>
      </c>
      <c r="J323" s="37" t="s">
        <v>7</v>
      </c>
      <c r="K323" s="37" t="s">
        <v>159</v>
      </c>
      <c r="L323" s="8">
        <v>2</v>
      </c>
      <c r="M323" s="8">
        <v>2765</v>
      </c>
      <c r="N323" s="9"/>
      <c r="O323" s="8">
        <v>0</v>
      </c>
      <c r="P323" s="9"/>
      <c r="Q323" s="8">
        <v>0</v>
      </c>
      <c r="R323" s="9"/>
      <c r="S323" s="8">
        <v>314</v>
      </c>
      <c r="T323" s="9"/>
      <c r="U323" s="8">
        <v>0</v>
      </c>
      <c r="V323" s="9"/>
      <c r="W323" s="33">
        <v>3079</v>
      </c>
      <c r="X323" s="9"/>
      <c r="Y323" s="30">
        <v>1.5</v>
      </c>
      <c r="Z323" s="9"/>
      <c r="AA323" s="30">
        <v>0</v>
      </c>
      <c r="AB323" s="9"/>
      <c r="AC323" s="30">
        <v>0</v>
      </c>
      <c r="AD323" s="9"/>
      <c r="AE323" s="30">
        <v>0.2</v>
      </c>
      <c r="AF323" s="9"/>
      <c r="AG323" s="30">
        <v>0</v>
      </c>
      <c r="AH323" s="9"/>
      <c r="AI323" s="32">
        <v>1.7</v>
      </c>
      <c r="AJ323" s="12"/>
      <c r="AK323" s="22">
        <v>46004</v>
      </c>
      <c r="AM323" s="22">
        <v>0</v>
      </c>
      <c r="AO323" s="22">
        <v>0</v>
      </c>
      <c r="AQ323" s="22">
        <v>13809</v>
      </c>
      <c r="AS323" s="26">
        <v>59813</v>
      </c>
      <c r="AU323" s="23">
        <v>16.638000000000002</v>
      </c>
      <c r="AY323" s="23">
        <v>0</v>
      </c>
      <c r="BA323" s="23">
        <v>43.977699999999999</v>
      </c>
      <c r="BC323" s="24">
        <v>19.426100000000002</v>
      </c>
      <c r="BE323" s="1" t="str">
        <f t="shared" si="5"/>
        <v>No</v>
      </c>
    </row>
    <row r="324" spans="1:57" ht="11.25" customHeight="1">
      <c r="A324" s="7" t="s">
        <v>750</v>
      </c>
      <c r="B324" s="7" t="s">
        <v>634</v>
      </c>
      <c r="C324" s="37" t="s">
        <v>69</v>
      </c>
      <c r="D324" s="296">
        <v>6111</v>
      </c>
      <c r="E324" s="297">
        <v>60111</v>
      </c>
      <c r="F324" s="27" t="s">
        <v>165</v>
      </c>
      <c r="G324" s="73" t="s">
        <v>158</v>
      </c>
      <c r="H324" s="35">
        <v>741318</v>
      </c>
      <c r="I324" s="35">
        <v>87</v>
      </c>
      <c r="J324" s="37" t="s">
        <v>18</v>
      </c>
      <c r="K324" s="37" t="s">
        <v>159</v>
      </c>
      <c r="L324" s="8">
        <v>2</v>
      </c>
      <c r="M324" s="8">
        <v>2840</v>
      </c>
      <c r="N324" s="9"/>
      <c r="O324" s="8">
        <v>0</v>
      </c>
      <c r="P324" s="9"/>
      <c r="Q324" s="8">
        <v>0</v>
      </c>
      <c r="R324" s="9"/>
      <c r="S324" s="8">
        <v>389</v>
      </c>
      <c r="T324" s="9"/>
      <c r="U324" s="8">
        <v>0</v>
      </c>
      <c r="V324" s="9"/>
      <c r="W324" s="33">
        <v>3229</v>
      </c>
      <c r="X324" s="9"/>
      <c r="Y324" s="30">
        <v>1.5</v>
      </c>
      <c r="Z324" s="9"/>
      <c r="AA324" s="30">
        <v>0</v>
      </c>
      <c r="AB324" s="9"/>
      <c r="AC324" s="30">
        <v>0</v>
      </c>
      <c r="AD324" s="9"/>
      <c r="AE324" s="30">
        <v>0.2</v>
      </c>
      <c r="AF324" s="9"/>
      <c r="AG324" s="30">
        <v>0</v>
      </c>
      <c r="AH324" s="9"/>
      <c r="AI324" s="32">
        <v>1.7</v>
      </c>
      <c r="AJ324" s="12"/>
      <c r="AK324" s="22">
        <v>45505</v>
      </c>
      <c r="AM324" s="22">
        <v>0</v>
      </c>
      <c r="AO324" s="22">
        <v>0</v>
      </c>
      <c r="AQ324" s="22">
        <v>5821</v>
      </c>
      <c r="AS324" s="26">
        <v>51326</v>
      </c>
      <c r="AU324" s="23">
        <v>16.0229</v>
      </c>
      <c r="AY324" s="23">
        <v>0</v>
      </c>
      <c r="BA324" s="23">
        <v>14.964</v>
      </c>
      <c r="BC324" s="24">
        <v>15.895300000000001</v>
      </c>
      <c r="BE324" s="1" t="str">
        <f t="shared" si="5"/>
        <v>No</v>
      </c>
    </row>
    <row r="325" spans="1:57" ht="11.25" customHeight="1">
      <c r="A325" s="7" t="s">
        <v>313</v>
      </c>
      <c r="B325" s="7" t="s">
        <v>314</v>
      </c>
      <c r="C325" s="37" t="s">
        <v>32</v>
      </c>
      <c r="D325" s="296">
        <v>4036</v>
      </c>
      <c r="E325" s="297">
        <v>40036</v>
      </c>
      <c r="F325" s="27" t="s">
        <v>162</v>
      </c>
      <c r="G325" s="73" t="s">
        <v>158</v>
      </c>
      <c r="H325" s="35">
        <v>240223</v>
      </c>
      <c r="I325" s="35">
        <v>86</v>
      </c>
      <c r="J325" s="37" t="s">
        <v>7</v>
      </c>
      <c r="K325" s="37" t="s">
        <v>159</v>
      </c>
      <c r="L325" s="8">
        <v>68</v>
      </c>
      <c r="M325" s="8">
        <v>279507</v>
      </c>
      <c r="N325" s="9"/>
      <c r="O325" s="8">
        <v>39031</v>
      </c>
      <c r="P325" s="9"/>
      <c r="Q325" s="8">
        <v>20783</v>
      </c>
      <c r="R325" s="9"/>
      <c r="S325" s="8">
        <v>15552</v>
      </c>
      <c r="T325" s="9" t="s">
        <v>121</v>
      </c>
      <c r="U325" s="8">
        <v>0</v>
      </c>
      <c r="V325" s="9"/>
      <c r="W325" s="33">
        <v>354873</v>
      </c>
      <c r="X325" s="9" t="s">
        <v>121</v>
      </c>
      <c r="Y325" s="30">
        <v>144</v>
      </c>
      <c r="Z325" s="9"/>
      <c r="AA325" s="30">
        <v>20</v>
      </c>
      <c r="AB325" s="9"/>
      <c r="AC325" s="30">
        <v>10</v>
      </c>
      <c r="AD325" s="9"/>
      <c r="AE325" s="30">
        <v>15</v>
      </c>
      <c r="AF325" s="9"/>
      <c r="AG325" s="30">
        <v>0</v>
      </c>
      <c r="AH325" s="9"/>
      <c r="AI325" s="32">
        <v>189</v>
      </c>
      <c r="AJ325" s="12"/>
      <c r="AK325" s="22">
        <v>5152502</v>
      </c>
      <c r="AM325" s="22">
        <v>1175827</v>
      </c>
      <c r="AO325" s="22">
        <v>231202</v>
      </c>
      <c r="AQ325" s="22">
        <v>804991</v>
      </c>
      <c r="AR325" s="22" t="s">
        <v>121</v>
      </c>
      <c r="AS325" s="26">
        <v>7364522</v>
      </c>
      <c r="AT325" s="22" t="s">
        <v>121</v>
      </c>
      <c r="AU325" s="23">
        <v>18.4343</v>
      </c>
      <c r="AW325" s="23">
        <v>30.125499999999999</v>
      </c>
      <c r="AY325" s="23">
        <v>0.82720000000000005</v>
      </c>
      <c r="BA325" s="23">
        <v>51.761299999999999</v>
      </c>
      <c r="BB325" s="23" t="s">
        <v>121</v>
      </c>
      <c r="BC325" s="24">
        <v>20.752600000000001</v>
      </c>
      <c r="BD325" s="1" t="s">
        <v>121</v>
      </c>
      <c r="BE325" s="1" t="str">
        <f t="shared" si="5"/>
        <v>Yes</v>
      </c>
    </row>
    <row r="326" spans="1:57" ht="11.25" customHeight="1">
      <c r="A326" s="7" t="s">
        <v>313</v>
      </c>
      <c r="B326" s="7" t="s">
        <v>314</v>
      </c>
      <c r="C326" s="37" t="s">
        <v>32</v>
      </c>
      <c r="D326" s="296">
        <v>4036</v>
      </c>
      <c r="E326" s="297">
        <v>40036</v>
      </c>
      <c r="F326" s="27" t="s">
        <v>162</v>
      </c>
      <c r="G326" s="73" t="s">
        <v>158</v>
      </c>
      <c r="H326" s="35">
        <v>240223</v>
      </c>
      <c r="I326" s="35">
        <v>86</v>
      </c>
      <c r="J326" s="37" t="s">
        <v>10</v>
      </c>
      <c r="K326" s="37" t="s">
        <v>159</v>
      </c>
      <c r="L326" s="8">
        <v>18</v>
      </c>
      <c r="M326" s="8">
        <v>55760</v>
      </c>
      <c r="N326" s="9"/>
      <c r="O326" s="8">
        <v>5468</v>
      </c>
      <c r="P326" s="9" t="s">
        <v>121</v>
      </c>
      <c r="Q326" s="8">
        <v>27564</v>
      </c>
      <c r="R326" s="9" t="s">
        <v>121</v>
      </c>
      <c r="S326" s="8">
        <v>10018</v>
      </c>
      <c r="T326" s="9" t="s">
        <v>121</v>
      </c>
      <c r="U326" s="8">
        <v>0</v>
      </c>
      <c r="V326" s="9"/>
      <c r="W326" s="33">
        <v>98810</v>
      </c>
      <c r="X326" s="9" t="s">
        <v>121</v>
      </c>
      <c r="Y326" s="30">
        <v>31.5</v>
      </c>
      <c r="Z326" s="9"/>
      <c r="AA326" s="30">
        <v>3</v>
      </c>
      <c r="AB326" s="9"/>
      <c r="AC326" s="30">
        <v>13</v>
      </c>
      <c r="AD326" s="9"/>
      <c r="AE326" s="30">
        <v>15</v>
      </c>
      <c r="AF326" s="9"/>
      <c r="AG326" s="30">
        <v>0</v>
      </c>
      <c r="AH326" s="9"/>
      <c r="AI326" s="32">
        <v>62.5</v>
      </c>
      <c r="AJ326" s="12"/>
      <c r="AK326" s="22">
        <v>859730</v>
      </c>
      <c r="AM326" s="22">
        <v>191483</v>
      </c>
      <c r="AN326" s="22" t="s">
        <v>121</v>
      </c>
      <c r="AO326" s="22">
        <v>67166</v>
      </c>
      <c r="AP326" s="22" t="s">
        <v>121</v>
      </c>
      <c r="AQ326" s="22">
        <v>87316</v>
      </c>
      <c r="AR326" s="22" t="s">
        <v>121</v>
      </c>
      <c r="AS326" s="26">
        <v>1205695</v>
      </c>
      <c r="AT326" s="22" t="s">
        <v>121</v>
      </c>
      <c r="AU326" s="23">
        <v>15.4184</v>
      </c>
      <c r="AW326" s="23">
        <v>35.018799999999999</v>
      </c>
      <c r="AX326" s="23" t="s">
        <v>121</v>
      </c>
      <c r="AY326" s="23">
        <v>1.2045999999999999</v>
      </c>
      <c r="AZ326" s="23" t="s">
        <v>121</v>
      </c>
      <c r="BA326" s="23">
        <v>8.7158999999999995</v>
      </c>
      <c r="BB326" s="23" t="s">
        <v>121</v>
      </c>
      <c r="BC326" s="24">
        <v>12.202199999999999</v>
      </c>
      <c r="BD326" s="1" t="s">
        <v>121</v>
      </c>
      <c r="BE326" s="1" t="str">
        <f t="shared" si="5"/>
        <v>Yes</v>
      </c>
    </row>
    <row r="327" spans="1:57" ht="11.25" customHeight="1">
      <c r="A327" s="7" t="s">
        <v>39</v>
      </c>
      <c r="B327" s="7" t="s">
        <v>176</v>
      </c>
      <c r="C327" s="37" t="s">
        <v>38</v>
      </c>
      <c r="D327" s="296">
        <v>7041</v>
      </c>
      <c r="E327" s="297">
        <v>70041</v>
      </c>
      <c r="F327" s="27" t="s">
        <v>162</v>
      </c>
      <c r="G327" s="73" t="s">
        <v>158</v>
      </c>
      <c r="H327" s="35">
        <v>60438</v>
      </c>
      <c r="I327" s="35">
        <v>84</v>
      </c>
      <c r="J327" s="37" t="s">
        <v>7</v>
      </c>
      <c r="K327" s="37" t="s">
        <v>159</v>
      </c>
      <c r="L327" s="8">
        <v>77</v>
      </c>
      <c r="M327" s="8">
        <v>207576</v>
      </c>
      <c r="N327" s="9"/>
      <c r="O327" s="8">
        <v>21877</v>
      </c>
      <c r="P327" s="9"/>
      <c r="Q327" s="8">
        <v>1345</v>
      </c>
      <c r="R327" s="9"/>
      <c r="S327" s="8">
        <v>15551</v>
      </c>
      <c r="T327" s="9"/>
      <c r="U327" s="8">
        <v>0</v>
      </c>
      <c r="V327" s="9"/>
      <c r="W327" s="33">
        <v>246349</v>
      </c>
      <c r="X327" s="9"/>
      <c r="Y327" s="30">
        <v>204</v>
      </c>
      <c r="Z327" s="9"/>
      <c r="AA327" s="30">
        <v>20.2</v>
      </c>
      <c r="AB327" s="9"/>
      <c r="AC327" s="30">
        <v>1.5</v>
      </c>
      <c r="AD327" s="9"/>
      <c r="AE327" s="30">
        <v>8.9</v>
      </c>
      <c r="AF327" s="9"/>
      <c r="AG327" s="30">
        <v>0</v>
      </c>
      <c r="AH327" s="9"/>
      <c r="AI327" s="32">
        <v>234.6</v>
      </c>
      <c r="AJ327" s="12"/>
      <c r="AK327" s="22">
        <v>3840171</v>
      </c>
      <c r="AM327" s="22">
        <v>616375</v>
      </c>
      <c r="AO327" s="22">
        <v>0</v>
      </c>
      <c r="AQ327" s="22">
        <v>654535</v>
      </c>
      <c r="AS327" s="26">
        <v>5111081</v>
      </c>
      <c r="AU327" s="23">
        <v>18.5001</v>
      </c>
      <c r="AW327" s="23">
        <v>28.174600000000002</v>
      </c>
      <c r="AY327" s="23">
        <v>0</v>
      </c>
      <c r="BA327" s="23">
        <v>42.089599999999997</v>
      </c>
      <c r="BC327" s="24">
        <v>20.747299999999999</v>
      </c>
      <c r="BE327" s="1" t="str">
        <f t="shared" si="5"/>
        <v>No</v>
      </c>
    </row>
    <row r="328" spans="1:57" ht="11.25" customHeight="1">
      <c r="A328" s="7" t="s">
        <v>315</v>
      </c>
      <c r="B328" s="7" t="s">
        <v>316</v>
      </c>
      <c r="C328" s="37" t="s">
        <v>17</v>
      </c>
      <c r="D328" s="296">
        <v>9010</v>
      </c>
      <c r="E328" s="297">
        <v>90010</v>
      </c>
      <c r="F328" s="27" t="s">
        <v>162</v>
      </c>
      <c r="G328" s="73" t="s">
        <v>158</v>
      </c>
      <c r="H328" s="35">
        <v>12150996</v>
      </c>
      <c r="I328" s="35">
        <v>84</v>
      </c>
      <c r="J328" s="37" t="s">
        <v>7</v>
      </c>
      <c r="K328" s="37" t="s">
        <v>159</v>
      </c>
      <c r="L328" s="8">
        <v>48</v>
      </c>
      <c r="M328" s="8">
        <v>276634</v>
      </c>
      <c r="N328" s="9"/>
      <c r="O328" s="8">
        <v>46495</v>
      </c>
      <c r="P328" s="9"/>
      <c r="Q328" s="8">
        <v>0</v>
      </c>
      <c r="R328" s="9"/>
      <c r="S328" s="8">
        <v>22055</v>
      </c>
      <c r="T328" s="9"/>
      <c r="U328" s="8">
        <v>0</v>
      </c>
      <c r="V328" s="9"/>
      <c r="W328" s="33">
        <v>345184</v>
      </c>
      <c r="X328" s="9"/>
      <c r="Y328" s="30">
        <v>133</v>
      </c>
      <c r="Z328" s="9"/>
      <c r="AA328" s="30">
        <v>22.4</v>
      </c>
      <c r="AB328" s="9"/>
      <c r="AC328" s="30">
        <v>0</v>
      </c>
      <c r="AD328" s="9"/>
      <c r="AE328" s="30">
        <v>12.3</v>
      </c>
      <c r="AF328" s="9"/>
      <c r="AG328" s="30">
        <v>0</v>
      </c>
      <c r="AH328" s="9"/>
      <c r="AI328" s="32">
        <v>167.7</v>
      </c>
      <c r="AJ328" s="12"/>
      <c r="AK328" s="22">
        <v>8328746</v>
      </c>
      <c r="AM328" s="22">
        <v>1715967</v>
      </c>
      <c r="AO328" s="22">
        <v>0</v>
      </c>
      <c r="AQ328" s="22">
        <v>937680</v>
      </c>
      <c r="AS328" s="26">
        <v>10982393</v>
      </c>
      <c r="AU328" s="23">
        <v>30.107500000000002</v>
      </c>
      <c r="AW328" s="23">
        <v>36.906500000000001</v>
      </c>
      <c r="AY328" s="23">
        <v>0</v>
      </c>
      <c r="BA328" s="23">
        <v>42.515500000000003</v>
      </c>
      <c r="BC328" s="24">
        <v>31.816099999999999</v>
      </c>
      <c r="BE328" s="1" t="str">
        <f t="shared" si="5"/>
        <v>No</v>
      </c>
    </row>
    <row r="329" spans="1:57" ht="11.25" customHeight="1">
      <c r="A329" s="7" t="s">
        <v>641</v>
      </c>
      <c r="B329" s="7" t="s">
        <v>642</v>
      </c>
      <c r="C329" s="37" t="s">
        <v>28</v>
      </c>
      <c r="D329" s="296">
        <v>1049</v>
      </c>
      <c r="E329" s="297">
        <v>10049</v>
      </c>
      <c r="F329" s="27" t="s">
        <v>165</v>
      </c>
      <c r="G329" s="73" t="s">
        <v>158</v>
      </c>
      <c r="H329" s="35">
        <v>562839</v>
      </c>
      <c r="I329" s="35">
        <v>82</v>
      </c>
      <c r="J329" s="37" t="s">
        <v>10</v>
      </c>
      <c r="K329" s="37" t="s">
        <v>159</v>
      </c>
      <c r="L329" s="8">
        <v>80</v>
      </c>
      <c r="M329" s="8">
        <v>204692</v>
      </c>
      <c r="N329" s="9"/>
      <c r="O329" s="8">
        <v>8197</v>
      </c>
      <c r="P329" s="9"/>
      <c r="Q329" s="8">
        <v>4770</v>
      </c>
      <c r="R329" s="9"/>
      <c r="S329" s="8">
        <v>18981</v>
      </c>
      <c r="T329" s="9"/>
      <c r="U329" s="8">
        <v>1385</v>
      </c>
      <c r="V329" s="9"/>
      <c r="W329" s="33">
        <v>238025</v>
      </c>
      <c r="X329" s="9"/>
      <c r="Y329" s="30">
        <v>135</v>
      </c>
      <c r="Z329" s="9"/>
      <c r="AA329" s="30">
        <v>5</v>
      </c>
      <c r="AB329" s="9"/>
      <c r="AC329" s="30">
        <v>3</v>
      </c>
      <c r="AD329" s="9"/>
      <c r="AE329" s="30">
        <v>13</v>
      </c>
      <c r="AF329" s="9"/>
      <c r="AG329" s="30">
        <v>1</v>
      </c>
      <c r="AH329" s="9"/>
      <c r="AI329" s="32">
        <v>157</v>
      </c>
      <c r="AJ329" s="12"/>
      <c r="AK329" s="22">
        <v>4122556</v>
      </c>
      <c r="AM329" s="22">
        <v>257065</v>
      </c>
      <c r="AO329" s="22">
        <v>103144</v>
      </c>
      <c r="AQ329" s="22">
        <v>553444</v>
      </c>
      <c r="AS329" s="26">
        <v>5036209</v>
      </c>
      <c r="AU329" s="23">
        <v>20.1403</v>
      </c>
      <c r="AW329" s="23">
        <v>31.360900000000001</v>
      </c>
      <c r="AY329" s="23">
        <v>0.50390000000000001</v>
      </c>
      <c r="BA329" s="23">
        <v>29.157800000000002</v>
      </c>
      <c r="BC329" s="24">
        <v>21.158300000000001</v>
      </c>
      <c r="BE329" s="1" t="str">
        <f t="shared" si="5"/>
        <v>No</v>
      </c>
    </row>
    <row r="330" spans="1:57" ht="11.25" customHeight="1">
      <c r="A330" s="7" t="s">
        <v>383</v>
      </c>
      <c r="B330" s="7" t="s">
        <v>384</v>
      </c>
      <c r="C330" s="37" t="s">
        <v>17</v>
      </c>
      <c r="D330" s="296">
        <v>9004</v>
      </c>
      <c r="E330" s="297">
        <v>90004</v>
      </c>
      <c r="F330" s="27" t="s">
        <v>165</v>
      </c>
      <c r="G330" s="73" t="s">
        <v>158</v>
      </c>
      <c r="H330" s="35">
        <v>523994</v>
      </c>
      <c r="I330" s="35">
        <v>82</v>
      </c>
      <c r="J330" s="37" t="s">
        <v>7</v>
      </c>
      <c r="K330" s="37" t="s">
        <v>159</v>
      </c>
      <c r="L330" s="8">
        <v>66</v>
      </c>
      <c r="M330" s="8">
        <v>401441</v>
      </c>
      <c r="N330" s="9"/>
      <c r="O330" s="8">
        <v>89901</v>
      </c>
      <c r="P330" s="9"/>
      <c r="Q330" s="8">
        <v>10396</v>
      </c>
      <c r="R330" s="9"/>
      <c r="S330" s="8">
        <v>60208</v>
      </c>
      <c r="T330" s="9"/>
      <c r="U330" s="8">
        <v>0</v>
      </c>
      <c r="V330" s="9"/>
      <c r="W330" s="33">
        <v>561946</v>
      </c>
      <c r="X330" s="9"/>
      <c r="Y330" s="30">
        <v>222.12</v>
      </c>
      <c r="Z330" s="9"/>
      <c r="AA330" s="30">
        <v>52</v>
      </c>
      <c r="AB330" s="9"/>
      <c r="AC330" s="30">
        <v>5</v>
      </c>
      <c r="AD330" s="9"/>
      <c r="AE330" s="30">
        <v>33</v>
      </c>
      <c r="AF330" s="9"/>
      <c r="AG330" s="30">
        <v>0</v>
      </c>
      <c r="AH330" s="9"/>
      <c r="AI330" s="32">
        <v>312.12</v>
      </c>
      <c r="AJ330" s="12"/>
      <c r="AK330" s="22">
        <v>7924326</v>
      </c>
      <c r="AM330" s="22">
        <v>2180202</v>
      </c>
      <c r="AO330" s="22">
        <v>246779</v>
      </c>
      <c r="AQ330" s="22">
        <v>1802073</v>
      </c>
      <c r="AS330" s="26">
        <v>12153380</v>
      </c>
      <c r="AU330" s="23">
        <v>19.739699999999999</v>
      </c>
      <c r="AW330" s="23">
        <v>24.251100000000001</v>
      </c>
      <c r="AY330" s="23">
        <v>0.61470000000000002</v>
      </c>
      <c r="BA330" s="23">
        <v>29.930800000000001</v>
      </c>
      <c r="BC330" s="24">
        <v>21.627300000000002</v>
      </c>
      <c r="BE330" s="1" t="str">
        <f t="shared" si="5"/>
        <v>No</v>
      </c>
    </row>
    <row r="331" spans="1:57" ht="11.25" customHeight="1">
      <c r="A331" s="7" t="s">
        <v>396</v>
      </c>
      <c r="B331" s="7" t="s">
        <v>397</v>
      </c>
      <c r="C331" s="37" t="s">
        <v>40</v>
      </c>
      <c r="D331" s="296">
        <v>5056</v>
      </c>
      <c r="E331" s="297">
        <v>50056</v>
      </c>
      <c r="F331" s="27" t="s">
        <v>165</v>
      </c>
      <c r="G331" s="73" t="s">
        <v>158</v>
      </c>
      <c r="H331" s="35">
        <v>266921</v>
      </c>
      <c r="I331" s="35">
        <v>82</v>
      </c>
      <c r="J331" s="37" t="s">
        <v>7</v>
      </c>
      <c r="K331" s="37" t="s">
        <v>159</v>
      </c>
      <c r="L331" s="8">
        <v>45</v>
      </c>
      <c r="M331" s="8">
        <v>213502</v>
      </c>
      <c r="N331" s="9"/>
      <c r="O331" s="8">
        <v>65011</v>
      </c>
      <c r="P331" s="9"/>
      <c r="Q331" s="8">
        <v>6037</v>
      </c>
      <c r="R331" s="9"/>
      <c r="S331" s="8">
        <v>29070</v>
      </c>
      <c r="T331" s="9"/>
      <c r="U331" s="8">
        <v>0</v>
      </c>
      <c r="V331" s="9"/>
      <c r="W331" s="33">
        <v>313620</v>
      </c>
      <c r="X331" s="9"/>
      <c r="Y331" s="30">
        <v>130</v>
      </c>
      <c r="Z331" s="9"/>
      <c r="AA331" s="30">
        <v>37</v>
      </c>
      <c r="AB331" s="9"/>
      <c r="AC331" s="30">
        <v>3</v>
      </c>
      <c r="AD331" s="9"/>
      <c r="AE331" s="30">
        <v>15</v>
      </c>
      <c r="AF331" s="9"/>
      <c r="AG331" s="30">
        <v>0</v>
      </c>
      <c r="AH331" s="9"/>
      <c r="AI331" s="32">
        <v>185</v>
      </c>
      <c r="AJ331" s="12"/>
      <c r="AK331" s="22">
        <v>5417279</v>
      </c>
      <c r="AM331" s="22">
        <v>1766376</v>
      </c>
      <c r="AO331" s="22">
        <v>125916</v>
      </c>
      <c r="AQ331" s="22">
        <v>678811</v>
      </c>
      <c r="AS331" s="26">
        <v>7988382</v>
      </c>
      <c r="AU331" s="23">
        <v>25.3734</v>
      </c>
      <c r="AW331" s="23">
        <v>27.170400000000001</v>
      </c>
      <c r="AY331" s="23">
        <v>0.58979999999999999</v>
      </c>
      <c r="BA331" s="23">
        <v>23.350899999999999</v>
      </c>
      <c r="BC331" s="24">
        <v>25.471499999999999</v>
      </c>
      <c r="BE331" s="1" t="str">
        <f t="shared" si="5"/>
        <v>No</v>
      </c>
    </row>
    <row r="332" spans="1:57" ht="11.25" customHeight="1">
      <c r="A332" s="7" t="s">
        <v>383</v>
      </c>
      <c r="B332" s="7" t="s">
        <v>384</v>
      </c>
      <c r="C332" s="37" t="s">
        <v>17</v>
      </c>
      <c r="D332" s="296">
        <v>9004</v>
      </c>
      <c r="E332" s="297">
        <v>90004</v>
      </c>
      <c r="F332" s="27" t="s">
        <v>165</v>
      </c>
      <c r="G332" s="73" t="s">
        <v>158</v>
      </c>
      <c r="H332" s="35">
        <v>523994</v>
      </c>
      <c r="I332" s="35">
        <v>82</v>
      </c>
      <c r="J332" s="37" t="s">
        <v>10</v>
      </c>
      <c r="K332" s="37" t="s">
        <v>159</v>
      </c>
      <c r="L332" s="8">
        <v>16</v>
      </c>
      <c r="M332" s="8">
        <v>53631</v>
      </c>
      <c r="N332" s="9"/>
      <c r="O332" s="8">
        <v>2175</v>
      </c>
      <c r="P332" s="9"/>
      <c r="Q332" s="8">
        <v>0</v>
      </c>
      <c r="R332" s="9"/>
      <c r="S332" s="8">
        <v>1618</v>
      </c>
      <c r="T332" s="9"/>
      <c r="U332" s="8">
        <v>0</v>
      </c>
      <c r="V332" s="9"/>
      <c r="W332" s="33">
        <v>57424</v>
      </c>
      <c r="X332" s="9"/>
      <c r="Y332" s="30">
        <v>28</v>
      </c>
      <c r="Z332" s="9"/>
      <c r="AA332" s="30">
        <v>1</v>
      </c>
      <c r="AB332" s="9"/>
      <c r="AC332" s="30">
        <v>0</v>
      </c>
      <c r="AD332" s="9"/>
      <c r="AE332" s="30">
        <v>1</v>
      </c>
      <c r="AF332" s="9"/>
      <c r="AG332" s="30">
        <v>0</v>
      </c>
      <c r="AH332" s="9"/>
      <c r="AI332" s="32">
        <v>30</v>
      </c>
      <c r="AJ332" s="12"/>
      <c r="AK332" s="22">
        <v>942155</v>
      </c>
      <c r="AM332" s="22">
        <v>53513</v>
      </c>
      <c r="AO332" s="22">
        <v>0</v>
      </c>
      <c r="AQ332" s="22">
        <v>48769</v>
      </c>
      <c r="AS332" s="26">
        <v>1044437</v>
      </c>
      <c r="AU332" s="23">
        <v>17.567399999999999</v>
      </c>
      <c r="AW332" s="23">
        <v>24.6037</v>
      </c>
      <c r="AY332" s="23">
        <v>0</v>
      </c>
      <c r="BA332" s="23">
        <v>30.141500000000001</v>
      </c>
      <c r="BC332" s="24">
        <v>18.188199999999998</v>
      </c>
      <c r="BE332" s="1" t="str">
        <f t="shared" si="5"/>
        <v>No</v>
      </c>
    </row>
    <row r="333" spans="1:57" ht="11.25" customHeight="1">
      <c r="A333" s="7" t="s">
        <v>641</v>
      </c>
      <c r="B333" s="7" t="s">
        <v>642</v>
      </c>
      <c r="C333" s="37" t="s">
        <v>28</v>
      </c>
      <c r="D333" s="296">
        <v>1049</v>
      </c>
      <c r="E333" s="297">
        <v>10049</v>
      </c>
      <c r="F333" s="27" t="s">
        <v>165</v>
      </c>
      <c r="G333" s="73" t="s">
        <v>158</v>
      </c>
      <c r="H333" s="35">
        <v>562839</v>
      </c>
      <c r="I333" s="35">
        <v>82</v>
      </c>
      <c r="J333" s="37" t="s">
        <v>7</v>
      </c>
      <c r="K333" s="37" t="s">
        <v>159</v>
      </c>
      <c r="L333" s="8">
        <v>2</v>
      </c>
      <c r="M333" s="8">
        <v>1402</v>
      </c>
      <c r="N333" s="9"/>
      <c r="O333" s="8">
        <v>128</v>
      </c>
      <c r="P333" s="9"/>
      <c r="Q333" s="8">
        <v>22</v>
      </c>
      <c r="R333" s="9"/>
      <c r="S333" s="8">
        <v>298</v>
      </c>
      <c r="T333" s="9"/>
      <c r="U333" s="8">
        <v>0</v>
      </c>
      <c r="V333" s="9"/>
      <c r="W333" s="33">
        <v>1850</v>
      </c>
      <c r="X333" s="9"/>
      <c r="Y333" s="30">
        <v>2.0499999999999998</v>
      </c>
      <c r="Z333" s="9"/>
      <c r="AA333" s="30">
        <v>0.2</v>
      </c>
      <c r="AB333" s="9"/>
      <c r="AC333" s="30">
        <v>0.05</v>
      </c>
      <c r="AD333" s="9"/>
      <c r="AE333" s="30">
        <v>0.5</v>
      </c>
      <c r="AF333" s="9"/>
      <c r="AG333" s="30">
        <v>0</v>
      </c>
      <c r="AH333" s="9"/>
      <c r="AI333" s="32">
        <v>2.8</v>
      </c>
      <c r="AJ333" s="12"/>
      <c r="AK333" s="22">
        <v>64619</v>
      </c>
      <c r="AM333" s="22">
        <v>3969</v>
      </c>
      <c r="AO333" s="22">
        <v>60</v>
      </c>
      <c r="AQ333" s="22">
        <v>8675</v>
      </c>
      <c r="AS333" s="26">
        <v>77323</v>
      </c>
      <c r="AU333" s="23">
        <v>46.090600000000002</v>
      </c>
      <c r="AW333" s="23">
        <v>31.0078</v>
      </c>
      <c r="AY333" s="23">
        <v>4.2799999999999998E-2</v>
      </c>
      <c r="BA333" s="23">
        <v>29.110700000000001</v>
      </c>
      <c r="BC333" s="24">
        <v>41.796199999999999</v>
      </c>
      <c r="BE333" s="1" t="str">
        <f t="shared" si="5"/>
        <v>No</v>
      </c>
    </row>
    <row r="334" spans="1:57" ht="11.25" customHeight="1">
      <c r="A334" s="7" t="s">
        <v>122</v>
      </c>
      <c r="B334" s="7" t="s">
        <v>781</v>
      </c>
      <c r="C334" s="37" t="s">
        <v>70</v>
      </c>
      <c r="D334" s="296">
        <v>2217</v>
      </c>
      <c r="E334" s="297">
        <v>20217</v>
      </c>
      <c r="F334" s="27" t="s">
        <v>173</v>
      </c>
      <c r="G334" s="73" t="s">
        <v>158</v>
      </c>
      <c r="H334" s="35">
        <v>18351295</v>
      </c>
      <c r="I334" s="35">
        <v>80</v>
      </c>
      <c r="J334" s="37" t="s">
        <v>18</v>
      </c>
      <c r="K334" s="37" t="s">
        <v>159</v>
      </c>
      <c r="L334" s="8">
        <v>80</v>
      </c>
      <c r="M334" s="8">
        <v>348955</v>
      </c>
      <c r="N334" s="9"/>
      <c r="O334" s="8">
        <v>40104</v>
      </c>
      <c r="P334" s="9"/>
      <c r="Q334" s="8">
        <v>5115</v>
      </c>
      <c r="R334" s="9"/>
      <c r="S334" s="8">
        <v>28229</v>
      </c>
      <c r="T334" s="9"/>
      <c r="U334" s="8">
        <v>0</v>
      </c>
      <c r="V334" s="9"/>
      <c r="W334" s="33">
        <v>422403</v>
      </c>
      <c r="X334" s="9"/>
      <c r="Y334" s="30">
        <v>353.3</v>
      </c>
      <c r="Z334" s="9"/>
      <c r="AA334" s="30">
        <v>24.6</v>
      </c>
      <c r="AB334" s="9"/>
      <c r="AC334" s="30">
        <v>2.2999999999999998</v>
      </c>
      <c r="AD334" s="9"/>
      <c r="AE334" s="30">
        <v>16.3</v>
      </c>
      <c r="AF334" s="9"/>
      <c r="AG334" s="30">
        <v>0</v>
      </c>
      <c r="AH334" s="9"/>
      <c r="AI334" s="32">
        <v>396.5</v>
      </c>
      <c r="AJ334" s="12"/>
      <c r="AK334" s="22">
        <v>6247551</v>
      </c>
      <c r="AM334" s="22">
        <v>910237</v>
      </c>
      <c r="AO334" s="22">
        <v>86749</v>
      </c>
      <c r="AQ334" s="22">
        <v>1651021</v>
      </c>
      <c r="AS334" s="26">
        <v>8895558</v>
      </c>
      <c r="AU334" s="23">
        <v>17.903600000000001</v>
      </c>
      <c r="AW334" s="23">
        <v>22.696899999999999</v>
      </c>
      <c r="AY334" s="23">
        <v>0.24859999999999999</v>
      </c>
      <c r="BA334" s="23">
        <v>58.486699999999999</v>
      </c>
      <c r="BC334" s="24">
        <v>21.0594</v>
      </c>
      <c r="BE334" s="1" t="str">
        <f t="shared" si="5"/>
        <v>No</v>
      </c>
    </row>
    <row r="335" spans="1:57" ht="11.25" customHeight="1">
      <c r="A335" s="7" t="s">
        <v>277</v>
      </c>
      <c r="B335" s="7" t="s">
        <v>278</v>
      </c>
      <c r="C335" s="37" t="s">
        <v>83</v>
      </c>
      <c r="D335" s="296">
        <v>4001</v>
      </c>
      <c r="E335" s="297">
        <v>40001</v>
      </c>
      <c r="F335" s="27" t="s">
        <v>162</v>
      </c>
      <c r="G335" s="73" t="s">
        <v>158</v>
      </c>
      <c r="H335" s="35">
        <v>381112</v>
      </c>
      <c r="I335" s="35">
        <v>80</v>
      </c>
      <c r="J335" s="37" t="s">
        <v>7</v>
      </c>
      <c r="K335" s="37" t="s">
        <v>159</v>
      </c>
      <c r="L335" s="8">
        <v>60</v>
      </c>
      <c r="M335" s="8">
        <v>193326</v>
      </c>
      <c r="N335" s="9"/>
      <c r="O335" s="8">
        <v>43687</v>
      </c>
      <c r="P335" s="9"/>
      <c r="Q335" s="8">
        <v>5187</v>
      </c>
      <c r="R335" s="9"/>
      <c r="S335" s="8">
        <v>43927</v>
      </c>
      <c r="T335" s="9"/>
      <c r="U335" s="8">
        <v>572</v>
      </c>
      <c r="V335" s="9"/>
      <c r="W335" s="33">
        <v>286699</v>
      </c>
      <c r="X335" s="9"/>
      <c r="Y335" s="30">
        <v>90</v>
      </c>
      <c r="Z335" s="9"/>
      <c r="AA335" s="30">
        <v>23.5</v>
      </c>
      <c r="AB335" s="9"/>
      <c r="AC335" s="30">
        <v>3</v>
      </c>
      <c r="AD335" s="9"/>
      <c r="AE335" s="30">
        <v>23.85</v>
      </c>
      <c r="AF335" s="9"/>
      <c r="AG335" s="30">
        <v>0.33</v>
      </c>
      <c r="AH335" s="9"/>
      <c r="AI335" s="32">
        <v>140.68</v>
      </c>
      <c r="AJ335" s="12"/>
      <c r="AK335" s="22">
        <v>4481416</v>
      </c>
      <c r="AM335" s="22">
        <v>1159565</v>
      </c>
      <c r="AO335" s="22">
        <v>125257</v>
      </c>
      <c r="AQ335" s="22">
        <v>440661</v>
      </c>
      <c r="AS335" s="26">
        <v>6206899</v>
      </c>
      <c r="AU335" s="23">
        <v>23.180599999999998</v>
      </c>
      <c r="AW335" s="23">
        <v>26.5426</v>
      </c>
      <c r="AY335" s="23">
        <v>0.64790000000000003</v>
      </c>
      <c r="BA335" s="23">
        <v>10.031700000000001</v>
      </c>
      <c r="BC335" s="24">
        <v>21.6495</v>
      </c>
      <c r="BE335" s="1" t="str">
        <f t="shared" si="5"/>
        <v>No</v>
      </c>
    </row>
    <row r="336" spans="1:57" ht="11.25" customHeight="1">
      <c r="A336" s="7" t="s">
        <v>740</v>
      </c>
      <c r="B336" s="7" t="s">
        <v>741</v>
      </c>
      <c r="C336" s="37" t="s">
        <v>58</v>
      </c>
      <c r="D336" s="296">
        <v>4173</v>
      </c>
      <c r="E336" s="297">
        <v>40173</v>
      </c>
      <c r="F336" s="27" t="s">
        <v>165</v>
      </c>
      <c r="G336" s="73" t="s">
        <v>158</v>
      </c>
      <c r="H336" s="35">
        <v>311810</v>
      </c>
      <c r="I336" s="35">
        <v>80</v>
      </c>
      <c r="J336" s="37" t="s">
        <v>8</v>
      </c>
      <c r="K336" s="37" t="s">
        <v>159</v>
      </c>
      <c r="L336" s="8">
        <v>54</v>
      </c>
      <c r="M336" s="8">
        <v>0</v>
      </c>
      <c r="N336" s="9"/>
      <c r="O336" s="8">
        <v>0</v>
      </c>
      <c r="P336" s="9"/>
      <c r="Q336" s="8">
        <v>0</v>
      </c>
      <c r="R336" s="9"/>
      <c r="S336" s="8">
        <v>6690</v>
      </c>
      <c r="T336" s="9"/>
      <c r="U336" s="8">
        <v>0</v>
      </c>
      <c r="V336" s="9"/>
      <c r="W336" s="33">
        <v>6690</v>
      </c>
      <c r="X336" s="9"/>
      <c r="Y336" s="30">
        <v>0</v>
      </c>
      <c r="Z336" s="9"/>
      <c r="AA336" s="30">
        <v>0</v>
      </c>
      <c r="AB336" s="9"/>
      <c r="AC336" s="30">
        <v>0</v>
      </c>
      <c r="AD336" s="9"/>
      <c r="AE336" s="30">
        <v>5</v>
      </c>
      <c r="AF336" s="9"/>
      <c r="AG336" s="30">
        <v>0</v>
      </c>
      <c r="AH336" s="9"/>
      <c r="AI336" s="32">
        <v>5</v>
      </c>
      <c r="AJ336" s="12"/>
      <c r="AK336" s="22">
        <v>0</v>
      </c>
      <c r="AM336" s="22">
        <v>0</v>
      </c>
      <c r="AO336" s="22">
        <v>0</v>
      </c>
      <c r="AQ336" s="22">
        <v>163201</v>
      </c>
      <c r="AS336" s="26">
        <v>163201</v>
      </c>
      <c r="BA336" s="23">
        <v>24.3948</v>
      </c>
      <c r="BC336" s="24">
        <v>24.3948</v>
      </c>
      <c r="BE336" s="1" t="str">
        <f t="shared" si="5"/>
        <v>No</v>
      </c>
    </row>
    <row r="337" spans="1:57" ht="11.25" customHeight="1">
      <c r="A337" s="7" t="s">
        <v>275</v>
      </c>
      <c r="B337" s="7" t="s">
        <v>276</v>
      </c>
      <c r="C337" s="37" t="s">
        <v>36</v>
      </c>
      <c r="D337" s="296">
        <v>4025</v>
      </c>
      <c r="E337" s="297">
        <v>40025</v>
      </c>
      <c r="F337" s="27" t="s">
        <v>165</v>
      </c>
      <c r="G337" s="73" t="s">
        <v>158</v>
      </c>
      <c r="H337" s="35">
        <v>260677</v>
      </c>
      <c r="I337" s="35">
        <v>80</v>
      </c>
      <c r="J337" s="37" t="s">
        <v>7</v>
      </c>
      <c r="K337" s="37" t="s">
        <v>159</v>
      </c>
      <c r="L337" s="8">
        <v>52</v>
      </c>
      <c r="M337" s="8">
        <v>237390</v>
      </c>
      <c r="N337" s="9"/>
      <c r="O337" s="8">
        <v>32160</v>
      </c>
      <c r="P337" s="9"/>
      <c r="Q337" s="8">
        <v>28500</v>
      </c>
      <c r="R337" s="9"/>
      <c r="S337" s="8">
        <v>69672</v>
      </c>
      <c r="T337" s="9"/>
      <c r="U337" s="8">
        <v>0</v>
      </c>
      <c r="V337" s="9"/>
      <c r="W337" s="33">
        <v>367722</v>
      </c>
      <c r="X337" s="9"/>
      <c r="Y337" s="30">
        <v>127</v>
      </c>
      <c r="Z337" s="9"/>
      <c r="AA337" s="30">
        <v>17</v>
      </c>
      <c r="AB337" s="9"/>
      <c r="AC337" s="30">
        <v>18</v>
      </c>
      <c r="AD337" s="9"/>
      <c r="AE337" s="30">
        <v>38</v>
      </c>
      <c r="AF337" s="9"/>
      <c r="AG337" s="30">
        <v>0</v>
      </c>
      <c r="AH337" s="9"/>
      <c r="AI337" s="32">
        <v>200</v>
      </c>
      <c r="AJ337" s="12"/>
      <c r="AK337" s="22">
        <v>4855714</v>
      </c>
      <c r="AM337" s="22">
        <v>676964</v>
      </c>
      <c r="AO337" s="22">
        <v>443052</v>
      </c>
      <c r="AQ337" s="22">
        <v>2139403</v>
      </c>
      <c r="AS337" s="26">
        <v>8115133</v>
      </c>
      <c r="AU337" s="23">
        <v>20.454599999999999</v>
      </c>
      <c r="AW337" s="23">
        <v>21.049900000000001</v>
      </c>
      <c r="AY337" s="23">
        <v>1.8663000000000001</v>
      </c>
      <c r="BA337" s="23">
        <v>30.706800000000001</v>
      </c>
      <c r="BC337" s="24">
        <v>22.0687</v>
      </c>
      <c r="BE337" s="1" t="str">
        <f t="shared" si="5"/>
        <v>No</v>
      </c>
    </row>
    <row r="338" spans="1:57" ht="11.25" customHeight="1">
      <c r="A338" s="7" t="s">
        <v>275</v>
      </c>
      <c r="B338" s="7" t="s">
        <v>276</v>
      </c>
      <c r="C338" s="37" t="s">
        <v>36</v>
      </c>
      <c r="D338" s="296">
        <v>4025</v>
      </c>
      <c r="E338" s="297">
        <v>40025</v>
      </c>
      <c r="F338" s="27" t="s">
        <v>165</v>
      </c>
      <c r="G338" s="73" t="s">
        <v>158</v>
      </c>
      <c r="H338" s="35">
        <v>260677</v>
      </c>
      <c r="I338" s="35">
        <v>80</v>
      </c>
      <c r="J338" s="37" t="s">
        <v>10</v>
      </c>
      <c r="K338" s="37" t="s">
        <v>159</v>
      </c>
      <c r="L338" s="8">
        <v>20</v>
      </c>
      <c r="M338" s="8">
        <v>64683</v>
      </c>
      <c r="N338" s="9"/>
      <c r="O338" s="8">
        <v>3922</v>
      </c>
      <c r="P338" s="9"/>
      <c r="Q338" s="8">
        <v>3935</v>
      </c>
      <c r="R338" s="9"/>
      <c r="S338" s="8">
        <v>7848</v>
      </c>
      <c r="T338" s="9"/>
      <c r="U338" s="8">
        <v>0</v>
      </c>
      <c r="V338" s="9"/>
      <c r="W338" s="33">
        <v>80388</v>
      </c>
      <c r="X338" s="9"/>
      <c r="Y338" s="30">
        <v>35</v>
      </c>
      <c r="Z338" s="9"/>
      <c r="AA338" s="30">
        <v>2</v>
      </c>
      <c r="AB338" s="9"/>
      <c r="AC338" s="30">
        <v>2</v>
      </c>
      <c r="AD338" s="9"/>
      <c r="AE338" s="30">
        <v>4</v>
      </c>
      <c r="AF338" s="9"/>
      <c r="AG338" s="30">
        <v>0</v>
      </c>
      <c r="AH338" s="9"/>
      <c r="AI338" s="32">
        <v>43</v>
      </c>
      <c r="AJ338" s="12"/>
      <c r="AK338" s="22">
        <v>806616</v>
      </c>
      <c r="AM338" s="22">
        <v>108977</v>
      </c>
      <c r="AO338" s="22">
        <v>49435</v>
      </c>
      <c r="AQ338" s="22">
        <v>160404</v>
      </c>
      <c r="AS338" s="26">
        <v>1125432</v>
      </c>
      <c r="AU338" s="23">
        <v>12.4703</v>
      </c>
      <c r="AW338" s="23">
        <v>27.786100000000001</v>
      </c>
      <c r="AY338" s="23">
        <v>0.76429999999999998</v>
      </c>
      <c r="BA338" s="23">
        <v>20.438800000000001</v>
      </c>
      <c r="BC338" s="24">
        <v>14</v>
      </c>
      <c r="BE338" s="1" t="str">
        <f t="shared" si="5"/>
        <v>No</v>
      </c>
    </row>
    <row r="339" spans="1:57" ht="11.25" customHeight="1">
      <c r="A339" s="7" t="s">
        <v>277</v>
      </c>
      <c r="B339" s="7" t="s">
        <v>278</v>
      </c>
      <c r="C339" s="37" t="s">
        <v>83</v>
      </c>
      <c r="D339" s="296">
        <v>4001</v>
      </c>
      <c r="E339" s="297">
        <v>40001</v>
      </c>
      <c r="F339" s="27" t="s">
        <v>162</v>
      </c>
      <c r="G339" s="73" t="s">
        <v>158</v>
      </c>
      <c r="H339" s="35">
        <v>381112</v>
      </c>
      <c r="I339" s="35">
        <v>80</v>
      </c>
      <c r="J339" s="37" t="s">
        <v>10</v>
      </c>
      <c r="K339" s="37" t="s">
        <v>159</v>
      </c>
      <c r="L339" s="8">
        <v>15</v>
      </c>
      <c r="M339" s="8">
        <v>42065</v>
      </c>
      <c r="N339" s="9"/>
      <c r="O339" s="8">
        <v>5231</v>
      </c>
      <c r="P339" s="9"/>
      <c r="Q339" s="8">
        <v>0</v>
      </c>
      <c r="R339" s="9"/>
      <c r="S339" s="8">
        <v>15118</v>
      </c>
      <c r="T339" s="9"/>
      <c r="U339" s="8">
        <v>572</v>
      </c>
      <c r="V339" s="9"/>
      <c r="W339" s="33">
        <v>62986</v>
      </c>
      <c r="X339" s="9"/>
      <c r="Y339" s="30">
        <v>33</v>
      </c>
      <c r="Z339" s="9"/>
      <c r="AA339" s="30">
        <v>2.5</v>
      </c>
      <c r="AB339" s="9"/>
      <c r="AC339" s="30">
        <v>0</v>
      </c>
      <c r="AD339" s="9"/>
      <c r="AE339" s="30">
        <v>8.84</v>
      </c>
      <c r="AF339" s="9"/>
      <c r="AG339" s="30">
        <v>0.33</v>
      </c>
      <c r="AH339" s="9"/>
      <c r="AI339" s="32">
        <v>44.67</v>
      </c>
      <c r="AJ339" s="12"/>
      <c r="AK339" s="22">
        <v>767529</v>
      </c>
      <c r="AM339" s="22">
        <v>112174</v>
      </c>
      <c r="AO339" s="22">
        <v>0</v>
      </c>
      <c r="AQ339" s="22">
        <v>203840</v>
      </c>
      <c r="AS339" s="26">
        <v>1083543</v>
      </c>
      <c r="AU339" s="23">
        <v>18.246300000000002</v>
      </c>
      <c r="AW339" s="23">
        <v>21.444099999999999</v>
      </c>
      <c r="AY339" s="23">
        <v>0</v>
      </c>
      <c r="BA339" s="23">
        <v>13.4833</v>
      </c>
      <c r="BC339" s="24">
        <v>17.2029</v>
      </c>
      <c r="BE339" s="1" t="str">
        <f t="shared" si="5"/>
        <v>No</v>
      </c>
    </row>
    <row r="340" spans="1:57" ht="11.25" customHeight="1">
      <c r="A340" s="7" t="s">
        <v>275</v>
      </c>
      <c r="B340" s="7" t="s">
        <v>276</v>
      </c>
      <c r="C340" s="37" t="s">
        <v>36</v>
      </c>
      <c r="D340" s="296">
        <v>4025</v>
      </c>
      <c r="E340" s="297">
        <v>40025</v>
      </c>
      <c r="F340" s="27" t="s">
        <v>165</v>
      </c>
      <c r="G340" s="73" t="s">
        <v>158</v>
      </c>
      <c r="H340" s="35">
        <v>260677</v>
      </c>
      <c r="I340" s="35">
        <v>80</v>
      </c>
      <c r="J340" s="37" t="s">
        <v>19</v>
      </c>
      <c r="K340" s="37" t="s">
        <v>159</v>
      </c>
      <c r="L340" s="8">
        <v>2</v>
      </c>
      <c r="M340" s="8">
        <v>10883</v>
      </c>
      <c r="N340" s="9"/>
      <c r="O340" s="8">
        <v>3896</v>
      </c>
      <c r="P340" s="9"/>
      <c r="Q340" s="8">
        <v>970</v>
      </c>
      <c r="R340" s="9"/>
      <c r="S340" s="8">
        <v>1920</v>
      </c>
      <c r="T340" s="9"/>
      <c r="U340" s="8">
        <v>0</v>
      </c>
      <c r="V340" s="9"/>
      <c r="W340" s="33">
        <v>17669</v>
      </c>
      <c r="X340" s="9"/>
      <c r="Y340" s="30">
        <v>8</v>
      </c>
      <c r="Z340" s="9"/>
      <c r="AA340" s="30">
        <v>2</v>
      </c>
      <c r="AB340" s="9"/>
      <c r="AC340" s="30">
        <v>1</v>
      </c>
      <c r="AD340" s="9"/>
      <c r="AE340" s="30">
        <v>1</v>
      </c>
      <c r="AF340" s="9"/>
      <c r="AG340" s="30">
        <v>0</v>
      </c>
      <c r="AH340" s="9"/>
      <c r="AI340" s="32">
        <v>12</v>
      </c>
      <c r="AJ340" s="12"/>
      <c r="AK340" s="22">
        <v>232784</v>
      </c>
      <c r="AM340" s="22">
        <v>76024</v>
      </c>
      <c r="AO340" s="22">
        <v>12412</v>
      </c>
      <c r="AQ340" s="22">
        <v>78370</v>
      </c>
      <c r="AS340" s="26">
        <v>399590</v>
      </c>
      <c r="AU340" s="23">
        <v>21.389700000000001</v>
      </c>
      <c r="AW340" s="23">
        <v>19.513300000000001</v>
      </c>
      <c r="AY340" s="23">
        <v>1.1405000000000001</v>
      </c>
      <c r="BA340" s="23">
        <v>40.817700000000002</v>
      </c>
      <c r="BC340" s="24">
        <v>22.615300000000001</v>
      </c>
      <c r="BE340" s="1" t="str">
        <f t="shared" si="5"/>
        <v>No</v>
      </c>
    </row>
    <row r="341" spans="1:57" ht="11.25" customHeight="1">
      <c r="A341" s="7" t="s">
        <v>277</v>
      </c>
      <c r="B341" s="7" t="s">
        <v>278</v>
      </c>
      <c r="C341" s="37" t="s">
        <v>83</v>
      </c>
      <c r="D341" s="296">
        <v>4001</v>
      </c>
      <c r="E341" s="297">
        <v>40001</v>
      </c>
      <c r="F341" s="27" t="s">
        <v>162</v>
      </c>
      <c r="G341" s="73" t="s">
        <v>158</v>
      </c>
      <c r="H341" s="35">
        <v>381112</v>
      </c>
      <c r="I341" s="35">
        <v>80</v>
      </c>
      <c r="J341" s="37" t="s">
        <v>78</v>
      </c>
      <c r="K341" s="37" t="s">
        <v>159</v>
      </c>
      <c r="L341" s="8">
        <v>2</v>
      </c>
      <c r="M341" s="8">
        <v>15090</v>
      </c>
      <c r="N341" s="9"/>
      <c r="O341" s="8">
        <v>2891</v>
      </c>
      <c r="P341" s="9"/>
      <c r="Q341" s="8">
        <v>1819</v>
      </c>
      <c r="R341" s="9"/>
      <c r="S341" s="8">
        <v>5959</v>
      </c>
      <c r="T341" s="9"/>
      <c r="U341" s="8">
        <v>572</v>
      </c>
      <c r="V341" s="9"/>
      <c r="W341" s="33">
        <v>26331</v>
      </c>
      <c r="X341" s="9"/>
      <c r="Y341" s="30">
        <v>6</v>
      </c>
      <c r="Z341" s="9"/>
      <c r="AA341" s="30">
        <v>1</v>
      </c>
      <c r="AB341" s="9"/>
      <c r="AC341" s="30">
        <v>1</v>
      </c>
      <c r="AD341" s="9"/>
      <c r="AE341" s="30">
        <v>3.33</v>
      </c>
      <c r="AF341" s="9"/>
      <c r="AG341" s="30">
        <v>0.33</v>
      </c>
      <c r="AH341" s="9"/>
      <c r="AI341" s="32">
        <v>11.66</v>
      </c>
      <c r="AJ341" s="12"/>
      <c r="AK341" s="22">
        <v>380061</v>
      </c>
      <c r="AM341" s="22">
        <v>72238</v>
      </c>
      <c r="AO341" s="22">
        <v>23344</v>
      </c>
      <c r="AQ341" s="22">
        <v>179958</v>
      </c>
      <c r="AS341" s="26">
        <v>655601</v>
      </c>
      <c r="AU341" s="23">
        <v>25.186299999999999</v>
      </c>
      <c r="AW341" s="23">
        <v>24.987200000000001</v>
      </c>
      <c r="AY341" s="23">
        <v>1.5469999999999999</v>
      </c>
      <c r="BA341" s="23">
        <v>30.199400000000001</v>
      </c>
      <c r="BC341" s="24">
        <v>24.898399999999999</v>
      </c>
      <c r="BE341" s="1" t="str">
        <f t="shared" si="5"/>
        <v>No</v>
      </c>
    </row>
    <row r="342" spans="1:57" ht="11.25" customHeight="1">
      <c r="A342" s="7" t="s">
        <v>753</v>
      </c>
      <c r="B342" s="7" t="s">
        <v>662</v>
      </c>
      <c r="C342" s="37" t="s">
        <v>45</v>
      </c>
      <c r="D342" s="296">
        <v>4196</v>
      </c>
      <c r="E342" s="297">
        <v>40196</v>
      </c>
      <c r="F342" s="27" t="s">
        <v>195</v>
      </c>
      <c r="G342" s="73" t="s">
        <v>158</v>
      </c>
      <c r="H342" s="35">
        <v>972546</v>
      </c>
      <c r="I342" s="35">
        <v>79</v>
      </c>
      <c r="J342" s="37" t="s">
        <v>8</v>
      </c>
      <c r="K342" s="37" t="s">
        <v>159</v>
      </c>
      <c r="L342" s="8">
        <v>79</v>
      </c>
      <c r="M342" s="8">
        <v>744</v>
      </c>
      <c r="N342" s="9"/>
      <c r="O342" s="8">
        <v>0</v>
      </c>
      <c r="P342" s="9"/>
      <c r="Q342" s="8">
        <v>0</v>
      </c>
      <c r="R342" s="9"/>
      <c r="S342" s="8">
        <v>8439</v>
      </c>
      <c r="T342" s="9"/>
      <c r="U342" s="8">
        <v>0</v>
      </c>
      <c r="V342" s="9"/>
      <c r="W342" s="33">
        <v>9183</v>
      </c>
      <c r="X342" s="9"/>
      <c r="Y342" s="30">
        <v>0.5</v>
      </c>
      <c r="Z342" s="9"/>
      <c r="AA342" s="30">
        <v>0</v>
      </c>
      <c r="AB342" s="9"/>
      <c r="AC342" s="30">
        <v>0</v>
      </c>
      <c r="AD342" s="9"/>
      <c r="AE342" s="30">
        <v>5.5</v>
      </c>
      <c r="AF342" s="9"/>
      <c r="AG342" s="30">
        <v>0</v>
      </c>
      <c r="AH342" s="9"/>
      <c r="AI342" s="32">
        <v>6</v>
      </c>
      <c r="AJ342" s="12"/>
      <c r="AK342" s="22">
        <v>17727</v>
      </c>
      <c r="AM342" s="22">
        <v>0</v>
      </c>
      <c r="AO342" s="22">
        <v>0</v>
      </c>
      <c r="AQ342" s="22">
        <v>231468</v>
      </c>
      <c r="AS342" s="26">
        <v>249195</v>
      </c>
      <c r="AU342" s="23">
        <v>23.826599999999999</v>
      </c>
      <c r="AY342" s="23">
        <v>0</v>
      </c>
      <c r="BA342" s="23">
        <v>27.4284</v>
      </c>
      <c r="BC342" s="24">
        <v>27.136600000000001</v>
      </c>
      <c r="BE342" s="1" t="str">
        <f t="shared" si="5"/>
        <v>No</v>
      </c>
    </row>
    <row r="343" spans="1:57" ht="11.25" customHeight="1">
      <c r="A343" s="7" t="s">
        <v>1125</v>
      </c>
      <c r="B343" s="7" t="s">
        <v>1126</v>
      </c>
      <c r="C343" s="37" t="s">
        <v>45</v>
      </c>
      <c r="D343" s="296" t="s">
        <v>1127</v>
      </c>
      <c r="E343" s="297">
        <v>41105</v>
      </c>
      <c r="F343" s="27" t="s">
        <v>187</v>
      </c>
      <c r="G343" s="73" t="s">
        <v>158</v>
      </c>
      <c r="H343" s="35">
        <v>70543</v>
      </c>
      <c r="I343" s="35">
        <v>78</v>
      </c>
      <c r="J343" s="37" t="s">
        <v>10</v>
      </c>
      <c r="K343" s="37" t="s">
        <v>159</v>
      </c>
      <c r="L343" s="8">
        <v>78</v>
      </c>
      <c r="M343" s="8">
        <v>159460</v>
      </c>
      <c r="N343" s="9"/>
      <c r="O343" s="8">
        <v>8068</v>
      </c>
      <c r="P343" s="9"/>
      <c r="Q343" s="8">
        <v>3835</v>
      </c>
      <c r="R343" s="9"/>
      <c r="S343" s="8">
        <v>14973</v>
      </c>
      <c r="T343" s="9"/>
      <c r="U343" s="8">
        <v>0</v>
      </c>
      <c r="V343" s="9"/>
      <c r="W343" s="33">
        <v>186336</v>
      </c>
      <c r="X343" s="9" t="s">
        <v>121</v>
      </c>
      <c r="Y343" s="30">
        <v>125</v>
      </c>
      <c r="Z343" s="9"/>
      <c r="AA343" s="30">
        <v>6</v>
      </c>
      <c r="AB343" s="9"/>
      <c r="AC343" s="30">
        <v>2</v>
      </c>
      <c r="AD343" s="9"/>
      <c r="AE343" s="30">
        <v>12</v>
      </c>
      <c r="AF343" s="9"/>
      <c r="AG343" s="30">
        <v>0</v>
      </c>
      <c r="AH343" s="9"/>
      <c r="AI343" s="32">
        <v>145</v>
      </c>
      <c r="AJ343" s="12"/>
      <c r="AK343" s="22">
        <v>1895100</v>
      </c>
      <c r="AM343" s="22">
        <v>157443</v>
      </c>
      <c r="AO343" s="22">
        <v>9262</v>
      </c>
      <c r="AP343" s="22" t="s">
        <v>121</v>
      </c>
      <c r="AQ343" s="22">
        <v>254274</v>
      </c>
      <c r="AS343" s="26">
        <v>2316079</v>
      </c>
      <c r="AT343" s="22" t="s">
        <v>121</v>
      </c>
      <c r="AU343" s="23">
        <v>11.884499999999999</v>
      </c>
      <c r="AW343" s="23">
        <v>19.514500000000002</v>
      </c>
      <c r="AY343" s="23">
        <v>5.8099999999999999E-2</v>
      </c>
      <c r="AZ343" s="23" t="s">
        <v>121</v>
      </c>
      <c r="BA343" s="23">
        <v>16.982199999999999</v>
      </c>
      <c r="BC343" s="24">
        <v>12.429600000000001</v>
      </c>
      <c r="BD343" s="1" t="s">
        <v>121</v>
      </c>
      <c r="BE343" s="1" t="str">
        <f t="shared" si="5"/>
        <v>Yes</v>
      </c>
    </row>
    <row r="344" spans="1:57" ht="11.25" customHeight="1">
      <c r="A344" s="7" t="s">
        <v>552</v>
      </c>
      <c r="B344" s="7" t="s">
        <v>553</v>
      </c>
      <c r="C344" s="37" t="s">
        <v>63</v>
      </c>
      <c r="D344" s="296">
        <v>2075</v>
      </c>
      <c r="E344" s="297">
        <v>20075</v>
      </c>
      <c r="F344" s="27" t="s">
        <v>165</v>
      </c>
      <c r="G344" s="73" t="s">
        <v>158</v>
      </c>
      <c r="H344" s="35">
        <v>5441567</v>
      </c>
      <c r="I344" s="35">
        <v>78</v>
      </c>
      <c r="J344" s="37" t="s">
        <v>20</v>
      </c>
      <c r="K344" s="37" t="s">
        <v>159</v>
      </c>
      <c r="L344" s="8">
        <v>78</v>
      </c>
      <c r="M344" s="8">
        <v>265733</v>
      </c>
      <c r="N344" s="9"/>
      <c r="O344" s="8">
        <v>111625</v>
      </c>
      <c r="P344" s="9"/>
      <c r="Q344" s="8">
        <v>201799</v>
      </c>
      <c r="R344" s="9"/>
      <c r="S344" s="8">
        <v>60079</v>
      </c>
      <c r="T344" s="9"/>
      <c r="U344" s="8">
        <v>30017</v>
      </c>
      <c r="V344" s="9"/>
      <c r="W344" s="33">
        <v>669253</v>
      </c>
      <c r="X344" s="9"/>
      <c r="Y344" s="30">
        <v>136</v>
      </c>
      <c r="Z344" s="9"/>
      <c r="AA344" s="30">
        <v>68</v>
      </c>
      <c r="AB344" s="9"/>
      <c r="AC344" s="30">
        <v>99</v>
      </c>
      <c r="AD344" s="9"/>
      <c r="AE344" s="30">
        <v>36</v>
      </c>
      <c r="AF344" s="9"/>
      <c r="AG344" s="30">
        <v>18</v>
      </c>
      <c r="AH344" s="9"/>
      <c r="AI344" s="32">
        <v>357</v>
      </c>
      <c r="AJ344" s="12"/>
      <c r="AK344" s="22">
        <v>7892049</v>
      </c>
      <c r="AM344" s="22">
        <v>3915463</v>
      </c>
      <c r="AO344" s="22">
        <v>7072685</v>
      </c>
      <c r="AQ344" s="22">
        <v>1622122</v>
      </c>
      <c r="AS344" s="26">
        <v>20502319</v>
      </c>
      <c r="AU344" s="23">
        <v>29.699200000000001</v>
      </c>
      <c r="AW344" s="23">
        <v>35.076900000000002</v>
      </c>
      <c r="AY344" s="23">
        <v>26.6158</v>
      </c>
      <c r="BA344" s="23">
        <v>26.9998</v>
      </c>
      <c r="BC344" s="24">
        <v>30.634599999999999</v>
      </c>
      <c r="BE344" s="1" t="str">
        <f t="shared" si="5"/>
        <v>No</v>
      </c>
    </row>
    <row r="345" spans="1:57" ht="11.25" customHeight="1">
      <c r="A345" s="7" t="s">
        <v>251</v>
      </c>
      <c r="B345" s="7" t="s">
        <v>252</v>
      </c>
      <c r="C345" s="37" t="s">
        <v>46</v>
      </c>
      <c r="D345" s="296">
        <v>6022</v>
      </c>
      <c r="E345" s="297">
        <v>60022</v>
      </c>
      <c r="F345" s="27" t="s">
        <v>165</v>
      </c>
      <c r="G345" s="73" t="s">
        <v>158</v>
      </c>
      <c r="H345" s="35">
        <v>594309</v>
      </c>
      <c r="I345" s="35">
        <v>78</v>
      </c>
      <c r="J345" s="37" t="s">
        <v>7</v>
      </c>
      <c r="K345" s="37" t="s">
        <v>159</v>
      </c>
      <c r="L345" s="8">
        <v>60</v>
      </c>
      <c r="M345" s="8">
        <v>361526</v>
      </c>
      <c r="N345" s="9"/>
      <c r="O345" s="8">
        <v>88693</v>
      </c>
      <c r="P345" s="9"/>
      <c r="Q345" s="8">
        <v>30422</v>
      </c>
      <c r="R345" s="9"/>
      <c r="S345" s="8">
        <v>90936</v>
      </c>
      <c r="T345" s="9"/>
      <c r="U345" s="8">
        <v>0</v>
      </c>
      <c r="V345" s="9"/>
      <c r="W345" s="33">
        <v>571577</v>
      </c>
      <c r="X345" s="9"/>
      <c r="Y345" s="30">
        <v>174</v>
      </c>
      <c r="Z345" s="9"/>
      <c r="AA345" s="30">
        <v>41</v>
      </c>
      <c r="AB345" s="9"/>
      <c r="AC345" s="30">
        <v>14</v>
      </c>
      <c r="AD345" s="9"/>
      <c r="AE345" s="30">
        <v>66</v>
      </c>
      <c r="AF345" s="9"/>
      <c r="AG345" s="30">
        <v>0</v>
      </c>
      <c r="AH345" s="9"/>
      <c r="AI345" s="32">
        <v>295</v>
      </c>
      <c r="AJ345" s="12"/>
      <c r="AK345" s="22">
        <v>7845122</v>
      </c>
      <c r="AM345" s="22">
        <v>2252609</v>
      </c>
      <c r="AO345" s="22">
        <v>361003</v>
      </c>
      <c r="AQ345" s="22">
        <v>1601526</v>
      </c>
      <c r="AS345" s="26">
        <v>12060260</v>
      </c>
      <c r="AU345" s="23">
        <v>21.7</v>
      </c>
      <c r="AW345" s="23">
        <v>25.3978</v>
      </c>
      <c r="AY345" s="23">
        <v>0.99860000000000004</v>
      </c>
      <c r="BA345" s="23">
        <v>17.611599999999999</v>
      </c>
      <c r="BC345" s="24">
        <v>21.1</v>
      </c>
      <c r="BE345" s="1" t="str">
        <f t="shared" si="5"/>
        <v>No</v>
      </c>
    </row>
    <row r="346" spans="1:57" ht="11.25" customHeight="1">
      <c r="A346" s="7" t="s">
        <v>437</v>
      </c>
      <c r="B346" s="7" t="s">
        <v>438</v>
      </c>
      <c r="C346" s="37" t="s">
        <v>83</v>
      </c>
      <c r="D346" s="296">
        <v>4002</v>
      </c>
      <c r="E346" s="297">
        <v>40002</v>
      </c>
      <c r="F346" s="27" t="s">
        <v>162</v>
      </c>
      <c r="G346" s="73" t="s">
        <v>158</v>
      </c>
      <c r="H346" s="35">
        <v>558696</v>
      </c>
      <c r="I346" s="35">
        <v>78</v>
      </c>
      <c r="J346" s="37" t="s">
        <v>7</v>
      </c>
      <c r="K346" s="37" t="s">
        <v>159</v>
      </c>
      <c r="L346" s="8">
        <v>59</v>
      </c>
      <c r="M346" s="8">
        <v>303135</v>
      </c>
      <c r="N346" s="9"/>
      <c r="O346" s="8">
        <v>80070</v>
      </c>
      <c r="P346" s="9"/>
      <c r="Q346" s="8">
        <v>1850</v>
      </c>
      <c r="R346" s="9"/>
      <c r="S346" s="8">
        <v>32036</v>
      </c>
      <c r="T346" s="9"/>
      <c r="U346" s="8">
        <v>0</v>
      </c>
      <c r="V346" s="9"/>
      <c r="W346" s="33">
        <v>417091</v>
      </c>
      <c r="X346" s="9"/>
      <c r="Y346" s="30">
        <v>170</v>
      </c>
      <c r="Z346" s="9"/>
      <c r="AA346" s="30">
        <v>44.7</v>
      </c>
      <c r="AB346" s="9"/>
      <c r="AC346" s="30">
        <v>0.9</v>
      </c>
      <c r="AD346" s="9"/>
      <c r="AE346" s="30">
        <v>15.1</v>
      </c>
      <c r="AF346" s="9"/>
      <c r="AG346" s="30">
        <v>0</v>
      </c>
      <c r="AH346" s="9"/>
      <c r="AI346" s="32">
        <v>230.7</v>
      </c>
      <c r="AJ346" s="12"/>
      <c r="AK346" s="22">
        <v>5811064</v>
      </c>
      <c r="AM346" s="22">
        <v>1506505</v>
      </c>
      <c r="AO346" s="22">
        <v>27964</v>
      </c>
      <c r="AQ346" s="22">
        <v>672910</v>
      </c>
      <c r="AS346" s="26">
        <v>8018443</v>
      </c>
      <c r="AU346" s="23">
        <v>19.169899999999998</v>
      </c>
      <c r="AW346" s="23">
        <v>18.814800000000002</v>
      </c>
      <c r="AY346" s="23">
        <v>9.2200000000000004E-2</v>
      </c>
      <c r="BA346" s="23">
        <v>21.004799999999999</v>
      </c>
      <c r="BC346" s="24">
        <v>19.224699999999999</v>
      </c>
      <c r="BE346" s="1" t="str">
        <f t="shared" si="5"/>
        <v>No</v>
      </c>
    </row>
    <row r="347" spans="1:57" ht="11.25" customHeight="1">
      <c r="A347" s="7" t="s">
        <v>61</v>
      </c>
      <c r="B347" s="7" t="s">
        <v>625</v>
      </c>
      <c r="C347" s="37" t="s">
        <v>60</v>
      </c>
      <c r="D347" s="296">
        <v>7001</v>
      </c>
      <c r="E347" s="297">
        <v>70001</v>
      </c>
      <c r="F347" s="27" t="s">
        <v>162</v>
      </c>
      <c r="G347" s="73" t="s">
        <v>158</v>
      </c>
      <c r="H347" s="35">
        <v>258719</v>
      </c>
      <c r="I347" s="35">
        <v>78</v>
      </c>
      <c r="J347" s="37" t="s">
        <v>7</v>
      </c>
      <c r="K347" s="37" t="s">
        <v>159</v>
      </c>
      <c r="L347" s="8">
        <v>56</v>
      </c>
      <c r="M347" s="8">
        <v>164440</v>
      </c>
      <c r="N347" s="9"/>
      <c r="O347" s="8">
        <v>34897</v>
      </c>
      <c r="P347" s="9"/>
      <c r="Q347" s="8">
        <v>0</v>
      </c>
      <c r="R347" s="9"/>
      <c r="S347" s="8">
        <v>19422</v>
      </c>
      <c r="T347" s="9"/>
      <c r="U347" s="8">
        <v>0</v>
      </c>
      <c r="V347" s="9"/>
      <c r="W347" s="33">
        <v>218759</v>
      </c>
      <c r="X347" s="9"/>
      <c r="Y347" s="30">
        <v>81.8</v>
      </c>
      <c r="Z347" s="9"/>
      <c r="AA347" s="30">
        <v>17.8</v>
      </c>
      <c r="AB347" s="9"/>
      <c r="AC347" s="30">
        <v>0</v>
      </c>
      <c r="AD347" s="9"/>
      <c r="AE347" s="30">
        <v>9.1999999999999993</v>
      </c>
      <c r="AF347" s="9"/>
      <c r="AG347" s="30">
        <v>0</v>
      </c>
      <c r="AH347" s="9"/>
      <c r="AI347" s="32">
        <v>108.8</v>
      </c>
      <c r="AJ347" s="12"/>
      <c r="AK347" s="22">
        <v>3463454</v>
      </c>
      <c r="AM347" s="22">
        <v>735237</v>
      </c>
      <c r="AO347" s="22">
        <v>0</v>
      </c>
      <c r="AQ347" s="22">
        <v>552351</v>
      </c>
      <c r="AS347" s="26">
        <v>4751042</v>
      </c>
      <c r="AU347" s="23">
        <v>21.062100000000001</v>
      </c>
      <c r="AW347" s="23">
        <v>21.0688</v>
      </c>
      <c r="AY347" s="23">
        <v>0</v>
      </c>
      <c r="BA347" s="23">
        <v>28.439499999999999</v>
      </c>
      <c r="BC347" s="24">
        <v>21.7182</v>
      </c>
      <c r="BE347" s="1" t="str">
        <f t="shared" si="5"/>
        <v>No</v>
      </c>
    </row>
    <row r="348" spans="1:57" ht="11.25" customHeight="1">
      <c r="A348" s="7" t="s">
        <v>437</v>
      </c>
      <c r="B348" s="7" t="s">
        <v>438</v>
      </c>
      <c r="C348" s="37" t="s">
        <v>83</v>
      </c>
      <c r="D348" s="296">
        <v>4002</v>
      </c>
      <c r="E348" s="297">
        <v>40002</v>
      </c>
      <c r="F348" s="27" t="s">
        <v>162</v>
      </c>
      <c r="G348" s="73" t="s">
        <v>158</v>
      </c>
      <c r="H348" s="35">
        <v>558696</v>
      </c>
      <c r="I348" s="35">
        <v>78</v>
      </c>
      <c r="J348" s="37" t="s">
        <v>10</v>
      </c>
      <c r="K348" s="37" t="s">
        <v>159</v>
      </c>
      <c r="L348" s="8">
        <v>19</v>
      </c>
      <c r="M348" s="8">
        <v>44381</v>
      </c>
      <c r="N348" s="9"/>
      <c r="O348" s="8">
        <v>6962</v>
      </c>
      <c r="P348" s="9"/>
      <c r="Q348" s="8">
        <v>200</v>
      </c>
      <c r="R348" s="9"/>
      <c r="S348" s="8">
        <v>2786</v>
      </c>
      <c r="T348" s="9"/>
      <c r="U348" s="8">
        <v>0</v>
      </c>
      <c r="V348" s="9"/>
      <c r="W348" s="33">
        <v>54329</v>
      </c>
      <c r="X348" s="9"/>
      <c r="Y348" s="30">
        <v>24.7</v>
      </c>
      <c r="Z348" s="9"/>
      <c r="AA348" s="30">
        <v>3.9</v>
      </c>
      <c r="AB348" s="9"/>
      <c r="AC348" s="30">
        <v>0.1</v>
      </c>
      <c r="AD348" s="9"/>
      <c r="AE348" s="30">
        <v>1</v>
      </c>
      <c r="AF348" s="9"/>
      <c r="AG348" s="30">
        <v>0</v>
      </c>
      <c r="AH348" s="9"/>
      <c r="AI348" s="32">
        <v>29.7</v>
      </c>
      <c r="AJ348" s="12"/>
      <c r="AK348" s="22">
        <v>848056</v>
      </c>
      <c r="AM348" s="22">
        <v>131000</v>
      </c>
      <c r="AO348" s="22">
        <v>2875</v>
      </c>
      <c r="AQ348" s="22">
        <v>58514</v>
      </c>
      <c r="AS348" s="26">
        <v>1040445</v>
      </c>
      <c r="AU348" s="23">
        <v>19.108499999999999</v>
      </c>
      <c r="AW348" s="23">
        <v>18.816400000000002</v>
      </c>
      <c r="AY348" s="23">
        <v>6.4799999999999996E-2</v>
      </c>
      <c r="BA348" s="23">
        <v>21.0029</v>
      </c>
      <c r="BC348" s="24">
        <v>19.1508</v>
      </c>
      <c r="BE348" s="1" t="str">
        <f t="shared" si="5"/>
        <v>No</v>
      </c>
    </row>
    <row r="349" spans="1:57" ht="11.25" customHeight="1">
      <c r="A349" s="7" t="s">
        <v>456</v>
      </c>
      <c r="B349" s="7" t="s">
        <v>457</v>
      </c>
      <c r="C349" s="37" t="s">
        <v>47</v>
      </c>
      <c r="D349" s="296">
        <v>1005</v>
      </c>
      <c r="E349" s="297">
        <v>10005</v>
      </c>
      <c r="F349" s="27" t="s">
        <v>165</v>
      </c>
      <c r="G349" s="73" t="s">
        <v>158</v>
      </c>
      <c r="H349" s="35">
        <v>4181019</v>
      </c>
      <c r="I349" s="35">
        <v>78</v>
      </c>
      <c r="J349" s="37" t="s">
        <v>10</v>
      </c>
      <c r="K349" s="37" t="s">
        <v>159</v>
      </c>
      <c r="L349" s="8">
        <v>18</v>
      </c>
      <c r="M349" s="8">
        <v>28454</v>
      </c>
      <c r="N349" s="9"/>
      <c r="O349" s="8">
        <v>0</v>
      </c>
      <c r="P349" s="9"/>
      <c r="Q349" s="8">
        <v>0</v>
      </c>
      <c r="R349" s="9"/>
      <c r="S349" s="8">
        <v>553</v>
      </c>
      <c r="T349" s="9"/>
      <c r="U349" s="8">
        <v>0</v>
      </c>
      <c r="V349" s="9"/>
      <c r="W349" s="33">
        <v>29007</v>
      </c>
      <c r="X349" s="9"/>
      <c r="Y349" s="30">
        <v>40.299999999999997</v>
      </c>
      <c r="Z349" s="9"/>
      <c r="AA349" s="30">
        <v>0</v>
      </c>
      <c r="AB349" s="9"/>
      <c r="AC349" s="30">
        <v>0</v>
      </c>
      <c r="AD349" s="9"/>
      <c r="AE349" s="30">
        <v>0.3</v>
      </c>
      <c r="AF349" s="9"/>
      <c r="AG349" s="30">
        <v>0</v>
      </c>
      <c r="AH349" s="9"/>
      <c r="AI349" s="32">
        <v>40.6</v>
      </c>
      <c r="AJ349" s="12"/>
      <c r="AK349" s="22">
        <v>652726</v>
      </c>
      <c r="AM349" s="22">
        <v>0</v>
      </c>
      <c r="AO349" s="22">
        <v>0</v>
      </c>
      <c r="AQ349" s="22">
        <v>17098</v>
      </c>
      <c r="AS349" s="26">
        <v>669824</v>
      </c>
      <c r="AU349" s="23">
        <v>22.939699999999998</v>
      </c>
      <c r="AY349" s="23">
        <v>0</v>
      </c>
      <c r="BA349" s="23">
        <v>30.918600000000001</v>
      </c>
      <c r="BC349" s="24">
        <v>23.091799999999999</v>
      </c>
      <c r="BE349" s="1" t="str">
        <f t="shared" si="5"/>
        <v>No</v>
      </c>
    </row>
    <row r="350" spans="1:57" ht="11.25" customHeight="1">
      <c r="A350" s="7" t="s">
        <v>61</v>
      </c>
      <c r="B350" s="7" t="s">
        <v>625</v>
      </c>
      <c r="C350" s="37" t="s">
        <v>60</v>
      </c>
      <c r="D350" s="296">
        <v>7001</v>
      </c>
      <c r="E350" s="297">
        <v>70001</v>
      </c>
      <c r="F350" s="27" t="s">
        <v>162</v>
      </c>
      <c r="G350" s="73" t="s">
        <v>158</v>
      </c>
      <c r="H350" s="35">
        <v>258719</v>
      </c>
      <c r="I350" s="35">
        <v>78</v>
      </c>
      <c r="J350" s="37" t="s">
        <v>10</v>
      </c>
      <c r="K350" s="37" t="s">
        <v>159</v>
      </c>
      <c r="L350" s="8">
        <v>9</v>
      </c>
      <c r="M350" s="8">
        <v>24840</v>
      </c>
      <c r="N350" s="9"/>
      <c r="O350" s="8">
        <v>5583</v>
      </c>
      <c r="P350" s="9"/>
      <c r="Q350" s="8">
        <v>0</v>
      </c>
      <c r="R350" s="9"/>
      <c r="S350" s="8">
        <v>3277</v>
      </c>
      <c r="T350" s="9"/>
      <c r="U350" s="8">
        <v>0</v>
      </c>
      <c r="V350" s="9"/>
      <c r="W350" s="33">
        <v>33700</v>
      </c>
      <c r="X350" s="9"/>
      <c r="Y350" s="30">
        <v>12.4</v>
      </c>
      <c r="Z350" s="9"/>
      <c r="AA350" s="30">
        <v>2.8</v>
      </c>
      <c r="AB350" s="9"/>
      <c r="AC350" s="30">
        <v>0</v>
      </c>
      <c r="AD350" s="9"/>
      <c r="AE350" s="30">
        <v>1.6</v>
      </c>
      <c r="AF350" s="9"/>
      <c r="AG350" s="30">
        <v>0</v>
      </c>
      <c r="AH350" s="9"/>
      <c r="AI350" s="32">
        <v>16.8</v>
      </c>
      <c r="AJ350" s="12"/>
      <c r="AK350" s="22">
        <v>520048</v>
      </c>
      <c r="AM350" s="22">
        <v>118142</v>
      </c>
      <c r="AO350" s="22">
        <v>0</v>
      </c>
      <c r="AQ350" s="22">
        <v>61472</v>
      </c>
      <c r="AS350" s="26">
        <v>699662</v>
      </c>
      <c r="AU350" s="23">
        <v>20.9359</v>
      </c>
      <c r="AW350" s="23">
        <v>21.161000000000001</v>
      </c>
      <c r="AY350" s="23">
        <v>0</v>
      </c>
      <c r="BA350" s="23">
        <v>18.758600000000001</v>
      </c>
      <c r="BC350" s="24">
        <v>20.761500000000002</v>
      </c>
      <c r="BE350" s="1" t="str">
        <f t="shared" si="5"/>
        <v>No</v>
      </c>
    </row>
    <row r="351" spans="1:57" ht="11.25" customHeight="1">
      <c r="A351" s="7" t="s">
        <v>263</v>
      </c>
      <c r="B351" s="7" t="s">
        <v>264</v>
      </c>
      <c r="C351" s="37" t="s">
        <v>75</v>
      </c>
      <c r="D351" s="296">
        <v>6017</v>
      </c>
      <c r="E351" s="297">
        <v>60017</v>
      </c>
      <c r="F351" s="27" t="s">
        <v>162</v>
      </c>
      <c r="G351" s="73" t="s">
        <v>158</v>
      </c>
      <c r="H351" s="35">
        <v>861505</v>
      </c>
      <c r="I351" s="35">
        <v>77</v>
      </c>
      <c r="J351" s="37" t="s">
        <v>7</v>
      </c>
      <c r="K351" s="37" t="s">
        <v>159</v>
      </c>
      <c r="L351" s="8">
        <v>48</v>
      </c>
      <c r="M351" s="8">
        <v>223699</v>
      </c>
      <c r="N351" s="9"/>
      <c r="O351" s="8">
        <v>64466</v>
      </c>
      <c r="P351" s="9"/>
      <c r="Q351" s="8">
        <v>16667</v>
      </c>
      <c r="R351" s="9"/>
      <c r="S351" s="8">
        <v>48509</v>
      </c>
      <c r="T351" s="9"/>
      <c r="U351" s="8">
        <v>0</v>
      </c>
      <c r="V351" s="9"/>
      <c r="W351" s="33">
        <v>353341</v>
      </c>
      <c r="X351" s="9"/>
      <c r="Y351" s="30">
        <v>127.4</v>
      </c>
      <c r="Z351" s="9"/>
      <c r="AA351" s="30">
        <v>38.4</v>
      </c>
      <c r="AB351" s="9"/>
      <c r="AC351" s="30">
        <v>9.9</v>
      </c>
      <c r="AD351" s="9"/>
      <c r="AE351" s="30">
        <v>33.520000000000003</v>
      </c>
      <c r="AF351" s="9"/>
      <c r="AG351" s="30">
        <v>0</v>
      </c>
      <c r="AH351" s="9"/>
      <c r="AI351" s="32">
        <v>209.22</v>
      </c>
      <c r="AJ351" s="12"/>
      <c r="AK351" s="22">
        <v>5207783</v>
      </c>
      <c r="AM351" s="22">
        <v>1665174</v>
      </c>
      <c r="AO351" s="22">
        <v>410686</v>
      </c>
      <c r="AQ351" s="22">
        <v>1948062</v>
      </c>
      <c r="AS351" s="26">
        <v>9231705</v>
      </c>
      <c r="AU351" s="23">
        <v>23.2803</v>
      </c>
      <c r="AW351" s="23">
        <v>25.830300000000001</v>
      </c>
      <c r="AY351" s="23">
        <v>1.8359000000000001</v>
      </c>
      <c r="BA351" s="23">
        <v>40.158799999999999</v>
      </c>
      <c r="BC351" s="24">
        <v>26.126899999999999</v>
      </c>
      <c r="BE351" s="1" t="str">
        <f t="shared" si="5"/>
        <v>No</v>
      </c>
    </row>
    <row r="352" spans="1:57" ht="11.25" customHeight="1">
      <c r="A352" s="7" t="s">
        <v>458</v>
      </c>
      <c r="B352" s="7" t="s">
        <v>184</v>
      </c>
      <c r="C352" s="37" t="s">
        <v>77</v>
      </c>
      <c r="D352" s="296">
        <v>3015</v>
      </c>
      <c r="E352" s="297">
        <v>30015</v>
      </c>
      <c r="F352" s="27" t="s">
        <v>165</v>
      </c>
      <c r="G352" s="73" t="s">
        <v>158</v>
      </c>
      <c r="H352" s="35">
        <v>381502</v>
      </c>
      <c r="I352" s="35">
        <v>77</v>
      </c>
      <c r="J352" s="37" t="s">
        <v>10</v>
      </c>
      <c r="K352" s="37" t="s">
        <v>159</v>
      </c>
      <c r="L352" s="8">
        <v>45</v>
      </c>
      <c r="M352" s="8">
        <v>88011</v>
      </c>
      <c r="N352" s="9"/>
      <c r="O352" s="8">
        <v>4598</v>
      </c>
      <c r="P352" s="9"/>
      <c r="Q352" s="8">
        <v>364</v>
      </c>
      <c r="R352" s="9"/>
      <c r="S352" s="8">
        <v>7939</v>
      </c>
      <c r="T352" s="9"/>
      <c r="U352" s="8">
        <v>0</v>
      </c>
      <c r="V352" s="9"/>
      <c r="W352" s="33">
        <v>100912</v>
      </c>
      <c r="X352" s="9"/>
      <c r="Y352" s="30">
        <v>44</v>
      </c>
      <c r="Z352" s="9"/>
      <c r="AA352" s="30">
        <v>2</v>
      </c>
      <c r="AB352" s="9"/>
      <c r="AC352" s="30">
        <v>0.25</v>
      </c>
      <c r="AD352" s="9"/>
      <c r="AE352" s="30">
        <v>10</v>
      </c>
      <c r="AF352" s="9"/>
      <c r="AG352" s="30">
        <v>0</v>
      </c>
      <c r="AH352" s="9"/>
      <c r="AI352" s="32">
        <v>56.25</v>
      </c>
      <c r="AJ352" s="12"/>
      <c r="AK352" s="22">
        <v>1217685</v>
      </c>
      <c r="AM352" s="22">
        <v>91734</v>
      </c>
      <c r="AO352" s="22">
        <v>4220</v>
      </c>
      <c r="AQ352" s="22">
        <v>125502</v>
      </c>
      <c r="AS352" s="26">
        <v>1439141</v>
      </c>
      <c r="AU352" s="23">
        <v>13.835599999999999</v>
      </c>
      <c r="AW352" s="23">
        <v>19.950800000000001</v>
      </c>
      <c r="AY352" s="23">
        <v>4.7899999999999998E-2</v>
      </c>
      <c r="BA352" s="23">
        <v>15.808299999999999</v>
      </c>
      <c r="BC352" s="24">
        <v>14.2613</v>
      </c>
      <c r="BE352" s="1" t="str">
        <f t="shared" si="5"/>
        <v>No</v>
      </c>
    </row>
    <row r="353" spans="1:57" ht="11.25" customHeight="1">
      <c r="A353" s="7" t="s">
        <v>458</v>
      </c>
      <c r="B353" s="7" t="s">
        <v>184</v>
      </c>
      <c r="C353" s="37" t="s">
        <v>77</v>
      </c>
      <c r="D353" s="296">
        <v>3015</v>
      </c>
      <c r="E353" s="297">
        <v>30015</v>
      </c>
      <c r="F353" s="27" t="s">
        <v>165</v>
      </c>
      <c r="G353" s="73" t="s">
        <v>158</v>
      </c>
      <c r="H353" s="35">
        <v>381502</v>
      </c>
      <c r="I353" s="35">
        <v>77</v>
      </c>
      <c r="J353" s="37" t="s">
        <v>7</v>
      </c>
      <c r="K353" s="37" t="s">
        <v>159</v>
      </c>
      <c r="L353" s="8">
        <v>32</v>
      </c>
      <c r="M353" s="8">
        <v>111305</v>
      </c>
      <c r="N353" s="9"/>
      <c r="O353" s="8">
        <v>34931</v>
      </c>
      <c r="P353" s="9"/>
      <c r="Q353" s="8">
        <v>2153</v>
      </c>
      <c r="R353" s="9"/>
      <c r="S353" s="8">
        <v>25014</v>
      </c>
      <c r="T353" s="9"/>
      <c r="U353" s="8">
        <v>0</v>
      </c>
      <c r="V353" s="9"/>
      <c r="W353" s="33">
        <v>173403</v>
      </c>
      <c r="X353" s="9"/>
      <c r="Y353" s="30">
        <v>58.73</v>
      </c>
      <c r="Z353" s="9"/>
      <c r="AA353" s="30">
        <v>22.57</v>
      </c>
      <c r="AB353" s="9"/>
      <c r="AC353" s="30">
        <v>1.82</v>
      </c>
      <c r="AD353" s="9"/>
      <c r="AE353" s="30">
        <v>16.03</v>
      </c>
      <c r="AF353" s="9"/>
      <c r="AG353" s="30">
        <v>0</v>
      </c>
      <c r="AH353" s="9"/>
      <c r="AI353" s="32">
        <v>99.15</v>
      </c>
      <c r="AJ353" s="12"/>
      <c r="AK353" s="22">
        <v>2662002</v>
      </c>
      <c r="AM353" s="22">
        <v>810332</v>
      </c>
      <c r="AO353" s="22">
        <v>55481</v>
      </c>
      <c r="AQ353" s="22">
        <v>481757</v>
      </c>
      <c r="AS353" s="26">
        <v>4009572</v>
      </c>
      <c r="AU353" s="23">
        <v>23.9163</v>
      </c>
      <c r="AW353" s="23">
        <v>23.1981</v>
      </c>
      <c r="AY353" s="23">
        <v>0.4985</v>
      </c>
      <c r="BA353" s="23">
        <v>19.259499999999999</v>
      </c>
      <c r="BC353" s="24">
        <v>23.122900000000001</v>
      </c>
      <c r="BE353" s="1" t="str">
        <f t="shared" si="5"/>
        <v>No</v>
      </c>
    </row>
    <row r="354" spans="1:57" ht="11.25" customHeight="1">
      <c r="A354" s="7" t="s">
        <v>263</v>
      </c>
      <c r="B354" s="7" t="s">
        <v>264</v>
      </c>
      <c r="C354" s="37" t="s">
        <v>75</v>
      </c>
      <c r="D354" s="296">
        <v>6017</v>
      </c>
      <c r="E354" s="297">
        <v>60017</v>
      </c>
      <c r="F354" s="27" t="s">
        <v>162</v>
      </c>
      <c r="G354" s="73" t="s">
        <v>158</v>
      </c>
      <c r="H354" s="35">
        <v>861505</v>
      </c>
      <c r="I354" s="35">
        <v>77</v>
      </c>
      <c r="J354" s="37" t="s">
        <v>10</v>
      </c>
      <c r="K354" s="37" t="s">
        <v>159</v>
      </c>
      <c r="L354" s="8">
        <v>17</v>
      </c>
      <c r="M354" s="8">
        <v>37630</v>
      </c>
      <c r="N354" s="9"/>
      <c r="O354" s="8">
        <v>16117</v>
      </c>
      <c r="P354" s="9"/>
      <c r="Q354" s="8">
        <v>1852</v>
      </c>
      <c r="R354" s="9"/>
      <c r="S354" s="8">
        <v>7948</v>
      </c>
      <c r="T354" s="9"/>
      <c r="U354" s="8">
        <v>0</v>
      </c>
      <c r="V354" s="9"/>
      <c r="W354" s="33">
        <v>63547</v>
      </c>
      <c r="X354" s="9"/>
      <c r="Y354" s="30">
        <v>18.600000000000001</v>
      </c>
      <c r="Z354" s="9"/>
      <c r="AA354" s="30">
        <v>9.6</v>
      </c>
      <c r="AB354" s="9"/>
      <c r="AC354" s="30">
        <v>1.1000000000000001</v>
      </c>
      <c r="AD354" s="9"/>
      <c r="AE354" s="30">
        <v>4.53</v>
      </c>
      <c r="AF354" s="9"/>
      <c r="AG354" s="30">
        <v>0</v>
      </c>
      <c r="AH354" s="9"/>
      <c r="AI354" s="32">
        <v>33.83</v>
      </c>
      <c r="AJ354" s="12"/>
      <c r="AK354" s="22">
        <v>755932</v>
      </c>
      <c r="AM354" s="22">
        <v>415684</v>
      </c>
      <c r="AO354" s="22">
        <v>50237</v>
      </c>
      <c r="AQ354" s="22">
        <v>215432</v>
      </c>
      <c r="AS354" s="26">
        <v>1437285</v>
      </c>
      <c r="AU354" s="23">
        <v>20.0885</v>
      </c>
      <c r="AW354" s="23">
        <v>25.791599999999999</v>
      </c>
      <c r="AY354" s="23">
        <v>1.335</v>
      </c>
      <c r="BA354" s="23">
        <v>27.1052</v>
      </c>
      <c r="BC354" s="24">
        <v>22.617699999999999</v>
      </c>
      <c r="BE354" s="1" t="str">
        <f t="shared" si="5"/>
        <v>No</v>
      </c>
    </row>
    <row r="355" spans="1:57" ht="11.25" customHeight="1">
      <c r="A355" s="7" t="s">
        <v>68</v>
      </c>
      <c r="B355" s="7" t="s">
        <v>172</v>
      </c>
      <c r="C355" s="37" t="s">
        <v>63</v>
      </c>
      <c r="D355" s="296">
        <v>2149</v>
      </c>
      <c r="E355" s="297">
        <v>20149</v>
      </c>
      <c r="F355" s="27" t="s">
        <v>173</v>
      </c>
      <c r="G355" s="73" t="s">
        <v>158</v>
      </c>
      <c r="H355" s="35">
        <v>18351295</v>
      </c>
      <c r="I355" s="35">
        <v>75</v>
      </c>
      <c r="J355" s="37" t="s">
        <v>18</v>
      </c>
      <c r="K355" s="37" t="s">
        <v>159</v>
      </c>
      <c r="L355" s="8">
        <v>75</v>
      </c>
      <c r="M355" s="8">
        <v>293395</v>
      </c>
      <c r="N355" s="9"/>
      <c r="O355" s="8">
        <v>49280</v>
      </c>
      <c r="P355" s="9"/>
      <c r="Q355" s="8">
        <v>0</v>
      </c>
      <c r="R355" s="9"/>
      <c r="S355" s="8">
        <v>5395</v>
      </c>
      <c r="T355" s="9"/>
      <c r="U355" s="8">
        <v>0</v>
      </c>
      <c r="V355" s="9"/>
      <c r="W355" s="33">
        <v>348070</v>
      </c>
      <c r="X355" s="9"/>
      <c r="Y355" s="30">
        <v>135</v>
      </c>
      <c r="Z355" s="9"/>
      <c r="AA355" s="30">
        <v>24</v>
      </c>
      <c r="AB355" s="9"/>
      <c r="AC355" s="30">
        <v>0</v>
      </c>
      <c r="AD355" s="9"/>
      <c r="AE355" s="30">
        <v>3</v>
      </c>
      <c r="AF355" s="9"/>
      <c r="AG355" s="30">
        <v>0</v>
      </c>
      <c r="AH355" s="9"/>
      <c r="AI355" s="32">
        <v>162</v>
      </c>
      <c r="AJ355" s="12"/>
      <c r="AK355" s="22">
        <v>6187619</v>
      </c>
      <c r="AM355" s="22">
        <v>1060431</v>
      </c>
      <c r="AO355" s="22">
        <v>0</v>
      </c>
      <c r="AQ355" s="22">
        <v>88828</v>
      </c>
      <c r="AS355" s="26">
        <v>7336878</v>
      </c>
      <c r="AU355" s="23">
        <v>21.089700000000001</v>
      </c>
      <c r="AW355" s="23">
        <v>21.5185</v>
      </c>
      <c r="AY355" s="23">
        <v>0</v>
      </c>
      <c r="BA355" s="23">
        <v>16.4649</v>
      </c>
      <c r="BC355" s="24">
        <v>21.078700000000001</v>
      </c>
      <c r="BE355" s="1" t="str">
        <f t="shared" si="5"/>
        <v>No</v>
      </c>
    </row>
    <row r="356" spans="1:57" ht="11.25" customHeight="1">
      <c r="A356" s="7" t="s">
        <v>231</v>
      </c>
      <c r="B356" s="7" t="s">
        <v>232</v>
      </c>
      <c r="C356" s="37" t="s">
        <v>84</v>
      </c>
      <c r="D356" s="296">
        <v>6059</v>
      </c>
      <c r="E356" s="297">
        <v>60059</v>
      </c>
      <c r="F356" s="27" t="s">
        <v>165</v>
      </c>
      <c r="G356" s="73" t="s">
        <v>158</v>
      </c>
      <c r="H356" s="35">
        <v>171345</v>
      </c>
      <c r="I356" s="35">
        <v>75</v>
      </c>
      <c r="J356" s="37" t="s">
        <v>10</v>
      </c>
      <c r="K356" s="37" t="s">
        <v>159</v>
      </c>
      <c r="L356" s="8">
        <v>48</v>
      </c>
      <c r="M356" s="8">
        <v>68967</v>
      </c>
      <c r="N356" s="9"/>
      <c r="O356" s="8">
        <v>16601</v>
      </c>
      <c r="P356" s="9"/>
      <c r="Q356" s="8">
        <v>792</v>
      </c>
      <c r="R356" s="9"/>
      <c r="S356" s="8">
        <v>14986</v>
      </c>
      <c r="T356" s="9"/>
      <c r="U356" s="8">
        <v>0</v>
      </c>
      <c r="V356" s="9"/>
      <c r="W356" s="33">
        <v>101346</v>
      </c>
      <c r="X356" s="9"/>
      <c r="Y356" s="30">
        <v>39</v>
      </c>
      <c r="Z356" s="9"/>
      <c r="AA356" s="30">
        <v>8</v>
      </c>
      <c r="AB356" s="9"/>
      <c r="AC356" s="30">
        <v>1</v>
      </c>
      <c r="AD356" s="9"/>
      <c r="AE356" s="30">
        <v>8</v>
      </c>
      <c r="AF356" s="9"/>
      <c r="AG356" s="30">
        <v>0</v>
      </c>
      <c r="AH356" s="9"/>
      <c r="AI356" s="32">
        <v>56</v>
      </c>
      <c r="AJ356" s="12"/>
      <c r="AK356" s="22">
        <v>725245</v>
      </c>
      <c r="AM356" s="22">
        <v>171723</v>
      </c>
      <c r="AO356" s="22">
        <v>15053</v>
      </c>
      <c r="AQ356" s="22">
        <v>475048</v>
      </c>
      <c r="AS356" s="26">
        <v>1387069</v>
      </c>
      <c r="AU356" s="23">
        <v>10.5158</v>
      </c>
      <c r="AW356" s="23">
        <v>10.344099999999999</v>
      </c>
      <c r="AY356" s="23">
        <v>0.21829999999999999</v>
      </c>
      <c r="BA356" s="23">
        <v>31.6995</v>
      </c>
      <c r="BC356" s="24">
        <v>13.686500000000001</v>
      </c>
      <c r="BE356" s="1" t="str">
        <f t="shared" si="5"/>
        <v>No</v>
      </c>
    </row>
    <row r="357" spans="1:57" ht="11.25" customHeight="1">
      <c r="A357" s="7" t="s">
        <v>231</v>
      </c>
      <c r="B357" s="7" t="s">
        <v>232</v>
      </c>
      <c r="C357" s="37" t="s">
        <v>84</v>
      </c>
      <c r="D357" s="296">
        <v>6059</v>
      </c>
      <c r="E357" s="297">
        <v>60059</v>
      </c>
      <c r="F357" s="27" t="s">
        <v>165</v>
      </c>
      <c r="G357" s="73" t="s">
        <v>158</v>
      </c>
      <c r="H357" s="35">
        <v>171345</v>
      </c>
      <c r="I357" s="35">
        <v>75</v>
      </c>
      <c r="J357" s="37" t="s">
        <v>7</v>
      </c>
      <c r="K357" s="37" t="s">
        <v>159</v>
      </c>
      <c r="L357" s="8">
        <v>27</v>
      </c>
      <c r="M357" s="8">
        <v>79691</v>
      </c>
      <c r="N357" s="9"/>
      <c r="O357" s="8">
        <v>19780</v>
      </c>
      <c r="P357" s="9"/>
      <c r="Q357" s="8">
        <v>1049</v>
      </c>
      <c r="R357" s="9"/>
      <c r="S357" s="8">
        <v>17567</v>
      </c>
      <c r="T357" s="9"/>
      <c r="U357" s="8">
        <v>0</v>
      </c>
      <c r="V357" s="9"/>
      <c r="W357" s="33">
        <v>118087</v>
      </c>
      <c r="X357" s="9"/>
      <c r="Y357" s="30">
        <v>44</v>
      </c>
      <c r="Z357" s="9"/>
      <c r="AA357" s="30">
        <v>10</v>
      </c>
      <c r="AB357" s="9"/>
      <c r="AC357" s="30">
        <v>1</v>
      </c>
      <c r="AD357" s="9"/>
      <c r="AE357" s="30">
        <v>10</v>
      </c>
      <c r="AF357" s="9"/>
      <c r="AG357" s="30">
        <v>0</v>
      </c>
      <c r="AH357" s="9"/>
      <c r="AI357" s="32">
        <v>65</v>
      </c>
      <c r="AJ357" s="12"/>
      <c r="AK357" s="22">
        <v>1178253</v>
      </c>
      <c r="AM357" s="22">
        <v>260123</v>
      </c>
      <c r="AO357" s="22">
        <v>19953</v>
      </c>
      <c r="AQ357" s="22">
        <v>597226</v>
      </c>
      <c r="AS357" s="26">
        <v>2055555</v>
      </c>
      <c r="AU357" s="23">
        <v>14.785299999999999</v>
      </c>
      <c r="AW357" s="23">
        <v>13.1508</v>
      </c>
      <c r="AY357" s="23">
        <v>0.25040000000000001</v>
      </c>
      <c r="BA357" s="23">
        <v>33.997</v>
      </c>
      <c r="BC357" s="24">
        <v>17.4071</v>
      </c>
      <c r="BE357" s="1" t="str">
        <f t="shared" si="5"/>
        <v>No</v>
      </c>
    </row>
    <row r="358" spans="1:57" ht="11.25" customHeight="1">
      <c r="A358" s="7" t="s">
        <v>67</v>
      </c>
      <c r="B358" s="7" t="s">
        <v>731</v>
      </c>
      <c r="C358" s="37" t="s">
        <v>63</v>
      </c>
      <c r="D358" s="296">
        <v>2190</v>
      </c>
      <c r="E358" s="297">
        <v>20190</v>
      </c>
      <c r="F358" s="27" t="s">
        <v>173</v>
      </c>
      <c r="G358" s="73" t="s">
        <v>158</v>
      </c>
      <c r="H358" s="35">
        <v>18351295</v>
      </c>
      <c r="I358" s="35">
        <v>74</v>
      </c>
      <c r="J358" s="37" t="s">
        <v>7</v>
      </c>
      <c r="K358" s="37" t="s">
        <v>159</v>
      </c>
      <c r="L358" s="8">
        <v>62</v>
      </c>
      <c r="M358" s="8">
        <v>134975</v>
      </c>
      <c r="N358" s="9"/>
      <c r="O358" s="8">
        <v>20900</v>
      </c>
      <c r="P358" s="9"/>
      <c r="Q358" s="8">
        <v>7500</v>
      </c>
      <c r="R358" s="9"/>
      <c r="S358" s="8">
        <v>15290</v>
      </c>
      <c r="T358" s="9"/>
      <c r="U358" s="8">
        <v>0</v>
      </c>
      <c r="V358" s="9"/>
      <c r="W358" s="33">
        <v>178665</v>
      </c>
      <c r="X358" s="9"/>
      <c r="Y358" s="30">
        <v>73</v>
      </c>
      <c r="Z358" s="9"/>
      <c r="AA358" s="30">
        <v>11</v>
      </c>
      <c r="AB358" s="9"/>
      <c r="AC358" s="30">
        <v>4</v>
      </c>
      <c r="AD358" s="9"/>
      <c r="AE358" s="30">
        <v>8</v>
      </c>
      <c r="AF358" s="9"/>
      <c r="AG358" s="30">
        <v>0</v>
      </c>
      <c r="AH358" s="9"/>
      <c r="AI358" s="32">
        <v>96</v>
      </c>
      <c r="AJ358" s="12"/>
      <c r="AK358" s="22">
        <v>2903563</v>
      </c>
      <c r="AM358" s="22">
        <v>698604</v>
      </c>
      <c r="AO358" s="22">
        <v>176586</v>
      </c>
      <c r="AQ358" s="22">
        <v>1099039</v>
      </c>
      <c r="AS358" s="26">
        <v>4877792</v>
      </c>
      <c r="AU358" s="23">
        <v>21.511900000000001</v>
      </c>
      <c r="AW358" s="23">
        <v>33.426000000000002</v>
      </c>
      <c r="AY358" s="23">
        <v>1.3083</v>
      </c>
      <c r="BA358" s="23">
        <v>71.879599999999996</v>
      </c>
      <c r="BC358" s="24">
        <v>27.301300000000001</v>
      </c>
      <c r="BE358" s="1" t="str">
        <f t="shared" si="5"/>
        <v>No</v>
      </c>
    </row>
    <row r="359" spans="1:57" ht="11.25" customHeight="1">
      <c r="A359" s="7" t="s">
        <v>281</v>
      </c>
      <c r="B359" s="7" t="s">
        <v>180</v>
      </c>
      <c r="C359" s="37" t="s">
        <v>88</v>
      </c>
      <c r="D359" s="296">
        <v>1066</v>
      </c>
      <c r="E359" s="297">
        <v>10066</v>
      </c>
      <c r="F359" s="27" t="s">
        <v>165</v>
      </c>
      <c r="G359" s="73" t="s">
        <v>158</v>
      </c>
      <c r="H359" s="35">
        <v>108740</v>
      </c>
      <c r="I359" s="35">
        <v>74</v>
      </c>
      <c r="J359" s="37" t="s">
        <v>7</v>
      </c>
      <c r="K359" s="37" t="s">
        <v>159</v>
      </c>
      <c r="L359" s="8">
        <v>40</v>
      </c>
      <c r="M359" s="8">
        <v>132909</v>
      </c>
      <c r="N359" s="9"/>
      <c r="O359" s="8">
        <v>25815</v>
      </c>
      <c r="P359" s="9"/>
      <c r="Q359" s="8">
        <v>577</v>
      </c>
      <c r="R359" s="9"/>
      <c r="S359" s="8">
        <v>24985</v>
      </c>
      <c r="T359" s="9"/>
      <c r="U359" s="8">
        <v>861</v>
      </c>
      <c r="V359" s="9"/>
      <c r="W359" s="33">
        <v>185147</v>
      </c>
      <c r="X359" s="9"/>
      <c r="Y359" s="30">
        <v>62</v>
      </c>
      <c r="Z359" s="9"/>
      <c r="AA359" s="30">
        <v>12</v>
      </c>
      <c r="AB359" s="9"/>
      <c r="AC359" s="30">
        <v>0.3</v>
      </c>
      <c r="AD359" s="9"/>
      <c r="AE359" s="30">
        <v>14.5</v>
      </c>
      <c r="AF359" s="9"/>
      <c r="AG359" s="30">
        <v>0.5</v>
      </c>
      <c r="AH359" s="9"/>
      <c r="AI359" s="32">
        <v>89.3</v>
      </c>
      <c r="AJ359" s="12"/>
      <c r="AK359" s="22">
        <v>3265092</v>
      </c>
      <c r="AM359" s="22">
        <v>575540</v>
      </c>
      <c r="AO359" s="22">
        <v>13450</v>
      </c>
      <c r="AQ359" s="22">
        <v>554814</v>
      </c>
      <c r="AS359" s="26">
        <v>4408896</v>
      </c>
      <c r="AU359" s="23">
        <v>24.566400000000002</v>
      </c>
      <c r="AW359" s="23">
        <v>22.294799999999999</v>
      </c>
      <c r="AY359" s="23">
        <v>0.1012</v>
      </c>
      <c r="BA359" s="23">
        <v>22.2059</v>
      </c>
      <c r="BC359" s="24">
        <v>23.812899999999999</v>
      </c>
      <c r="BE359" s="1" t="str">
        <f t="shared" si="5"/>
        <v>No</v>
      </c>
    </row>
    <row r="360" spans="1:57" ht="11.25" customHeight="1">
      <c r="A360" s="7" t="s">
        <v>125</v>
      </c>
      <c r="B360" s="7" t="s">
        <v>286</v>
      </c>
      <c r="C360" s="37" t="s">
        <v>93</v>
      </c>
      <c r="D360" s="296">
        <v>5001</v>
      </c>
      <c r="E360" s="297">
        <v>50001</v>
      </c>
      <c r="F360" s="27" t="s">
        <v>162</v>
      </c>
      <c r="G360" s="73" t="s">
        <v>158</v>
      </c>
      <c r="H360" s="35">
        <v>216154</v>
      </c>
      <c r="I360" s="35">
        <v>74</v>
      </c>
      <c r="J360" s="37" t="s">
        <v>7</v>
      </c>
      <c r="K360" s="37" t="s">
        <v>159</v>
      </c>
      <c r="L360" s="8">
        <v>21</v>
      </c>
      <c r="M360" s="8">
        <v>79209</v>
      </c>
      <c r="N360" s="9"/>
      <c r="O360" s="8">
        <v>11903</v>
      </c>
      <c r="P360" s="9"/>
      <c r="Q360" s="8">
        <v>0</v>
      </c>
      <c r="R360" s="9"/>
      <c r="S360" s="8">
        <v>13580</v>
      </c>
      <c r="T360" s="9"/>
      <c r="U360" s="8">
        <v>0</v>
      </c>
      <c r="V360" s="9"/>
      <c r="W360" s="33">
        <v>104692</v>
      </c>
      <c r="X360" s="9"/>
      <c r="Y360" s="30">
        <v>44</v>
      </c>
      <c r="Z360" s="9"/>
      <c r="AA360" s="30">
        <v>10</v>
      </c>
      <c r="AB360" s="9"/>
      <c r="AC360" s="30">
        <v>0</v>
      </c>
      <c r="AD360" s="9"/>
      <c r="AE360" s="30">
        <v>7</v>
      </c>
      <c r="AF360" s="9"/>
      <c r="AG360" s="30">
        <v>0</v>
      </c>
      <c r="AH360" s="9"/>
      <c r="AI360" s="32">
        <v>61</v>
      </c>
      <c r="AJ360" s="12"/>
      <c r="AK360" s="22">
        <v>1917992</v>
      </c>
      <c r="AM360" s="22">
        <v>284417</v>
      </c>
      <c r="AO360" s="22">
        <v>0</v>
      </c>
      <c r="AQ360" s="22">
        <v>180407</v>
      </c>
      <c r="AS360" s="26">
        <v>2382816</v>
      </c>
      <c r="AU360" s="23">
        <v>24.214300000000001</v>
      </c>
      <c r="AW360" s="23">
        <v>23.894600000000001</v>
      </c>
      <c r="AY360" s="23">
        <v>0</v>
      </c>
      <c r="BA360" s="23">
        <v>13.284800000000001</v>
      </c>
      <c r="BC360" s="24">
        <v>22.760200000000001</v>
      </c>
      <c r="BE360" s="1" t="str">
        <f t="shared" si="5"/>
        <v>No</v>
      </c>
    </row>
    <row r="361" spans="1:57" ht="11.25" customHeight="1">
      <c r="A361" s="7" t="s">
        <v>281</v>
      </c>
      <c r="B361" s="7" t="s">
        <v>180</v>
      </c>
      <c r="C361" s="37" t="s">
        <v>88</v>
      </c>
      <c r="D361" s="296">
        <v>1066</v>
      </c>
      <c r="E361" s="297">
        <v>10066</v>
      </c>
      <c r="F361" s="27" t="s">
        <v>165</v>
      </c>
      <c r="G361" s="73" t="s">
        <v>158</v>
      </c>
      <c r="H361" s="35">
        <v>108740</v>
      </c>
      <c r="I361" s="35">
        <v>74</v>
      </c>
      <c r="J361" s="37" t="s">
        <v>18</v>
      </c>
      <c r="K361" s="37" t="s">
        <v>159</v>
      </c>
      <c r="L361" s="8">
        <v>14</v>
      </c>
      <c r="M361" s="8">
        <v>26580</v>
      </c>
      <c r="N361" s="9"/>
      <c r="O361" s="8">
        <v>12757</v>
      </c>
      <c r="P361" s="9"/>
      <c r="Q361" s="8">
        <v>109</v>
      </c>
      <c r="R361" s="9"/>
      <c r="S361" s="8">
        <v>4893</v>
      </c>
      <c r="T361" s="9"/>
      <c r="U361" s="8">
        <v>161</v>
      </c>
      <c r="V361" s="9"/>
      <c r="W361" s="33">
        <v>44500</v>
      </c>
      <c r="X361" s="9"/>
      <c r="Y361" s="30">
        <v>14</v>
      </c>
      <c r="Z361" s="9"/>
      <c r="AA361" s="30">
        <v>6.7</v>
      </c>
      <c r="AB361" s="9"/>
      <c r="AC361" s="30">
        <v>7.0000000000000007E-2</v>
      </c>
      <c r="AD361" s="9"/>
      <c r="AE361" s="30">
        <v>3.3</v>
      </c>
      <c r="AF361" s="9"/>
      <c r="AG361" s="30">
        <v>0.1</v>
      </c>
      <c r="AH361" s="9"/>
      <c r="AI361" s="32">
        <v>24.17</v>
      </c>
      <c r="AJ361" s="12"/>
      <c r="AK361" s="22">
        <v>648476</v>
      </c>
      <c r="AM361" s="22">
        <v>274046</v>
      </c>
      <c r="AO361" s="22">
        <v>2671</v>
      </c>
      <c r="AQ361" s="22">
        <v>110191</v>
      </c>
      <c r="AS361" s="26">
        <v>1035384</v>
      </c>
      <c r="AU361" s="23">
        <v>24.397099999999998</v>
      </c>
      <c r="AW361" s="23">
        <v>21.481999999999999</v>
      </c>
      <c r="AY361" s="23">
        <v>0.10050000000000001</v>
      </c>
      <c r="BA361" s="23">
        <v>22.520099999999999</v>
      </c>
      <c r="BC361" s="24">
        <v>23.267099999999999</v>
      </c>
      <c r="BE361" s="1" t="str">
        <f t="shared" si="5"/>
        <v>No</v>
      </c>
    </row>
    <row r="362" spans="1:57" ht="11.25" customHeight="1">
      <c r="A362" s="7" t="s">
        <v>67</v>
      </c>
      <c r="B362" s="7" t="s">
        <v>731</v>
      </c>
      <c r="C362" s="37" t="s">
        <v>63</v>
      </c>
      <c r="D362" s="296">
        <v>2190</v>
      </c>
      <c r="E362" s="297">
        <v>20190</v>
      </c>
      <c r="F362" s="27" t="s">
        <v>173</v>
      </c>
      <c r="G362" s="73" t="s">
        <v>158</v>
      </c>
      <c r="H362" s="35">
        <v>18351295</v>
      </c>
      <c r="I362" s="35">
        <v>74</v>
      </c>
      <c r="J362" s="37" t="s">
        <v>19</v>
      </c>
      <c r="K362" s="37" t="s">
        <v>159</v>
      </c>
      <c r="L362" s="8">
        <v>12</v>
      </c>
      <c r="M362" s="8">
        <v>123300</v>
      </c>
      <c r="N362" s="9"/>
      <c r="O362" s="8">
        <v>22900</v>
      </c>
      <c r="P362" s="9"/>
      <c r="Q362" s="8">
        <v>7100</v>
      </c>
      <c r="R362" s="9"/>
      <c r="S362" s="8">
        <v>63000</v>
      </c>
      <c r="T362" s="9"/>
      <c r="U362" s="8">
        <v>0</v>
      </c>
      <c r="V362" s="9"/>
      <c r="W362" s="33">
        <v>216300</v>
      </c>
      <c r="X362" s="9"/>
      <c r="Y362" s="30">
        <v>63</v>
      </c>
      <c r="Z362" s="9"/>
      <c r="AA362" s="30">
        <v>12</v>
      </c>
      <c r="AB362" s="9"/>
      <c r="AC362" s="30">
        <v>4</v>
      </c>
      <c r="AD362" s="9"/>
      <c r="AE362" s="30">
        <v>41</v>
      </c>
      <c r="AF362" s="9"/>
      <c r="AG362" s="30">
        <v>0</v>
      </c>
      <c r="AH362" s="9"/>
      <c r="AI362" s="32">
        <v>120</v>
      </c>
      <c r="AJ362" s="12"/>
      <c r="AK362" s="22">
        <v>2989447</v>
      </c>
      <c r="AM362" s="22">
        <v>789017</v>
      </c>
      <c r="AO362" s="22">
        <v>123887</v>
      </c>
      <c r="AQ362" s="22">
        <v>3837454</v>
      </c>
      <c r="AS362" s="26">
        <v>7739805</v>
      </c>
      <c r="AU362" s="23">
        <v>24.2453</v>
      </c>
      <c r="AW362" s="23">
        <v>34.454900000000002</v>
      </c>
      <c r="AY362" s="23">
        <v>1.0047999999999999</v>
      </c>
      <c r="BA362" s="23">
        <v>60.911999999999999</v>
      </c>
      <c r="BC362" s="24">
        <v>35.782699999999998</v>
      </c>
      <c r="BE362" s="1" t="str">
        <f t="shared" si="5"/>
        <v>No</v>
      </c>
    </row>
    <row r="363" spans="1:57" ht="11.25" customHeight="1">
      <c r="A363" s="7" t="s">
        <v>501</v>
      </c>
      <c r="B363" s="7" t="s">
        <v>502</v>
      </c>
      <c r="C363" s="37" t="s">
        <v>56</v>
      </c>
      <c r="D363" s="296">
        <v>4014</v>
      </c>
      <c r="E363" s="297">
        <v>40014</v>
      </c>
      <c r="F363" s="27" t="s">
        <v>165</v>
      </c>
      <c r="G363" s="73" t="s">
        <v>158</v>
      </c>
      <c r="H363" s="35">
        <v>208948</v>
      </c>
      <c r="I363" s="35">
        <v>72</v>
      </c>
      <c r="J363" s="37" t="s">
        <v>7</v>
      </c>
      <c r="K363" s="37" t="s">
        <v>159</v>
      </c>
      <c r="L363" s="8">
        <v>17</v>
      </c>
      <c r="M363" s="8">
        <v>99421</v>
      </c>
      <c r="N363" s="9"/>
      <c r="O363" s="8">
        <v>17834</v>
      </c>
      <c r="P363" s="9"/>
      <c r="Q363" s="8">
        <v>3393</v>
      </c>
      <c r="R363" s="9"/>
      <c r="S363" s="8">
        <v>31712</v>
      </c>
      <c r="T363" s="9"/>
      <c r="U363" s="8">
        <v>0</v>
      </c>
      <c r="V363" s="9"/>
      <c r="W363" s="33">
        <v>152360</v>
      </c>
      <c r="X363" s="9"/>
      <c r="Y363" s="30">
        <v>51</v>
      </c>
      <c r="Z363" s="9"/>
      <c r="AA363" s="30">
        <v>9.1999999999999993</v>
      </c>
      <c r="AB363" s="9"/>
      <c r="AC363" s="30">
        <v>1.46</v>
      </c>
      <c r="AD363" s="9"/>
      <c r="AE363" s="30">
        <v>15.35</v>
      </c>
      <c r="AF363" s="9"/>
      <c r="AG363" s="30">
        <v>0</v>
      </c>
      <c r="AH363" s="9"/>
      <c r="AI363" s="32">
        <v>77.010000000000005</v>
      </c>
      <c r="AJ363" s="12"/>
      <c r="AK363" s="22">
        <v>1442767</v>
      </c>
      <c r="AM363" s="22">
        <v>271754</v>
      </c>
      <c r="AO363" s="22">
        <v>48525</v>
      </c>
      <c r="AQ363" s="22">
        <v>495908</v>
      </c>
      <c r="AS363" s="26">
        <v>2258954</v>
      </c>
      <c r="AU363" s="23">
        <v>14.511699999999999</v>
      </c>
      <c r="AW363" s="23">
        <v>15.238</v>
      </c>
      <c r="AY363" s="23">
        <v>0.48809999999999998</v>
      </c>
      <c r="BA363" s="23">
        <v>15.6379</v>
      </c>
      <c r="BC363" s="24">
        <v>14.8264</v>
      </c>
      <c r="BE363" s="1" t="str">
        <f t="shared" si="5"/>
        <v>No</v>
      </c>
    </row>
    <row r="364" spans="1:57" ht="11.25" customHeight="1">
      <c r="A364" s="7" t="s">
        <v>501</v>
      </c>
      <c r="B364" s="7" t="s">
        <v>502</v>
      </c>
      <c r="C364" s="37" t="s">
        <v>56</v>
      </c>
      <c r="D364" s="296">
        <v>4014</v>
      </c>
      <c r="E364" s="297">
        <v>40014</v>
      </c>
      <c r="F364" s="27" t="s">
        <v>165</v>
      </c>
      <c r="G364" s="73" t="s">
        <v>158</v>
      </c>
      <c r="H364" s="35">
        <v>208948</v>
      </c>
      <c r="I364" s="35">
        <v>72</v>
      </c>
      <c r="J364" s="37" t="s">
        <v>10</v>
      </c>
      <c r="K364" s="37" t="s">
        <v>159</v>
      </c>
      <c r="L364" s="8">
        <v>15</v>
      </c>
      <c r="M364" s="8">
        <v>29447</v>
      </c>
      <c r="N364" s="9"/>
      <c r="O364" s="8">
        <v>5328</v>
      </c>
      <c r="P364" s="9"/>
      <c r="Q364" s="8">
        <v>1014</v>
      </c>
      <c r="R364" s="9"/>
      <c r="S364" s="8">
        <v>7607</v>
      </c>
      <c r="T364" s="9"/>
      <c r="U364" s="8">
        <v>0</v>
      </c>
      <c r="V364" s="9"/>
      <c r="W364" s="33">
        <v>43396</v>
      </c>
      <c r="X364" s="9"/>
      <c r="Y364" s="30">
        <v>17</v>
      </c>
      <c r="Z364" s="9"/>
      <c r="AA364" s="30">
        <v>2.5299999999999998</v>
      </c>
      <c r="AB364" s="9"/>
      <c r="AC364" s="30">
        <v>0.46</v>
      </c>
      <c r="AD364" s="9"/>
      <c r="AE364" s="30">
        <v>3</v>
      </c>
      <c r="AF364" s="9"/>
      <c r="AG364" s="30">
        <v>0</v>
      </c>
      <c r="AH364" s="9"/>
      <c r="AI364" s="32">
        <v>22.99</v>
      </c>
      <c r="AJ364" s="12"/>
      <c r="AK364" s="22">
        <v>453008</v>
      </c>
      <c r="AM364" s="22">
        <v>87920</v>
      </c>
      <c r="AO364" s="22">
        <v>14495</v>
      </c>
      <c r="AQ364" s="22">
        <v>139208</v>
      </c>
      <c r="AS364" s="26">
        <v>694631</v>
      </c>
      <c r="AU364" s="23">
        <v>15.383800000000001</v>
      </c>
      <c r="AW364" s="23">
        <v>16.5015</v>
      </c>
      <c r="AY364" s="23">
        <v>0.49220000000000003</v>
      </c>
      <c r="BA364" s="23">
        <v>18.3</v>
      </c>
      <c r="BC364" s="24">
        <v>16.006799999999998</v>
      </c>
      <c r="BE364" s="1" t="str">
        <f t="shared" si="5"/>
        <v>No</v>
      </c>
    </row>
    <row r="365" spans="1:57" ht="11.25" customHeight="1">
      <c r="A365" s="7" t="s">
        <v>751</v>
      </c>
      <c r="B365" s="7" t="s">
        <v>752</v>
      </c>
      <c r="C365" s="37" t="s">
        <v>84</v>
      </c>
      <c r="D365" s="296">
        <v>6114</v>
      </c>
      <c r="E365" s="297">
        <v>60114</v>
      </c>
      <c r="F365" s="27" t="s">
        <v>162</v>
      </c>
      <c r="G365" s="73" t="s">
        <v>158</v>
      </c>
      <c r="H365" s="35">
        <v>5121892</v>
      </c>
      <c r="I365" s="35">
        <v>71</v>
      </c>
      <c r="J365" s="37" t="s">
        <v>10</v>
      </c>
      <c r="K365" s="37" t="s">
        <v>159</v>
      </c>
      <c r="L365" s="8">
        <v>66</v>
      </c>
      <c r="M365" s="8">
        <v>141999</v>
      </c>
      <c r="N365" s="9"/>
      <c r="O365" s="8">
        <v>6889</v>
      </c>
      <c r="P365" s="9"/>
      <c r="Q365" s="8">
        <v>1200</v>
      </c>
      <c r="R365" s="9"/>
      <c r="S365" s="8">
        <v>19457</v>
      </c>
      <c r="T365" s="9"/>
      <c r="U365" s="8">
        <v>0</v>
      </c>
      <c r="V365" s="9"/>
      <c r="W365" s="33">
        <v>169545</v>
      </c>
      <c r="X365" s="9"/>
      <c r="Y365" s="30">
        <v>80.099999999999994</v>
      </c>
      <c r="Z365" s="9"/>
      <c r="AA365" s="30">
        <v>3.6</v>
      </c>
      <c r="AB365" s="9"/>
      <c r="AC365" s="30">
        <v>0.9</v>
      </c>
      <c r="AD365" s="9"/>
      <c r="AE365" s="30">
        <v>9.9</v>
      </c>
      <c r="AF365" s="9"/>
      <c r="AG365" s="30">
        <v>0</v>
      </c>
      <c r="AH365" s="9"/>
      <c r="AI365" s="32">
        <v>94.5</v>
      </c>
      <c r="AJ365" s="12"/>
      <c r="AK365" s="22">
        <v>1914964</v>
      </c>
      <c r="AM365" s="22">
        <v>130320</v>
      </c>
      <c r="AO365" s="22">
        <v>20008</v>
      </c>
      <c r="AQ365" s="22">
        <v>538273</v>
      </c>
      <c r="AS365" s="26">
        <v>2603565</v>
      </c>
      <c r="AU365" s="23">
        <v>13.485799999999999</v>
      </c>
      <c r="AW365" s="23">
        <v>18.917100000000001</v>
      </c>
      <c r="AY365" s="23">
        <v>0.1409</v>
      </c>
      <c r="BA365" s="23">
        <v>27.6647</v>
      </c>
      <c r="BC365" s="24">
        <v>15.356199999999999</v>
      </c>
      <c r="BE365" s="1" t="str">
        <f t="shared" si="5"/>
        <v>No</v>
      </c>
    </row>
    <row r="366" spans="1:57" ht="11.25" customHeight="1">
      <c r="A366" s="7" t="s">
        <v>255</v>
      </c>
      <c r="B366" s="7" t="s">
        <v>256</v>
      </c>
      <c r="C366" s="37" t="s">
        <v>6</v>
      </c>
      <c r="D366" s="296">
        <v>6033</v>
      </c>
      <c r="E366" s="297">
        <v>60033</v>
      </c>
      <c r="F366" s="27" t="s">
        <v>165</v>
      </c>
      <c r="G366" s="73" t="s">
        <v>158</v>
      </c>
      <c r="H366" s="35">
        <v>431388</v>
      </c>
      <c r="I366" s="35">
        <v>71</v>
      </c>
      <c r="J366" s="37" t="s">
        <v>7</v>
      </c>
      <c r="K366" s="37" t="s">
        <v>159</v>
      </c>
      <c r="L366" s="8">
        <v>49</v>
      </c>
      <c r="M366" s="8">
        <v>232041</v>
      </c>
      <c r="N366" s="9"/>
      <c r="O366" s="8">
        <v>57325</v>
      </c>
      <c r="P366" s="9"/>
      <c r="Q366" s="8">
        <v>0</v>
      </c>
      <c r="R366" s="9"/>
      <c r="S366" s="8">
        <v>27969</v>
      </c>
      <c r="T366" s="9"/>
      <c r="U366" s="8">
        <v>1872</v>
      </c>
      <c r="V366" s="9"/>
      <c r="W366" s="33">
        <v>319207</v>
      </c>
      <c r="X366" s="9"/>
      <c r="Y366" s="30">
        <v>110</v>
      </c>
      <c r="Z366" s="9"/>
      <c r="AA366" s="30">
        <v>28.7</v>
      </c>
      <c r="AB366" s="9"/>
      <c r="AC366" s="30">
        <v>0</v>
      </c>
      <c r="AD366" s="9"/>
      <c r="AE366" s="30">
        <v>17</v>
      </c>
      <c r="AF366" s="9"/>
      <c r="AG366" s="30">
        <v>1</v>
      </c>
      <c r="AH366" s="9"/>
      <c r="AI366" s="32">
        <v>156.69999999999999</v>
      </c>
      <c r="AJ366" s="12"/>
      <c r="AK366" s="22">
        <v>4919268</v>
      </c>
      <c r="AM366" s="22">
        <v>1324786</v>
      </c>
      <c r="AO366" s="22">
        <v>0</v>
      </c>
      <c r="AQ366" s="22">
        <v>649895</v>
      </c>
      <c r="AS366" s="26">
        <v>6893949</v>
      </c>
      <c r="AU366" s="23">
        <v>21.2</v>
      </c>
      <c r="AW366" s="23">
        <v>23.110099999999999</v>
      </c>
      <c r="AY366" s="23">
        <v>0</v>
      </c>
      <c r="BA366" s="23">
        <v>23.2363</v>
      </c>
      <c r="BC366" s="24">
        <v>21.597100000000001</v>
      </c>
      <c r="BE366" s="1" t="str">
        <f t="shared" si="5"/>
        <v>No</v>
      </c>
    </row>
    <row r="367" spans="1:57" ht="11.25" customHeight="1">
      <c r="A367" s="7" t="s">
        <v>255</v>
      </c>
      <c r="B367" s="7" t="s">
        <v>256</v>
      </c>
      <c r="C367" s="37" t="s">
        <v>6</v>
      </c>
      <c r="D367" s="296">
        <v>6033</v>
      </c>
      <c r="E367" s="297">
        <v>60033</v>
      </c>
      <c r="F367" s="27" t="s">
        <v>165</v>
      </c>
      <c r="G367" s="73" t="s">
        <v>158</v>
      </c>
      <c r="H367" s="35">
        <v>431388</v>
      </c>
      <c r="I367" s="35">
        <v>71</v>
      </c>
      <c r="J367" s="37" t="s">
        <v>10</v>
      </c>
      <c r="K367" s="37" t="s">
        <v>159</v>
      </c>
      <c r="L367" s="8">
        <v>19</v>
      </c>
      <c r="M367" s="8">
        <v>50676</v>
      </c>
      <c r="N367" s="9"/>
      <c r="O367" s="8">
        <v>2210</v>
      </c>
      <c r="P367" s="9"/>
      <c r="Q367" s="8">
        <v>0</v>
      </c>
      <c r="R367" s="9"/>
      <c r="S367" s="8">
        <v>5687</v>
      </c>
      <c r="T367" s="9"/>
      <c r="U367" s="8">
        <v>0</v>
      </c>
      <c r="V367" s="9"/>
      <c r="W367" s="33">
        <v>58573</v>
      </c>
      <c r="X367" s="9"/>
      <c r="Y367" s="30">
        <v>27</v>
      </c>
      <c r="Z367" s="9"/>
      <c r="AA367" s="30">
        <v>1.3</v>
      </c>
      <c r="AB367" s="9"/>
      <c r="AC367" s="30">
        <v>0</v>
      </c>
      <c r="AD367" s="9"/>
      <c r="AE367" s="30">
        <v>3</v>
      </c>
      <c r="AF367" s="9"/>
      <c r="AG367" s="30">
        <v>0</v>
      </c>
      <c r="AH367" s="9"/>
      <c r="AI367" s="32">
        <v>31.3</v>
      </c>
      <c r="AJ367" s="12"/>
      <c r="AK367" s="22">
        <v>938017</v>
      </c>
      <c r="AM367" s="22">
        <v>52202</v>
      </c>
      <c r="AO367" s="22">
        <v>0</v>
      </c>
      <c r="AQ367" s="22">
        <v>114537</v>
      </c>
      <c r="AS367" s="26">
        <v>1104756</v>
      </c>
      <c r="AU367" s="23">
        <v>18.510100000000001</v>
      </c>
      <c r="AW367" s="23">
        <v>23.620799999999999</v>
      </c>
      <c r="AY367" s="23">
        <v>0</v>
      </c>
      <c r="BA367" s="23">
        <v>20.1401</v>
      </c>
      <c r="BC367" s="24">
        <v>18.8612</v>
      </c>
      <c r="BE367" s="1" t="str">
        <f t="shared" si="5"/>
        <v>No</v>
      </c>
    </row>
    <row r="368" spans="1:57" ht="11.25" customHeight="1">
      <c r="A368" s="7" t="s">
        <v>665</v>
      </c>
      <c r="B368" s="7" t="s">
        <v>666</v>
      </c>
      <c r="C368" s="37" t="s">
        <v>70</v>
      </c>
      <c r="D368" s="296">
        <v>2084</v>
      </c>
      <c r="E368" s="297">
        <v>20084</v>
      </c>
      <c r="F368" s="27" t="s">
        <v>162</v>
      </c>
      <c r="G368" s="73" t="s">
        <v>158</v>
      </c>
      <c r="H368" s="35">
        <v>18351295</v>
      </c>
      <c r="I368" s="35">
        <v>71</v>
      </c>
      <c r="J368" s="37" t="s">
        <v>10</v>
      </c>
      <c r="K368" s="37" t="s">
        <v>159</v>
      </c>
      <c r="L368" s="8">
        <v>19</v>
      </c>
      <c r="M368" s="8">
        <v>41006</v>
      </c>
      <c r="N368" s="9"/>
      <c r="O368" s="8">
        <v>0</v>
      </c>
      <c r="P368" s="9"/>
      <c r="Q368" s="8">
        <v>0</v>
      </c>
      <c r="R368" s="9"/>
      <c r="S368" s="8">
        <v>8793</v>
      </c>
      <c r="T368" s="9"/>
      <c r="U368" s="8">
        <v>0</v>
      </c>
      <c r="V368" s="9"/>
      <c r="W368" s="33">
        <v>49799</v>
      </c>
      <c r="X368" s="9"/>
      <c r="Y368" s="30">
        <v>33</v>
      </c>
      <c r="Z368" s="9"/>
      <c r="AA368" s="30">
        <v>0</v>
      </c>
      <c r="AB368" s="9"/>
      <c r="AC368" s="30">
        <v>0</v>
      </c>
      <c r="AD368" s="9"/>
      <c r="AE368" s="30">
        <v>14</v>
      </c>
      <c r="AF368" s="9"/>
      <c r="AG368" s="30">
        <v>0</v>
      </c>
      <c r="AH368" s="9"/>
      <c r="AI368" s="32">
        <v>47</v>
      </c>
      <c r="AJ368" s="12"/>
      <c r="AK368" s="22">
        <v>982177</v>
      </c>
      <c r="AM368" s="22">
        <v>0</v>
      </c>
      <c r="AO368" s="22">
        <v>0</v>
      </c>
      <c r="AQ368" s="22">
        <v>389154</v>
      </c>
      <c r="AS368" s="26">
        <v>1371331</v>
      </c>
      <c r="AU368" s="23">
        <v>23.952000000000002</v>
      </c>
      <c r="AY368" s="23">
        <v>0</v>
      </c>
      <c r="BA368" s="23">
        <v>44.257300000000001</v>
      </c>
      <c r="BC368" s="24">
        <v>27.537299999999998</v>
      </c>
      <c r="BE368" s="1" t="str">
        <f t="shared" si="5"/>
        <v>No</v>
      </c>
    </row>
    <row r="369" spans="1:57" ht="11.25" customHeight="1">
      <c r="A369" s="7" t="s">
        <v>751</v>
      </c>
      <c r="B369" s="7" t="s">
        <v>752</v>
      </c>
      <c r="C369" s="37" t="s">
        <v>84</v>
      </c>
      <c r="D369" s="296">
        <v>6114</v>
      </c>
      <c r="E369" s="297">
        <v>60114</v>
      </c>
      <c r="F369" s="27" t="s">
        <v>162</v>
      </c>
      <c r="G369" s="73" t="s">
        <v>158</v>
      </c>
      <c r="H369" s="35">
        <v>5121892</v>
      </c>
      <c r="I369" s="35">
        <v>71</v>
      </c>
      <c r="J369" s="37" t="s">
        <v>18</v>
      </c>
      <c r="K369" s="37" t="s">
        <v>159</v>
      </c>
      <c r="L369" s="8">
        <v>4</v>
      </c>
      <c r="M369" s="8">
        <v>11044</v>
      </c>
      <c r="N369" s="9"/>
      <c r="O369" s="8">
        <v>536</v>
      </c>
      <c r="P369" s="9"/>
      <c r="Q369" s="8">
        <v>93</v>
      </c>
      <c r="R369" s="9"/>
      <c r="S369" s="8">
        <v>1513</v>
      </c>
      <c r="T369" s="9"/>
      <c r="U369" s="8">
        <v>0</v>
      </c>
      <c r="V369" s="9"/>
      <c r="W369" s="33">
        <v>13186</v>
      </c>
      <c r="X369" s="9"/>
      <c r="Y369" s="30">
        <v>6.23</v>
      </c>
      <c r="Z369" s="9"/>
      <c r="AA369" s="30">
        <v>0.28000000000000003</v>
      </c>
      <c r="AB369" s="9"/>
      <c r="AC369" s="30">
        <v>7.0000000000000007E-2</v>
      </c>
      <c r="AD369" s="9"/>
      <c r="AE369" s="30">
        <v>0.77</v>
      </c>
      <c r="AF369" s="9"/>
      <c r="AG369" s="30">
        <v>0</v>
      </c>
      <c r="AH369" s="9"/>
      <c r="AI369" s="32">
        <v>7.35</v>
      </c>
      <c r="AJ369" s="12"/>
      <c r="AK369" s="22">
        <v>148942</v>
      </c>
      <c r="AM369" s="22">
        <v>10136</v>
      </c>
      <c r="AO369" s="22">
        <v>1556</v>
      </c>
      <c r="AQ369" s="22">
        <v>41866</v>
      </c>
      <c r="AS369" s="26">
        <v>202500</v>
      </c>
      <c r="AU369" s="23">
        <v>13.4862</v>
      </c>
      <c r="AW369" s="23">
        <v>18.910399999999999</v>
      </c>
      <c r="AY369" s="23">
        <v>0.1409</v>
      </c>
      <c r="BA369" s="23">
        <v>27.6709</v>
      </c>
      <c r="BC369" s="24">
        <v>15.357200000000001</v>
      </c>
      <c r="BE369" s="1" t="str">
        <f t="shared" si="5"/>
        <v>No</v>
      </c>
    </row>
    <row r="370" spans="1:57" ht="11.25" customHeight="1">
      <c r="A370" s="7" t="s">
        <v>255</v>
      </c>
      <c r="B370" s="7" t="s">
        <v>256</v>
      </c>
      <c r="C370" s="37" t="s">
        <v>6</v>
      </c>
      <c r="D370" s="296">
        <v>6033</v>
      </c>
      <c r="E370" s="297">
        <v>60033</v>
      </c>
      <c r="F370" s="27" t="s">
        <v>165</v>
      </c>
      <c r="G370" s="73" t="s">
        <v>158</v>
      </c>
      <c r="H370" s="35">
        <v>431388</v>
      </c>
      <c r="I370" s="35">
        <v>71</v>
      </c>
      <c r="J370" s="37" t="s">
        <v>12</v>
      </c>
      <c r="K370" s="37" t="s">
        <v>159</v>
      </c>
      <c r="L370" s="8">
        <v>3</v>
      </c>
      <c r="M370" s="8">
        <v>20103</v>
      </c>
      <c r="N370" s="9"/>
      <c r="O370" s="8">
        <v>4002</v>
      </c>
      <c r="P370" s="9"/>
      <c r="Q370" s="8">
        <v>0</v>
      </c>
      <c r="R370" s="9"/>
      <c r="S370" s="8">
        <v>1035</v>
      </c>
      <c r="T370" s="9"/>
      <c r="U370" s="8">
        <v>0</v>
      </c>
      <c r="V370" s="9"/>
      <c r="W370" s="33">
        <v>25140</v>
      </c>
      <c r="X370" s="9"/>
      <c r="Y370" s="30">
        <v>10.7</v>
      </c>
      <c r="Z370" s="9"/>
      <c r="AA370" s="30">
        <v>2.6</v>
      </c>
      <c r="AB370" s="9"/>
      <c r="AC370" s="30">
        <v>0</v>
      </c>
      <c r="AD370" s="9"/>
      <c r="AE370" s="30">
        <v>0.7</v>
      </c>
      <c r="AF370" s="9"/>
      <c r="AG370" s="30">
        <v>0</v>
      </c>
      <c r="AH370" s="9"/>
      <c r="AI370" s="32">
        <v>14</v>
      </c>
      <c r="AJ370" s="12"/>
      <c r="AK370" s="22">
        <v>402889</v>
      </c>
      <c r="AM370" s="22">
        <v>84114</v>
      </c>
      <c r="AO370" s="22">
        <v>0</v>
      </c>
      <c r="AQ370" s="22">
        <v>28954</v>
      </c>
      <c r="AS370" s="26">
        <v>515957</v>
      </c>
      <c r="AU370" s="23">
        <v>20.0412</v>
      </c>
      <c r="AW370" s="23">
        <v>21.018000000000001</v>
      </c>
      <c r="AY370" s="23">
        <v>0</v>
      </c>
      <c r="BA370" s="23">
        <v>27.974900000000002</v>
      </c>
      <c r="BC370" s="24">
        <v>20.523299999999999</v>
      </c>
      <c r="BE370" s="1" t="str">
        <f t="shared" si="5"/>
        <v>No</v>
      </c>
    </row>
    <row r="371" spans="1:57" ht="11.25" customHeight="1">
      <c r="A371" s="7" t="s">
        <v>751</v>
      </c>
      <c r="B371" s="7" t="s">
        <v>752</v>
      </c>
      <c r="C371" s="37" t="s">
        <v>84</v>
      </c>
      <c r="D371" s="296">
        <v>6114</v>
      </c>
      <c r="E371" s="297">
        <v>60114</v>
      </c>
      <c r="F371" s="27" t="s">
        <v>162</v>
      </c>
      <c r="G371" s="73" t="s">
        <v>158</v>
      </c>
      <c r="H371" s="35">
        <v>5121892</v>
      </c>
      <c r="I371" s="35">
        <v>71</v>
      </c>
      <c r="J371" s="37" t="s">
        <v>7</v>
      </c>
      <c r="K371" s="37" t="s">
        <v>159</v>
      </c>
      <c r="L371" s="8">
        <v>1</v>
      </c>
      <c r="M371" s="8">
        <v>4733</v>
      </c>
      <c r="N371" s="9"/>
      <c r="O371" s="8">
        <v>230</v>
      </c>
      <c r="P371" s="9"/>
      <c r="Q371" s="8">
        <v>40</v>
      </c>
      <c r="R371" s="9"/>
      <c r="S371" s="8">
        <v>649</v>
      </c>
      <c r="T371" s="9"/>
      <c r="U371" s="8">
        <v>0</v>
      </c>
      <c r="V371" s="9"/>
      <c r="W371" s="33">
        <v>5652</v>
      </c>
      <c r="X371" s="9"/>
      <c r="Y371" s="30">
        <v>2.67</v>
      </c>
      <c r="Z371" s="9"/>
      <c r="AA371" s="30">
        <v>0.12</v>
      </c>
      <c r="AB371" s="9"/>
      <c r="AC371" s="30">
        <v>0.03</v>
      </c>
      <c r="AD371" s="9"/>
      <c r="AE371" s="30">
        <v>0.33</v>
      </c>
      <c r="AF371" s="9"/>
      <c r="AG371" s="30">
        <v>0</v>
      </c>
      <c r="AH371" s="9"/>
      <c r="AI371" s="32">
        <v>3.15</v>
      </c>
      <c r="AJ371" s="12"/>
      <c r="AK371" s="22">
        <v>63832</v>
      </c>
      <c r="AM371" s="22">
        <v>4344</v>
      </c>
      <c r="AO371" s="22">
        <v>667</v>
      </c>
      <c r="AQ371" s="22">
        <v>17942</v>
      </c>
      <c r="AS371" s="26">
        <v>86785</v>
      </c>
      <c r="AU371" s="23">
        <v>13.486599999999999</v>
      </c>
      <c r="AW371" s="23">
        <v>18.887</v>
      </c>
      <c r="AY371" s="23">
        <v>0.1409</v>
      </c>
      <c r="BA371" s="23">
        <v>27.645600000000002</v>
      </c>
      <c r="BC371" s="24">
        <v>15.354699999999999</v>
      </c>
      <c r="BE371" s="1" t="str">
        <f t="shared" si="5"/>
        <v>No</v>
      </c>
    </row>
    <row r="372" spans="1:57" ht="11.25" customHeight="1">
      <c r="A372" s="7" t="s">
        <v>523</v>
      </c>
      <c r="B372" s="7" t="s">
        <v>524</v>
      </c>
      <c r="C372" s="37" t="s">
        <v>42</v>
      </c>
      <c r="D372" s="296">
        <v>5104</v>
      </c>
      <c r="E372" s="297">
        <v>50104</v>
      </c>
      <c r="F372" s="27" t="s">
        <v>165</v>
      </c>
      <c r="G372" s="73" t="s">
        <v>158</v>
      </c>
      <c r="H372" s="35">
        <v>8608208</v>
      </c>
      <c r="I372" s="35">
        <v>70</v>
      </c>
      <c r="J372" s="37" t="s">
        <v>41</v>
      </c>
      <c r="K372" s="37" t="s">
        <v>159</v>
      </c>
      <c r="L372" s="8">
        <v>70</v>
      </c>
      <c r="M372" s="8">
        <v>257535</v>
      </c>
      <c r="N372" s="9"/>
      <c r="O372" s="8">
        <v>223744</v>
      </c>
      <c r="P372" s="9"/>
      <c r="Q372" s="8">
        <v>105982</v>
      </c>
      <c r="R372" s="9"/>
      <c r="S372" s="8">
        <v>52971</v>
      </c>
      <c r="T372" s="9"/>
      <c r="U372" s="8">
        <v>45116</v>
      </c>
      <c r="V372" s="9"/>
      <c r="W372" s="33">
        <v>685348</v>
      </c>
      <c r="X372" s="9"/>
      <c r="Y372" s="30">
        <v>123</v>
      </c>
      <c r="Z372" s="9"/>
      <c r="AA372" s="30">
        <v>112</v>
      </c>
      <c r="AB372" s="9"/>
      <c r="AC372" s="30">
        <v>52</v>
      </c>
      <c r="AD372" s="9"/>
      <c r="AE372" s="30">
        <v>30</v>
      </c>
      <c r="AF372" s="9"/>
      <c r="AG372" s="30">
        <v>21</v>
      </c>
      <c r="AH372" s="9"/>
      <c r="AI372" s="32">
        <v>338</v>
      </c>
      <c r="AJ372" s="12"/>
      <c r="AK372" s="22">
        <v>6400628</v>
      </c>
      <c r="AM372" s="22">
        <v>5449792</v>
      </c>
      <c r="AO372" s="22">
        <v>2035152</v>
      </c>
      <c r="AQ372" s="22">
        <v>2004041</v>
      </c>
      <c r="AS372" s="26">
        <v>15889613</v>
      </c>
      <c r="AU372" s="23">
        <v>24.853400000000001</v>
      </c>
      <c r="AW372" s="23">
        <v>24.357299999999999</v>
      </c>
      <c r="AY372" s="23">
        <v>7.9024000000000001</v>
      </c>
      <c r="BA372" s="23">
        <v>37.832799999999999</v>
      </c>
      <c r="BC372" s="24">
        <v>23.184699999999999</v>
      </c>
      <c r="BE372" s="1" t="str">
        <f t="shared" si="5"/>
        <v>No</v>
      </c>
    </row>
    <row r="373" spans="1:57" ht="11.25" customHeight="1">
      <c r="A373" s="7" t="s">
        <v>1100</v>
      </c>
      <c r="B373" s="7" t="s">
        <v>1101</v>
      </c>
      <c r="C373" s="37" t="s">
        <v>63</v>
      </c>
      <c r="D373" s="296">
        <v>2209</v>
      </c>
      <c r="E373" s="297">
        <v>20209</v>
      </c>
      <c r="F373" s="27" t="s">
        <v>162</v>
      </c>
      <c r="G373" s="73" t="s">
        <v>158</v>
      </c>
      <c r="H373" s="35">
        <v>18351295</v>
      </c>
      <c r="I373" s="35">
        <v>70</v>
      </c>
      <c r="J373" s="37" t="s">
        <v>10</v>
      </c>
      <c r="K373" s="37" t="s">
        <v>159</v>
      </c>
      <c r="L373" s="8">
        <v>60</v>
      </c>
      <c r="M373" s="8">
        <v>129824</v>
      </c>
      <c r="N373" s="9"/>
      <c r="O373" s="8">
        <v>0</v>
      </c>
      <c r="P373" s="9"/>
      <c r="Q373" s="8">
        <v>0</v>
      </c>
      <c r="R373" s="9"/>
      <c r="S373" s="8">
        <v>12779</v>
      </c>
      <c r="T373" s="9"/>
      <c r="U373" s="8">
        <v>0</v>
      </c>
      <c r="V373" s="9"/>
      <c r="W373" s="33">
        <v>142603</v>
      </c>
      <c r="X373" s="9"/>
      <c r="Y373" s="30">
        <v>68</v>
      </c>
      <c r="Z373" s="9"/>
      <c r="AA373" s="30">
        <v>0</v>
      </c>
      <c r="AB373" s="9"/>
      <c r="AC373" s="30">
        <v>0</v>
      </c>
      <c r="AD373" s="9"/>
      <c r="AE373" s="30">
        <v>6.9</v>
      </c>
      <c r="AF373" s="9"/>
      <c r="AG373" s="30">
        <v>0</v>
      </c>
      <c r="AH373" s="9"/>
      <c r="AI373" s="32">
        <v>74.900000000000006</v>
      </c>
      <c r="AJ373" s="12"/>
      <c r="AK373" s="22">
        <v>2514348</v>
      </c>
      <c r="AM373" s="22">
        <v>0</v>
      </c>
      <c r="AO373" s="22">
        <v>0</v>
      </c>
      <c r="AQ373" s="22">
        <v>423808</v>
      </c>
      <c r="AS373" s="26">
        <v>2938156</v>
      </c>
      <c r="AU373" s="23">
        <v>19.3674</v>
      </c>
      <c r="AY373" s="23">
        <v>0</v>
      </c>
      <c r="BA373" s="23">
        <v>33.164400000000001</v>
      </c>
      <c r="BC373" s="24">
        <v>20.6037</v>
      </c>
      <c r="BE373" s="1" t="str">
        <f t="shared" si="5"/>
        <v>No</v>
      </c>
    </row>
    <row r="374" spans="1:57" ht="11.25" customHeight="1">
      <c r="A374" s="7" t="s">
        <v>1100</v>
      </c>
      <c r="B374" s="7" t="s">
        <v>1101</v>
      </c>
      <c r="C374" s="37" t="s">
        <v>63</v>
      </c>
      <c r="D374" s="296">
        <v>2209</v>
      </c>
      <c r="E374" s="297">
        <v>20209</v>
      </c>
      <c r="F374" s="27" t="s">
        <v>162</v>
      </c>
      <c r="G374" s="73" t="s">
        <v>158</v>
      </c>
      <c r="H374" s="35">
        <v>18351295</v>
      </c>
      <c r="I374" s="35">
        <v>70</v>
      </c>
      <c r="J374" s="37" t="s">
        <v>7</v>
      </c>
      <c r="K374" s="37" t="s">
        <v>159</v>
      </c>
      <c r="L374" s="8">
        <v>10</v>
      </c>
      <c r="M374" s="8">
        <v>44001</v>
      </c>
      <c r="N374" s="9"/>
      <c r="O374" s="8">
        <v>0</v>
      </c>
      <c r="P374" s="9"/>
      <c r="Q374" s="8">
        <v>0</v>
      </c>
      <c r="R374" s="9"/>
      <c r="S374" s="8">
        <v>2163</v>
      </c>
      <c r="T374" s="9"/>
      <c r="U374" s="8">
        <v>0</v>
      </c>
      <c r="V374" s="9"/>
      <c r="W374" s="33">
        <v>46164</v>
      </c>
      <c r="X374" s="9"/>
      <c r="Y374" s="30">
        <v>22</v>
      </c>
      <c r="Z374" s="9"/>
      <c r="AA374" s="30">
        <v>0</v>
      </c>
      <c r="AB374" s="9"/>
      <c r="AC374" s="30">
        <v>0</v>
      </c>
      <c r="AD374" s="9"/>
      <c r="AE374" s="30">
        <v>1.1000000000000001</v>
      </c>
      <c r="AF374" s="9"/>
      <c r="AG374" s="30">
        <v>0</v>
      </c>
      <c r="AH374" s="9"/>
      <c r="AI374" s="32">
        <v>23.1</v>
      </c>
      <c r="AJ374" s="12"/>
      <c r="AK374" s="22">
        <v>1184016</v>
      </c>
      <c r="AM374" s="22">
        <v>0</v>
      </c>
      <c r="AO374" s="22">
        <v>0</v>
      </c>
      <c r="AQ374" s="22">
        <v>48126</v>
      </c>
      <c r="AS374" s="26">
        <v>1232142</v>
      </c>
      <c r="AU374" s="23">
        <v>26.908799999999999</v>
      </c>
      <c r="AY374" s="23">
        <v>0</v>
      </c>
      <c r="BA374" s="23">
        <v>22.249700000000001</v>
      </c>
      <c r="BC374" s="24">
        <v>26.6905</v>
      </c>
      <c r="BE374" s="1" t="str">
        <f t="shared" si="5"/>
        <v>No</v>
      </c>
    </row>
    <row r="375" spans="1:57" ht="11.25" customHeight="1">
      <c r="A375" s="7" t="s">
        <v>756</v>
      </c>
      <c r="B375" s="7" t="s">
        <v>757</v>
      </c>
      <c r="C375" s="37" t="s">
        <v>63</v>
      </c>
      <c r="D375" s="296">
        <v>2192</v>
      </c>
      <c r="E375" s="297">
        <v>20192</v>
      </c>
      <c r="F375" s="27" t="s">
        <v>162</v>
      </c>
      <c r="G375" s="73" t="s">
        <v>158</v>
      </c>
      <c r="H375" s="35">
        <v>18351295</v>
      </c>
      <c r="I375" s="35">
        <v>69</v>
      </c>
      <c r="J375" s="37" t="s">
        <v>10</v>
      </c>
      <c r="K375" s="37" t="s">
        <v>159</v>
      </c>
      <c r="L375" s="8">
        <v>65</v>
      </c>
      <c r="M375" s="8">
        <v>120221</v>
      </c>
      <c r="N375" s="9"/>
      <c r="O375" s="8">
        <v>2158</v>
      </c>
      <c r="P375" s="9"/>
      <c r="Q375" s="8">
        <v>0</v>
      </c>
      <c r="R375" s="9"/>
      <c r="S375" s="8">
        <v>10263</v>
      </c>
      <c r="T375" s="9"/>
      <c r="U375" s="8">
        <v>0</v>
      </c>
      <c r="V375" s="9"/>
      <c r="W375" s="33">
        <v>132642</v>
      </c>
      <c r="X375" s="9"/>
      <c r="Y375" s="30">
        <v>82</v>
      </c>
      <c r="Z375" s="9"/>
      <c r="AA375" s="30">
        <v>0.9</v>
      </c>
      <c r="AB375" s="9"/>
      <c r="AC375" s="30">
        <v>0</v>
      </c>
      <c r="AD375" s="9"/>
      <c r="AE375" s="30">
        <v>6.5</v>
      </c>
      <c r="AF375" s="9"/>
      <c r="AG375" s="30">
        <v>0</v>
      </c>
      <c r="AH375" s="9"/>
      <c r="AI375" s="32">
        <v>89.4</v>
      </c>
      <c r="AJ375" s="12"/>
      <c r="AK375" s="22">
        <v>2340208</v>
      </c>
      <c r="AM375" s="22">
        <v>42596</v>
      </c>
      <c r="AO375" s="22">
        <v>0</v>
      </c>
      <c r="AQ375" s="22">
        <v>352788</v>
      </c>
      <c r="AS375" s="26">
        <v>2735592</v>
      </c>
      <c r="AU375" s="23">
        <v>19.465900000000001</v>
      </c>
      <c r="AW375" s="23">
        <v>19.738600000000002</v>
      </c>
      <c r="AY375" s="23">
        <v>0</v>
      </c>
      <c r="BA375" s="23">
        <v>34.374699999999997</v>
      </c>
      <c r="BC375" s="24">
        <v>20.623899999999999</v>
      </c>
      <c r="BE375" s="1" t="str">
        <f t="shared" si="5"/>
        <v>No</v>
      </c>
    </row>
    <row r="376" spans="1:57" ht="11.25" customHeight="1">
      <c r="A376" s="7" t="s">
        <v>428</v>
      </c>
      <c r="B376" s="7" t="s">
        <v>429</v>
      </c>
      <c r="C376" s="37" t="s">
        <v>52</v>
      </c>
      <c r="D376" s="296">
        <v>5035</v>
      </c>
      <c r="E376" s="297">
        <v>50035</v>
      </c>
      <c r="F376" s="27" t="s">
        <v>162</v>
      </c>
      <c r="G376" s="73" t="s">
        <v>158</v>
      </c>
      <c r="H376" s="35">
        <v>209703</v>
      </c>
      <c r="I376" s="35">
        <v>69</v>
      </c>
      <c r="J376" s="37" t="s">
        <v>7</v>
      </c>
      <c r="K376" s="37" t="s">
        <v>159</v>
      </c>
      <c r="L376" s="8">
        <v>28</v>
      </c>
      <c r="M376" s="8">
        <v>108049</v>
      </c>
      <c r="N376" s="9"/>
      <c r="O376" s="8">
        <v>27603</v>
      </c>
      <c r="P376" s="9"/>
      <c r="Q376" s="8">
        <v>1173</v>
      </c>
      <c r="R376" s="9"/>
      <c r="S376" s="8">
        <v>6330</v>
      </c>
      <c r="T376" s="9"/>
      <c r="U376" s="8">
        <v>2008</v>
      </c>
      <c r="V376" s="9"/>
      <c r="W376" s="33">
        <v>145163</v>
      </c>
      <c r="X376" s="9"/>
      <c r="Y376" s="30">
        <v>78.900000000000006</v>
      </c>
      <c r="Z376" s="9"/>
      <c r="AA376" s="30">
        <v>18.8</v>
      </c>
      <c r="AB376" s="9"/>
      <c r="AC376" s="30">
        <v>0</v>
      </c>
      <c r="AD376" s="9"/>
      <c r="AE376" s="30">
        <v>5</v>
      </c>
      <c r="AF376" s="9"/>
      <c r="AG376" s="30">
        <v>1.8</v>
      </c>
      <c r="AH376" s="9"/>
      <c r="AI376" s="32">
        <v>104.5</v>
      </c>
      <c r="AJ376" s="12"/>
      <c r="AK376" s="22">
        <v>2136509</v>
      </c>
      <c r="AM376" s="22">
        <v>576138</v>
      </c>
      <c r="AO376" s="22">
        <v>27278</v>
      </c>
      <c r="AQ376" s="22">
        <v>107301</v>
      </c>
      <c r="AS376" s="26">
        <v>2847226</v>
      </c>
      <c r="AU376" s="23">
        <v>19.773499999999999</v>
      </c>
      <c r="AW376" s="23">
        <v>20.872299999999999</v>
      </c>
      <c r="AY376" s="23">
        <v>0.2525</v>
      </c>
      <c r="BA376" s="23">
        <v>16.9512</v>
      </c>
      <c r="BC376" s="24">
        <v>19.614000000000001</v>
      </c>
      <c r="BE376" s="1" t="str">
        <f t="shared" si="5"/>
        <v>No</v>
      </c>
    </row>
    <row r="377" spans="1:57" ht="11.25" customHeight="1">
      <c r="A377" s="7" t="s">
        <v>756</v>
      </c>
      <c r="B377" s="7" t="s">
        <v>757</v>
      </c>
      <c r="C377" s="37" t="s">
        <v>63</v>
      </c>
      <c r="D377" s="296">
        <v>2192</v>
      </c>
      <c r="E377" s="297">
        <v>20192</v>
      </c>
      <c r="F377" s="27" t="s">
        <v>162</v>
      </c>
      <c r="G377" s="73" t="s">
        <v>158</v>
      </c>
      <c r="H377" s="35">
        <v>18351295</v>
      </c>
      <c r="I377" s="35">
        <v>69</v>
      </c>
      <c r="J377" s="37" t="s">
        <v>7</v>
      </c>
      <c r="K377" s="37" t="s">
        <v>159</v>
      </c>
      <c r="L377" s="8">
        <v>4</v>
      </c>
      <c r="M377" s="8">
        <v>10710</v>
      </c>
      <c r="N377" s="9"/>
      <c r="O377" s="8">
        <v>139</v>
      </c>
      <c r="P377" s="9"/>
      <c r="Q377" s="8">
        <v>0</v>
      </c>
      <c r="R377" s="9"/>
      <c r="S377" s="8">
        <v>1024</v>
      </c>
      <c r="T377" s="9"/>
      <c r="U377" s="8">
        <v>0</v>
      </c>
      <c r="V377" s="9"/>
      <c r="W377" s="33">
        <v>11873</v>
      </c>
      <c r="X377" s="9"/>
      <c r="Y377" s="30">
        <v>10</v>
      </c>
      <c r="Z377" s="9"/>
      <c r="AA377" s="30">
        <v>0.1</v>
      </c>
      <c r="AB377" s="9"/>
      <c r="AC377" s="30">
        <v>0</v>
      </c>
      <c r="AD377" s="9"/>
      <c r="AE377" s="30">
        <v>0.5</v>
      </c>
      <c r="AF377" s="9"/>
      <c r="AG377" s="30">
        <v>0</v>
      </c>
      <c r="AH377" s="9"/>
      <c r="AI377" s="32">
        <v>10.6</v>
      </c>
      <c r="AJ377" s="12"/>
      <c r="AK377" s="22">
        <v>370625</v>
      </c>
      <c r="AM377" s="22">
        <v>3985</v>
      </c>
      <c r="AO377" s="22">
        <v>0</v>
      </c>
      <c r="AQ377" s="22">
        <v>11295</v>
      </c>
      <c r="AS377" s="26">
        <v>385905</v>
      </c>
      <c r="AU377" s="23">
        <v>34.605499999999999</v>
      </c>
      <c r="AW377" s="23">
        <v>28.6691</v>
      </c>
      <c r="AY377" s="23">
        <v>0</v>
      </c>
      <c r="BA377" s="23">
        <v>11.0303</v>
      </c>
      <c r="BC377" s="24">
        <v>32.502699999999997</v>
      </c>
      <c r="BE377" s="1" t="str">
        <f t="shared" si="5"/>
        <v>No</v>
      </c>
    </row>
    <row r="378" spans="1:57" ht="11.25" customHeight="1">
      <c r="A378" s="7" t="s">
        <v>612</v>
      </c>
      <c r="B378" s="7" t="s">
        <v>613</v>
      </c>
      <c r="C378" s="37" t="s">
        <v>17</v>
      </c>
      <c r="D378" s="296">
        <v>9035</v>
      </c>
      <c r="E378" s="297">
        <v>90035</v>
      </c>
      <c r="F378" s="27" t="s">
        <v>165</v>
      </c>
      <c r="G378" s="73" t="s">
        <v>158</v>
      </c>
      <c r="H378" s="35">
        <v>367260</v>
      </c>
      <c r="I378" s="35">
        <v>67</v>
      </c>
      <c r="J378" s="37" t="s">
        <v>7</v>
      </c>
      <c r="K378" s="37" t="s">
        <v>159</v>
      </c>
      <c r="L378" s="8">
        <v>45</v>
      </c>
      <c r="M378" s="8">
        <v>256994</v>
      </c>
      <c r="N378" s="9"/>
      <c r="O378" s="8">
        <v>37569</v>
      </c>
      <c r="P378" s="9"/>
      <c r="Q378" s="8">
        <v>3774</v>
      </c>
      <c r="R378" s="9"/>
      <c r="S378" s="8">
        <v>40743</v>
      </c>
      <c r="T378" s="9"/>
      <c r="U378" s="8">
        <v>1950</v>
      </c>
      <c r="V378" s="9"/>
      <c r="W378" s="33">
        <v>341030</v>
      </c>
      <c r="X378" s="9"/>
      <c r="Y378" s="30">
        <v>145</v>
      </c>
      <c r="Z378" s="9"/>
      <c r="AA378" s="30">
        <v>22</v>
      </c>
      <c r="AB378" s="9"/>
      <c r="AC378" s="30">
        <v>2</v>
      </c>
      <c r="AD378" s="9"/>
      <c r="AE378" s="30">
        <v>26</v>
      </c>
      <c r="AF378" s="9"/>
      <c r="AG378" s="30">
        <v>2</v>
      </c>
      <c r="AH378" s="9"/>
      <c r="AI378" s="32">
        <v>197</v>
      </c>
      <c r="AJ378" s="12"/>
      <c r="AK378" s="22">
        <v>6286428</v>
      </c>
      <c r="AM378" s="22">
        <v>1007539</v>
      </c>
      <c r="AO378" s="22">
        <v>62427</v>
      </c>
      <c r="AQ378" s="22">
        <v>1473726</v>
      </c>
      <c r="AS378" s="26">
        <v>8830120</v>
      </c>
      <c r="AU378" s="23">
        <v>24.461400000000001</v>
      </c>
      <c r="AW378" s="23">
        <v>26.8184</v>
      </c>
      <c r="AY378" s="23">
        <v>0.2429</v>
      </c>
      <c r="BA378" s="23">
        <v>36.171300000000002</v>
      </c>
      <c r="BC378" s="24">
        <v>25.892499999999998</v>
      </c>
      <c r="BE378" s="1" t="str">
        <f t="shared" si="5"/>
        <v>No</v>
      </c>
    </row>
    <row r="379" spans="1:57" ht="11.25" customHeight="1">
      <c r="A379" s="7" t="s">
        <v>747</v>
      </c>
      <c r="B379" s="7" t="s">
        <v>654</v>
      </c>
      <c r="C379" s="37" t="s">
        <v>26</v>
      </c>
      <c r="D379" s="296">
        <v>8106</v>
      </c>
      <c r="E379" s="297">
        <v>80106</v>
      </c>
      <c r="F379" s="27" t="s">
        <v>195</v>
      </c>
      <c r="G379" s="73" t="s">
        <v>158</v>
      </c>
      <c r="H379" s="35">
        <v>264465</v>
      </c>
      <c r="I379" s="35">
        <v>66</v>
      </c>
      <c r="J379" s="37" t="s">
        <v>8</v>
      </c>
      <c r="K379" s="37" t="s">
        <v>159</v>
      </c>
      <c r="L379" s="8">
        <v>66</v>
      </c>
      <c r="M379" s="8">
        <v>0</v>
      </c>
      <c r="N379" s="9"/>
      <c r="O379" s="8">
        <v>0</v>
      </c>
      <c r="P379" s="9"/>
      <c r="Q379" s="8">
        <v>0</v>
      </c>
      <c r="R379" s="9"/>
      <c r="S379" s="8">
        <v>5466</v>
      </c>
      <c r="T379" s="9"/>
      <c r="U379" s="8">
        <v>0</v>
      </c>
      <c r="V379" s="9"/>
      <c r="W379" s="33">
        <v>5466</v>
      </c>
      <c r="X379" s="9"/>
      <c r="Y379" s="30">
        <v>0</v>
      </c>
      <c r="Z379" s="9"/>
      <c r="AA379" s="30">
        <v>0</v>
      </c>
      <c r="AB379" s="9"/>
      <c r="AC379" s="30">
        <v>0</v>
      </c>
      <c r="AD379" s="9"/>
      <c r="AE379" s="30">
        <v>9</v>
      </c>
      <c r="AF379" s="9"/>
      <c r="AG379" s="30">
        <v>0</v>
      </c>
      <c r="AH379" s="9"/>
      <c r="AI379" s="32">
        <v>9</v>
      </c>
      <c r="AJ379" s="12"/>
      <c r="AK379" s="22">
        <v>0</v>
      </c>
      <c r="AM379" s="22">
        <v>0</v>
      </c>
      <c r="AO379" s="22">
        <v>0</v>
      </c>
      <c r="AQ379" s="22">
        <v>167944</v>
      </c>
      <c r="AS379" s="26">
        <v>167944</v>
      </c>
      <c r="BA379" s="23">
        <v>30.725200000000001</v>
      </c>
      <c r="BC379" s="24">
        <v>30.725200000000001</v>
      </c>
      <c r="BE379" s="1" t="str">
        <f t="shared" si="5"/>
        <v>No</v>
      </c>
    </row>
    <row r="380" spans="1:57" ht="11.25" customHeight="1">
      <c r="A380" s="7" t="s">
        <v>695</v>
      </c>
      <c r="B380" s="7" t="s">
        <v>696</v>
      </c>
      <c r="C380" s="37" t="s">
        <v>58</v>
      </c>
      <c r="D380" s="296">
        <v>4012</v>
      </c>
      <c r="E380" s="297">
        <v>40012</v>
      </c>
      <c r="F380" s="27" t="s">
        <v>165</v>
      </c>
      <c r="G380" s="73" t="s">
        <v>158</v>
      </c>
      <c r="H380" s="35">
        <v>391024</v>
      </c>
      <c r="I380" s="35">
        <v>66</v>
      </c>
      <c r="J380" s="37" t="s">
        <v>7</v>
      </c>
      <c r="K380" s="37" t="s">
        <v>159</v>
      </c>
      <c r="L380" s="8">
        <v>36</v>
      </c>
      <c r="M380" s="8">
        <v>154544</v>
      </c>
      <c r="N380" s="9"/>
      <c r="O380" s="8">
        <v>46294</v>
      </c>
      <c r="P380" s="9"/>
      <c r="Q380" s="8">
        <v>10102</v>
      </c>
      <c r="R380" s="9"/>
      <c r="S380" s="8">
        <v>20527</v>
      </c>
      <c r="T380" s="9"/>
      <c r="U380" s="8">
        <v>0</v>
      </c>
      <c r="V380" s="9"/>
      <c r="W380" s="33">
        <v>231467</v>
      </c>
      <c r="X380" s="9"/>
      <c r="Y380" s="30">
        <v>79</v>
      </c>
      <c r="Z380" s="9"/>
      <c r="AA380" s="30">
        <v>25</v>
      </c>
      <c r="AB380" s="9"/>
      <c r="AC380" s="30">
        <v>7</v>
      </c>
      <c r="AD380" s="9"/>
      <c r="AE380" s="30">
        <v>11</v>
      </c>
      <c r="AF380" s="9"/>
      <c r="AG380" s="30">
        <v>0</v>
      </c>
      <c r="AH380" s="9"/>
      <c r="AI380" s="32">
        <v>122</v>
      </c>
      <c r="AJ380" s="12"/>
      <c r="AK380" s="22">
        <v>3713904</v>
      </c>
      <c r="AM380" s="22">
        <v>1095079</v>
      </c>
      <c r="AO380" s="22">
        <v>175200</v>
      </c>
      <c r="AQ380" s="22">
        <v>593342</v>
      </c>
      <c r="AS380" s="26">
        <v>5577525</v>
      </c>
      <c r="AU380" s="23">
        <v>24.031400000000001</v>
      </c>
      <c r="AW380" s="23">
        <v>23.654900000000001</v>
      </c>
      <c r="AY380" s="23">
        <v>1.1336999999999999</v>
      </c>
      <c r="BA380" s="23">
        <v>28.9054</v>
      </c>
      <c r="BC380" s="24">
        <v>24.096399999999999</v>
      </c>
      <c r="BE380" s="1" t="str">
        <f t="shared" si="5"/>
        <v>No</v>
      </c>
    </row>
    <row r="381" spans="1:57" ht="11.25" customHeight="1">
      <c r="A381" s="7" t="s">
        <v>695</v>
      </c>
      <c r="B381" s="7" t="s">
        <v>696</v>
      </c>
      <c r="C381" s="37" t="s">
        <v>58</v>
      </c>
      <c r="D381" s="296">
        <v>4012</v>
      </c>
      <c r="E381" s="297">
        <v>40012</v>
      </c>
      <c r="F381" s="27" t="s">
        <v>165</v>
      </c>
      <c r="G381" s="73" t="s">
        <v>158</v>
      </c>
      <c r="H381" s="35">
        <v>391024</v>
      </c>
      <c r="I381" s="35">
        <v>66</v>
      </c>
      <c r="J381" s="37" t="s">
        <v>10</v>
      </c>
      <c r="K381" s="37" t="s">
        <v>159</v>
      </c>
      <c r="L381" s="8">
        <v>30</v>
      </c>
      <c r="M381" s="8">
        <v>75278</v>
      </c>
      <c r="N381" s="9"/>
      <c r="O381" s="8">
        <v>3510</v>
      </c>
      <c r="P381" s="9"/>
      <c r="Q381" s="8">
        <v>1400</v>
      </c>
      <c r="R381" s="9"/>
      <c r="S381" s="8">
        <v>11350</v>
      </c>
      <c r="T381" s="9"/>
      <c r="U381" s="8">
        <v>0</v>
      </c>
      <c r="V381" s="9"/>
      <c r="W381" s="33">
        <v>91538</v>
      </c>
      <c r="X381" s="9"/>
      <c r="Y381" s="30">
        <v>46</v>
      </c>
      <c r="Z381" s="9"/>
      <c r="AA381" s="30">
        <v>2</v>
      </c>
      <c r="AB381" s="9"/>
      <c r="AC381" s="30">
        <v>1</v>
      </c>
      <c r="AD381" s="9"/>
      <c r="AE381" s="30">
        <v>8</v>
      </c>
      <c r="AF381" s="9"/>
      <c r="AG381" s="30">
        <v>0</v>
      </c>
      <c r="AH381" s="9"/>
      <c r="AI381" s="32">
        <v>57</v>
      </c>
      <c r="AJ381" s="12"/>
      <c r="AK381" s="22">
        <v>1431248</v>
      </c>
      <c r="AM381" s="22">
        <v>73775</v>
      </c>
      <c r="AO381" s="22">
        <v>27421</v>
      </c>
      <c r="AQ381" s="22">
        <v>246794</v>
      </c>
      <c r="AS381" s="26">
        <v>1779238</v>
      </c>
      <c r="AU381" s="23">
        <v>19.012799999999999</v>
      </c>
      <c r="AW381" s="23">
        <v>21.0185</v>
      </c>
      <c r="AY381" s="23">
        <v>0.36430000000000001</v>
      </c>
      <c r="BA381" s="23">
        <v>21.744</v>
      </c>
      <c r="BC381" s="24">
        <v>19.437200000000001</v>
      </c>
      <c r="BE381" s="1" t="str">
        <f t="shared" si="5"/>
        <v>No</v>
      </c>
    </row>
    <row r="382" spans="1:57" ht="11.25" customHeight="1">
      <c r="A382" s="7" t="s">
        <v>609</v>
      </c>
      <c r="B382" s="7" t="s">
        <v>312</v>
      </c>
      <c r="C382" s="37" t="s">
        <v>17</v>
      </c>
      <c r="D382" s="296">
        <v>9089</v>
      </c>
      <c r="E382" s="297">
        <v>90089</v>
      </c>
      <c r="F382" s="27" t="s">
        <v>162</v>
      </c>
      <c r="G382" s="73" t="s">
        <v>158</v>
      </c>
      <c r="H382" s="35">
        <v>308231</v>
      </c>
      <c r="I382" s="35">
        <v>66</v>
      </c>
      <c r="J382" s="37" t="s">
        <v>7</v>
      </c>
      <c r="K382" s="37" t="s">
        <v>159</v>
      </c>
      <c r="L382" s="8">
        <v>1</v>
      </c>
      <c r="M382" s="8">
        <v>1066</v>
      </c>
      <c r="N382" s="9"/>
      <c r="O382" s="8">
        <v>0</v>
      </c>
      <c r="P382" s="9"/>
      <c r="Q382" s="8">
        <v>0</v>
      </c>
      <c r="R382" s="9"/>
      <c r="S382" s="8">
        <v>3</v>
      </c>
      <c r="T382" s="9"/>
      <c r="U382" s="8">
        <v>0</v>
      </c>
      <c r="V382" s="9"/>
      <c r="W382" s="33">
        <v>1069</v>
      </c>
      <c r="X382" s="9"/>
      <c r="Y382" s="30">
        <v>1</v>
      </c>
      <c r="Z382" s="9"/>
      <c r="AA382" s="30">
        <v>0</v>
      </c>
      <c r="AB382" s="9"/>
      <c r="AC382" s="30">
        <v>0</v>
      </c>
      <c r="AD382" s="9"/>
      <c r="AE382" s="30">
        <v>0.01</v>
      </c>
      <c r="AF382" s="9"/>
      <c r="AG382" s="30">
        <v>0</v>
      </c>
      <c r="AH382" s="9"/>
      <c r="AI382" s="32">
        <v>1.01</v>
      </c>
      <c r="AJ382" s="12"/>
      <c r="AK382" s="22">
        <v>33819</v>
      </c>
      <c r="AM382" s="22">
        <v>0</v>
      </c>
      <c r="AO382" s="22">
        <v>0</v>
      </c>
      <c r="AQ382" s="22">
        <v>150</v>
      </c>
      <c r="AS382" s="26">
        <v>33969</v>
      </c>
      <c r="AU382" s="23">
        <v>31.725100000000001</v>
      </c>
      <c r="AY382" s="23">
        <v>0</v>
      </c>
      <c r="BA382" s="23">
        <v>50</v>
      </c>
      <c r="BC382" s="24">
        <v>31.776399999999999</v>
      </c>
      <c r="BE382" s="1" t="str">
        <f t="shared" si="5"/>
        <v>No</v>
      </c>
    </row>
    <row r="383" spans="1:57" ht="11.25" customHeight="1">
      <c r="A383" s="7" t="s">
        <v>391</v>
      </c>
      <c r="B383" s="7" t="s">
        <v>392</v>
      </c>
      <c r="C383" s="37" t="s">
        <v>28</v>
      </c>
      <c r="D383" s="296">
        <v>1050</v>
      </c>
      <c r="E383" s="297">
        <v>10050</v>
      </c>
      <c r="F383" s="27" t="s">
        <v>165</v>
      </c>
      <c r="G383" s="73" t="s">
        <v>158</v>
      </c>
      <c r="H383" s="35">
        <v>923311</v>
      </c>
      <c r="I383" s="35">
        <v>64</v>
      </c>
      <c r="J383" s="37" t="s">
        <v>7</v>
      </c>
      <c r="K383" s="37" t="s">
        <v>159</v>
      </c>
      <c r="L383" s="8">
        <v>43</v>
      </c>
      <c r="M383" s="8">
        <v>234950</v>
      </c>
      <c r="N383" s="9"/>
      <c r="O383" s="8">
        <v>65306</v>
      </c>
      <c r="P383" s="9"/>
      <c r="Q383" s="8">
        <v>3676</v>
      </c>
      <c r="R383" s="9"/>
      <c r="S383" s="8">
        <v>26672</v>
      </c>
      <c r="T383" s="9"/>
      <c r="U383" s="8">
        <v>0</v>
      </c>
      <c r="V383" s="9"/>
      <c r="W383" s="33">
        <v>330604</v>
      </c>
      <c r="X383" s="9"/>
      <c r="Y383" s="30">
        <v>131</v>
      </c>
      <c r="Z383" s="9"/>
      <c r="AA383" s="30">
        <v>36</v>
      </c>
      <c r="AB383" s="9"/>
      <c r="AC383" s="30">
        <v>2</v>
      </c>
      <c r="AD383" s="9"/>
      <c r="AE383" s="30">
        <v>17</v>
      </c>
      <c r="AF383" s="9"/>
      <c r="AG383" s="30">
        <v>0</v>
      </c>
      <c r="AH383" s="9"/>
      <c r="AI383" s="32">
        <v>186</v>
      </c>
      <c r="AJ383" s="12"/>
      <c r="AK383" s="22">
        <v>6088472</v>
      </c>
      <c r="AM383" s="22">
        <v>1640146</v>
      </c>
      <c r="AO383" s="22">
        <v>99527</v>
      </c>
      <c r="AQ383" s="22">
        <v>827327</v>
      </c>
      <c r="AS383" s="26">
        <v>8655472</v>
      </c>
      <c r="AU383" s="23">
        <v>25.913900000000002</v>
      </c>
      <c r="AW383" s="23">
        <v>25.114799999999999</v>
      </c>
      <c r="AY383" s="23">
        <v>0.42359999999999998</v>
      </c>
      <c r="BA383" s="23">
        <v>31.018599999999999</v>
      </c>
      <c r="BC383" s="24">
        <v>26.180800000000001</v>
      </c>
      <c r="BE383" s="1" t="str">
        <f t="shared" si="5"/>
        <v>No</v>
      </c>
    </row>
    <row r="384" spans="1:57" ht="11.25" customHeight="1">
      <c r="A384" s="7" t="s">
        <v>87</v>
      </c>
      <c r="B384" s="7" t="s">
        <v>736</v>
      </c>
      <c r="C384" s="37" t="s">
        <v>86</v>
      </c>
      <c r="D384" s="296">
        <v>3045</v>
      </c>
      <c r="E384" s="297">
        <v>30045</v>
      </c>
      <c r="F384" s="27" t="s">
        <v>401</v>
      </c>
      <c r="G384" s="73" t="s">
        <v>158</v>
      </c>
      <c r="H384" s="35">
        <v>92359</v>
      </c>
      <c r="I384" s="35">
        <v>63</v>
      </c>
      <c r="J384" s="37" t="s">
        <v>10</v>
      </c>
      <c r="K384" s="37" t="s">
        <v>159</v>
      </c>
      <c r="L384" s="8">
        <v>63</v>
      </c>
      <c r="M384" s="8">
        <v>184879</v>
      </c>
      <c r="N384" s="9"/>
      <c r="O384" s="8">
        <v>6022</v>
      </c>
      <c r="P384" s="9"/>
      <c r="Q384" s="8">
        <v>177</v>
      </c>
      <c r="R384" s="9"/>
      <c r="S384" s="8">
        <v>18708</v>
      </c>
      <c r="T384" s="9"/>
      <c r="U384" s="8">
        <v>0</v>
      </c>
      <c r="V384" s="9"/>
      <c r="W384" s="33">
        <v>209786</v>
      </c>
      <c r="X384" s="9"/>
      <c r="Y384" s="30">
        <v>106</v>
      </c>
      <c r="Z384" s="9"/>
      <c r="AA384" s="30">
        <v>2.9</v>
      </c>
      <c r="AB384" s="9"/>
      <c r="AC384" s="30">
        <v>0.1</v>
      </c>
      <c r="AD384" s="9"/>
      <c r="AE384" s="30">
        <v>9</v>
      </c>
      <c r="AF384" s="9"/>
      <c r="AG384" s="30">
        <v>0</v>
      </c>
      <c r="AH384" s="9"/>
      <c r="AI384" s="32">
        <v>118</v>
      </c>
      <c r="AJ384" s="12"/>
      <c r="AK384" s="22">
        <v>2863502</v>
      </c>
      <c r="AM384" s="22">
        <v>149077</v>
      </c>
      <c r="AO384" s="22">
        <v>8821</v>
      </c>
      <c r="AQ384" s="22">
        <v>544607</v>
      </c>
      <c r="AS384" s="26">
        <v>3566007</v>
      </c>
      <c r="AU384" s="23">
        <v>15.4885</v>
      </c>
      <c r="AW384" s="23">
        <v>24.755400000000002</v>
      </c>
      <c r="AY384" s="23">
        <v>4.7699999999999999E-2</v>
      </c>
      <c r="BA384" s="23">
        <v>29.110900000000001</v>
      </c>
      <c r="BC384" s="24">
        <v>16.9983</v>
      </c>
      <c r="BE384" s="1" t="str">
        <f t="shared" si="5"/>
        <v>No</v>
      </c>
    </row>
    <row r="385" spans="1:57" ht="11.25" customHeight="1">
      <c r="A385" s="7" t="s">
        <v>626</v>
      </c>
      <c r="B385" s="7" t="s">
        <v>627</v>
      </c>
      <c r="C385" s="37" t="s">
        <v>73</v>
      </c>
      <c r="D385" s="296">
        <v>5011</v>
      </c>
      <c r="E385" s="297">
        <v>50011</v>
      </c>
      <c r="F385" s="27" t="s">
        <v>165</v>
      </c>
      <c r="G385" s="73" t="s">
        <v>158</v>
      </c>
      <c r="H385" s="35">
        <v>279245</v>
      </c>
      <c r="I385" s="35">
        <v>63</v>
      </c>
      <c r="J385" s="37" t="s">
        <v>7</v>
      </c>
      <c r="K385" s="37" t="s">
        <v>159</v>
      </c>
      <c r="L385" s="8">
        <v>33</v>
      </c>
      <c r="M385" s="8">
        <v>189051</v>
      </c>
      <c r="N385" s="9"/>
      <c r="O385" s="8">
        <v>33930</v>
      </c>
      <c r="P385" s="9"/>
      <c r="Q385" s="8">
        <v>3179</v>
      </c>
      <c r="R385" s="9"/>
      <c r="S385" s="8">
        <v>22808</v>
      </c>
      <c r="T385" s="9"/>
      <c r="U385" s="8">
        <v>0</v>
      </c>
      <c r="V385" s="9"/>
      <c r="W385" s="33">
        <v>248968</v>
      </c>
      <c r="X385" s="9"/>
      <c r="Y385" s="30">
        <v>99</v>
      </c>
      <c r="Z385" s="9"/>
      <c r="AA385" s="30">
        <v>18.5</v>
      </c>
      <c r="AB385" s="9"/>
      <c r="AC385" s="30">
        <v>2</v>
      </c>
      <c r="AD385" s="9"/>
      <c r="AE385" s="30">
        <v>12.5</v>
      </c>
      <c r="AF385" s="9"/>
      <c r="AG385" s="30">
        <v>0</v>
      </c>
      <c r="AH385" s="9"/>
      <c r="AI385" s="32">
        <v>132</v>
      </c>
      <c r="AJ385" s="12"/>
      <c r="AK385" s="22">
        <v>3555048</v>
      </c>
      <c r="AM385" s="22">
        <v>692865</v>
      </c>
      <c r="AO385" s="22">
        <v>60570</v>
      </c>
      <c r="AQ385" s="22">
        <v>606975</v>
      </c>
      <c r="AS385" s="26">
        <v>4915458</v>
      </c>
      <c r="AU385" s="23">
        <v>18.8047</v>
      </c>
      <c r="AW385" s="23">
        <v>20.420400000000001</v>
      </c>
      <c r="AY385" s="23">
        <v>0.32040000000000002</v>
      </c>
      <c r="BA385" s="23">
        <v>26.612400000000001</v>
      </c>
      <c r="BC385" s="24">
        <v>19.743300000000001</v>
      </c>
      <c r="BE385" s="1" t="str">
        <f t="shared" si="5"/>
        <v>No</v>
      </c>
    </row>
    <row r="386" spans="1:57" ht="11.25" customHeight="1">
      <c r="A386" s="7" t="s">
        <v>626</v>
      </c>
      <c r="B386" s="7" t="s">
        <v>627</v>
      </c>
      <c r="C386" s="37" t="s">
        <v>73</v>
      </c>
      <c r="D386" s="296">
        <v>5011</v>
      </c>
      <c r="E386" s="297">
        <v>50011</v>
      </c>
      <c r="F386" s="27" t="s">
        <v>165</v>
      </c>
      <c r="G386" s="73" t="s">
        <v>158</v>
      </c>
      <c r="H386" s="35">
        <v>279245</v>
      </c>
      <c r="I386" s="35">
        <v>63</v>
      </c>
      <c r="J386" s="37" t="s">
        <v>10</v>
      </c>
      <c r="K386" s="37" t="s">
        <v>159</v>
      </c>
      <c r="L386" s="8">
        <v>30</v>
      </c>
      <c r="M386" s="8">
        <v>116934</v>
      </c>
      <c r="N386" s="9"/>
      <c r="O386" s="8">
        <v>17479</v>
      </c>
      <c r="P386" s="9"/>
      <c r="Q386" s="8">
        <v>1638</v>
      </c>
      <c r="R386" s="9"/>
      <c r="S386" s="8">
        <v>11750</v>
      </c>
      <c r="T386" s="9"/>
      <c r="U386" s="8">
        <v>0</v>
      </c>
      <c r="V386" s="9"/>
      <c r="W386" s="33">
        <v>147801</v>
      </c>
      <c r="X386" s="9"/>
      <c r="Y386" s="30">
        <v>64</v>
      </c>
      <c r="Z386" s="9"/>
      <c r="AA386" s="30">
        <v>9.5</v>
      </c>
      <c r="AB386" s="9"/>
      <c r="AC386" s="30">
        <v>1</v>
      </c>
      <c r="AD386" s="9"/>
      <c r="AE386" s="30">
        <v>6.5</v>
      </c>
      <c r="AF386" s="9"/>
      <c r="AG386" s="30">
        <v>0</v>
      </c>
      <c r="AH386" s="9"/>
      <c r="AI386" s="32">
        <v>81</v>
      </c>
      <c r="AJ386" s="12"/>
      <c r="AK386" s="22">
        <v>1931321</v>
      </c>
      <c r="AM386" s="22">
        <v>356853</v>
      </c>
      <c r="AO386" s="22">
        <v>31203</v>
      </c>
      <c r="AQ386" s="22">
        <v>312080</v>
      </c>
      <c r="AS386" s="26">
        <v>2631457</v>
      </c>
      <c r="AU386" s="23">
        <v>16.516300000000001</v>
      </c>
      <c r="AW386" s="23">
        <v>20.4161</v>
      </c>
      <c r="AY386" s="23">
        <v>0.26679999999999998</v>
      </c>
      <c r="BA386" s="23">
        <v>26.56</v>
      </c>
      <c r="BC386" s="24">
        <v>17.804099999999998</v>
      </c>
      <c r="BE386" s="1" t="str">
        <f t="shared" ref="BE386:BE449" si="6">IF(BD386&amp;BB386&amp;AZ386&amp;AX386&amp;AV386&amp;AT386&amp;AR386&amp;AP386&amp;AN386&amp;AL386&amp;AJ386&amp;AH386&amp;AF386&amp;AD386&amp;AB386&amp;Z386&amp;X386&amp;V386&amp;T386&amp;R386&amp;P386&amp;N386&lt;&gt;"","Yes","No")</f>
        <v>No</v>
      </c>
    </row>
    <row r="387" spans="1:57" ht="11.25" customHeight="1">
      <c r="A387" s="7" t="s">
        <v>701</v>
      </c>
      <c r="B387" s="7" t="s">
        <v>702</v>
      </c>
      <c r="C387" s="37" t="s">
        <v>89</v>
      </c>
      <c r="D387" s="296">
        <v>6</v>
      </c>
      <c r="E387" s="297">
        <v>6</v>
      </c>
      <c r="F387" s="27" t="s">
        <v>162</v>
      </c>
      <c r="G387" s="73" t="s">
        <v>158</v>
      </c>
      <c r="H387" s="35">
        <v>129534</v>
      </c>
      <c r="I387" s="35">
        <v>63</v>
      </c>
      <c r="J387" s="37" t="s">
        <v>7</v>
      </c>
      <c r="K387" s="37" t="s">
        <v>159</v>
      </c>
      <c r="L387" s="8">
        <v>19</v>
      </c>
      <c r="M387" s="8">
        <v>93740</v>
      </c>
      <c r="N387" s="9"/>
      <c r="O387" s="8">
        <v>11455</v>
      </c>
      <c r="P387" s="9"/>
      <c r="Q387" s="8">
        <v>0</v>
      </c>
      <c r="R387" s="9"/>
      <c r="S387" s="8">
        <v>12898</v>
      </c>
      <c r="T387" s="9"/>
      <c r="U387" s="8">
        <v>0</v>
      </c>
      <c r="V387" s="9"/>
      <c r="W387" s="33">
        <v>118093</v>
      </c>
      <c r="X387" s="9"/>
      <c r="Y387" s="30">
        <v>63</v>
      </c>
      <c r="Z387" s="9"/>
      <c r="AA387" s="30">
        <v>11</v>
      </c>
      <c r="AB387" s="9"/>
      <c r="AC387" s="30">
        <v>0</v>
      </c>
      <c r="AD387" s="9"/>
      <c r="AE387" s="30">
        <v>7.2</v>
      </c>
      <c r="AF387" s="9"/>
      <c r="AG387" s="30">
        <v>0</v>
      </c>
      <c r="AH387" s="9"/>
      <c r="AI387" s="32">
        <v>81.2</v>
      </c>
      <c r="AJ387" s="12"/>
      <c r="AK387" s="22">
        <v>2061662</v>
      </c>
      <c r="AM387" s="22">
        <v>189985</v>
      </c>
      <c r="AO387" s="22">
        <v>0</v>
      </c>
      <c r="AQ387" s="22">
        <v>316911</v>
      </c>
      <c r="AS387" s="26">
        <v>2568558</v>
      </c>
      <c r="AU387" s="23">
        <v>21.993400000000001</v>
      </c>
      <c r="AW387" s="23">
        <v>16.5853</v>
      </c>
      <c r="AY387" s="23">
        <v>0</v>
      </c>
      <c r="BA387" s="23">
        <v>24.570599999999999</v>
      </c>
      <c r="BC387" s="24">
        <v>21.750299999999999</v>
      </c>
      <c r="BE387" s="1" t="str">
        <f t="shared" si="6"/>
        <v>No</v>
      </c>
    </row>
    <row r="388" spans="1:57" ht="11.25" customHeight="1">
      <c r="A388" s="7" t="s">
        <v>701</v>
      </c>
      <c r="B388" s="7" t="s">
        <v>702</v>
      </c>
      <c r="C388" s="37" t="s">
        <v>89</v>
      </c>
      <c r="D388" s="296">
        <v>6</v>
      </c>
      <c r="E388" s="297">
        <v>6</v>
      </c>
      <c r="F388" s="27" t="s">
        <v>162</v>
      </c>
      <c r="G388" s="73" t="s">
        <v>158</v>
      </c>
      <c r="H388" s="35">
        <v>129534</v>
      </c>
      <c r="I388" s="35">
        <v>63</v>
      </c>
      <c r="J388" s="37" t="s">
        <v>8</v>
      </c>
      <c r="K388" s="37" t="s">
        <v>159</v>
      </c>
      <c r="L388" s="8">
        <v>16</v>
      </c>
      <c r="M388" s="8">
        <v>0</v>
      </c>
      <c r="N388" s="9"/>
      <c r="O388" s="8">
        <v>0</v>
      </c>
      <c r="P388" s="9"/>
      <c r="Q388" s="8">
        <v>0</v>
      </c>
      <c r="R388" s="9"/>
      <c r="S388" s="8">
        <v>1243</v>
      </c>
      <c r="T388" s="9"/>
      <c r="U388" s="8">
        <v>0</v>
      </c>
      <c r="V388" s="9"/>
      <c r="W388" s="33">
        <v>1243</v>
      </c>
      <c r="X388" s="9"/>
      <c r="Y388" s="30">
        <v>0</v>
      </c>
      <c r="Z388" s="9"/>
      <c r="AA388" s="30">
        <v>0</v>
      </c>
      <c r="AB388" s="9"/>
      <c r="AC388" s="30">
        <v>0</v>
      </c>
      <c r="AD388" s="9"/>
      <c r="AE388" s="30">
        <v>0.8</v>
      </c>
      <c r="AF388" s="9"/>
      <c r="AG388" s="30">
        <v>0</v>
      </c>
      <c r="AH388" s="9"/>
      <c r="AI388" s="32">
        <v>0.8</v>
      </c>
      <c r="AJ388" s="12"/>
      <c r="AK388" s="22">
        <v>0</v>
      </c>
      <c r="AM388" s="22">
        <v>0</v>
      </c>
      <c r="AO388" s="22">
        <v>0</v>
      </c>
      <c r="AQ388" s="22">
        <v>41083</v>
      </c>
      <c r="AS388" s="26">
        <v>41083</v>
      </c>
      <c r="BA388" s="23">
        <v>33.051499999999997</v>
      </c>
      <c r="BC388" s="24">
        <v>33.051499999999997</v>
      </c>
      <c r="BE388" s="1" t="str">
        <f t="shared" si="6"/>
        <v>No</v>
      </c>
    </row>
    <row r="389" spans="1:57" ht="11.25" customHeight="1">
      <c r="A389" s="7" t="s">
        <v>569</v>
      </c>
      <c r="B389" s="7" t="s">
        <v>570</v>
      </c>
      <c r="C389" s="37" t="s">
        <v>40</v>
      </c>
      <c r="D389" s="296">
        <v>5057</v>
      </c>
      <c r="E389" s="297">
        <v>50057</v>
      </c>
      <c r="F389" s="27" t="s">
        <v>165</v>
      </c>
      <c r="G389" s="73" t="s">
        <v>158</v>
      </c>
      <c r="H389" s="35">
        <v>280051</v>
      </c>
      <c r="I389" s="35">
        <v>62</v>
      </c>
      <c r="J389" s="37" t="s">
        <v>7</v>
      </c>
      <c r="K389" s="37" t="s">
        <v>159</v>
      </c>
      <c r="L389" s="8">
        <v>46</v>
      </c>
      <c r="M389" s="8">
        <v>207221</v>
      </c>
      <c r="N389" s="9"/>
      <c r="O389" s="8">
        <v>37669</v>
      </c>
      <c r="P389" s="9"/>
      <c r="Q389" s="8">
        <v>2429</v>
      </c>
      <c r="R389" s="9"/>
      <c r="S389" s="8">
        <v>27776</v>
      </c>
      <c r="T389" s="9"/>
      <c r="U389" s="8">
        <v>0</v>
      </c>
      <c r="V389" s="9"/>
      <c r="W389" s="33">
        <v>275095</v>
      </c>
      <c r="X389" s="9"/>
      <c r="Y389" s="30">
        <v>111</v>
      </c>
      <c r="Z389" s="9"/>
      <c r="AA389" s="30">
        <v>21.5</v>
      </c>
      <c r="AB389" s="9"/>
      <c r="AC389" s="30">
        <v>1.3</v>
      </c>
      <c r="AD389" s="9"/>
      <c r="AE389" s="30">
        <v>21.4</v>
      </c>
      <c r="AF389" s="9"/>
      <c r="AG389" s="30">
        <v>0</v>
      </c>
      <c r="AH389" s="9"/>
      <c r="AI389" s="32">
        <v>155.19999999999999</v>
      </c>
      <c r="AJ389" s="12"/>
      <c r="AK389" s="22">
        <v>4696594</v>
      </c>
      <c r="AM389" s="22">
        <v>995069</v>
      </c>
      <c r="AO389" s="22">
        <v>48865</v>
      </c>
      <c r="AQ389" s="22">
        <v>780278</v>
      </c>
      <c r="AS389" s="26">
        <v>6520806</v>
      </c>
      <c r="AU389" s="23">
        <v>22.6647</v>
      </c>
      <c r="AW389" s="23">
        <v>26.4161</v>
      </c>
      <c r="AY389" s="23">
        <v>0.23580000000000001</v>
      </c>
      <c r="BA389" s="23">
        <v>28.091799999999999</v>
      </c>
      <c r="BC389" s="24">
        <v>23.703800000000001</v>
      </c>
      <c r="BE389" s="1" t="str">
        <f t="shared" si="6"/>
        <v>No</v>
      </c>
    </row>
    <row r="390" spans="1:57" ht="11.25" customHeight="1">
      <c r="A390" s="7" t="s">
        <v>649</v>
      </c>
      <c r="B390" s="7" t="s">
        <v>650</v>
      </c>
      <c r="C390" s="37" t="s">
        <v>70</v>
      </c>
      <c r="D390" s="296">
        <v>2145</v>
      </c>
      <c r="E390" s="297">
        <v>20145</v>
      </c>
      <c r="F390" s="27" t="s">
        <v>187</v>
      </c>
      <c r="G390" s="73" t="s">
        <v>158</v>
      </c>
      <c r="H390" s="35">
        <v>53661</v>
      </c>
      <c r="I390" s="35">
        <v>62</v>
      </c>
      <c r="J390" s="37" t="s">
        <v>7</v>
      </c>
      <c r="K390" s="37" t="s">
        <v>159</v>
      </c>
      <c r="L390" s="8">
        <v>40</v>
      </c>
      <c r="M390" s="8">
        <v>183558</v>
      </c>
      <c r="N390" s="9"/>
      <c r="O390" s="8">
        <v>29359</v>
      </c>
      <c r="P390" s="9"/>
      <c r="Q390" s="8">
        <v>3940</v>
      </c>
      <c r="R390" s="9"/>
      <c r="S390" s="8">
        <v>27512</v>
      </c>
      <c r="T390" s="9"/>
      <c r="U390" s="8">
        <v>0</v>
      </c>
      <c r="V390" s="9"/>
      <c r="W390" s="33">
        <v>244369</v>
      </c>
      <c r="X390" s="9"/>
      <c r="Y390" s="30">
        <v>91</v>
      </c>
      <c r="Z390" s="9"/>
      <c r="AA390" s="30">
        <v>14</v>
      </c>
      <c r="AB390" s="9"/>
      <c r="AC390" s="30">
        <v>2</v>
      </c>
      <c r="AD390" s="9"/>
      <c r="AE390" s="30">
        <v>13</v>
      </c>
      <c r="AF390" s="9"/>
      <c r="AG390" s="30">
        <v>0</v>
      </c>
      <c r="AH390" s="9"/>
      <c r="AI390" s="32">
        <v>120</v>
      </c>
      <c r="AJ390" s="12"/>
      <c r="AK390" s="22">
        <v>4700966</v>
      </c>
      <c r="AM390" s="22">
        <v>699848</v>
      </c>
      <c r="AO390" s="22">
        <v>120546</v>
      </c>
      <c r="AQ390" s="22">
        <v>688691</v>
      </c>
      <c r="AS390" s="26">
        <v>6210051</v>
      </c>
      <c r="AU390" s="23">
        <v>25.610199999999999</v>
      </c>
      <c r="AW390" s="23">
        <v>23.837599999999998</v>
      </c>
      <c r="AY390" s="23">
        <v>0.65669999999999995</v>
      </c>
      <c r="BA390" s="23">
        <v>25.032399999999999</v>
      </c>
      <c r="BC390" s="24">
        <v>25.412600000000001</v>
      </c>
      <c r="BE390" s="1" t="str">
        <f t="shared" si="6"/>
        <v>No</v>
      </c>
    </row>
    <row r="391" spans="1:57" ht="11.25" customHeight="1">
      <c r="A391" s="7" t="s">
        <v>336</v>
      </c>
      <c r="B391" s="7" t="s">
        <v>337</v>
      </c>
      <c r="C391" s="37" t="s">
        <v>77</v>
      </c>
      <c r="D391" s="296">
        <v>3025</v>
      </c>
      <c r="E391" s="297">
        <v>30025</v>
      </c>
      <c r="F391" s="27" t="s">
        <v>165</v>
      </c>
      <c r="G391" s="73" t="s">
        <v>158</v>
      </c>
      <c r="H391" s="35">
        <v>381502</v>
      </c>
      <c r="I391" s="35">
        <v>62</v>
      </c>
      <c r="J391" s="37" t="s">
        <v>10</v>
      </c>
      <c r="K391" s="37" t="s">
        <v>159</v>
      </c>
      <c r="L391" s="8">
        <v>29</v>
      </c>
      <c r="M391" s="8">
        <v>59200</v>
      </c>
      <c r="N391" s="9"/>
      <c r="O391" s="8">
        <v>1903</v>
      </c>
      <c r="P391" s="9"/>
      <c r="Q391" s="8">
        <v>1189</v>
      </c>
      <c r="R391" s="9"/>
      <c r="S391" s="8">
        <v>12147</v>
      </c>
      <c r="T391" s="9"/>
      <c r="U391" s="8">
        <v>0</v>
      </c>
      <c r="V391" s="9"/>
      <c r="W391" s="33">
        <v>74439</v>
      </c>
      <c r="X391" s="9"/>
      <c r="Y391" s="30">
        <v>37</v>
      </c>
      <c r="Z391" s="9"/>
      <c r="AA391" s="30">
        <v>1</v>
      </c>
      <c r="AB391" s="9"/>
      <c r="AC391" s="30">
        <v>1</v>
      </c>
      <c r="AD391" s="9"/>
      <c r="AE391" s="30">
        <v>8</v>
      </c>
      <c r="AF391" s="9"/>
      <c r="AG391" s="30">
        <v>0</v>
      </c>
      <c r="AH391" s="9"/>
      <c r="AI391" s="32">
        <v>47</v>
      </c>
      <c r="AJ391" s="12"/>
      <c r="AK391" s="22">
        <v>956407</v>
      </c>
      <c r="AM391" s="22">
        <v>31051</v>
      </c>
      <c r="AO391" s="22">
        <v>20701</v>
      </c>
      <c r="AQ391" s="22">
        <v>252666</v>
      </c>
      <c r="AS391" s="26">
        <v>1260825</v>
      </c>
      <c r="AU391" s="23">
        <v>16.1555</v>
      </c>
      <c r="AW391" s="23">
        <v>16.3169</v>
      </c>
      <c r="AY391" s="23">
        <v>0.34970000000000001</v>
      </c>
      <c r="BA391" s="23">
        <v>20.800699999999999</v>
      </c>
      <c r="BC391" s="24">
        <v>16.9377</v>
      </c>
      <c r="BE391" s="1" t="str">
        <f t="shared" si="6"/>
        <v>No</v>
      </c>
    </row>
    <row r="392" spans="1:57" ht="11.25" customHeight="1">
      <c r="A392" s="7" t="s">
        <v>336</v>
      </c>
      <c r="B392" s="7" t="s">
        <v>337</v>
      </c>
      <c r="C392" s="37" t="s">
        <v>77</v>
      </c>
      <c r="D392" s="296">
        <v>3025</v>
      </c>
      <c r="E392" s="297">
        <v>30025</v>
      </c>
      <c r="F392" s="27" t="s">
        <v>165</v>
      </c>
      <c r="G392" s="73" t="s">
        <v>158</v>
      </c>
      <c r="H392" s="35">
        <v>381502</v>
      </c>
      <c r="I392" s="35">
        <v>62</v>
      </c>
      <c r="J392" s="37" t="s">
        <v>7</v>
      </c>
      <c r="K392" s="37" t="s">
        <v>159</v>
      </c>
      <c r="L392" s="8">
        <v>26</v>
      </c>
      <c r="M392" s="8">
        <v>92288</v>
      </c>
      <c r="N392" s="9"/>
      <c r="O392" s="8">
        <v>16143</v>
      </c>
      <c r="P392" s="9"/>
      <c r="Q392" s="8">
        <v>8754</v>
      </c>
      <c r="R392" s="9"/>
      <c r="S392" s="8">
        <v>19803</v>
      </c>
      <c r="T392" s="9"/>
      <c r="U392" s="8">
        <v>0</v>
      </c>
      <c r="V392" s="9"/>
      <c r="W392" s="33">
        <v>136988</v>
      </c>
      <c r="X392" s="9"/>
      <c r="Y392" s="30">
        <v>54</v>
      </c>
      <c r="Z392" s="9"/>
      <c r="AA392" s="30">
        <v>8</v>
      </c>
      <c r="AB392" s="9"/>
      <c r="AC392" s="30">
        <v>6</v>
      </c>
      <c r="AD392" s="9"/>
      <c r="AE392" s="30">
        <v>15</v>
      </c>
      <c r="AF392" s="9"/>
      <c r="AG392" s="30">
        <v>0</v>
      </c>
      <c r="AH392" s="9"/>
      <c r="AI392" s="32">
        <v>83</v>
      </c>
      <c r="AJ392" s="12"/>
      <c r="AK392" s="22">
        <v>2939959</v>
      </c>
      <c r="AM392" s="22">
        <v>440156</v>
      </c>
      <c r="AO392" s="22">
        <v>293438</v>
      </c>
      <c r="AQ392" s="22">
        <v>573401</v>
      </c>
      <c r="AS392" s="26">
        <v>4246954</v>
      </c>
      <c r="AU392" s="23">
        <v>31.856400000000001</v>
      </c>
      <c r="AW392" s="23">
        <v>27.266100000000002</v>
      </c>
      <c r="AY392" s="23">
        <v>3.1796000000000002</v>
      </c>
      <c r="BA392" s="23">
        <v>28.955300000000001</v>
      </c>
      <c r="BC392" s="24">
        <v>31.002400000000002</v>
      </c>
      <c r="BE392" s="1" t="str">
        <f t="shared" si="6"/>
        <v>No</v>
      </c>
    </row>
    <row r="393" spans="1:57" ht="11.25" customHeight="1">
      <c r="A393" s="7" t="s">
        <v>569</v>
      </c>
      <c r="B393" s="7" t="s">
        <v>570</v>
      </c>
      <c r="C393" s="37" t="s">
        <v>40</v>
      </c>
      <c r="D393" s="296">
        <v>5057</v>
      </c>
      <c r="E393" s="297">
        <v>50057</v>
      </c>
      <c r="F393" s="27" t="s">
        <v>165</v>
      </c>
      <c r="G393" s="73" t="s">
        <v>158</v>
      </c>
      <c r="H393" s="35">
        <v>280051</v>
      </c>
      <c r="I393" s="35">
        <v>62</v>
      </c>
      <c r="J393" s="37" t="s">
        <v>10</v>
      </c>
      <c r="K393" s="37" t="s">
        <v>159</v>
      </c>
      <c r="L393" s="8">
        <v>9</v>
      </c>
      <c r="M393" s="8">
        <v>18567</v>
      </c>
      <c r="N393" s="9"/>
      <c r="O393" s="8">
        <v>0</v>
      </c>
      <c r="P393" s="9"/>
      <c r="Q393" s="8">
        <v>306</v>
      </c>
      <c r="R393" s="9"/>
      <c r="S393" s="8">
        <v>3011</v>
      </c>
      <c r="T393" s="9"/>
      <c r="U393" s="8">
        <v>0</v>
      </c>
      <c r="V393" s="9"/>
      <c r="W393" s="33">
        <v>21884</v>
      </c>
      <c r="X393" s="9"/>
      <c r="Y393" s="30">
        <v>12</v>
      </c>
      <c r="Z393" s="9"/>
      <c r="AA393" s="30">
        <v>0</v>
      </c>
      <c r="AB393" s="9"/>
      <c r="AC393" s="30">
        <v>0.2</v>
      </c>
      <c r="AD393" s="9"/>
      <c r="AE393" s="30">
        <v>1.6</v>
      </c>
      <c r="AF393" s="9"/>
      <c r="AG393" s="30">
        <v>0</v>
      </c>
      <c r="AH393" s="9"/>
      <c r="AI393" s="32">
        <v>13.8</v>
      </c>
      <c r="AJ393" s="12"/>
      <c r="AK393" s="22">
        <v>248478</v>
      </c>
      <c r="AM393" s="22">
        <v>0</v>
      </c>
      <c r="AO393" s="22">
        <v>6981</v>
      </c>
      <c r="AQ393" s="22">
        <v>84796</v>
      </c>
      <c r="AS393" s="26">
        <v>340255</v>
      </c>
      <c r="AU393" s="23">
        <v>13.3828</v>
      </c>
      <c r="AY393" s="23">
        <v>0.376</v>
      </c>
      <c r="BA393" s="23">
        <v>28.162099999999999</v>
      </c>
      <c r="BC393" s="24">
        <v>15.5481</v>
      </c>
      <c r="BE393" s="1" t="str">
        <f t="shared" si="6"/>
        <v>No</v>
      </c>
    </row>
    <row r="394" spans="1:57" ht="11.25" customHeight="1">
      <c r="A394" s="7" t="s">
        <v>393</v>
      </c>
      <c r="B394" s="7" t="s">
        <v>304</v>
      </c>
      <c r="C394" s="37" t="s">
        <v>42</v>
      </c>
      <c r="D394" s="296">
        <v>5051</v>
      </c>
      <c r="E394" s="297">
        <v>50051</v>
      </c>
      <c r="F394" s="27" t="s">
        <v>165</v>
      </c>
      <c r="G394" s="73" t="s">
        <v>158</v>
      </c>
      <c r="H394" s="35">
        <v>147725</v>
      </c>
      <c r="I394" s="35">
        <v>61</v>
      </c>
      <c r="J394" s="37" t="s">
        <v>7</v>
      </c>
      <c r="K394" s="37" t="s">
        <v>159</v>
      </c>
      <c r="L394" s="8">
        <v>56</v>
      </c>
      <c r="M394" s="8">
        <v>180759</v>
      </c>
      <c r="N394" s="9"/>
      <c r="O394" s="8">
        <v>27837</v>
      </c>
      <c r="P394" s="9"/>
      <c r="Q394" s="8">
        <v>0</v>
      </c>
      <c r="R394" s="9"/>
      <c r="S394" s="8">
        <v>14319</v>
      </c>
      <c r="T394" s="9"/>
      <c r="U394" s="8">
        <v>850</v>
      </c>
      <c r="V394" s="9"/>
      <c r="W394" s="33">
        <v>223765</v>
      </c>
      <c r="X394" s="9"/>
      <c r="Y394" s="30">
        <v>114</v>
      </c>
      <c r="Z394" s="9"/>
      <c r="AA394" s="30">
        <v>15.05</v>
      </c>
      <c r="AB394" s="9"/>
      <c r="AC394" s="30">
        <v>0</v>
      </c>
      <c r="AD394" s="9"/>
      <c r="AE394" s="30">
        <v>8.4700000000000006</v>
      </c>
      <c r="AF394" s="9"/>
      <c r="AG394" s="30">
        <v>0.94</v>
      </c>
      <c r="AH394" s="9"/>
      <c r="AI394" s="32">
        <v>138.46</v>
      </c>
      <c r="AJ394" s="12"/>
      <c r="AK394" s="22">
        <v>3803547</v>
      </c>
      <c r="AM394" s="22">
        <v>572152</v>
      </c>
      <c r="AO394" s="22">
        <v>0</v>
      </c>
      <c r="AQ394" s="22">
        <v>610242</v>
      </c>
      <c r="AS394" s="26">
        <v>4985941</v>
      </c>
      <c r="AU394" s="23">
        <v>21.042100000000001</v>
      </c>
      <c r="AW394" s="23">
        <v>20.553699999999999</v>
      </c>
      <c r="AY394" s="23">
        <v>0</v>
      </c>
      <c r="BA394" s="23">
        <v>42.617600000000003</v>
      </c>
      <c r="BC394" s="24">
        <v>22.282</v>
      </c>
      <c r="BE394" s="1" t="str">
        <f t="shared" si="6"/>
        <v>No</v>
      </c>
    </row>
    <row r="395" spans="1:57" ht="11.25" customHeight="1">
      <c r="A395" s="7" t="s">
        <v>1128</v>
      </c>
      <c r="B395" s="7" t="s">
        <v>442</v>
      </c>
      <c r="C395" s="37" t="s">
        <v>32</v>
      </c>
      <c r="D395" s="296">
        <v>4031</v>
      </c>
      <c r="E395" s="297">
        <v>40031</v>
      </c>
      <c r="F395" s="27" t="s">
        <v>165</v>
      </c>
      <c r="G395" s="73" t="s">
        <v>158</v>
      </c>
      <c r="H395" s="35">
        <v>262596</v>
      </c>
      <c r="I395" s="35">
        <v>61</v>
      </c>
      <c r="J395" s="37" t="s">
        <v>10</v>
      </c>
      <c r="K395" s="37" t="s">
        <v>159</v>
      </c>
      <c r="L395" s="8">
        <v>31</v>
      </c>
      <c r="M395" s="8">
        <v>69592</v>
      </c>
      <c r="N395" s="9"/>
      <c r="O395" s="8">
        <v>17977</v>
      </c>
      <c r="P395" s="9"/>
      <c r="Q395" s="8">
        <v>4261</v>
      </c>
      <c r="R395" s="9"/>
      <c r="S395" s="8">
        <v>37667</v>
      </c>
      <c r="T395" s="9"/>
      <c r="U395" s="8">
        <v>0</v>
      </c>
      <c r="V395" s="9"/>
      <c r="W395" s="33">
        <v>129497</v>
      </c>
      <c r="X395" s="9"/>
      <c r="Y395" s="30">
        <v>36</v>
      </c>
      <c r="Z395" s="9"/>
      <c r="AA395" s="30">
        <v>10</v>
      </c>
      <c r="AB395" s="9"/>
      <c r="AC395" s="30">
        <v>3</v>
      </c>
      <c r="AD395" s="9"/>
      <c r="AE395" s="30">
        <v>21</v>
      </c>
      <c r="AF395" s="9"/>
      <c r="AG395" s="30">
        <v>0</v>
      </c>
      <c r="AH395" s="9"/>
      <c r="AI395" s="32">
        <v>70</v>
      </c>
      <c r="AJ395" s="12"/>
      <c r="AK395" s="22">
        <v>1547379</v>
      </c>
      <c r="AM395" s="22">
        <v>262864</v>
      </c>
      <c r="AO395" s="22">
        <v>75065</v>
      </c>
      <c r="AQ395" s="22">
        <v>627057</v>
      </c>
      <c r="AS395" s="26">
        <v>2512365</v>
      </c>
      <c r="AU395" s="23">
        <v>22.234999999999999</v>
      </c>
      <c r="AW395" s="23">
        <v>14.622199999999999</v>
      </c>
      <c r="AY395" s="23">
        <v>1.0786</v>
      </c>
      <c r="BA395" s="23">
        <v>16.647400000000001</v>
      </c>
      <c r="BC395" s="24">
        <v>19.401</v>
      </c>
      <c r="BE395" s="1" t="str">
        <f t="shared" si="6"/>
        <v>No</v>
      </c>
    </row>
    <row r="396" spans="1:57" ht="11.25" customHeight="1">
      <c r="A396" s="7" t="s">
        <v>1128</v>
      </c>
      <c r="B396" s="7" t="s">
        <v>442</v>
      </c>
      <c r="C396" s="37" t="s">
        <v>32</v>
      </c>
      <c r="D396" s="296">
        <v>4031</v>
      </c>
      <c r="E396" s="297">
        <v>40031</v>
      </c>
      <c r="F396" s="27" t="s">
        <v>165</v>
      </c>
      <c r="G396" s="73" t="s">
        <v>158</v>
      </c>
      <c r="H396" s="35">
        <v>262596</v>
      </c>
      <c r="I396" s="35">
        <v>61</v>
      </c>
      <c r="J396" s="37" t="s">
        <v>7</v>
      </c>
      <c r="K396" s="37" t="s">
        <v>159</v>
      </c>
      <c r="L396" s="8">
        <v>30</v>
      </c>
      <c r="M396" s="8">
        <v>112466</v>
      </c>
      <c r="N396" s="9"/>
      <c r="O396" s="8">
        <v>21851</v>
      </c>
      <c r="P396" s="9"/>
      <c r="Q396" s="8">
        <v>7886</v>
      </c>
      <c r="R396" s="9"/>
      <c r="S396" s="8">
        <v>60872</v>
      </c>
      <c r="T396" s="9"/>
      <c r="U396" s="8">
        <v>0</v>
      </c>
      <c r="V396" s="9"/>
      <c r="W396" s="33">
        <v>203075</v>
      </c>
      <c r="X396" s="9"/>
      <c r="Y396" s="30">
        <v>63</v>
      </c>
      <c r="Z396" s="9"/>
      <c r="AA396" s="30">
        <v>15</v>
      </c>
      <c r="AB396" s="9"/>
      <c r="AC396" s="30">
        <v>5</v>
      </c>
      <c r="AD396" s="9"/>
      <c r="AE396" s="30">
        <v>36</v>
      </c>
      <c r="AF396" s="9"/>
      <c r="AG396" s="30">
        <v>0</v>
      </c>
      <c r="AH396" s="9"/>
      <c r="AI396" s="32">
        <v>119</v>
      </c>
      <c r="AJ396" s="12"/>
      <c r="AK396" s="22">
        <v>2322987</v>
      </c>
      <c r="AM396" s="22">
        <v>428882</v>
      </c>
      <c r="AO396" s="22">
        <v>122474</v>
      </c>
      <c r="AQ396" s="22">
        <v>1023094</v>
      </c>
      <c r="AS396" s="26">
        <v>3897437</v>
      </c>
      <c r="AU396" s="23">
        <v>20.655000000000001</v>
      </c>
      <c r="AW396" s="23">
        <v>19.627600000000001</v>
      </c>
      <c r="AY396" s="23">
        <v>1.089</v>
      </c>
      <c r="BA396" s="23">
        <v>16.807300000000001</v>
      </c>
      <c r="BC396" s="24">
        <v>19.1921</v>
      </c>
      <c r="BE396" s="1" t="str">
        <f t="shared" si="6"/>
        <v>No</v>
      </c>
    </row>
    <row r="397" spans="1:57" ht="11.25" customHeight="1">
      <c r="A397" s="7" t="s">
        <v>393</v>
      </c>
      <c r="B397" s="7" t="s">
        <v>304</v>
      </c>
      <c r="C397" s="37" t="s">
        <v>42</v>
      </c>
      <c r="D397" s="296">
        <v>5051</v>
      </c>
      <c r="E397" s="297">
        <v>50051</v>
      </c>
      <c r="F397" s="27" t="s">
        <v>165</v>
      </c>
      <c r="G397" s="73" t="s">
        <v>158</v>
      </c>
      <c r="H397" s="35">
        <v>147725</v>
      </c>
      <c r="I397" s="35">
        <v>61</v>
      </c>
      <c r="J397" s="37" t="s">
        <v>10</v>
      </c>
      <c r="K397" s="37" t="s">
        <v>159</v>
      </c>
      <c r="L397" s="8">
        <v>5</v>
      </c>
      <c r="M397" s="8">
        <v>13037</v>
      </c>
      <c r="N397" s="9"/>
      <c r="O397" s="8">
        <v>1756</v>
      </c>
      <c r="P397" s="9"/>
      <c r="Q397" s="8">
        <v>0</v>
      </c>
      <c r="R397" s="9"/>
      <c r="S397" s="8">
        <v>903</v>
      </c>
      <c r="T397" s="9"/>
      <c r="U397" s="8">
        <v>54</v>
      </c>
      <c r="V397" s="9"/>
      <c r="W397" s="33">
        <v>15750</v>
      </c>
      <c r="X397" s="9"/>
      <c r="Y397" s="30">
        <v>6</v>
      </c>
      <c r="Z397" s="9"/>
      <c r="AA397" s="30">
        <v>0.95</v>
      </c>
      <c r="AB397" s="9"/>
      <c r="AC397" s="30">
        <v>0</v>
      </c>
      <c r="AD397" s="9"/>
      <c r="AE397" s="30">
        <v>0.53</v>
      </c>
      <c r="AF397" s="9"/>
      <c r="AG397" s="30">
        <v>0.06</v>
      </c>
      <c r="AH397" s="9"/>
      <c r="AI397" s="32">
        <v>7.54</v>
      </c>
      <c r="AJ397" s="12"/>
      <c r="AK397" s="22">
        <v>283579</v>
      </c>
      <c r="AM397" s="22">
        <v>36101</v>
      </c>
      <c r="AO397" s="22">
        <v>0</v>
      </c>
      <c r="AQ397" s="22">
        <v>38504</v>
      </c>
      <c r="AS397" s="26">
        <v>358184</v>
      </c>
      <c r="AU397" s="23">
        <v>21.751899999999999</v>
      </c>
      <c r="AW397" s="23">
        <v>20.558700000000002</v>
      </c>
      <c r="AY397" s="23">
        <v>0</v>
      </c>
      <c r="BA397" s="23">
        <v>42.640099999999997</v>
      </c>
      <c r="BC397" s="24">
        <v>22.741800000000001</v>
      </c>
      <c r="BE397" s="1" t="str">
        <f t="shared" si="6"/>
        <v>No</v>
      </c>
    </row>
    <row r="398" spans="1:57" ht="11.25" customHeight="1">
      <c r="A398" s="7" t="s">
        <v>622</v>
      </c>
      <c r="B398" s="7" t="s">
        <v>284</v>
      </c>
      <c r="C398" s="37" t="s">
        <v>40</v>
      </c>
      <c r="D398" s="296">
        <v>5059</v>
      </c>
      <c r="E398" s="297">
        <v>50059</v>
      </c>
      <c r="F398" s="27" t="s">
        <v>165</v>
      </c>
      <c r="G398" s="73" t="s">
        <v>158</v>
      </c>
      <c r="H398" s="35">
        <v>161316</v>
      </c>
      <c r="I398" s="35">
        <v>60</v>
      </c>
      <c r="J398" s="37" t="s">
        <v>7</v>
      </c>
      <c r="K398" s="37" t="s">
        <v>159</v>
      </c>
      <c r="L398" s="8">
        <v>48</v>
      </c>
      <c r="M398" s="8">
        <v>163482</v>
      </c>
      <c r="N398" s="9"/>
      <c r="O398" s="8">
        <v>38382</v>
      </c>
      <c r="P398" s="9"/>
      <c r="Q398" s="8">
        <v>0</v>
      </c>
      <c r="R398" s="9"/>
      <c r="S398" s="8">
        <v>15520</v>
      </c>
      <c r="T398" s="9"/>
      <c r="U398" s="8">
        <v>0</v>
      </c>
      <c r="V398" s="9"/>
      <c r="W398" s="33">
        <v>217384</v>
      </c>
      <c r="X398" s="9"/>
      <c r="Y398" s="30">
        <v>85</v>
      </c>
      <c r="Z398" s="9"/>
      <c r="AA398" s="30">
        <v>20.100000000000001</v>
      </c>
      <c r="AB398" s="9"/>
      <c r="AC398" s="30">
        <v>0</v>
      </c>
      <c r="AD398" s="9"/>
      <c r="AE398" s="30">
        <v>9.6</v>
      </c>
      <c r="AF398" s="9"/>
      <c r="AG398" s="30">
        <v>0</v>
      </c>
      <c r="AH398" s="9"/>
      <c r="AI398" s="32">
        <v>114.7</v>
      </c>
      <c r="AJ398" s="12"/>
      <c r="AK398" s="22">
        <v>3906308</v>
      </c>
      <c r="AM398" s="22">
        <v>957522</v>
      </c>
      <c r="AO398" s="22">
        <v>0</v>
      </c>
      <c r="AQ398" s="22">
        <v>439995</v>
      </c>
      <c r="AS398" s="26">
        <v>5303825</v>
      </c>
      <c r="AU398" s="23">
        <v>23.894400000000001</v>
      </c>
      <c r="AW398" s="23">
        <v>24.947199999999999</v>
      </c>
      <c r="AY398" s="23">
        <v>0</v>
      </c>
      <c r="BA398" s="23">
        <v>28.350200000000001</v>
      </c>
      <c r="BC398" s="24">
        <v>24.398399999999999</v>
      </c>
      <c r="BE398" s="1" t="str">
        <f t="shared" si="6"/>
        <v>No</v>
      </c>
    </row>
    <row r="399" spans="1:57" ht="11.25" customHeight="1">
      <c r="A399" s="7" t="s">
        <v>229</v>
      </c>
      <c r="B399" s="7" t="s">
        <v>230</v>
      </c>
      <c r="C399" s="37" t="s">
        <v>2</v>
      </c>
      <c r="D399" s="296">
        <v>11</v>
      </c>
      <c r="E399" s="297">
        <v>11</v>
      </c>
      <c r="F399" s="27" t="s">
        <v>165</v>
      </c>
      <c r="G399" s="73" t="s">
        <v>158</v>
      </c>
      <c r="H399" s="35">
        <v>349684</v>
      </c>
      <c r="I399" s="35">
        <v>60</v>
      </c>
      <c r="J399" s="37" t="s">
        <v>7</v>
      </c>
      <c r="K399" s="37" t="s">
        <v>159</v>
      </c>
      <c r="L399" s="8">
        <v>40</v>
      </c>
      <c r="M399" s="8">
        <v>131839</v>
      </c>
      <c r="N399" s="9"/>
      <c r="O399" s="8">
        <v>38324</v>
      </c>
      <c r="P399" s="9"/>
      <c r="Q399" s="8">
        <v>0</v>
      </c>
      <c r="R399" s="9"/>
      <c r="S399" s="8">
        <v>11919</v>
      </c>
      <c r="T399" s="9"/>
      <c r="U399" s="8">
        <v>0</v>
      </c>
      <c r="V399" s="9"/>
      <c r="W399" s="33">
        <v>182082</v>
      </c>
      <c r="X399" s="9"/>
      <c r="Y399" s="30">
        <v>78.03</v>
      </c>
      <c r="Z399" s="9"/>
      <c r="AA399" s="30">
        <v>20.79</v>
      </c>
      <c r="AB399" s="9"/>
      <c r="AC399" s="30">
        <v>0</v>
      </c>
      <c r="AD399" s="9"/>
      <c r="AE399" s="30">
        <v>6.71</v>
      </c>
      <c r="AF399" s="9"/>
      <c r="AG399" s="30">
        <v>0</v>
      </c>
      <c r="AH399" s="9"/>
      <c r="AI399" s="32">
        <v>105.53</v>
      </c>
      <c r="AJ399" s="12"/>
      <c r="AK399" s="22">
        <v>2792233</v>
      </c>
      <c r="AM399" s="22">
        <v>836741</v>
      </c>
      <c r="AO399" s="22">
        <v>0</v>
      </c>
      <c r="AQ399" s="22">
        <v>250793</v>
      </c>
      <c r="AS399" s="26">
        <v>3879767</v>
      </c>
      <c r="AU399" s="23">
        <v>21.179099999999998</v>
      </c>
      <c r="AW399" s="23">
        <v>21.833300000000001</v>
      </c>
      <c r="AY399" s="23">
        <v>0</v>
      </c>
      <c r="BA399" s="23">
        <v>21.041399999999999</v>
      </c>
      <c r="BC399" s="24">
        <v>21.3078</v>
      </c>
      <c r="BE399" s="1" t="str">
        <f t="shared" si="6"/>
        <v>No</v>
      </c>
    </row>
    <row r="400" spans="1:57" ht="11.25" customHeight="1">
      <c r="A400" s="7" t="s">
        <v>229</v>
      </c>
      <c r="B400" s="7" t="s">
        <v>230</v>
      </c>
      <c r="C400" s="37" t="s">
        <v>2</v>
      </c>
      <c r="D400" s="296">
        <v>11</v>
      </c>
      <c r="E400" s="297">
        <v>11</v>
      </c>
      <c r="F400" s="27" t="s">
        <v>165</v>
      </c>
      <c r="G400" s="73" t="s">
        <v>158</v>
      </c>
      <c r="H400" s="35">
        <v>349684</v>
      </c>
      <c r="I400" s="35">
        <v>60</v>
      </c>
      <c r="J400" s="37" t="s">
        <v>10</v>
      </c>
      <c r="K400" s="37" t="s">
        <v>159</v>
      </c>
      <c r="L400" s="8">
        <v>20</v>
      </c>
      <c r="M400" s="8">
        <v>40010</v>
      </c>
      <c r="N400" s="9"/>
      <c r="O400" s="8">
        <v>3784</v>
      </c>
      <c r="P400" s="9"/>
      <c r="Q400" s="8">
        <v>0</v>
      </c>
      <c r="R400" s="9"/>
      <c r="S400" s="8">
        <v>1645</v>
      </c>
      <c r="T400" s="9"/>
      <c r="U400" s="8">
        <v>0</v>
      </c>
      <c r="V400" s="9"/>
      <c r="W400" s="33">
        <v>45439</v>
      </c>
      <c r="X400" s="9"/>
      <c r="Y400" s="30">
        <v>18.670000000000002</v>
      </c>
      <c r="Z400" s="9"/>
      <c r="AA400" s="30">
        <v>2.12</v>
      </c>
      <c r="AB400" s="9"/>
      <c r="AC400" s="30">
        <v>0</v>
      </c>
      <c r="AD400" s="9"/>
      <c r="AE400" s="30">
        <v>1</v>
      </c>
      <c r="AF400" s="9"/>
      <c r="AG400" s="30">
        <v>0</v>
      </c>
      <c r="AH400" s="9"/>
      <c r="AI400" s="32">
        <v>21.79</v>
      </c>
      <c r="AJ400" s="12"/>
      <c r="AK400" s="22">
        <v>655354</v>
      </c>
      <c r="AM400" s="22">
        <v>92372</v>
      </c>
      <c r="AO400" s="22">
        <v>0</v>
      </c>
      <c r="AQ400" s="22">
        <v>45888</v>
      </c>
      <c r="AS400" s="26">
        <v>793614</v>
      </c>
      <c r="AU400" s="23">
        <v>16.379799999999999</v>
      </c>
      <c r="AW400" s="23">
        <v>24.411200000000001</v>
      </c>
      <c r="AY400" s="23">
        <v>0</v>
      </c>
      <c r="BA400" s="23">
        <v>27.895399999999999</v>
      </c>
      <c r="BC400" s="24">
        <v>17.465499999999999</v>
      </c>
      <c r="BE400" s="1" t="str">
        <f t="shared" si="6"/>
        <v>No</v>
      </c>
    </row>
    <row r="401" spans="1:57" ht="11.25" customHeight="1">
      <c r="A401" s="7" t="s">
        <v>622</v>
      </c>
      <c r="B401" s="7" t="s">
        <v>284</v>
      </c>
      <c r="C401" s="37" t="s">
        <v>40</v>
      </c>
      <c r="D401" s="296">
        <v>5059</v>
      </c>
      <c r="E401" s="297">
        <v>50059</v>
      </c>
      <c r="F401" s="27" t="s">
        <v>165</v>
      </c>
      <c r="G401" s="73" t="s">
        <v>158</v>
      </c>
      <c r="H401" s="35">
        <v>161316</v>
      </c>
      <c r="I401" s="35">
        <v>60</v>
      </c>
      <c r="J401" s="37" t="s">
        <v>10</v>
      </c>
      <c r="K401" s="37" t="s">
        <v>159</v>
      </c>
      <c r="L401" s="8">
        <v>12</v>
      </c>
      <c r="M401" s="8">
        <v>46645</v>
      </c>
      <c r="N401" s="9"/>
      <c r="O401" s="8">
        <v>1811</v>
      </c>
      <c r="P401" s="9"/>
      <c r="Q401" s="8">
        <v>0</v>
      </c>
      <c r="R401" s="9"/>
      <c r="S401" s="8">
        <v>2520</v>
      </c>
      <c r="T401" s="9"/>
      <c r="U401" s="8">
        <v>0</v>
      </c>
      <c r="V401" s="9"/>
      <c r="W401" s="33">
        <v>50976</v>
      </c>
      <c r="X401" s="9"/>
      <c r="Y401" s="30">
        <v>27</v>
      </c>
      <c r="Z401" s="9"/>
      <c r="AA401" s="30">
        <v>0.9</v>
      </c>
      <c r="AB401" s="9"/>
      <c r="AC401" s="30">
        <v>0</v>
      </c>
      <c r="AD401" s="9"/>
      <c r="AE401" s="30">
        <v>1.4</v>
      </c>
      <c r="AF401" s="9"/>
      <c r="AG401" s="30">
        <v>0</v>
      </c>
      <c r="AH401" s="9"/>
      <c r="AI401" s="32">
        <v>29.3</v>
      </c>
      <c r="AJ401" s="12"/>
      <c r="AK401" s="22">
        <v>735614</v>
      </c>
      <c r="AM401" s="22">
        <v>43406</v>
      </c>
      <c r="AO401" s="22">
        <v>0</v>
      </c>
      <c r="AQ401" s="22">
        <v>66084</v>
      </c>
      <c r="AS401" s="26">
        <v>845104</v>
      </c>
      <c r="AU401" s="23">
        <v>15.7705</v>
      </c>
      <c r="AW401" s="23">
        <v>23.968</v>
      </c>
      <c r="AY401" s="23">
        <v>0</v>
      </c>
      <c r="BA401" s="23">
        <v>26.223800000000001</v>
      </c>
      <c r="BC401" s="24">
        <v>16.578499999999998</v>
      </c>
      <c r="BE401" s="1" t="str">
        <f t="shared" si="6"/>
        <v>No</v>
      </c>
    </row>
    <row r="402" spans="1:57" ht="11.25" customHeight="1">
      <c r="A402" s="7" t="s">
        <v>66</v>
      </c>
      <c r="B402" s="7" t="s">
        <v>350</v>
      </c>
      <c r="C402" s="37" t="s">
        <v>63</v>
      </c>
      <c r="D402" s="296">
        <v>2163</v>
      </c>
      <c r="E402" s="297">
        <v>20163</v>
      </c>
      <c r="F402" s="27" t="s">
        <v>173</v>
      </c>
      <c r="G402" s="73" t="s">
        <v>158</v>
      </c>
      <c r="H402" s="35">
        <v>18351295</v>
      </c>
      <c r="I402" s="35">
        <v>59</v>
      </c>
      <c r="J402" s="37" t="s">
        <v>18</v>
      </c>
      <c r="K402" s="37" t="s">
        <v>159</v>
      </c>
      <c r="L402" s="8">
        <v>59</v>
      </c>
      <c r="M402" s="8">
        <v>159358</v>
      </c>
      <c r="N402" s="9"/>
      <c r="O402" s="8">
        <v>52863</v>
      </c>
      <c r="P402" s="9"/>
      <c r="Q402" s="8">
        <v>27551</v>
      </c>
      <c r="R402" s="9"/>
      <c r="S402" s="8">
        <v>36345</v>
      </c>
      <c r="T402" s="9"/>
      <c r="U402" s="8">
        <v>0</v>
      </c>
      <c r="V402" s="9"/>
      <c r="W402" s="33">
        <v>276117</v>
      </c>
      <c r="X402" s="9"/>
      <c r="Y402" s="30">
        <v>90</v>
      </c>
      <c r="Z402" s="9"/>
      <c r="AA402" s="30">
        <v>29</v>
      </c>
      <c r="AB402" s="9"/>
      <c r="AC402" s="30">
        <v>26</v>
      </c>
      <c r="AD402" s="9"/>
      <c r="AE402" s="30">
        <v>28</v>
      </c>
      <c r="AF402" s="9"/>
      <c r="AG402" s="30">
        <v>0</v>
      </c>
      <c r="AH402" s="9"/>
      <c r="AI402" s="32">
        <v>173</v>
      </c>
      <c r="AJ402" s="12"/>
      <c r="AK402" s="22">
        <v>5318096</v>
      </c>
      <c r="AM402" s="22">
        <v>2002049</v>
      </c>
      <c r="AO402" s="22">
        <v>295156</v>
      </c>
      <c r="AQ402" s="22">
        <v>1764740</v>
      </c>
      <c r="AS402" s="26">
        <v>9380041</v>
      </c>
      <c r="AU402" s="23">
        <v>33.372</v>
      </c>
      <c r="AW402" s="23">
        <v>37.872399999999999</v>
      </c>
      <c r="AY402" s="23">
        <v>1.8522000000000001</v>
      </c>
      <c r="BA402" s="23">
        <v>48.555199999999999</v>
      </c>
      <c r="BC402" s="24">
        <v>33.971299999999999</v>
      </c>
      <c r="BE402" s="1" t="str">
        <f t="shared" si="6"/>
        <v>No</v>
      </c>
    </row>
    <row r="403" spans="1:57" ht="11.25" customHeight="1">
      <c r="A403" s="7" t="s">
        <v>754</v>
      </c>
      <c r="B403" s="7" t="s">
        <v>755</v>
      </c>
      <c r="C403" s="37" t="s">
        <v>45</v>
      </c>
      <c r="D403" s="296">
        <v>4191</v>
      </c>
      <c r="E403" s="297">
        <v>40191</v>
      </c>
      <c r="F403" s="27" t="s">
        <v>165</v>
      </c>
      <c r="G403" s="73" t="s">
        <v>158</v>
      </c>
      <c r="H403" s="35">
        <v>73467</v>
      </c>
      <c r="I403" s="35">
        <v>59</v>
      </c>
      <c r="J403" s="37" t="s">
        <v>10</v>
      </c>
      <c r="K403" s="37" t="s">
        <v>159</v>
      </c>
      <c r="L403" s="8">
        <v>36</v>
      </c>
      <c r="M403" s="8">
        <v>109465</v>
      </c>
      <c r="N403" s="9"/>
      <c r="O403" s="8">
        <v>2345</v>
      </c>
      <c r="P403" s="9"/>
      <c r="Q403" s="8">
        <v>2167</v>
      </c>
      <c r="R403" s="9"/>
      <c r="S403" s="8">
        <v>12345</v>
      </c>
      <c r="T403" s="9"/>
      <c r="U403" s="8">
        <v>0</v>
      </c>
      <c r="V403" s="9"/>
      <c r="W403" s="33">
        <v>126322</v>
      </c>
      <c r="X403" s="9"/>
      <c r="Y403" s="30">
        <v>92</v>
      </c>
      <c r="Z403" s="9"/>
      <c r="AA403" s="30">
        <v>1</v>
      </c>
      <c r="AB403" s="9"/>
      <c r="AC403" s="30">
        <v>1</v>
      </c>
      <c r="AD403" s="9"/>
      <c r="AE403" s="30">
        <v>6</v>
      </c>
      <c r="AF403" s="9"/>
      <c r="AG403" s="30">
        <v>0</v>
      </c>
      <c r="AH403" s="9"/>
      <c r="AI403" s="32">
        <v>100</v>
      </c>
      <c r="AJ403" s="12"/>
      <c r="AK403" s="22">
        <v>1331919</v>
      </c>
      <c r="AM403" s="22">
        <v>45008</v>
      </c>
      <c r="AO403" s="22">
        <v>15185</v>
      </c>
      <c r="AQ403" s="22">
        <v>170109</v>
      </c>
      <c r="AS403" s="26">
        <v>1562221</v>
      </c>
      <c r="AU403" s="23">
        <v>12.1675</v>
      </c>
      <c r="AW403" s="23">
        <v>19.193200000000001</v>
      </c>
      <c r="AY403" s="23">
        <v>0.13869999999999999</v>
      </c>
      <c r="BA403" s="23">
        <v>13.7796</v>
      </c>
      <c r="BC403" s="24">
        <v>12.367000000000001</v>
      </c>
      <c r="BE403" s="1" t="str">
        <f t="shared" si="6"/>
        <v>No</v>
      </c>
    </row>
    <row r="404" spans="1:57" ht="11.25" customHeight="1">
      <c r="A404" s="7" t="s">
        <v>754</v>
      </c>
      <c r="B404" s="7" t="s">
        <v>755</v>
      </c>
      <c r="C404" s="37" t="s">
        <v>45</v>
      </c>
      <c r="D404" s="296">
        <v>4191</v>
      </c>
      <c r="E404" s="297">
        <v>40191</v>
      </c>
      <c r="F404" s="27" t="s">
        <v>165</v>
      </c>
      <c r="G404" s="73" t="s">
        <v>158</v>
      </c>
      <c r="H404" s="35">
        <v>73467</v>
      </c>
      <c r="I404" s="35">
        <v>59</v>
      </c>
      <c r="J404" s="37" t="s">
        <v>8</v>
      </c>
      <c r="K404" s="37" t="s">
        <v>159</v>
      </c>
      <c r="L404" s="8">
        <v>18</v>
      </c>
      <c r="M404" s="8">
        <v>0</v>
      </c>
      <c r="N404" s="9"/>
      <c r="O404" s="8">
        <v>260</v>
      </c>
      <c r="P404" s="9"/>
      <c r="Q404" s="8">
        <v>235</v>
      </c>
      <c r="R404" s="9"/>
      <c r="S404" s="8">
        <v>965</v>
      </c>
      <c r="T404" s="9"/>
      <c r="U404" s="8">
        <v>0</v>
      </c>
      <c r="V404" s="9"/>
      <c r="W404" s="33">
        <v>1460</v>
      </c>
      <c r="X404" s="9"/>
      <c r="Y404" s="30">
        <v>0</v>
      </c>
      <c r="Z404" s="9"/>
      <c r="AA404" s="30">
        <v>0.15</v>
      </c>
      <c r="AB404" s="9"/>
      <c r="AC404" s="30">
        <v>0.15</v>
      </c>
      <c r="AD404" s="9"/>
      <c r="AE404" s="30">
        <v>0.5</v>
      </c>
      <c r="AF404" s="9"/>
      <c r="AG404" s="30">
        <v>0</v>
      </c>
      <c r="AH404" s="9"/>
      <c r="AI404" s="32">
        <v>0.8</v>
      </c>
      <c r="AJ404" s="12"/>
      <c r="AK404" s="22">
        <v>0</v>
      </c>
      <c r="AM404" s="22">
        <v>3900</v>
      </c>
      <c r="AO404" s="22">
        <v>3350</v>
      </c>
      <c r="AQ404" s="22">
        <v>28153</v>
      </c>
      <c r="AS404" s="26">
        <v>35403</v>
      </c>
      <c r="AW404" s="23">
        <v>15</v>
      </c>
      <c r="BA404" s="23">
        <v>29.174099999999999</v>
      </c>
      <c r="BC404" s="24">
        <v>24.2486</v>
      </c>
      <c r="BE404" s="1" t="str">
        <f t="shared" si="6"/>
        <v>No</v>
      </c>
    </row>
    <row r="405" spans="1:57" ht="11.25" customHeight="1">
      <c r="A405" s="7" t="s">
        <v>754</v>
      </c>
      <c r="B405" s="7" t="s">
        <v>755</v>
      </c>
      <c r="C405" s="37" t="s">
        <v>45</v>
      </c>
      <c r="D405" s="296">
        <v>4191</v>
      </c>
      <c r="E405" s="297">
        <v>40191</v>
      </c>
      <c r="F405" s="27" t="s">
        <v>165</v>
      </c>
      <c r="G405" s="73" t="s">
        <v>158</v>
      </c>
      <c r="H405" s="35">
        <v>73467</v>
      </c>
      <c r="I405" s="35">
        <v>59</v>
      </c>
      <c r="J405" s="37" t="s">
        <v>7</v>
      </c>
      <c r="K405" s="37" t="s">
        <v>159</v>
      </c>
      <c r="L405" s="8">
        <v>5</v>
      </c>
      <c r="M405" s="8">
        <v>9822</v>
      </c>
      <c r="N405" s="9"/>
      <c r="O405" s="8">
        <v>81</v>
      </c>
      <c r="P405" s="9"/>
      <c r="Q405" s="8">
        <v>223</v>
      </c>
      <c r="R405" s="9"/>
      <c r="S405" s="8">
        <v>4300</v>
      </c>
      <c r="T405" s="9"/>
      <c r="U405" s="8">
        <v>0</v>
      </c>
      <c r="V405" s="9"/>
      <c r="W405" s="33">
        <v>14426</v>
      </c>
      <c r="X405" s="9"/>
      <c r="Y405" s="30">
        <v>6</v>
      </c>
      <c r="Z405" s="9"/>
      <c r="AA405" s="30">
        <v>0.04</v>
      </c>
      <c r="AB405" s="9"/>
      <c r="AC405" s="30">
        <v>0.11</v>
      </c>
      <c r="AD405" s="9"/>
      <c r="AE405" s="30">
        <v>5</v>
      </c>
      <c r="AF405" s="9"/>
      <c r="AG405" s="30">
        <v>0</v>
      </c>
      <c r="AH405" s="9"/>
      <c r="AI405" s="32">
        <v>11.15</v>
      </c>
      <c r="AJ405" s="12"/>
      <c r="AK405" s="22">
        <v>118139</v>
      </c>
      <c r="AM405" s="22">
        <v>1040</v>
      </c>
      <c r="AO405" s="22">
        <v>3414</v>
      </c>
      <c r="AQ405" s="22">
        <v>48334</v>
      </c>
      <c r="AS405" s="26">
        <v>170927</v>
      </c>
      <c r="AU405" s="23">
        <v>12.028</v>
      </c>
      <c r="AW405" s="23">
        <v>12.839499999999999</v>
      </c>
      <c r="AY405" s="23">
        <v>0.34760000000000002</v>
      </c>
      <c r="BA405" s="23">
        <v>11.240500000000001</v>
      </c>
      <c r="BC405" s="24">
        <v>11.8485</v>
      </c>
      <c r="BE405" s="1" t="str">
        <f t="shared" si="6"/>
        <v>No</v>
      </c>
    </row>
    <row r="406" spans="1:57" ht="11.25" customHeight="1">
      <c r="A406" s="7" t="s">
        <v>366</v>
      </c>
      <c r="B406" s="7" t="s">
        <v>367</v>
      </c>
      <c r="C406" s="37" t="s">
        <v>89</v>
      </c>
      <c r="D406" s="296">
        <v>5</v>
      </c>
      <c r="E406" s="297">
        <v>5</v>
      </c>
      <c r="F406" s="27" t="s">
        <v>162</v>
      </c>
      <c r="G406" s="73" t="s">
        <v>158</v>
      </c>
      <c r="H406" s="35">
        <v>3059393</v>
      </c>
      <c r="I406" s="35">
        <v>58</v>
      </c>
      <c r="J406" s="37" t="s">
        <v>7</v>
      </c>
      <c r="K406" s="37" t="s">
        <v>159</v>
      </c>
      <c r="L406" s="8">
        <v>34</v>
      </c>
      <c r="M406" s="8">
        <v>134544</v>
      </c>
      <c r="N406" s="9"/>
      <c r="O406" s="8">
        <v>15357</v>
      </c>
      <c r="P406" s="9"/>
      <c r="Q406" s="8">
        <v>8104</v>
      </c>
      <c r="R406" s="9"/>
      <c r="S406" s="8">
        <v>28818</v>
      </c>
      <c r="T406" s="9"/>
      <c r="U406" s="8">
        <v>0</v>
      </c>
      <c r="V406" s="9"/>
      <c r="W406" s="33">
        <v>186823</v>
      </c>
      <c r="X406" s="9"/>
      <c r="Y406" s="30">
        <v>76.3</v>
      </c>
      <c r="Z406" s="9"/>
      <c r="AA406" s="30">
        <v>7.5</v>
      </c>
      <c r="AB406" s="9"/>
      <c r="AC406" s="30">
        <v>6.6</v>
      </c>
      <c r="AD406" s="9"/>
      <c r="AE406" s="30">
        <v>13.4</v>
      </c>
      <c r="AF406" s="9"/>
      <c r="AG406" s="30">
        <v>0</v>
      </c>
      <c r="AH406" s="9"/>
      <c r="AI406" s="32">
        <v>103.8</v>
      </c>
      <c r="AJ406" s="12"/>
      <c r="AK406" s="22">
        <v>4112853</v>
      </c>
      <c r="AM406" s="22">
        <v>477549</v>
      </c>
      <c r="AO406" s="22">
        <v>209585</v>
      </c>
      <c r="AQ406" s="22">
        <v>1032857</v>
      </c>
      <c r="AS406" s="26">
        <v>5832844</v>
      </c>
      <c r="AU406" s="23">
        <v>30.5688</v>
      </c>
      <c r="AW406" s="23">
        <v>31.096499999999999</v>
      </c>
      <c r="AY406" s="23">
        <v>1.5577000000000001</v>
      </c>
      <c r="BA406" s="23">
        <v>35.840699999999998</v>
      </c>
      <c r="BC406" s="24">
        <v>31.2212</v>
      </c>
      <c r="BE406" s="1" t="str">
        <f t="shared" si="6"/>
        <v>No</v>
      </c>
    </row>
    <row r="407" spans="1:57" ht="11.25" customHeight="1">
      <c r="A407" s="7" t="s">
        <v>366</v>
      </c>
      <c r="B407" s="7" t="s">
        <v>367</v>
      </c>
      <c r="C407" s="37" t="s">
        <v>89</v>
      </c>
      <c r="D407" s="296">
        <v>5</v>
      </c>
      <c r="E407" s="297">
        <v>5</v>
      </c>
      <c r="F407" s="27" t="s">
        <v>162</v>
      </c>
      <c r="G407" s="73" t="s">
        <v>158</v>
      </c>
      <c r="H407" s="35">
        <v>3059393</v>
      </c>
      <c r="I407" s="35">
        <v>58</v>
      </c>
      <c r="J407" s="37" t="s">
        <v>10</v>
      </c>
      <c r="K407" s="37" t="s">
        <v>159</v>
      </c>
      <c r="L407" s="8">
        <v>24</v>
      </c>
      <c r="M407" s="8">
        <v>74957</v>
      </c>
      <c r="N407" s="9"/>
      <c r="O407" s="8">
        <v>9098</v>
      </c>
      <c r="P407" s="9"/>
      <c r="Q407" s="8">
        <v>4206</v>
      </c>
      <c r="R407" s="9"/>
      <c r="S407" s="8">
        <v>16338</v>
      </c>
      <c r="T407" s="9"/>
      <c r="U407" s="8">
        <v>0</v>
      </c>
      <c r="V407" s="9"/>
      <c r="W407" s="33">
        <v>104599</v>
      </c>
      <c r="X407" s="9"/>
      <c r="Y407" s="30">
        <v>39.700000000000003</v>
      </c>
      <c r="Z407" s="9"/>
      <c r="AA407" s="30">
        <v>4.5</v>
      </c>
      <c r="AB407" s="9"/>
      <c r="AC407" s="30">
        <v>3.5</v>
      </c>
      <c r="AD407" s="9"/>
      <c r="AE407" s="30">
        <v>8.4</v>
      </c>
      <c r="AF407" s="9"/>
      <c r="AG407" s="30">
        <v>0</v>
      </c>
      <c r="AH407" s="9"/>
      <c r="AI407" s="32">
        <v>56.1</v>
      </c>
      <c r="AJ407" s="12"/>
      <c r="AK407" s="22">
        <v>1951685</v>
      </c>
      <c r="AM407" s="22">
        <v>282690</v>
      </c>
      <c r="AO407" s="22">
        <v>107165</v>
      </c>
      <c r="AQ407" s="22">
        <v>574423</v>
      </c>
      <c r="AS407" s="26">
        <v>2915963</v>
      </c>
      <c r="AU407" s="23">
        <v>26.037400000000002</v>
      </c>
      <c r="AW407" s="23">
        <v>31.0717</v>
      </c>
      <c r="AY407" s="23">
        <v>1.4297</v>
      </c>
      <c r="BA407" s="23">
        <v>35.158700000000003</v>
      </c>
      <c r="BC407" s="24">
        <v>27.877500000000001</v>
      </c>
      <c r="BE407" s="1" t="str">
        <f t="shared" si="6"/>
        <v>No</v>
      </c>
    </row>
    <row r="408" spans="1:57" ht="11.25" customHeight="1">
      <c r="A408" s="7" t="s">
        <v>65</v>
      </c>
      <c r="B408" s="7" t="s">
        <v>346</v>
      </c>
      <c r="C408" s="37" t="s">
        <v>63</v>
      </c>
      <c r="D408" s="296">
        <v>2161</v>
      </c>
      <c r="E408" s="297">
        <v>20161</v>
      </c>
      <c r="F408" s="27" t="s">
        <v>173</v>
      </c>
      <c r="G408" s="73" t="s">
        <v>158</v>
      </c>
      <c r="H408" s="35">
        <v>18351295</v>
      </c>
      <c r="I408" s="35">
        <v>57</v>
      </c>
      <c r="J408" s="37" t="s">
        <v>18</v>
      </c>
      <c r="K408" s="37" t="s">
        <v>159</v>
      </c>
      <c r="L408" s="8">
        <v>57</v>
      </c>
      <c r="M408" s="8">
        <v>207716</v>
      </c>
      <c r="N408" s="9"/>
      <c r="O408" s="8">
        <v>63611</v>
      </c>
      <c r="P408" s="9"/>
      <c r="Q408" s="8">
        <v>0</v>
      </c>
      <c r="R408" s="9"/>
      <c r="S408" s="8">
        <v>43279</v>
      </c>
      <c r="T408" s="9"/>
      <c r="U408" s="8">
        <v>0</v>
      </c>
      <c r="V408" s="9"/>
      <c r="W408" s="33">
        <v>314606</v>
      </c>
      <c r="X408" s="9"/>
      <c r="Y408" s="30">
        <v>104</v>
      </c>
      <c r="Z408" s="9"/>
      <c r="AA408" s="30">
        <v>32</v>
      </c>
      <c r="AB408" s="9"/>
      <c r="AC408" s="30">
        <v>0</v>
      </c>
      <c r="AD408" s="9"/>
      <c r="AE408" s="30">
        <v>22</v>
      </c>
      <c r="AF408" s="9"/>
      <c r="AG408" s="30">
        <v>0</v>
      </c>
      <c r="AH408" s="9"/>
      <c r="AI408" s="32">
        <v>158</v>
      </c>
      <c r="AJ408" s="12"/>
      <c r="AK408" s="22">
        <v>4953507</v>
      </c>
      <c r="AM408" s="22">
        <v>1276876</v>
      </c>
      <c r="AO408" s="22">
        <v>0</v>
      </c>
      <c r="AQ408" s="22">
        <v>677069</v>
      </c>
      <c r="AS408" s="26">
        <v>6907452</v>
      </c>
      <c r="AU408" s="23">
        <v>23.8475</v>
      </c>
      <c r="AW408" s="23">
        <v>20.0732</v>
      </c>
      <c r="AY408" s="23">
        <v>0</v>
      </c>
      <c r="BA408" s="23">
        <v>15.644299999999999</v>
      </c>
      <c r="BC408" s="24">
        <v>21.9559</v>
      </c>
      <c r="BE408" s="1" t="str">
        <f t="shared" si="6"/>
        <v>No</v>
      </c>
    </row>
    <row r="409" spans="1:57" ht="11.25" customHeight="1">
      <c r="A409" s="7" t="s">
        <v>356</v>
      </c>
      <c r="B409" s="7" t="s">
        <v>357</v>
      </c>
      <c r="C409" s="37" t="s">
        <v>54</v>
      </c>
      <c r="D409" s="296">
        <v>5025</v>
      </c>
      <c r="E409" s="297">
        <v>50025</v>
      </c>
      <c r="F409" s="27" t="s">
        <v>165</v>
      </c>
      <c r="G409" s="73" t="s">
        <v>158</v>
      </c>
      <c r="H409" s="35">
        <v>120378</v>
      </c>
      <c r="I409" s="35">
        <v>57</v>
      </c>
      <c r="J409" s="37" t="s">
        <v>7</v>
      </c>
      <c r="K409" s="37" t="s">
        <v>159</v>
      </c>
      <c r="L409" s="8">
        <v>50</v>
      </c>
      <c r="M409" s="8">
        <v>183261</v>
      </c>
      <c r="N409" s="9"/>
      <c r="O409" s="8">
        <v>25368</v>
      </c>
      <c r="P409" s="9"/>
      <c r="Q409" s="8">
        <v>19781</v>
      </c>
      <c r="R409" s="9"/>
      <c r="S409" s="8">
        <v>31160</v>
      </c>
      <c r="T409" s="9"/>
      <c r="U409" s="8">
        <v>0</v>
      </c>
      <c r="V409" s="9"/>
      <c r="W409" s="33">
        <v>259570</v>
      </c>
      <c r="X409" s="9"/>
      <c r="Y409" s="30">
        <v>107</v>
      </c>
      <c r="Z409" s="9"/>
      <c r="AA409" s="30">
        <v>14</v>
      </c>
      <c r="AB409" s="9"/>
      <c r="AC409" s="30">
        <v>11</v>
      </c>
      <c r="AD409" s="9"/>
      <c r="AE409" s="30">
        <v>19</v>
      </c>
      <c r="AF409" s="9"/>
      <c r="AG409" s="30">
        <v>0</v>
      </c>
      <c r="AH409" s="9"/>
      <c r="AI409" s="32">
        <v>151</v>
      </c>
      <c r="AJ409" s="12"/>
      <c r="AK409" s="22">
        <v>4138729</v>
      </c>
      <c r="AM409" s="22">
        <v>507372</v>
      </c>
      <c r="AO409" s="22">
        <v>384195</v>
      </c>
      <c r="AQ409" s="22">
        <v>744495</v>
      </c>
      <c r="AS409" s="26">
        <v>5774791</v>
      </c>
      <c r="AU409" s="23">
        <v>22.5838</v>
      </c>
      <c r="AW409" s="23">
        <v>20.000499999999999</v>
      </c>
      <c r="AY409" s="23">
        <v>2.0964</v>
      </c>
      <c r="BA409" s="23">
        <v>23.892700000000001</v>
      </c>
      <c r="BC409" s="24">
        <v>22.247499999999999</v>
      </c>
      <c r="BE409" s="1" t="str">
        <f t="shared" si="6"/>
        <v>No</v>
      </c>
    </row>
    <row r="410" spans="1:57" ht="11.25" customHeight="1">
      <c r="A410" s="7" t="s">
        <v>761</v>
      </c>
      <c r="B410" s="7" t="s">
        <v>762</v>
      </c>
      <c r="C410" s="37" t="s">
        <v>63</v>
      </c>
      <c r="D410" s="296">
        <v>2204</v>
      </c>
      <c r="E410" s="297">
        <v>20204</v>
      </c>
      <c r="F410" s="27" t="s">
        <v>187</v>
      </c>
      <c r="G410" s="73" t="s">
        <v>158</v>
      </c>
      <c r="H410" s="35">
        <v>5441567</v>
      </c>
      <c r="I410" s="35">
        <v>56</v>
      </c>
      <c r="J410" s="37" t="s">
        <v>10</v>
      </c>
      <c r="K410" s="37" t="s">
        <v>159</v>
      </c>
      <c r="L410" s="8">
        <v>56</v>
      </c>
      <c r="M410" s="8">
        <v>93942</v>
      </c>
      <c r="N410" s="9"/>
      <c r="O410" s="8">
        <v>4237</v>
      </c>
      <c r="P410" s="9"/>
      <c r="Q410" s="8">
        <v>0</v>
      </c>
      <c r="R410" s="9"/>
      <c r="S410" s="8">
        <v>19826</v>
      </c>
      <c r="T410" s="9"/>
      <c r="U410" s="8">
        <v>0</v>
      </c>
      <c r="V410" s="9"/>
      <c r="W410" s="33">
        <v>118005</v>
      </c>
      <c r="X410" s="9"/>
      <c r="Y410" s="30">
        <v>80</v>
      </c>
      <c r="Z410" s="9"/>
      <c r="AA410" s="30">
        <v>2</v>
      </c>
      <c r="AB410" s="9"/>
      <c r="AC410" s="30">
        <v>0</v>
      </c>
      <c r="AD410" s="9"/>
      <c r="AE410" s="30">
        <v>17</v>
      </c>
      <c r="AF410" s="9"/>
      <c r="AG410" s="30">
        <v>0</v>
      </c>
      <c r="AH410" s="9"/>
      <c r="AI410" s="32">
        <v>99</v>
      </c>
      <c r="AJ410" s="12"/>
      <c r="AK410" s="22">
        <v>1549780</v>
      </c>
      <c r="AM410" s="22">
        <v>102407</v>
      </c>
      <c r="AO410" s="22">
        <v>0</v>
      </c>
      <c r="AQ410" s="22">
        <v>267415</v>
      </c>
      <c r="AS410" s="26">
        <v>1919602</v>
      </c>
      <c r="AU410" s="23">
        <v>16.497199999999999</v>
      </c>
      <c r="AW410" s="23">
        <v>24.169699999999999</v>
      </c>
      <c r="AY410" s="23">
        <v>0</v>
      </c>
      <c r="BA410" s="23">
        <v>13.488099999999999</v>
      </c>
      <c r="BC410" s="24">
        <v>16.267099999999999</v>
      </c>
      <c r="BE410" s="1" t="str">
        <f t="shared" si="6"/>
        <v>No</v>
      </c>
    </row>
    <row r="411" spans="1:57" ht="11.25" customHeight="1">
      <c r="A411" s="7" t="s">
        <v>430</v>
      </c>
      <c r="B411" s="7" t="s">
        <v>431</v>
      </c>
      <c r="C411" s="37" t="s">
        <v>96</v>
      </c>
      <c r="D411" s="296">
        <v>3001</v>
      </c>
      <c r="E411" s="297">
        <v>30001</v>
      </c>
      <c r="F411" s="27" t="s">
        <v>165</v>
      </c>
      <c r="G411" s="73" t="s">
        <v>158</v>
      </c>
      <c r="H411" s="35">
        <v>153199</v>
      </c>
      <c r="I411" s="35">
        <v>54</v>
      </c>
      <c r="J411" s="37" t="s">
        <v>7</v>
      </c>
      <c r="K411" s="37" t="s">
        <v>159</v>
      </c>
      <c r="L411" s="8">
        <v>42</v>
      </c>
      <c r="M411" s="8">
        <v>174334</v>
      </c>
      <c r="N411" s="9"/>
      <c r="O411" s="8">
        <v>47632</v>
      </c>
      <c r="P411" s="9"/>
      <c r="Q411" s="8">
        <v>3652</v>
      </c>
      <c r="R411" s="9"/>
      <c r="S411" s="8">
        <v>21157</v>
      </c>
      <c r="T411" s="9"/>
      <c r="U411" s="8">
        <v>0</v>
      </c>
      <c r="V411" s="9"/>
      <c r="W411" s="33">
        <v>246775</v>
      </c>
      <c r="X411" s="9"/>
      <c r="Y411" s="30">
        <v>93</v>
      </c>
      <c r="Z411" s="9"/>
      <c r="AA411" s="30">
        <v>24</v>
      </c>
      <c r="AB411" s="9"/>
      <c r="AC411" s="30">
        <v>1.84</v>
      </c>
      <c r="AD411" s="9"/>
      <c r="AE411" s="30">
        <v>10.199999999999999</v>
      </c>
      <c r="AF411" s="9"/>
      <c r="AG411" s="30">
        <v>0</v>
      </c>
      <c r="AH411" s="9"/>
      <c r="AI411" s="32">
        <v>129.04</v>
      </c>
      <c r="AJ411" s="12"/>
      <c r="AK411" s="22">
        <v>3590103</v>
      </c>
      <c r="AM411" s="22">
        <v>992648</v>
      </c>
      <c r="AO411" s="22">
        <v>67564</v>
      </c>
      <c r="AQ411" s="22">
        <v>458975</v>
      </c>
      <c r="AS411" s="26">
        <v>5109290</v>
      </c>
      <c r="AU411" s="23">
        <v>20.5932</v>
      </c>
      <c r="AW411" s="23">
        <v>20.8399</v>
      </c>
      <c r="AY411" s="23">
        <v>0.3876</v>
      </c>
      <c r="BA411" s="23">
        <v>21.6938</v>
      </c>
      <c r="BC411" s="24">
        <v>20.7042</v>
      </c>
      <c r="BE411" s="1" t="str">
        <f t="shared" si="6"/>
        <v>No</v>
      </c>
    </row>
    <row r="412" spans="1:57" ht="11.25" customHeight="1">
      <c r="A412" s="7" t="s">
        <v>233</v>
      </c>
      <c r="B412" s="7" t="s">
        <v>234</v>
      </c>
      <c r="C412" s="37" t="s">
        <v>70</v>
      </c>
      <c r="D412" s="296">
        <v>2003</v>
      </c>
      <c r="E412" s="297">
        <v>20003</v>
      </c>
      <c r="F412" s="27" t="s">
        <v>162</v>
      </c>
      <c r="G412" s="73" t="s">
        <v>158</v>
      </c>
      <c r="H412" s="35">
        <v>158084</v>
      </c>
      <c r="I412" s="35">
        <v>54</v>
      </c>
      <c r="J412" s="37" t="s">
        <v>7</v>
      </c>
      <c r="K412" s="37" t="s">
        <v>159</v>
      </c>
      <c r="L412" s="8">
        <v>38</v>
      </c>
      <c r="M412" s="8">
        <v>113181</v>
      </c>
      <c r="N412" s="9"/>
      <c r="O412" s="8">
        <v>22709</v>
      </c>
      <c r="P412" s="9"/>
      <c r="Q412" s="8">
        <v>4964</v>
      </c>
      <c r="R412" s="9"/>
      <c r="S412" s="8">
        <v>5193</v>
      </c>
      <c r="T412" s="9"/>
      <c r="U412" s="8">
        <v>0</v>
      </c>
      <c r="V412" s="9"/>
      <c r="W412" s="33">
        <v>146047</v>
      </c>
      <c r="X412" s="9"/>
      <c r="Y412" s="30">
        <v>61</v>
      </c>
      <c r="Z412" s="9"/>
      <c r="AA412" s="30">
        <v>14</v>
      </c>
      <c r="AB412" s="9"/>
      <c r="AC412" s="30">
        <v>4</v>
      </c>
      <c r="AD412" s="9"/>
      <c r="AE412" s="30">
        <v>3</v>
      </c>
      <c r="AF412" s="9"/>
      <c r="AG412" s="30">
        <v>0</v>
      </c>
      <c r="AH412" s="9"/>
      <c r="AI412" s="32">
        <v>82</v>
      </c>
      <c r="AJ412" s="12"/>
      <c r="AK412" s="22">
        <v>2820430</v>
      </c>
      <c r="AM412" s="22">
        <v>706774</v>
      </c>
      <c r="AO412" s="22">
        <v>92258</v>
      </c>
      <c r="AQ412" s="22">
        <v>112995</v>
      </c>
      <c r="AS412" s="26">
        <v>3732457</v>
      </c>
      <c r="AU412" s="23">
        <v>24.919599999999999</v>
      </c>
      <c r="AW412" s="23">
        <v>31.123100000000001</v>
      </c>
      <c r="AY412" s="23">
        <v>0.81510000000000005</v>
      </c>
      <c r="BA412" s="23">
        <v>21.7591</v>
      </c>
      <c r="BC412" s="24">
        <v>25.5565</v>
      </c>
      <c r="BE412" s="1" t="str">
        <f t="shared" si="6"/>
        <v>No</v>
      </c>
    </row>
    <row r="413" spans="1:57" ht="11.25" customHeight="1">
      <c r="A413" s="7" t="s">
        <v>602</v>
      </c>
      <c r="B413" s="7" t="s">
        <v>603</v>
      </c>
      <c r="C413" s="37" t="s">
        <v>46</v>
      </c>
      <c r="D413" s="296">
        <v>6024</v>
      </c>
      <c r="E413" s="297">
        <v>60024</v>
      </c>
      <c r="F413" s="27" t="s">
        <v>162</v>
      </c>
      <c r="G413" s="73" t="s">
        <v>158</v>
      </c>
      <c r="H413" s="35">
        <v>298317</v>
      </c>
      <c r="I413" s="35">
        <v>54</v>
      </c>
      <c r="J413" s="37" t="s">
        <v>7</v>
      </c>
      <c r="K413" s="37" t="s">
        <v>159</v>
      </c>
      <c r="L413" s="8">
        <v>36</v>
      </c>
      <c r="M413" s="8">
        <v>205621</v>
      </c>
      <c r="N413" s="9"/>
      <c r="O413" s="8">
        <v>32977</v>
      </c>
      <c r="P413" s="9"/>
      <c r="Q413" s="8">
        <v>23131</v>
      </c>
      <c r="R413" s="9"/>
      <c r="S413" s="8">
        <v>13468</v>
      </c>
      <c r="T413" s="9"/>
      <c r="U413" s="8">
        <v>0</v>
      </c>
      <c r="V413" s="9"/>
      <c r="W413" s="33">
        <v>275197</v>
      </c>
      <c r="X413" s="9"/>
      <c r="Y413" s="30">
        <v>94.05</v>
      </c>
      <c r="Z413" s="9"/>
      <c r="AA413" s="30">
        <v>15.3</v>
      </c>
      <c r="AB413" s="9"/>
      <c r="AC413" s="30">
        <v>10.199999999999999</v>
      </c>
      <c r="AD413" s="9"/>
      <c r="AE413" s="30">
        <v>6.8</v>
      </c>
      <c r="AF413" s="9"/>
      <c r="AG413" s="30">
        <v>0</v>
      </c>
      <c r="AH413" s="9"/>
      <c r="AI413" s="32">
        <v>126.35</v>
      </c>
      <c r="AJ413" s="12"/>
      <c r="AK413" s="22">
        <v>3673594</v>
      </c>
      <c r="AM413" s="22">
        <v>730408</v>
      </c>
      <c r="AO413" s="22">
        <v>431696</v>
      </c>
      <c r="AQ413" s="22">
        <v>271673</v>
      </c>
      <c r="AS413" s="26">
        <v>5107371</v>
      </c>
      <c r="AU413" s="23">
        <v>17.8659</v>
      </c>
      <c r="AW413" s="23">
        <v>22.149000000000001</v>
      </c>
      <c r="AY413" s="23">
        <v>2.0994999999999999</v>
      </c>
      <c r="BA413" s="23">
        <v>20.171700000000001</v>
      </c>
      <c r="BC413" s="24">
        <v>18.559000000000001</v>
      </c>
      <c r="BE413" s="1" t="str">
        <f t="shared" si="6"/>
        <v>No</v>
      </c>
    </row>
    <row r="414" spans="1:57" ht="11.25" customHeight="1">
      <c r="A414" s="7" t="s">
        <v>445</v>
      </c>
      <c r="B414" s="7" t="s">
        <v>446</v>
      </c>
      <c r="C414" s="37" t="s">
        <v>84</v>
      </c>
      <c r="D414" s="296">
        <v>6009</v>
      </c>
      <c r="E414" s="297">
        <v>60009</v>
      </c>
      <c r="F414" s="27" t="s">
        <v>162</v>
      </c>
      <c r="G414" s="73" t="s">
        <v>158</v>
      </c>
      <c r="H414" s="35">
        <v>235730</v>
      </c>
      <c r="I414" s="35">
        <v>54</v>
      </c>
      <c r="J414" s="37" t="s">
        <v>7</v>
      </c>
      <c r="K414" s="37" t="s">
        <v>159</v>
      </c>
      <c r="L414" s="8">
        <v>36</v>
      </c>
      <c r="M414" s="8">
        <v>193912</v>
      </c>
      <c r="N414" s="9"/>
      <c r="O414" s="8">
        <v>48202</v>
      </c>
      <c r="P414" s="9"/>
      <c r="Q414" s="8">
        <v>18590</v>
      </c>
      <c r="R414" s="9"/>
      <c r="S414" s="8">
        <v>12398</v>
      </c>
      <c r="T414" s="9"/>
      <c r="U414" s="8">
        <v>0</v>
      </c>
      <c r="V414" s="9"/>
      <c r="W414" s="33">
        <v>273102</v>
      </c>
      <c r="X414" s="9"/>
      <c r="Y414" s="30">
        <v>103</v>
      </c>
      <c r="Z414" s="9"/>
      <c r="AA414" s="30">
        <v>28</v>
      </c>
      <c r="AB414" s="9"/>
      <c r="AC414" s="30">
        <v>12</v>
      </c>
      <c r="AD414" s="9"/>
      <c r="AE414" s="30">
        <v>8</v>
      </c>
      <c r="AF414" s="9"/>
      <c r="AG414" s="30">
        <v>0</v>
      </c>
      <c r="AH414" s="9"/>
      <c r="AI414" s="32">
        <v>151</v>
      </c>
      <c r="AJ414" s="12"/>
      <c r="AK414" s="22">
        <v>4001413</v>
      </c>
      <c r="AM414" s="22">
        <v>1035862</v>
      </c>
      <c r="AO414" s="22">
        <v>264518</v>
      </c>
      <c r="AQ414" s="22">
        <v>228958</v>
      </c>
      <c r="AS414" s="26">
        <v>5530751</v>
      </c>
      <c r="AU414" s="23">
        <v>20.635200000000001</v>
      </c>
      <c r="AW414" s="23">
        <v>21.49</v>
      </c>
      <c r="AY414" s="23">
        <v>1.3641000000000001</v>
      </c>
      <c r="BA414" s="23">
        <v>18.467300000000002</v>
      </c>
      <c r="BC414" s="24">
        <v>20.2516</v>
      </c>
      <c r="BE414" s="1" t="str">
        <f t="shared" si="6"/>
        <v>No</v>
      </c>
    </row>
    <row r="415" spans="1:57" ht="11.25" customHeight="1">
      <c r="A415" s="7" t="s">
        <v>1129</v>
      </c>
      <c r="B415" s="7" t="s">
        <v>654</v>
      </c>
      <c r="C415" s="37" t="s">
        <v>26</v>
      </c>
      <c r="D415" s="296">
        <v>8011</v>
      </c>
      <c r="E415" s="297">
        <v>80011</v>
      </c>
      <c r="F415" s="27" t="s">
        <v>162</v>
      </c>
      <c r="G415" s="73" t="s">
        <v>158</v>
      </c>
      <c r="H415" s="35">
        <v>264465</v>
      </c>
      <c r="I415" s="35">
        <v>54</v>
      </c>
      <c r="J415" s="37" t="s">
        <v>7</v>
      </c>
      <c r="K415" s="37" t="s">
        <v>159</v>
      </c>
      <c r="L415" s="8">
        <v>36</v>
      </c>
      <c r="M415" s="8">
        <v>166641</v>
      </c>
      <c r="N415" s="9"/>
      <c r="O415" s="8">
        <v>0</v>
      </c>
      <c r="P415" s="9"/>
      <c r="Q415" s="8">
        <v>0</v>
      </c>
      <c r="R415" s="9"/>
      <c r="S415" s="8">
        <v>25386</v>
      </c>
      <c r="T415" s="9"/>
      <c r="U415" s="8">
        <v>0</v>
      </c>
      <c r="V415" s="9"/>
      <c r="W415" s="33">
        <v>192027</v>
      </c>
      <c r="X415" s="9"/>
      <c r="Y415" s="30">
        <v>100.45</v>
      </c>
      <c r="Z415" s="9"/>
      <c r="AA415" s="30">
        <v>0</v>
      </c>
      <c r="AB415" s="9"/>
      <c r="AC415" s="30">
        <v>0</v>
      </c>
      <c r="AD415" s="9"/>
      <c r="AE415" s="30">
        <v>16.62</v>
      </c>
      <c r="AF415" s="9"/>
      <c r="AG415" s="30">
        <v>0</v>
      </c>
      <c r="AH415" s="9"/>
      <c r="AI415" s="32">
        <v>117.07</v>
      </c>
      <c r="AJ415" s="12"/>
      <c r="AK415" s="22">
        <v>4219684</v>
      </c>
      <c r="AM415" s="22">
        <v>0</v>
      </c>
      <c r="AO415" s="22">
        <v>0</v>
      </c>
      <c r="AQ415" s="22">
        <v>774393</v>
      </c>
      <c r="AS415" s="26">
        <v>4994077</v>
      </c>
      <c r="AU415" s="23">
        <v>25.321999999999999</v>
      </c>
      <c r="AY415" s="23">
        <v>0</v>
      </c>
      <c r="BA415" s="23">
        <v>30.5047</v>
      </c>
      <c r="BC415" s="24">
        <v>26.007200000000001</v>
      </c>
      <c r="BE415" s="1" t="str">
        <f t="shared" si="6"/>
        <v>No</v>
      </c>
    </row>
    <row r="416" spans="1:57" ht="11.25" customHeight="1">
      <c r="A416" s="7" t="s">
        <v>244</v>
      </c>
      <c r="B416" s="7" t="s">
        <v>245</v>
      </c>
      <c r="C416" s="37" t="s">
        <v>77</v>
      </c>
      <c r="D416" s="296">
        <v>3012</v>
      </c>
      <c r="E416" s="297">
        <v>30012</v>
      </c>
      <c r="F416" s="27" t="s">
        <v>165</v>
      </c>
      <c r="G416" s="73" t="s">
        <v>158</v>
      </c>
      <c r="H416" s="35">
        <v>69014</v>
      </c>
      <c r="I416" s="35">
        <v>54</v>
      </c>
      <c r="J416" s="37" t="s">
        <v>7</v>
      </c>
      <c r="K416" s="37" t="s">
        <v>159</v>
      </c>
      <c r="L416" s="8">
        <v>32</v>
      </c>
      <c r="M416" s="8">
        <v>113121</v>
      </c>
      <c r="N416" s="9"/>
      <c r="O416" s="8">
        <v>28725</v>
      </c>
      <c r="P416" s="9"/>
      <c r="Q416" s="8">
        <v>16103</v>
      </c>
      <c r="R416" s="9"/>
      <c r="S416" s="8">
        <v>25968</v>
      </c>
      <c r="T416" s="9"/>
      <c r="U416" s="8">
        <v>0</v>
      </c>
      <c r="V416" s="9"/>
      <c r="W416" s="33">
        <v>183917</v>
      </c>
      <c r="X416" s="9"/>
      <c r="Y416" s="30">
        <v>67.56</v>
      </c>
      <c r="Z416" s="9"/>
      <c r="AA416" s="30">
        <v>14.14</v>
      </c>
      <c r="AB416" s="9"/>
      <c r="AC416" s="30">
        <v>10.43</v>
      </c>
      <c r="AD416" s="9"/>
      <c r="AE416" s="30">
        <v>12.19</v>
      </c>
      <c r="AF416" s="9"/>
      <c r="AG416" s="30">
        <v>0</v>
      </c>
      <c r="AH416" s="9"/>
      <c r="AI416" s="32">
        <v>104.32</v>
      </c>
      <c r="AJ416" s="12"/>
      <c r="AK416" s="22">
        <v>2347968</v>
      </c>
      <c r="AM416" s="22">
        <v>565700</v>
      </c>
      <c r="AO416" s="22">
        <v>164134</v>
      </c>
      <c r="AQ416" s="22">
        <v>370268</v>
      </c>
      <c r="AS416" s="26">
        <v>3448070</v>
      </c>
      <c r="AU416" s="23">
        <v>20.7563</v>
      </c>
      <c r="AW416" s="23">
        <v>19.6936</v>
      </c>
      <c r="AY416" s="23">
        <v>1.4510000000000001</v>
      </c>
      <c r="BA416" s="23">
        <v>14.258599999999999</v>
      </c>
      <c r="BC416" s="24">
        <v>18.748000000000001</v>
      </c>
      <c r="BE416" s="1" t="str">
        <f t="shared" si="6"/>
        <v>No</v>
      </c>
    </row>
    <row r="417" spans="1:57" ht="11.25" customHeight="1">
      <c r="A417" s="7" t="s">
        <v>244</v>
      </c>
      <c r="B417" s="7" t="s">
        <v>245</v>
      </c>
      <c r="C417" s="37" t="s">
        <v>77</v>
      </c>
      <c r="D417" s="296">
        <v>3012</v>
      </c>
      <c r="E417" s="297">
        <v>30012</v>
      </c>
      <c r="F417" s="27" t="s">
        <v>165</v>
      </c>
      <c r="G417" s="73" t="s">
        <v>158</v>
      </c>
      <c r="H417" s="35">
        <v>69014</v>
      </c>
      <c r="I417" s="35">
        <v>54</v>
      </c>
      <c r="J417" s="37" t="s">
        <v>10</v>
      </c>
      <c r="K417" s="37" t="s">
        <v>159</v>
      </c>
      <c r="L417" s="8">
        <v>20</v>
      </c>
      <c r="M417" s="8">
        <v>28379</v>
      </c>
      <c r="N417" s="9"/>
      <c r="O417" s="8">
        <v>5216</v>
      </c>
      <c r="P417" s="9"/>
      <c r="Q417" s="8">
        <v>737</v>
      </c>
      <c r="R417" s="9"/>
      <c r="S417" s="8">
        <v>3587</v>
      </c>
      <c r="T417" s="9"/>
      <c r="U417" s="8">
        <v>0</v>
      </c>
      <c r="V417" s="9"/>
      <c r="W417" s="33">
        <v>37919</v>
      </c>
      <c r="X417" s="9"/>
      <c r="Y417" s="30">
        <v>19.440000000000001</v>
      </c>
      <c r="Z417" s="9"/>
      <c r="AA417" s="30">
        <v>2.86</v>
      </c>
      <c r="AB417" s="9"/>
      <c r="AC417" s="30">
        <v>0.56999999999999995</v>
      </c>
      <c r="AD417" s="9"/>
      <c r="AE417" s="30">
        <v>1.81</v>
      </c>
      <c r="AF417" s="9"/>
      <c r="AG417" s="30">
        <v>0</v>
      </c>
      <c r="AH417" s="9"/>
      <c r="AI417" s="32">
        <v>24.68</v>
      </c>
      <c r="AJ417" s="12"/>
      <c r="AK417" s="22">
        <v>627182</v>
      </c>
      <c r="AM417" s="22">
        <v>112079</v>
      </c>
      <c r="AO417" s="22">
        <v>8338</v>
      </c>
      <c r="AQ417" s="22">
        <v>99382</v>
      </c>
      <c r="AS417" s="26">
        <v>846981</v>
      </c>
      <c r="AU417" s="23">
        <v>22.100200000000001</v>
      </c>
      <c r="AW417" s="23">
        <v>21.487500000000001</v>
      </c>
      <c r="AY417" s="23">
        <v>0.29380000000000001</v>
      </c>
      <c r="BA417" s="23">
        <v>27.706199999999999</v>
      </c>
      <c r="BC417" s="24">
        <v>22.336600000000001</v>
      </c>
      <c r="BE417" s="1" t="str">
        <f t="shared" si="6"/>
        <v>No</v>
      </c>
    </row>
    <row r="418" spans="1:57" ht="11.25" customHeight="1">
      <c r="A418" s="7" t="s">
        <v>445</v>
      </c>
      <c r="B418" s="7" t="s">
        <v>446</v>
      </c>
      <c r="C418" s="37" t="s">
        <v>84</v>
      </c>
      <c r="D418" s="296">
        <v>6009</v>
      </c>
      <c r="E418" s="297">
        <v>60009</v>
      </c>
      <c r="F418" s="27" t="s">
        <v>162</v>
      </c>
      <c r="G418" s="73" t="s">
        <v>158</v>
      </c>
      <c r="H418" s="35">
        <v>235730</v>
      </c>
      <c r="I418" s="35">
        <v>54</v>
      </c>
      <c r="J418" s="37" t="s">
        <v>10</v>
      </c>
      <c r="K418" s="37" t="s">
        <v>159</v>
      </c>
      <c r="L418" s="8">
        <v>18</v>
      </c>
      <c r="M418" s="8">
        <v>42129</v>
      </c>
      <c r="N418" s="9"/>
      <c r="O418" s="8">
        <v>6589</v>
      </c>
      <c r="P418" s="9"/>
      <c r="Q418" s="8">
        <v>4641</v>
      </c>
      <c r="R418" s="9"/>
      <c r="S418" s="8">
        <v>3100</v>
      </c>
      <c r="T418" s="9"/>
      <c r="U418" s="8">
        <v>0</v>
      </c>
      <c r="V418" s="9"/>
      <c r="W418" s="33">
        <v>56459</v>
      </c>
      <c r="X418" s="9"/>
      <c r="Y418" s="30">
        <v>22</v>
      </c>
      <c r="Z418" s="9"/>
      <c r="AA418" s="30">
        <v>4</v>
      </c>
      <c r="AB418" s="9"/>
      <c r="AC418" s="30">
        <v>3</v>
      </c>
      <c r="AD418" s="9"/>
      <c r="AE418" s="30">
        <v>1.7</v>
      </c>
      <c r="AF418" s="9"/>
      <c r="AG418" s="30">
        <v>0</v>
      </c>
      <c r="AH418" s="9"/>
      <c r="AI418" s="32">
        <v>30.7</v>
      </c>
      <c r="AJ418" s="12"/>
      <c r="AK418" s="22">
        <v>843353</v>
      </c>
      <c r="AM418" s="22">
        <v>167624</v>
      </c>
      <c r="AO418" s="22">
        <v>66129</v>
      </c>
      <c r="AQ418" s="22">
        <v>57239</v>
      </c>
      <c r="AS418" s="26">
        <v>1134345</v>
      </c>
      <c r="AU418" s="23">
        <v>20.0183</v>
      </c>
      <c r="AW418" s="23">
        <v>25.44</v>
      </c>
      <c r="AY418" s="23">
        <v>1.5697000000000001</v>
      </c>
      <c r="BA418" s="23">
        <v>18.464200000000002</v>
      </c>
      <c r="BC418" s="24">
        <v>20.0915</v>
      </c>
      <c r="BE418" s="1" t="str">
        <f t="shared" si="6"/>
        <v>No</v>
      </c>
    </row>
    <row r="419" spans="1:57" ht="11.25" customHeight="1">
      <c r="A419" s="7" t="s">
        <v>602</v>
      </c>
      <c r="B419" s="7" t="s">
        <v>603</v>
      </c>
      <c r="C419" s="37" t="s">
        <v>46</v>
      </c>
      <c r="D419" s="296">
        <v>6024</v>
      </c>
      <c r="E419" s="297">
        <v>60024</v>
      </c>
      <c r="F419" s="27" t="s">
        <v>162</v>
      </c>
      <c r="G419" s="73" t="s">
        <v>158</v>
      </c>
      <c r="H419" s="35">
        <v>298317</v>
      </c>
      <c r="I419" s="35">
        <v>54</v>
      </c>
      <c r="J419" s="37" t="s">
        <v>10</v>
      </c>
      <c r="K419" s="37" t="s">
        <v>159</v>
      </c>
      <c r="L419" s="8">
        <v>18</v>
      </c>
      <c r="M419" s="8">
        <v>43670</v>
      </c>
      <c r="N419" s="9"/>
      <c r="O419" s="8">
        <v>5645</v>
      </c>
      <c r="P419" s="9"/>
      <c r="Q419" s="8">
        <v>4970</v>
      </c>
      <c r="R419" s="9"/>
      <c r="S419" s="8">
        <v>7130</v>
      </c>
      <c r="T419" s="9"/>
      <c r="U419" s="8">
        <v>0</v>
      </c>
      <c r="V419" s="9"/>
      <c r="W419" s="33">
        <v>61415</v>
      </c>
      <c r="X419" s="9"/>
      <c r="Y419" s="30">
        <v>20.95</v>
      </c>
      <c r="Z419" s="9"/>
      <c r="AA419" s="30">
        <v>2.7</v>
      </c>
      <c r="AB419" s="9"/>
      <c r="AC419" s="30">
        <v>2.2000000000000002</v>
      </c>
      <c r="AD419" s="9"/>
      <c r="AE419" s="30">
        <v>3.8</v>
      </c>
      <c r="AF419" s="9"/>
      <c r="AG419" s="30">
        <v>0</v>
      </c>
      <c r="AH419" s="9"/>
      <c r="AI419" s="32">
        <v>29.65</v>
      </c>
      <c r="AJ419" s="12"/>
      <c r="AK419" s="22">
        <v>564553</v>
      </c>
      <c r="AM419" s="22">
        <v>101518</v>
      </c>
      <c r="AO419" s="22">
        <v>68072</v>
      </c>
      <c r="AQ419" s="22">
        <v>71531</v>
      </c>
      <c r="AS419" s="26">
        <v>805674</v>
      </c>
      <c r="AU419" s="23">
        <v>12.9277</v>
      </c>
      <c r="AW419" s="23">
        <v>17.983699999999999</v>
      </c>
      <c r="AY419" s="23">
        <v>1.5588</v>
      </c>
      <c r="BA419" s="23">
        <v>10.032400000000001</v>
      </c>
      <c r="BC419" s="24">
        <v>13.118499999999999</v>
      </c>
      <c r="BE419" s="1" t="str">
        <f t="shared" si="6"/>
        <v>No</v>
      </c>
    </row>
    <row r="420" spans="1:57" ht="11.25" customHeight="1">
      <c r="A420" s="7" t="s">
        <v>430</v>
      </c>
      <c r="B420" s="7" t="s">
        <v>431</v>
      </c>
      <c r="C420" s="37" t="s">
        <v>96</v>
      </c>
      <c r="D420" s="296">
        <v>3001</v>
      </c>
      <c r="E420" s="297">
        <v>30001</v>
      </c>
      <c r="F420" s="27" t="s">
        <v>165</v>
      </c>
      <c r="G420" s="73" t="s">
        <v>158</v>
      </c>
      <c r="H420" s="35">
        <v>153199</v>
      </c>
      <c r="I420" s="35">
        <v>54</v>
      </c>
      <c r="J420" s="37" t="s">
        <v>10</v>
      </c>
      <c r="K420" s="37" t="s">
        <v>159</v>
      </c>
      <c r="L420" s="8">
        <v>12</v>
      </c>
      <c r="M420" s="8">
        <v>28316</v>
      </c>
      <c r="N420" s="9"/>
      <c r="O420" s="8">
        <v>4142</v>
      </c>
      <c r="P420" s="9"/>
      <c r="Q420" s="8">
        <v>317</v>
      </c>
      <c r="R420" s="9"/>
      <c r="S420" s="8">
        <v>1692</v>
      </c>
      <c r="T420" s="9"/>
      <c r="U420" s="8">
        <v>0</v>
      </c>
      <c r="V420" s="9"/>
      <c r="W420" s="33">
        <v>34467</v>
      </c>
      <c r="X420" s="9"/>
      <c r="Y420" s="30">
        <v>12</v>
      </c>
      <c r="Z420" s="9"/>
      <c r="AA420" s="30">
        <v>2</v>
      </c>
      <c r="AB420" s="9"/>
      <c r="AC420" s="30">
        <v>0.16</v>
      </c>
      <c r="AD420" s="9"/>
      <c r="AE420" s="30">
        <v>0.8</v>
      </c>
      <c r="AF420" s="9"/>
      <c r="AG420" s="30">
        <v>0</v>
      </c>
      <c r="AH420" s="9"/>
      <c r="AI420" s="32">
        <v>14.96</v>
      </c>
      <c r="AJ420" s="12"/>
      <c r="AK420" s="22">
        <v>312183</v>
      </c>
      <c r="AM420" s="22">
        <v>86317</v>
      </c>
      <c r="AO420" s="22">
        <v>5875</v>
      </c>
      <c r="AQ420" s="22">
        <v>39911</v>
      </c>
      <c r="AS420" s="26">
        <v>444286</v>
      </c>
      <c r="AU420" s="23">
        <v>11.025</v>
      </c>
      <c r="AW420" s="23">
        <v>20.839400000000001</v>
      </c>
      <c r="AY420" s="23">
        <v>0.20749999999999999</v>
      </c>
      <c r="BA420" s="23">
        <v>23.588100000000001</v>
      </c>
      <c r="BC420" s="24">
        <v>12.8902</v>
      </c>
      <c r="BE420" s="1" t="str">
        <f t="shared" si="6"/>
        <v>No</v>
      </c>
    </row>
    <row r="421" spans="1:57" ht="11.25" customHeight="1">
      <c r="A421" s="7" t="s">
        <v>233</v>
      </c>
      <c r="B421" s="7" t="s">
        <v>234</v>
      </c>
      <c r="C421" s="37" t="s">
        <v>70</v>
      </c>
      <c r="D421" s="296">
        <v>2003</v>
      </c>
      <c r="E421" s="297">
        <v>20003</v>
      </c>
      <c r="F421" s="27" t="s">
        <v>162</v>
      </c>
      <c r="G421" s="73" t="s">
        <v>158</v>
      </c>
      <c r="H421" s="35">
        <v>158084</v>
      </c>
      <c r="I421" s="35">
        <v>54</v>
      </c>
      <c r="J421" s="37" t="s">
        <v>10</v>
      </c>
      <c r="K421" s="37" t="s">
        <v>159</v>
      </c>
      <c r="L421" s="8">
        <v>6</v>
      </c>
      <c r="M421" s="8">
        <v>17846</v>
      </c>
      <c r="N421" s="9"/>
      <c r="O421" s="8">
        <v>4108</v>
      </c>
      <c r="P421" s="9"/>
      <c r="Q421" s="8">
        <v>1239</v>
      </c>
      <c r="R421" s="9"/>
      <c r="S421" s="8">
        <v>4464</v>
      </c>
      <c r="T421" s="9"/>
      <c r="U421" s="8">
        <v>0</v>
      </c>
      <c r="V421" s="9"/>
      <c r="W421" s="33">
        <v>27657</v>
      </c>
      <c r="X421" s="9"/>
      <c r="Y421" s="30">
        <v>11.2</v>
      </c>
      <c r="Z421" s="9"/>
      <c r="AA421" s="30">
        <v>2.5</v>
      </c>
      <c r="AB421" s="9"/>
      <c r="AC421" s="30">
        <v>0.85</v>
      </c>
      <c r="AD421" s="9"/>
      <c r="AE421" s="30">
        <v>2.8</v>
      </c>
      <c r="AF421" s="9"/>
      <c r="AG421" s="30">
        <v>0</v>
      </c>
      <c r="AH421" s="9"/>
      <c r="AI421" s="32">
        <v>17.350000000000001</v>
      </c>
      <c r="AJ421" s="12"/>
      <c r="AK421" s="22">
        <v>421531</v>
      </c>
      <c r="AM421" s="22">
        <v>134624</v>
      </c>
      <c r="AO421" s="22">
        <v>17382</v>
      </c>
      <c r="AQ421" s="22">
        <v>98252</v>
      </c>
      <c r="AS421" s="26">
        <v>671789</v>
      </c>
      <c r="AU421" s="23">
        <v>23.6205</v>
      </c>
      <c r="AW421" s="23">
        <v>32.7712</v>
      </c>
      <c r="AY421" s="23">
        <v>0.97399999999999998</v>
      </c>
      <c r="BA421" s="23">
        <v>22.009899999999998</v>
      </c>
      <c r="BC421" s="24">
        <v>24.29</v>
      </c>
      <c r="BE421" s="1" t="str">
        <f t="shared" si="6"/>
        <v>No</v>
      </c>
    </row>
    <row r="422" spans="1:57" ht="11.25" customHeight="1">
      <c r="A422" s="7" t="s">
        <v>1129</v>
      </c>
      <c r="B422" s="7" t="s">
        <v>654</v>
      </c>
      <c r="C422" s="37" t="s">
        <v>26</v>
      </c>
      <c r="D422" s="296">
        <v>8011</v>
      </c>
      <c r="E422" s="297">
        <v>80011</v>
      </c>
      <c r="F422" s="27" t="s">
        <v>162</v>
      </c>
      <c r="G422" s="73" t="s">
        <v>158</v>
      </c>
      <c r="H422" s="35">
        <v>264465</v>
      </c>
      <c r="I422" s="35">
        <v>54</v>
      </c>
      <c r="J422" s="37" t="s">
        <v>22</v>
      </c>
      <c r="K422" s="37" t="s">
        <v>159</v>
      </c>
      <c r="L422" s="8">
        <v>6</v>
      </c>
      <c r="M422" s="8">
        <v>44056</v>
      </c>
      <c r="N422" s="9"/>
      <c r="O422" s="8">
        <v>0</v>
      </c>
      <c r="P422" s="9"/>
      <c r="Q422" s="8">
        <v>0</v>
      </c>
      <c r="R422" s="9"/>
      <c r="S422" s="8">
        <v>6711</v>
      </c>
      <c r="T422" s="9"/>
      <c r="U422" s="8">
        <v>0</v>
      </c>
      <c r="V422" s="9"/>
      <c r="W422" s="33">
        <v>50767</v>
      </c>
      <c r="X422" s="9"/>
      <c r="Y422" s="30">
        <v>26.6</v>
      </c>
      <c r="Z422" s="9"/>
      <c r="AA422" s="30">
        <v>0</v>
      </c>
      <c r="AB422" s="9"/>
      <c r="AC422" s="30">
        <v>0</v>
      </c>
      <c r="AD422" s="9"/>
      <c r="AE422" s="30">
        <v>4.38</v>
      </c>
      <c r="AF422" s="9"/>
      <c r="AG422" s="30">
        <v>0</v>
      </c>
      <c r="AH422" s="9"/>
      <c r="AI422" s="32">
        <v>30.98</v>
      </c>
      <c r="AJ422" s="12"/>
      <c r="AK422" s="22">
        <v>1115610</v>
      </c>
      <c r="AM422" s="22">
        <v>0</v>
      </c>
      <c r="AO422" s="22">
        <v>0</v>
      </c>
      <c r="AQ422" s="22">
        <v>204736</v>
      </c>
      <c r="AS422" s="26">
        <v>1320346</v>
      </c>
      <c r="AU422" s="23">
        <v>25.322500000000002</v>
      </c>
      <c r="AY422" s="23">
        <v>0</v>
      </c>
      <c r="BA422" s="23">
        <v>30.5075</v>
      </c>
      <c r="BC422" s="24">
        <v>26.007999999999999</v>
      </c>
      <c r="BE422" s="1" t="str">
        <f t="shared" si="6"/>
        <v>No</v>
      </c>
    </row>
    <row r="423" spans="1:57" ht="11.25" customHeight="1">
      <c r="A423" s="7" t="s">
        <v>244</v>
      </c>
      <c r="B423" s="7" t="s">
        <v>245</v>
      </c>
      <c r="C423" s="37" t="s">
        <v>77</v>
      </c>
      <c r="D423" s="296">
        <v>3012</v>
      </c>
      <c r="E423" s="297">
        <v>30012</v>
      </c>
      <c r="F423" s="27" t="s">
        <v>165</v>
      </c>
      <c r="G423" s="73" t="s">
        <v>158</v>
      </c>
      <c r="H423" s="35">
        <v>69014</v>
      </c>
      <c r="I423" s="35">
        <v>54</v>
      </c>
      <c r="J423" s="37" t="s">
        <v>78</v>
      </c>
      <c r="K423" s="37" t="s">
        <v>159</v>
      </c>
      <c r="L423" s="8">
        <v>2</v>
      </c>
      <c r="M423" s="8">
        <v>3372</v>
      </c>
      <c r="N423" s="9"/>
      <c r="O423" s="8">
        <v>666</v>
      </c>
      <c r="P423" s="9"/>
      <c r="Q423" s="8">
        <v>999</v>
      </c>
      <c r="R423" s="9"/>
      <c r="S423" s="8">
        <v>12346</v>
      </c>
      <c r="T423" s="9"/>
      <c r="U423" s="8">
        <v>0</v>
      </c>
      <c r="V423" s="9"/>
      <c r="W423" s="33">
        <v>17383</v>
      </c>
      <c r="X423" s="9"/>
      <c r="Y423" s="30">
        <v>5</v>
      </c>
      <c r="Z423" s="9"/>
      <c r="AA423" s="30">
        <v>0.4</v>
      </c>
      <c r="AB423" s="9"/>
      <c r="AC423" s="30">
        <v>0.6</v>
      </c>
      <c r="AD423" s="9"/>
      <c r="AE423" s="30">
        <v>17</v>
      </c>
      <c r="AF423" s="9"/>
      <c r="AG423" s="30">
        <v>0</v>
      </c>
      <c r="AH423" s="9"/>
      <c r="AI423" s="32">
        <v>23</v>
      </c>
      <c r="AJ423" s="12"/>
      <c r="AK423" s="22">
        <v>79489</v>
      </c>
      <c r="AM423" s="22">
        <v>13400</v>
      </c>
      <c r="AO423" s="22">
        <v>20100</v>
      </c>
      <c r="AQ423" s="22">
        <v>189076</v>
      </c>
      <c r="AS423" s="26">
        <v>302065</v>
      </c>
      <c r="AU423" s="23">
        <v>23.5733</v>
      </c>
      <c r="AW423" s="23">
        <v>20.120100000000001</v>
      </c>
      <c r="AY423" s="23">
        <v>5.9608999999999996</v>
      </c>
      <c r="BA423" s="23">
        <v>15.3148</v>
      </c>
      <c r="BC423" s="24">
        <v>17.376999999999999</v>
      </c>
      <c r="BE423" s="1" t="str">
        <f t="shared" si="6"/>
        <v>No</v>
      </c>
    </row>
    <row r="424" spans="1:57" ht="11.25" customHeight="1">
      <c r="A424" s="7" t="s">
        <v>402</v>
      </c>
      <c r="B424" s="7" t="s">
        <v>403</v>
      </c>
      <c r="C424" s="37" t="s">
        <v>86</v>
      </c>
      <c r="D424" s="296">
        <v>3007</v>
      </c>
      <c r="E424" s="297">
        <v>30007</v>
      </c>
      <c r="F424" s="27" t="s">
        <v>401</v>
      </c>
      <c r="G424" s="73" t="s">
        <v>158</v>
      </c>
      <c r="H424" s="35">
        <v>210111</v>
      </c>
      <c r="I424" s="35">
        <v>53</v>
      </c>
      <c r="J424" s="37" t="s">
        <v>7</v>
      </c>
      <c r="K424" s="37" t="s">
        <v>159</v>
      </c>
      <c r="L424" s="8">
        <v>35</v>
      </c>
      <c r="M424" s="8">
        <v>147355</v>
      </c>
      <c r="N424" s="9"/>
      <c r="O424" s="8">
        <v>24183</v>
      </c>
      <c r="P424" s="9"/>
      <c r="Q424" s="8">
        <v>8911</v>
      </c>
      <c r="R424" s="9"/>
      <c r="S424" s="8">
        <v>24043</v>
      </c>
      <c r="T424" s="9"/>
      <c r="U424" s="8">
        <v>0</v>
      </c>
      <c r="V424" s="9"/>
      <c r="W424" s="33">
        <v>204492</v>
      </c>
      <c r="X424" s="9"/>
      <c r="Y424" s="30">
        <v>78</v>
      </c>
      <c r="Z424" s="9"/>
      <c r="AA424" s="30">
        <v>13</v>
      </c>
      <c r="AB424" s="9"/>
      <c r="AC424" s="30">
        <v>4</v>
      </c>
      <c r="AD424" s="9"/>
      <c r="AE424" s="30">
        <v>14</v>
      </c>
      <c r="AF424" s="9"/>
      <c r="AG424" s="30">
        <v>0</v>
      </c>
      <c r="AH424" s="9"/>
      <c r="AI424" s="32">
        <v>109</v>
      </c>
      <c r="AJ424" s="12"/>
      <c r="AK424" s="22">
        <v>2440360</v>
      </c>
      <c r="AM424" s="22">
        <v>440131</v>
      </c>
      <c r="AO424" s="22">
        <v>86254</v>
      </c>
      <c r="AQ424" s="22">
        <v>357891</v>
      </c>
      <c r="AS424" s="26">
        <v>3324636</v>
      </c>
      <c r="AU424" s="23">
        <v>16.5611</v>
      </c>
      <c r="AW424" s="23">
        <v>18.2</v>
      </c>
      <c r="AY424" s="23">
        <v>0.58530000000000004</v>
      </c>
      <c r="BA424" s="23">
        <v>14.8855</v>
      </c>
      <c r="BC424" s="24">
        <v>16.257999999999999</v>
      </c>
      <c r="BE424" s="1" t="str">
        <f t="shared" si="6"/>
        <v>No</v>
      </c>
    </row>
    <row r="425" spans="1:57" ht="11.25" customHeight="1">
      <c r="A425" s="7" t="s">
        <v>402</v>
      </c>
      <c r="B425" s="7" t="s">
        <v>403</v>
      </c>
      <c r="C425" s="37" t="s">
        <v>86</v>
      </c>
      <c r="D425" s="296">
        <v>3007</v>
      </c>
      <c r="E425" s="297">
        <v>30007</v>
      </c>
      <c r="F425" s="27" t="s">
        <v>401</v>
      </c>
      <c r="G425" s="73" t="s">
        <v>158</v>
      </c>
      <c r="H425" s="35">
        <v>210111</v>
      </c>
      <c r="I425" s="35">
        <v>53</v>
      </c>
      <c r="J425" s="37" t="s">
        <v>18</v>
      </c>
      <c r="K425" s="37" t="s">
        <v>159</v>
      </c>
      <c r="L425" s="8">
        <v>1</v>
      </c>
      <c r="M425" s="8">
        <v>4319</v>
      </c>
      <c r="N425" s="9"/>
      <c r="O425" s="8">
        <v>2008</v>
      </c>
      <c r="P425" s="9"/>
      <c r="Q425" s="8">
        <v>290</v>
      </c>
      <c r="R425" s="9"/>
      <c r="S425" s="8">
        <v>1092</v>
      </c>
      <c r="T425" s="9"/>
      <c r="U425" s="8">
        <v>0</v>
      </c>
      <c r="V425" s="9"/>
      <c r="W425" s="33">
        <v>7709</v>
      </c>
      <c r="X425" s="9"/>
      <c r="Y425" s="30">
        <v>3</v>
      </c>
      <c r="Z425" s="9"/>
      <c r="AA425" s="30">
        <v>1</v>
      </c>
      <c r="AB425" s="9"/>
      <c r="AC425" s="30">
        <v>0.5</v>
      </c>
      <c r="AD425" s="9"/>
      <c r="AE425" s="30">
        <v>1</v>
      </c>
      <c r="AF425" s="9"/>
      <c r="AG425" s="30">
        <v>0</v>
      </c>
      <c r="AH425" s="9"/>
      <c r="AI425" s="32">
        <v>5.5</v>
      </c>
      <c r="AJ425" s="12"/>
      <c r="AK425" s="22">
        <v>93958</v>
      </c>
      <c r="AM425" s="22">
        <v>31095</v>
      </c>
      <c r="AO425" s="22">
        <v>3845</v>
      </c>
      <c r="AQ425" s="22">
        <v>11515</v>
      </c>
      <c r="AS425" s="26">
        <v>140413</v>
      </c>
      <c r="AU425" s="23">
        <v>21.7546</v>
      </c>
      <c r="AW425" s="23">
        <v>15.4856</v>
      </c>
      <c r="AY425" s="23">
        <v>0.89029999999999998</v>
      </c>
      <c r="BA425" s="23">
        <v>10.5449</v>
      </c>
      <c r="BC425" s="24">
        <v>18.214200000000002</v>
      </c>
      <c r="BE425" s="1" t="str">
        <f t="shared" si="6"/>
        <v>No</v>
      </c>
    </row>
    <row r="426" spans="1:57" ht="11.25" customHeight="1">
      <c r="A426" s="7" t="s">
        <v>354</v>
      </c>
      <c r="B426" s="7" t="s">
        <v>355</v>
      </c>
      <c r="C426" s="37" t="s">
        <v>36</v>
      </c>
      <c r="D426" s="296">
        <v>4082</v>
      </c>
      <c r="E426" s="297">
        <v>40082</v>
      </c>
      <c r="F426" s="27" t="s">
        <v>162</v>
      </c>
      <c r="G426" s="73" t="s">
        <v>158</v>
      </c>
      <c r="H426" s="35">
        <v>4515419</v>
      </c>
      <c r="I426" s="35">
        <v>52</v>
      </c>
      <c r="J426" s="37" t="s">
        <v>8</v>
      </c>
      <c r="K426" s="37" t="s">
        <v>159</v>
      </c>
      <c r="L426" s="8">
        <v>49</v>
      </c>
      <c r="M426" s="8">
        <v>2000</v>
      </c>
      <c r="N426" s="9"/>
      <c r="O426" s="8">
        <v>1832</v>
      </c>
      <c r="P426" s="9"/>
      <c r="Q426" s="8">
        <v>0</v>
      </c>
      <c r="R426" s="9"/>
      <c r="S426" s="8">
        <v>6772</v>
      </c>
      <c r="T426" s="9"/>
      <c r="U426" s="8">
        <v>0</v>
      </c>
      <c r="V426" s="9"/>
      <c r="W426" s="33">
        <v>10604</v>
      </c>
      <c r="X426" s="9"/>
      <c r="Y426" s="30">
        <v>1</v>
      </c>
      <c r="Z426" s="9"/>
      <c r="AA426" s="30">
        <v>1</v>
      </c>
      <c r="AB426" s="9"/>
      <c r="AC426" s="30">
        <v>0</v>
      </c>
      <c r="AD426" s="9"/>
      <c r="AE426" s="30">
        <v>5</v>
      </c>
      <c r="AF426" s="9"/>
      <c r="AG426" s="30">
        <v>0</v>
      </c>
      <c r="AH426" s="9"/>
      <c r="AI426" s="32">
        <v>7</v>
      </c>
      <c r="AJ426" s="12"/>
      <c r="AK426" s="22">
        <v>35000</v>
      </c>
      <c r="AM426" s="22">
        <v>31456</v>
      </c>
      <c r="AO426" s="22">
        <v>0</v>
      </c>
      <c r="AQ426" s="22">
        <v>166310</v>
      </c>
      <c r="AS426" s="26">
        <v>232766</v>
      </c>
      <c r="AU426" s="23">
        <v>17.5</v>
      </c>
      <c r="AW426" s="23">
        <v>17.170300000000001</v>
      </c>
      <c r="AY426" s="23">
        <v>0</v>
      </c>
      <c r="BA426" s="23">
        <v>24.558499999999999</v>
      </c>
      <c r="BC426" s="24">
        <v>21.950800000000001</v>
      </c>
      <c r="BE426" s="1" t="str">
        <f t="shared" si="6"/>
        <v>No</v>
      </c>
    </row>
    <row r="427" spans="1:57" ht="11.25" customHeight="1">
      <c r="A427" s="7" t="s">
        <v>207</v>
      </c>
      <c r="B427" s="7" t="s">
        <v>208</v>
      </c>
      <c r="C427" s="37" t="s">
        <v>52</v>
      </c>
      <c r="D427" s="296">
        <v>5029</v>
      </c>
      <c r="E427" s="297">
        <v>50029</v>
      </c>
      <c r="F427" s="27" t="s">
        <v>165</v>
      </c>
      <c r="G427" s="73" t="s">
        <v>158</v>
      </c>
      <c r="H427" s="35">
        <v>70585</v>
      </c>
      <c r="I427" s="35">
        <v>52</v>
      </c>
      <c r="J427" s="37" t="s">
        <v>7</v>
      </c>
      <c r="K427" s="37" t="s">
        <v>159</v>
      </c>
      <c r="L427" s="8">
        <v>38</v>
      </c>
      <c r="M427" s="8">
        <v>82243</v>
      </c>
      <c r="N427" s="9"/>
      <c r="O427" s="8">
        <v>15807</v>
      </c>
      <c r="P427" s="9"/>
      <c r="Q427" s="8">
        <v>3900</v>
      </c>
      <c r="R427" s="9"/>
      <c r="S427" s="8">
        <v>15211</v>
      </c>
      <c r="T427" s="9"/>
      <c r="U427" s="8">
        <v>0</v>
      </c>
      <c r="V427" s="9"/>
      <c r="W427" s="33">
        <v>117161</v>
      </c>
      <c r="X427" s="9"/>
      <c r="Y427" s="30">
        <v>46</v>
      </c>
      <c r="Z427" s="9"/>
      <c r="AA427" s="30">
        <v>9</v>
      </c>
      <c r="AB427" s="9"/>
      <c r="AC427" s="30">
        <v>2</v>
      </c>
      <c r="AD427" s="9"/>
      <c r="AE427" s="30">
        <v>8</v>
      </c>
      <c r="AF427" s="9"/>
      <c r="AG427" s="30">
        <v>0</v>
      </c>
      <c r="AH427" s="9"/>
      <c r="AI427" s="32">
        <v>65</v>
      </c>
      <c r="AJ427" s="12"/>
      <c r="AK427" s="22">
        <v>1415994</v>
      </c>
      <c r="AM427" s="22">
        <v>331002</v>
      </c>
      <c r="AO427" s="22">
        <v>78460</v>
      </c>
      <c r="AQ427" s="22">
        <v>370682</v>
      </c>
      <c r="AS427" s="26">
        <v>2196138</v>
      </c>
      <c r="AU427" s="23">
        <v>17.217199999999998</v>
      </c>
      <c r="AW427" s="23">
        <v>20.940200000000001</v>
      </c>
      <c r="AY427" s="23">
        <v>0.95399999999999996</v>
      </c>
      <c r="BA427" s="23">
        <v>24.369299999999999</v>
      </c>
      <c r="BC427" s="24">
        <v>18.744599999999998</v>
      </c>
      <c r="BE427" s="1" t="str">
        <f t="shared" si="6"/>
        <v>No</v>
      </c>
    </row>
    <row r="428" spans="1:57" ht="11.25" customHeight="1">
      <c r="A428" s="7" t="s">
        <v>434</v>
      </c>
      <c r="B428" s="7" t="s">
        <v>435</v>
      </c>
      <c r="C428" s="37" t="s">
        <v>93</v>
      </c>
      <c r="D428" s="296">
        <v>5003</v>
      </c>
      <c r="E428" s="297">
        <v>50003</v>
      </c>
      <c r="F428" s="27" t="s">
        <v>162</v>
      </c>
      <c r="G428" s="73" t="s">
        <v>158</v>
      </c>
      <c r="H428" s="35">
        <v>124064</v>
      </c>
      <c r="I428" s="35">
        <v>52</v>
      </c>
      <c r="J428" s="37" t="s">
        <v>7</v>
      </c>
      <c r="K428" s="37" t="s">
        <v>159</v>
      </c>
      <c r="L428" s="8">
        <v>37</v>
      </c>
      <c r="M428" s="8">
        <v>76798</v>
      </c>
      <c r="N428" s="9"/>
      <c r="O428" s="8">
        <v>15405</v>
      </c>
      <c r="P428" s="9"/>
      <c r="Q428" s="8">
        <v>2200</v>
      </c>
      <c r="R428" s="9"/>
      <c r="S428" s="8">
        <v>12524</v>
      </c>
      <c r="T428" s="9"/>
      <c r="U428" s="8">
        <v>0</v>
      </c>
      <c r="V428" s="9"/>
      <c r="W428" s="33">
        <v>106927</v>
      </c>
      <c r="X428" s="9"/>
      <c r="Y428" s="30">
        <v>54</v>
      </c>
      <c r="Z428" s="9"/>
      <c r="AA428" s="30">
        <v>8.5</v>
      </c>
      <c r="AB428" s="9"/>
      <c r="AC428" s="30">
        <v>1.7</v>
      </c>
      <c r="AD428" s="9"/>
      <c r="AE428" s="30">
        <v>8.1999999999999993</v>
      </c>
      <c r="AF428" s="9"/>
      <c r="AG428" s="30">
        <v>0</v>
      </c>
      <c r="AH428" s="9"/>
      <c r="AI428" s="32">
        <v>72.400000000000006</v>
      </c>
      <c r="AJ428" s="12"/>
      <c r="AK428" s="22">
        <v>1672204</v>
      </c>
      <c r="AM428" s="22">
        <v>397048</v>
      </c>
      <c r="AO428" s="22">
        <v>47229</v>
      </c>
      <c r="AQ428" s="22">
        <v>173129</v>
      </c>
      <c r="AS428" s="26">
        <v>2289610</v>
      </c>
      <c r="AU428" s="23">
        <v>21.774100000000001</v>
      </c>
      <c r="AW428" s="23">
        <v>25.774000000000001</v>
      </c>
      <c r="AY428" s="23">
        <v>0.61499999999999999</v>
      </c>
      <c r="BA428" s="23">
        <v>13.8238</v>
      </c>
      <c r="BC428" s="24">
        <v>21.412800000000001</v>
      </c>
      <c r="BE428" s="1" t="str">
        <f t="shared" si="6"/>
        <v>No</v>
      </c>
    </row>
    <row r="429" spans="1:57" ht="11.25" customHeight="1">
      <c r="A429" s="7" t="s">
        <v>556</v>
      </c>
      <c r="B429" s="7" t="s">
        <v>557</v>
      </c>
      <c r="C429" s="37" t="s">
        <v>73</v>
      </c>
      <c r="D429" s="296">
        <v>5021</v>
      </c>
      <c r="E429" s="297">
        <v>50021</v>
      </c>
      <c r="F429" s="27" t="s">
        <v>165</v>
      </c>
      <c r="G429" s="73" t="s">
        <v>158</v>
      </c>
      <c r="H429" s="35">
        <v>569499</v>
      </c>
      <c r="I429" s="35">
        <v>52</v>
      </c>
      <c r="J429" s="37" t="s">
        <v>10</v>
      </c>
      <c r="K429" s="37" t="s">
        <v>159</v>
      </c>
      <c r="L429" s="8">
        <v>27</v>
      </c>
      <c r="M429" s="8">
        <v>64206</v>
      </c>
      <c r="N429" s="9"/>
      <c r="O429" s="8">
        <v>13048</v>
      </c>
      <c r="P429" s="9"/>
      <c r="Q429" s="8">
        <v>5242</v>
      </c>
      <c r="R429" s="9"/>
      <c r="S429" s="8">
        <v>11399</v>
      </c>
      <c r="T429" s="9"/>
      <c r="U429" s="8">
        <v>912</v>
      </c>
      <c r="V429" s="9"/>
      <c r="W429" s="33">
        <v>94807</v>
      </c>
      <c r="X429" s="9"/>
      <c r="Y429" s="30">
        <v>41.4</v>
      </c>
      <c r="Z429" s="9"/>
      <c r="AA429" s="30">
        <v>9.1</v>
      </c>
      <c r="AB429" s="9"/>
      <c r="AC429" s="30">
        <v>0.5</v>
      </c>
      <c r="AD429" s="9"/>
      <c r="AE429" s="30">
        <v>6.2</v>
      </c>
      <c r="AF429" s="9"/>
      <c r="AG429" s="30">
        <v>0.5</v>
      </c>
      <c r="AH429" s="9"/>
      <c r="AI429" s="32">
        <v>57.7</v>
      </c>
      <c r="AJ429" s="12"/>
      <c r="AK429" s="22">
        <v>1268385</v>
      </c>
      <c r="AM429" s="22">
        <v>331137</v>
      </c>
      <c r="AO429" s="22">
        <v>70023</v>
      </c>
      <c r="AQ429" s="22">
        <v>377160</v>
      </c>
      <c r="AS429" s="26">
        <v>2046705</v>
      </c>
      <c r="AU429" s="23">
        <v>19.754899999999999</v>
      </c>
      <c r="AW429" s="23">
        <v>25.378399999999999</v>
      </c>
      <c r="AY429" s="23">
        <v>1.0906</v>
      </c>
      <c r="BA429" s="23">
        <v>33.0871</v>
      </c>
      <c r="BC429" s="24">
        <v>21.588100000000001</v>
      </c>
      <c r="BE429" s="1" t="str">
        <f t="shared" si="6"/>
        <v>No</v>
      </c>
    </row>
    <row r="430" spans="1:57" ht="11.25" customHeight="1">
      <c r="A430" s="7" t="s">
        <v>623</v>
      </c>
      <c r="B430" s="7" t="s">
        <v>624</v>
      </c>
      <c r="C430" s="37" t="s">
        <v>54</v>
      </c>
      <c r="D430" s="296">
        <v>5028</v>
      </c>
      <c r="E430" s="297">
        <v>50028</v>
      </c>
      <c r="F430" s="27" t="s">
        <v>165</v>
      </c>
      <c r="G430" s="73" t="s">
        <v>158</v>
      </c>
      <c r="H430" s="35">
        <v>110621</v>
      </c>
      <c r="I430" s="35">
        <v>52</v>
      </c>
      <c r="J430" s="37" t="s">
        <v>7</v>
      </c>
      <c r="K430" s="37" t="s">
        <v>159</v>
      </c>
      <c r="L430" s="8">
        <v>27</v>
      </c>
      <c r="M430" s="8">
        <v>119231</v>
      </c>
      <c r="N430" s="9"/>
      <c r="O430" s="8">
        <v>14880</v>
      </c>
      <c r="P430" s="9"/>
      <c r="Q430" s="8">
        <v>2443</v>
      </c>
      <c r="R430" s="9"/>
      <c r="S430" s="8">
        <v>19423</v>
      </c>
      <c r="T430" s="9"/>
      <c r="U430" s="8">
        <v>0</v>
      </c>
      <c r="V430" s="9"/>
      <c r="W430" s="33">
        <v>155977</v>
      </c>
      <c r="X430" s="9"/>
      <c r="Y430" s="30">
        <v>72.13</v>
      </c>
      <c r="Z430" s="9"/>
      <c r="AA430" s="30">
        <v>9.4700000000000006</v>
      </c>
      <c r="AB430" s="9"/>
      <c r="AC430" s="30">
        <v>2.25</v>
      </c>
      <c r="AD430" s="9"/>
      <c r="AE430" s="30">
        <v>11.66</v>
      </c>
      <c r="AF430" s="9"/>
      <c r="AG430" s="30">
        <v>0</v>
      </c>
      <c r="AH430" s="9"/>
      <c r="AI430" s="32">
        <v>95.51</v>
      </c>
      <c r="AJ430" s="12"/>
      <c r="AK430" s="22">
        <v>2818876</v>
      </c>
      <c r="AM430" s="22">
        <v>401839</v>
      </c>
      <c r="AO430" s="22">
        <v>36602</v>
      </c>
      <c r="AQ430" s="22">
        <v>398927</v>
      </c>
      <c r="AS430" s="26">
        <v>3656244</v>
      </c>
      <c r="AU430" s="23">
        <v>23.642099999999999</v>
      </c>
      <c r="AW430" s="23">
        <v>27.005299999999998</v>
      </c>
      <c r="AY430" s="23">
        <v>0.307</v>
      </c>
      <c r="BA430" s="23">
        <v>20.538900000000002</v>
      </c>
      <c r="BC430" s="24">
        <v>23.440899999999999</v>
      </c>
      <c r="BE430" s="1" t="str">
        <f t="shared" si="6"/>
        <v>No</v>
      </c>
    </row>
    <row r="431" spans="1:57" ht="11.25" customHeight="1">
      <c r="A431" s="7" t="s">
        <v>556</v>
      </c>
      <c r="B431" s="7" t="s">
        <v>557</v>
      </c>
      <c r="C431" s="37" t="s">
        <v>73</v>
      </c>
      <c r="D431" s="296">
        <v>5021</v>
      </c>
      <c r="E431" s="297">
        <v>50021</v>
      </c>
      <c r="F431" s="27" t="s">
        <v>165</v>
      </c>
      <c r="G431" s="73" t="s">
        <v>158</v>
      </c>
      <c r="H431" s="35">
        <v>569499</v>
      </c>
      <c r="I431" s="35">
        <v>52</v>
      </c>
      <c r="J431" s="37" t="s">
        <v>7</v>
      </c>
      <c r="K431" s="37" t="s">
        <v>159</v>
      </c>
      <c r="L431" s="8">
        <v>25</v>
      </c>
      <c r="M431" s="8">
        <v>108870</v>
      </c>
      <c r="N431" s="9"/>
      <c r="O431" s="8">
        <v>14421</v>
      </c>
      <c r="P431" s="9"/>
      <c r="Q431" s="8">
        <v>5794</v>
      </c>
      <c r="R431" s="9"/>
      <c r="S431" s="8">
        <v>12599</v>
      </c>
      <c r="T431" s="9"/>
      <c r="U431" s="8">
        <v>1008</v>
      </c>
      <c r="V431" s="9"/>
      <c r="W431" s="33">
        <v>142692</v>
      </c>
      <c r="X431" s="9"/>
      <c r="Y431" s="30">
        <v>110.7</v>
      </c>
      <c r="Z431" s="9"/>
      <c r="AA431" s="30">
        <v>10</v>
      </c>
      <c r="AB431" s="9"/>
      <c r="AC431" s="30">
        <v>0.5</v>
      </c>
      <c r="AD431" s="9"/>
      <c r="AE431" s="30">
        <v>6.8</v>
      </c>
      <c r="AF431" s="9"/>
      <c r="AG431" s="30">
        <v>0.5</v>
      </c>
      <c r="AH431" s="9"/>
      <c r="AI431" s="32">
        <v>128.5</v>
      </c>
      <c r="AJ431" s="12"/>
      <c r="AK431" s="22">
        <v>1401900</v>
      </c>
      <c r="AM431" s="22">
        <v>365994</v>
      </c>
      <c r="AO431" s="22">
        <v>77393</v>
      </c>
      <c r="AQ431" s="22">
        <v>416861</v>
      </c>
      <c r="AS431" s="26">
        <v>2262148</v>
      </c>
      <c r="AU431" s="23">
        <v>12.876799999999999</v>
      </c>
      <c r="AW431" s="23">
        <v>25.379200000000001</v>
      </c>
      <c r="AY431" s="23">
        <v>0.71089999999999998</v>
      </c>
      <c r="BA431" s="23">
        <v>33.086799999999997</v>
      </c>
      <c r="BC431" s="24">
        <v>15.853400000000001</v>
      </c>
      <c r="BE431" s="1" t="str">
        <f t="shared" si="6"/>
        <v>No</v>
      </c>
    </row>
    <row r="432" spans="1:57" ht="11.25" customHeight="1">
      <c r="A432" s="7" t="s">
        <v>623</v>
      </c>
      <c r="B432" s="7" t="s">
        <v>624</v>
      </c>
      <c r="C432" s="37" t="s">
        <v>54</v>
      </c>
      <c r="D432" s="296">
        <v>5028</v>
      </c>
      <c r="E432" s="297">
        <v>50028</v>
      </c>
      <c r="F432" s="27" t="s">
        <v>165</v>
      </c>
      <c r="G432" s="73" t="s">
        <v>158</v>
      </c>
      <c r="H432" s="35">
        <v>110621</v>
      </c>
      <c r="I432" s="35">
        <v>52</v>
      </c>
      <c r="J432" s="37" t="s">
        <v>10</v>
      </c>
      <c r="K432" s="37" t="s">
        <v>159</v>
      </c>
      <c r="L432" s="8">
        <v>21</v>
      </c>
      <c r="M432" s="8">
        <v>68474</v>
      </c>
      <c r="N432" s="9"/>
      <c r="O432" s="8">
        <v>6742</v>
      </c>
      <c r="P432" s="9"/>
      <c r="Q432" s="8">
        <v>872</v>
      </c>
      <c r="R432" s="9"/>
      <c r="S432" s="8">
        <v>6874</v>
      </c>
      <c r="T432" s="9"/>
      <c r="U432" s="8">
        <v>0</v>
      </c>
      <c r="V432" s="9"/>
      <c r="W432" s="33">
        <v>82962</v>
      </c>
      <c r="X432" s="9"/>
      <c r="Y432" s="30">
        <v>41.78</v>
      </c>
      <c r="Z432" s="9"/>
      <c r="AA432" s="30">
        <v>4.29</v>
      </c>
      <c r="AB432" s="9"/>
      <c r="AC432" s="30">
        <v>0.76</v>
      </c>
      <c r="AD432" s="9"/>
      <c r="AE432" s="30">
        <v>3.92</v>
      </c>
      <c r="AF432" s="9"/>
      <c r="AG432" s="30">
        <v>0</v>
      </c>
      <c r="AH432" s="9"/>
      <c r="AI432" s="32">
        <v>50.75</v>
      </c>
      <c r="AJ432" s="12"/>
      <c r="AK432" s="22">
        <v>1640295</v>
      </c>
      <c r="AM432" s="22">
        <v>182083</v>
      </c>
      <c r="AO432" s="22">
        <v>16585</v>
      </c>
      <c r="AQ432" s="22">
        <v>180764</v>
      </c>
      <c r="AS432" s="26">
        <v>2019727</v>
      </c>
      <c r="AU432" s="23">
        <v>23.954999999999998</v>
      </c>
      <c r="AW432" s="23">
        <v>27.007300000000001</v>
      </c>
      <c r="AY432" s="23">
        <v>0.2422</v>
      </c>
      <c r="BA432" s="23">
        <v>26.296800000000001</v>
      </c>
      <c r="BC432" s="24">
        <v>24.345199999999998</v>
      </c>
      <c r="BE432" s="1" t="str">
        <f t="shared" si="6"/>
        <v>No</v>
      </c>
    </row>
    <row r="433" spans="1:57" ht="11.25" customHeight="1">
      <c r="A433" s="7" t="s">
        <v>207</v>
      </c>
      <c r="B433" s="7" t="s">
        <v>208</v>
      </c>
      <c r="C433" s="37" t="s">
        <v>52</v>
      </c>
      <c r="D433" s="296">
        <v>5029</v>
      </c>
      <c r="E433" s="297">
        <v>50029</v>
      </c>
      <c r="F433" s="27" t="s">
        <v>165</v>
      </c>
      <c r="G433" s="73" t="s">
        <v>158</v>
      </c>
      <c r="H433" s="35">
        <v>70585</v>
      </c>
      <c r="I433" s="35">
        <v>52</v>
      </c>
      <c r="J433" s="37" t="s">
        <v>10</v>
      </c>
      <c r="K433" s="37" t="s">
        <v>159</v>
      </c>
      <c r="L433" s="8">
        <v>14</v>
      </c>
      <c r="M433" s="8">
        <v>38589</v>
      </c>
      <c r="N433" s="9"/>
      <c r="O433" s="8">
        <v>7102</v>
      </c>
      <c r="P433" s="9"/>
      <c r="Q433" s="8">
        <v>1752</v>
      </c>
      <c r="R433" s="9"/>
      <c r="S433" s="8">
        <v>6834</v>
      </c>
      <c r="T433" s="9"/>
      <c r="U433" s="8">
        <v>0</v>
      </c>
      <c r="V433" s="9"/>
      <c r="W433" s="33">
        <v>54277</v>
      </c>
      <c r="X433" s="9"/>
      <c r="Y433" s="30">
        <v>19</v>
      </c>
      <c r="Z433" s="9"/>
      <c r="AA433" s="30">
        <v>4</v>
      </c>
      <c r="AB433" s="9"/>
      <c r="AC433" s="30">
        <v>1</v>
      </c>
      <c r="AD433" s="9"/>
      <c r="AE433" s="30">
        <v>4</v>
      </c>
      <c r="AF433" s="9"/>
      <c r="AG433" s="30">
        <v>0</v>
      </c>
      <c r="AH433" s="9"/>
      <c r="AI433" s="32">
        <v>28</v>
      </c>
      <c r="AJ433" s="12"/>
      <c r="AK433" s="22">
        <v>796497</v>
      </c>
      <c r="AM433" s="22">
        <v>148711</v>
      </c>
      <c r="AO433" s="22">
        <v>35251</v>
      </c>
      <c r="AQ433" s="22">
        <v>166538</v>
      </c>
      <c r="AS433" s="26">
        <v>1146997</v>
      </c>
      <c r="AU433" s="23">
        <v>20.640499999999999</v>
      </c>
      <c r="AW433" s="23">
        <v>20.939299999999999</v>
      </c>
      <c r="AY433" s="23">
        <v>0.91349999999999998</v>
      </c>
      <c r="BA433" s="23">
        <v>24.369</v>
      </c>
      <c r="BC433" s="24">
        <v>21.132300000000001</v>
      </c>
      <c r="BE433" s="1" t="str">
        <f t="shared" si="6"/>
        <v>No</v>
      </c>
    </row>
    <row r="434" spans="1:57" ht="11.25" customHeight="1">
      <c r="A434" s="7" t="s">
        <v>623</v>
      </c>
      <c r="B434" s="7" t="s">
        <v>624</v>
      </c>
      <c r="C434" s="37" t="s">
        <v>54</v>
      </c>
      <c r="D434" s="296">
        <v>5028</v>
      </c>
      <c r="E434" s="297">
        <v>50028</v>
      </c>
      <c r="F434" s="27" t="s">
        <v>165</v>
      </c>
      <c r="G434" s="73" t="s">
        <v>158</v>
      </c>
      <c r="H434" s="35">
        <v>110621</v>
      </c>
      <c r="I434" s="35">
        <v>52</v>
      </c>
      <c r="J434" s="37" t="s">
        <v>18</v>
      </c>
      <c r="K434" s="37" t="s">
        <v>159</v>
      </c>
      <c r="L434" s="8">
        <v>4</v>
      </c>
      <c r="M434" s="8">
        <v>9084</v>
      </c>
      <c r="N434" s="9"/>
      <c r="O434" s="8">
        <v>1628</v>
      </c>
      <c r="P434" s="9"/>
      <c r="Q434" s="8">
        <v>211</v>
      </c>
      <c r="R434" s="9"/>
      <c r="S434" s="8">
        <v>1307</v>
      </c>
      <c r="T434" s="9"/>
      <c r="U434" s="8">
        <v>0</v>
      </c>
      <c r="V434" s="9"/>
      <c r="W434" s="33">
        <v>12230</v>
      </c>
      <c r="X434" s="9"/>
      <c r="Y434" s="30">
        <v>8.74</v>
      </c>
      <c r="Z434" s="9"/>
      <c r="AA434" s="30">
        <v>1.03</v>
      </c>
      <c r="AB434" s="9"/>
      <c r="AC434" s="30">
        <v>0.18</v>
      </c>
      <c r="AD434" s="9"/>
      <c r="AE434" s="30">
        <v>0.72</v>
      </c>
      <c r="AF434" s="9"/>
      <c r="AG434" s="30">
        <v>0</v>
      </c>
      <c r="AH434" s="9"/>
      <c r="AI434" s="32">
        <v>10.67</v>
      </c>
      <c r="AJ434" s="12"/>
      <c r="AK434" s="22">
        <v>305878</v>
      </c>
      <c r="AM434" s="22">
        <v>43951</v>
      </c>
      <c r="AO434" s="22">
        <v>4003</v>
      </c>
      <c r="AQ434" s="22">
        <v>43633</v>
      </c>
      <c r="AS434" s="26">
        <v>397465</v>
      </c>
      <c r="AU434" s="23">
        <v>33.672199999999997</v>
      </c>
      <c r="AW434" s="23">
        <v>26.9969</v>
      </c>
      <c r="AY434" s="23">
        <v>0.44069999999999998</v>
      </c>
      <c r="BA434" s="23">
        <v>33.384099999999997</v>
      </c>
      <c r="BC434" s="24">
        <v>32.499200000000002</v>
      </c>
      <c r="BE434" s="1" t="str">
        <f t="shared" si="6"/>
        <v>No</v>
      </c>
    </row>
    <row r="435" spans="1:57" ht="11.25" customHeight="1">
      <c r="A435" s="7" t="s">
        <v>354</v>
      </c>
      <c r="B435" s="7" t="s">
        <v>355</v>
      </c>
      <c r="C435" s="37" t="s">
        <v>36</v>
      </c>
      <c r="D435" s="296">
        <v>4082</v>
      </c>
      <c r="E435" s="297">
        <v>40082</v>
      </c>
      <c r="F435" s="27" t="s">
        <v>162</v>
      </c>
      <c r="G435" s="73" t="s">
        <v>158</v>
      </c>
      <c r="H435" s="35">
        <v>4515419</v>
      </c>
      <c r="I435" s="35">
        <v>52</v>
      </c>
      <c r="J435" s="37" t="s">
        <v>10</v>
      </c>
      <c r="K435" s="37" t="s">
        <v>159</v>
      </c>
      <c r="L435" s="8">
        <v>3</v>
      </c>
      <c r="M435" s="8">
        <v>8837</v>
      </c>
      <c r="N435" s="9"/>
      <c r="O435" s="8">
        <v>0</v>
      </c>
      <c r="P435" s="9"/>
      <c r="Q435" s="8">
        <v>0</v>
      </c>
      <c r="R435" s="9"/>
      <c r="S435" s="8">
        <v>800</v>
      </c>
      <c r="T435" s="9"/>
      <c r="U435" s="8">
        <v>0</v>
      </c>
      <c r="V435" s="9"/>
      <c r="W435" s="33">
        <v>9637</v>
      </c>
      <c r="X435" s="9"/>
      <c r="Y435" s="30">
        <v>6</v>
      </c>
      <c r="Z435" s="9"/>
      <c r="AA435" s="30">
        <v>0</v>
      </c>
      <c r="AB435" s="9"/>
      <c r="AC435" s="30">
        <v>0</v>
      </c>
      <c r="AD435" s="9"/>
      <c r="AE435" s="30">
        <v>0.5</v>
      </c>
      <c r="AF435" s="9"/>
      <c r="AG435" s="30">
        <v>0</v>
      </c>
      <c r="AH435" s="9"/>
      <c r="AI435" s="32">
        <v>6.5</v>
      </c>
      <c r="AJ435" s="12"/>
      <c r="AK435" s="22">
        <v>71559</v>
      </c>
      <c r="AM435" s="22">
        <v>0</v>
      </c>
      <c r="AO435" s="22">
        <v>0</v>
      </c>
      <c r="AQ435" s="22">
        <v>8149</v>
      </c>
      <c r="AS435" s="26">
        <v>79708</v>
      </c>
      <c r="AU435" s="23">
        <v>8.0976999999999997</v>
      </c>
      <c r="AY435" s="23">
        <v>0</v>
      </c>
      <c r="BA435" s="23">
        <v>10.186299999999999</v>
      </c>
      <c r="BC435" s="24">
        <v>8.2710000000000008</v>
      </c>
      <c r="BE435" s="1" t="str">
        <f t="shared" si="6"/>
        <v>No</v>
      </c>
    </row>
    <row r="436" spans="1:57" ht="11.25" customHeight="1">
      <c r="A436" s="7" t="s">
        <v>434</v>
      </c>
      <c r="B436" s="7" t="s">
        <v>435</v>
      </c>
      <c r="C436" s="37" t="s">
        <v>93</v>
      </c>
      <c r="D436" s="296">
        <v>5003</v>
      </c>
      <c r="E436" s="297">
        <v>50003</v>
      </c>
      <c r="F436" s="27" t="s">
        <v>162</v>
      </c>
      <c r="G436" s="73" t="s">
        <v>158</v>
      </c>
      <c r="H436" s="35">
        <v>124064</v>
      </c>
      <c r="I436" s="35">
        <v>52</v>
      </c>
      <c r="J436" s="37" t="s">
        <v>12</v>
      </c>
      <c r="K436" s="37" t="s">
        <v>159</v>
      </c>
      <c r="L436" s="8">
        <v>3</v>
      </c>
      <c r="M436" s="8">
        <v>2850</v>
      </c>
      <c r="N436" s="9"/>
      <c r="O436" s="8">
        <v>2000</v>
      </c>
      <c r="P436" s="9"/>
      <c r="Q436" s="8">
        <v>250</v>
      </c>
      <c r="R436" s="9"/>
      <c r="S436" s="8">
        <v>550</v>
      </c>
      <c r="T436" s="9"/>
      <c r="U436" s="8">
        <v>0</v>
      </c>
      <c r="V436" s="9"/>
      <c r="W436" s="33">
        <v>5650</v>
      </c>
      <c r="X436" s="9"/>
      <c r="Y436" s="30">
        <v>2</v>
      </c>
      <c r="Z436" s="9"/>
      <c r="AA436" s="30">
        <v>1</v>
      </c>
      <c r="AB436" s="9"/>
      <c r="AC436" s="30">
        <v>0.2</v>
      </c>
      <c r="AD436" s="9"/>
      <c r="AE436" s="30">
        <v>0.3</v>
      </c>
      <c r="AF436" s="9"/>
      <c r="AG436" s="30">
        <v>0</v>
      </c>
      <c r="AH436" s="9"/>
      <c r="AI436" s="32">
        <v>3.5</v>
      </c>
      <c r="AJ436" s="12"/>
      <c r="AK436" s="22">
        <v>58007</v>
      </c>
      <c r="AM436" s="22">
        <v>52998</v>
      </c>
      <c r="AO436" s="22">
        <v>3408</v>
      </c>
      <c r="AQ436" s="22">
        <v>14237</v>
      </c>
      <c r="AS436" s="26">
        <v>128650</v>
      </c>
      <c r="AU436" s="23">
        <v>20.353300000000001</v>
      </c>
      <c r="AW436" s="23">
        <v>26.498999999999999</v>
      </c>
      <c r="AY436" s="23">
        <v>1.1958</v>
      </c>
      <c r="BA436" s="23">
        <v>25.8855</v>
      </c>
      <c r="BC436" s="24">
        <v>22.7699</v>
      </c>
      <c r="BE436" s="1" t="str">
        <f t="shared" si="6"/>
        <v>No</v>
      </c>
    </row>
    <row r="437" spans="1:57" ht="11.25" customHeight="1">
      <c r="A437" s="7" t="s">
        <v>748</v>
      </c>
      <c r="B437" s="7" t="s">
        <v>206</v>
      </c>
      <c r="C437" s="37" t="s">
        <v>36</v>
      </c>
      <c r="D437" s="296">
        <v>4180</v>
      </c>
      <c r="E437" s="297">
        <v>40180</v>
      </c>
      <c r="F437" s="27" t="s">
        <v>114</v>
      </c>
      <c r="G437" s="73" t="s">
        <v>158</v>
      </c>
      <c r="H437" s="35">
        <v>128754</v>
      </c>
      <c r="I437" s="35">
        <v>51</v>
      </c>
      <c r="J437" s="37" t="s">
        <v>7</v>
      </c>
      <c r="K437" s="37" t="s">
        <v>159</v>
      </c>
      <c r="L437" s="8">
        <v>45</v>
      </c>
      <c r="M437" s="8">
        <v>213933</v>
      </c>
      <c r="N437" s="9"/>
      <c r="O437" s="8">
        <v>18520</v>
      </c>
      <c r="P437" s="9"/>
      <c r="Q437" s="8">
        <v>0</v>
      </c>
      <c r="R437" s="9"/>
      <c r="S437" s="8">
        <v>8386</v>
      </c>
      <c r="T437" s="9"/>
      <c r="U437" s="8">
        <v>0</v>
      </c>
      <c r="V437" s="9"/>
      <c r="W437" s="33">
        <v>240839</v>
      </c>
      <c r="X437" s="9"/>
      <c r="Y437" s="30">
        <v>208.63</v>
      </c>
      <c r="Z437" s="9"/>
      <c r="AA437" s="30">
        <v>10.95</v>
      </c>
      <c r="AB437" s="9"/>
      <c r="AC437" s="30">
        <v>0</v>
      </c>
      <c r="AD437" s="9"/>
      <c r="AE437" s="30">
        <v>5.47</v>
      </c>
      <c r="AF437" s="9"/>
      <c r="AG437" s="30">
        <v>0</v>
      </c>
      <c r="AH437" s="9"/>
      <c r="AI437" s="32">
        <v>225.05</v>
      </c>
      <c r="AJ437" s="12"/>
      <c r="AK437" s="22">
        <v>2930607</v>
      </c>
      <c r="AM437" s="22">
        <v>396458</v>
      </c>
      <c r="AO437" s="22">
        <v>0</v>
      </c>
      <c r="AQ437" s="22">
        <v>185712</v>
      </c>
      <c r="AS437" s="26">
        <v>3512777</v>
      </c>
      <c r="AU437" s="23">
        <v>13.698700000000001</v>
      </c>
      <c r="AW437" s="23">
        <v>21.407</v>
      </c>
      <c r="AY437" s="23">
        <v>0</v>
      </c>
      <c r="BA437" s="23">
        <v>22.145499999999998</v>
      </c>
      <c r="BC437" s="24">
        <v>14.585599999999999</v>
      </c>
      <c r="BE437" s="1" t="str">
        <f t="shared" si="6"/>
        <v>No</v>
      </c>
    </row>
    <row r="438" spans="1:57" ht="11.25" customHeight="1">
      <c r="A438" s="7" t="s">
        <v>685</v>
      </c>
      <c r="B438" s="7" t="s">
        <v>686</v>
      </c>
      <c r="C438" s="37" t="s">
        <v>73</v>
      </c>
      <c r="D438" s="296">
        <v>5024</v>
      </c>
      <c r="E438" s="297">
        <v>50024</v>
      </c>
      <c r="F438" s="27" t="s">
        <v>165</v>
      </c>
      <c r="G438" s="73" t="s">
        <v>158</v>
      </c>
      <c r="H438" s="35">
        <v>387550</v>
      </c>
      <c r="I438" s="35">
        <v>51</v>
      </c>
      <c r="J438" s="37" t="s">
        <v>7</v>
      </c>
      <c r="K438" s="37" t="s">
        <v>159</v>
      </c>
      <c r="L438" s="8">
        <v>35</v>
      </c>
      <c r="M438" s="8">
        <v>120367</v>
      </c>
      <c r="N438" s="9"/>
      <c r="O438" s="8">
        <v>26569</v>
      </c>
      <c r="P438" s="9"/>
      <c r="Q438" s="8">
        <v>1944</v>
      </c>
      <c r="R438" s="9"/>
      <c r="S438" s="8">
        <v>8302</v>
      </c>
      <c r="T438" s="9"/>
      <c r="U438" s="8">
        <v>0</v>
      </c>
      <c r="V438" s="9"/>
      <c r="W438" s="33">
        <v>157182</v>
      </c>
      <c r="X438" s="9"/>
      <c r="Y438" s="30">
        <v>57</v>
      </c>
      <c r="Z438" s="9"/>
      <c r="AA438" s="30">
        <v>14.7</v>
      </c>
      <c r="AB438" s="9"/>
      <c r="AC438" s="30">
        <v>0.9</v>
      </c>
      <c r="AD438" s="9"/>
      <c r="AE438" s="30">
        <v>4.5</v>
      </c>
      <c r="AF438" s="9"/>
      <c r="AG438" s="30">
        <v>0</v>
      </c>
      <c r="AH438" s="9"/>
      <c r="AI438" s="32">
        <v>77.099999999999994</v>
      </c>
      <c r="AJ438" s="12"/>
      <c r="AK438" s="22">
        <v>2610528</v>
      </c>
      <c r="AM438" s="22">
        <v>617348</v>
      </c>
      <c r="AO438" s="22">
        <v>38743</v>
      </c>
      <c r="AQ438" s="22">
        <v>255660</v>
      </c>
      <c r="AS438" s="26">
        <v>3522279</v>
      </c>
      <c r="AU438" s="23">
        <v>21.688099999999999</v>
      </c>
      <c r="AW438" s="23">
        <v>23.235700000000001</v>
      </c>
      <c r="AY438" s="23">
        <v>0.32190000000000002</v>
      </c>
      <c r="BA438" s="23">
        <v>30.795000000000002</v>
      </c>
      <c r="BC438" s="24">
        <v>22.408899999999999</v>
      </c>
      <c r="BE438" s="1" t="str">
        <f t="shared" si="6"/>
        <v>No</v>
      </c>
    </row>
    <row r="439" spans="1:57" ht="11.25" customHeight="1">
      <c r="A439" s="7" t="s">
        <v>571</v>
      </c>
      <c r="B439" s="7" t="s">
        <v>572</v>
      </c>
      <c r="C439" s="37" t="s">
        <v>40</v>
      </c>
      <c r="D439" s="296">
        <v>5058</v>
      </c>
      <c r="E439" s="297">
        <v>50058</v>
      </c>
      <c r="F439" s="27" t="s">
        <v>165</v>
      </c>
      <c r="G439" s="73" t="s">
        <v>158</v>
      </c>
      <c r="H439" s="35">
        <v>296863</v>
      </c>
      <c r="I439" s="35">
        <v>51</v>
      </c>
      <c r="J439" s="37" t="s">
        <v>10</v>
      </c>
      <c r="K439" s="37" t="s">
        <v>159</v>
      </c>
      <c r="L439" s="8">
        <v>26</v>
      </c>
      <c r="M439" s="8">
        <v>65580</v>
      </c>
      <c r="N439" s="9"/>
      <c r="O439" s="8">
        <v>9883</v>
      </c>
      <c r="P439" s="9"/>
      <c r="Q439" s="8">
        <v>3109</v>
      </c>
      <c r="R439" s="9"/>
      <c r="S439" s="8">
        <v>3656</v>
      </c>
      <c r="T439" s="9"/>
      <c r="U439" s="8">
        <v>0</v>
      </c>
      <c r="V439" s="9"/>
      <c r="W439" s="33">
        <v>82228</v>
      </c>
      <c r="X439" s="9"/>
      <c r="Y439" s="30">
        <v>32.799999999999997</v>
      </c>
      <c r="Z439" s="9"/>
      <c r="AA439" s="30">
        <v>6.1</v>
      </c>
      <c r="AB439" s="9"/>
      <c r="AC439" s="30">
        <v>2</v>
      </c>
      <c r="AD439" s="9"/>
      <c r="AE439" s="30">
        <v>2</v>
      </c>
      <c r="AF439" s="9"/>
      <c r="AG439" s="30">
        <v>0</v>
      </c>
      <c r="AH439" s="9"/>
      <c r="AI439" s="32">
        <v>42.9</v>
      </c>
      <c r="AJ439" s="12"/>
      <c r="AK439" s="22">
        <v>1243097</v>
      </c>
      <c r="AM439" s="22">
        <v>238634</v>
      </c>
      <c r="AO439" s="22">
        <v>79551</v>
      </c>
      <c r="AQ439" s="22">
        <v>62608</v>
      </c>
      <c r="AS439" s="26">
        <v>1623890</v>
      </c>
      <c r="AU439" s="23">
        <v>18.955400000000001</v>
      </c>
      <c r="AW439" s="23">
        <v>24.145900000000001</v>
      </c>
      <c r="AY439" s="23">
        <v>1.2130000000000001</v>
      </c>
      <c r="BA439" s="23">
        <v>17.124700000000001</v>
      </c>
      <c r="BC439" s="24">
        <v>19.7486</v>
      </c>
      <c r="BE439" s="1" t="str">
        <f t="shared" si="6"/>
        <v>No</v>
      </c>
    </row>
    <row r="440" spans="1:57" ht="11.25" customHeight="1">
      <c r="A440" s="7" t="s">
        <v>571</v>
      </c>
      <c r="B440" s="7" t="s">
        <v>572</v>
      </c>
      <c r="C440" s="37" t="s">
        <v>40</v>
      </c>
      <c r="D440" s="296">
        <v>5058</v>
      </c>
      <c r="E440" s="297">
        <v>50058</v>
      </c>
      <c r="F440" s="27" t="s">
        <v>165</v>
      </c>
      <c r="G440" s="73" t="s">
        <v>158</v>
      </c>
      <c r="H440" s="35">
        <v>296863</v>
      </c>
      <c r="I440" s="35">
        <v>51</v>
      </c>
      <c r="J440" s="37" t="s">
        <v>7</v>
      </c>
      <c r="K440" s="37" t="s">
        <v>159</v>
      </c>
      <c r="L440" s="8">
        <v>25</v>
      </c>
      <c r="M440" s="8">
        <v>126015</v>
      </c>
      <c r="N440" s="9"/>
      <c r="O440" s="8">
        <v>18031</v>
      </c>
      <c r="P440" s="9"/>
      <c r="Q440" s="8">
        <v>6148</v>
      </c>
      <c r="R440" s="9"/>
      <c r="S440" s="8">
        <v>20906</v>
      </c>
      <c r="T440" s="9"/>
      <c r="U440" s="8">
        <v>0</v>
      </c>
      <c r="V440" s="9"/>
      <c r="W440" s="33">
        <v>171100</v>
      </c>
      <c r="X440" s="9"/>
      <c r="Y440" s="30">
        <v>65.2</v>
      </c>
      <c r="Z440" s="9"/>
      <c r="AA440" s="30">
        <v>11.3</v>
      </c>
      <c r="AB440" s="9"/>
      <c r="AC440" s="30">
        <v>4</v>
      </c>
      <c r="AD440" s="9"/>
      <c r="AE440" s="30">
        <v>11.8</v>
      </c>
      <c r="AF440" s="9"/>
      <c r="AG440" s="30">
        <v>0</v>
      </c>
      <c r="AH440" s="9"/>
      <c r="AI440" s="32">
        <v>92.3</v>
      </c>
      <c r="AJ440" s="12"/>
      <c r="AK440" s="22">
        <v>2935096</v>
      </c>
      <c r="AM440" s="22">
        <v>535949</v>
      </c>
      <c r="AO440" s="22">
        <v>159127</v>
      </c>
      <c r="AQ440" s="22">
        <v>762900</v>
      </c>
      <c r="AS440" s="26">
        <v>4393072</v>
      </c>
      <c r="AU440" s="23">
        <v>23.291599999999999</v>
      </c>
      <c r="AW440" s="23">
        <v>29.723800000000001</v>
      </c>
      <c r="AY440" s="23">
        <v>1.2627999999999999</v>
      </c>
      <c r="BA440" s="23">
        <v>36.491900000000001</v>
      </c>
      <c r="BC440" s="24">
        <v>25.6755</v>
      </c>
      <c r="BE440" s="1" t="str">
        <f t="shared" si="6"/>
        <v>No</v>
      </c>
    </row>
    <row r="441" spans="1:57" ht="11.25" customHeight="1">
      <c r="A441" s="7" t="s">
        <v>685</v>
      </c>
      <c r="B441" s="7" t="s">
        <v>686</v>
      </c>
      <c r="C441" s="37" t="s">
        <v>73</v>
      </c>
      <c r="D441" s="296">
        <v>5024</v>
      </c>
      <c r="E441" s="297">
        <v>50024</v>
      </c>
      <c r="F441" s="27" t="s">
        <v>165</v>
      </c>
      <c r="G441" s="73" t="s">
        <v>158</v>
      </c>
      <c r="H441" s="35">
        <v>387550</v>
      </c>
      <c r="I441" s="35">
        <v>51</v>
      </c>
      <c r="J441" s="37" t="s">
        <v>10</v>
      </c>
      <c r="K441" s="37" t="s">
        <v>159</v>
      </c>
      <c r="L441" s="8">
        <v>16</v>
      </c>
      <c r="M441" s="8">
        <v>39111</v>
      </c>
      <c r="N441" s="9"/>
      <c r="O441" s="8">
        <v>558</v>
      </c>
      <c r="P441" s="9"/>
      <c r="Q441" s="8">
        <v>194</v>
      </c>
      <c r="R441" s="9"/>
      <c r="S441" s="8">
        <v>923</v>
      </c>
      <c r="T441" s="9"/>
      <c r="U441" s="8">
        <v>0</v>
      </c>
      <c r="V441" s="9"/>
      <c r="W441" s="33">
        <v>40786</v>
      </c>
      <c r="X441" s="9"/>
      <c r="Y441" s="30">
        <v>20</v>
      </c>
      <c r="Z441" s="9"/>
      <c r="AA441" s="30">
        <v>0.3</v>
      </c>
      <c r="AB441" s="9"/>
      <c r="AC441" s="30">
        <v>0.1</v>
      </c>
      <c r="AD441" s="9"/>
      <c r="AE441" s="30">
        <v>0.5</v>
      </c>
      <c r="AF441" s="9"/>
      <c r="AG441" s="30">
        <v>0</v>
      </c>
      <c r="AH441" s="9"/>
      <c r="AI441" s="32">
        <v>20.9</v>
      </c>
      <c r="AJ441" s="12"/>
      <c r="AK441" s="22">
        <v>846335</v>
      </c>
      <c r="AM441" s="22">
        <v>13932</v>
      </c>
      <c r="AO441" s="22">
        <v>4305</v>
      </c>
      <c r="AQ441" s="22">
        <v>28407</v>
      </c>
      <c r="AS441" s="26">
        <v>892979</v>
      </c>
      <c r="AU441" s="23">
        <v>21.639299999999999</v>
      </c>
      <c r="AW441" s="23">
        <v>24.967700000000001</v>
      </c>
      <c r="AY441" s="23">
        <v>0.1101</v>
      </c>
      <c r="BA441" s="23">
        <v>30.776800000000001</v>
      </c>
      <c r="BC441" s="24">
        <v>21.894300000000001</v>
      </c>
      <c r="BE441" s="1" t="str">
        <f t="shared" si="6"/>
        <v>No</v>
      </c>
    </row>
    <row r="442" spans="1:57" ht="11.25" customHeight="1">
      <c r="A442" s="7" t="s">
        <v>748</v>
      </c>
      <c r="B442" s="7" t="s">
        <v>206</v>
      </c>
      <c r="C442" s="37" t="s">
        <v>36</v>
      </c>
      <c r="D442" s="296">
        <v>4180</v>
      </c>
      <c r="E442" s="297">
        <v>40180</v>
      </c>
      <c r="F442" s="27" t="s">
        <v>114</v>
      </c>
      <c r="G442" s="73" t="s">
        <v>158</v>
      </c>
      <c r="H442" s="35">
        <v>128754</v>
      </c>
      <c r="I442" s="35">
        <v>51</v>
      </c>
      <c r="J442" s="37" t="s">
        <v>10</v>
      </c>
      <c r="K442" s="37" t="s">
        <v>159</v>
      </c>
      <c r="L442" s="8">
        <v>6</v>
      </c>
      <c r="M442" s="8">
        <v>16107</v>
      </c>
      <c r="N442" s="9"/>
      <c r="O442" s="8">
        <v>1785</v>
      </c>
      <c r="P442" s="9"/>
      <c r="Q442" s="8">
        <v>0</v>
      </c>
      <c r="R442" s="9"/>
      <c r="S442" s="8">
        <v>808</v>
      </c>
      <c r="T442" s="9"/>
      <c r="U442" s="8">
        <v>0</v>
      </c>
      <c r="V442" s="9"/>
      <c r="W442" s="33">
        <v>18700</v>
      </c>
      <c r="X442" s="9"/>
      <c r="Y442" s="30">
        <v>34.369999999999997</v>
      </c>
      <c r="Z442" s="9"/>
      <c r="AA442" s="30">
        <v>1.05</v>
      </c>
      <c r="AB442" s="9"/>
      <c r="AC442" s="30">
        <v>0</v>
      </c>
      <c r="AD442" s="9"/>
      <c r="AE442" s="30">
        <v>0.53</v>
      </c>
      <c r="AF442" s="9"/>
      <c r="AG442" s="30">
        <v>0</v>
      </c>
      <c r="AH442" s="9"/>
      <c r="AI442" s="32">
        <v>35.950000000000003</v>
      </c>
      <c r="AJ442" s="12"/>
      <c r="AK442" s="22">
        <v>149845</v>
      </c>
      <c r="AM442" s="22">
        <v>37599</v>
      </c>
      <c r="AO442" s="22">
        <v>0</v>
      </c>
      <c r="AQ442" s="22">
        <v>20977</v>
      </c>
      <c r="AS442" s="26">
        <v>208421</v>
      </c>
      <c r="AU442" s="23">
        <v>9.3031000000000006</v>
      </c>
      <c r="AW442" s="23">
        <v>21.0639</v>
      </c>
      <c r="AY442" s="23">
        <v>0</v>
      </c>
      <c r="BA442" s="23">
        <v>25.961600000000001</v>
      </c>
      <c r="BC442" s="24">
        <v>11.1455</v>
      </c>
      <c r="BE442" s="1" t="str">
        <f t="shared" si="6"/>
        <v>No</v>
      </c>
    </row>
    <row r="443" spans="1:57" ht="11.25" customHeight="1">
      <c r="A443" s="7" t="s">
        <v>1130</v>
      </c>
      <c r="B443" s="7" t="s">
        <v>653</v>
      </c>
      <c r="C443" s="37" t="s">
        <v>77</v>
      </c>
      <c r="D443" s="296">
        <v>2169</v>
      </c>
      <c r="E443" s="297">
        <v>20169</v>
      </c>
      <c r="F443" s="27" t="s">
        <v>173</v>
      </c>
      <c r="G443" s="73" t="s">
        <v>158</v>
      </c>
      <c r="H443" s="35">
        <v>18351295</v>
      </c>
      <c r="I443" s="35">
        <v>50</v>
      </c>
      <c r="J443" s="37" t="s">
        <v>18</v>
      </c>
      <c r="K443" s="37" t="s">
        <v>159</v>
      </c>
      <c r="L443" s="8">
        <v>50</v>
      </c>
      <c r="M443" s="8">
        <v>240213</v>
      </c>
      <c r="N443" s="9"/>
      <c r="O443" s="8">
        <v>61973</v>
      </c>
      <c r="P443" s="9"/>
      <c r="Q443" s="8">
        <v>4582</v>
      </c>
      <c r="R443" s="9"/>
      <c r="S443" s="8">
        <v>75103</v>
      </c>
      <c r="T443" s="9"/>
      <c r="U443" s="8">
        <v>0</v>
      </c>
      <c r="V443" s="9"/>
      <c r="W443" s="33">
        <v>381871</v>
      </c>
      <c r="X443" s="9"/>
      <c r="Y443" s="30">
        <v>124</v>
      </c>
      <c r="Z443" s="9"/>
      <c r="AA443" s="30">
        <v>33</v>
      </c>
      <c r="AB443" s="9"/>
      <c r="AC443" s="30">
        <v>3</v>
      </c>
      <c r="AD443" s="9"/>
      <c r="AE443" s="30">
        <v>56</v>
      </c>
      <c r="AF443" s="9"/>
      <c r="AG443" s="30">
        <v>0</v>
      </c>
      <c r="AH443" s="9"/>
      <c r="AI443" s="32">
        <v>216</v>
      </c>
      <c r="AJ443" s="12"/>
      <c r="AK443" s="22">
        <v>4490410</v>
      </c>
      <c r="AM443" s="22">
        <v>1192549</v>
      </c>
      <c r="AO443" s="22">
        <v>74643</v>
      </c>
      <c r="AQ443" s="22">
        <v>1616880</v>
      </c>
      <c r="AS443" s="26">
        <v>7374482</v>
      </c>
      <c r="AU443" s="23">
        <v>18.6935</v>
      </c>
      <c r="AW443" s="23">
        <v>19.242999999999999</v>
      </c>
      <c r="AY443" s="23">
        <v>0.31069999999999998</v>
      </c>
      <c r="BA443" s="23">
        <v>21.5288</v>
      </c>
      <c r="BC443" s="24">
        <v>19.311399999999999</v>
      </c>
      <c r="BE443" s="1" t="str">
        <f t="shared" si="6"/>
        <v>No</v>
      </c>
    </row>
    <row r="444" spans="1:57" ht="11.25" customHeight="1">
      <c r="A444" s="7" t="s">
        <v>362</v>
      </c>
      <c r="B444" s="7" t="s">
        <v>363</v>
      </c>
      <c r="C444" s="37" t="s">
        <v>93</v>
      </c>
      <c r="D444" s="296">
        <v>5099</v>
      </c>
      <c r="E444" s="297">
        <v>50099</v>
      </c>
      <c r="F444" s="27" t="s">
        <v>162</v>
      </c>
      <c r="G444" s="73" t="s">
        <v>158</v>
      </c>
      <c r="H444" s="35">
        <v>102852</v>
      </c>
      <c r="I444" s="35">
        <v>50</v>
      </c>
      <c r="J444" s="37" t="s">
        <v>7</v>
      </c>
      <c r="K444" s="37" t="s">
        <v>159</v>
      </c>
      <c r="L444" s="8">
        <v>16</v>
      </c>
      <c r="M444" s="8">
        <v>54825</v>
      </c>
      <c r="N444" s="9"/>
      <c r="O444" s="8">
        <v>8757</v>
      </c>
      <c r="P444" s="9"/>
      <c r="Q444" s="8">
        <v>0</v>
      </c>
      <c r="R444" s="9"/>
      <c r="S444" s="8">
        <v>7119</v>
      </c>
      <c r="T444" s="9"/>
      <c r="U444" s="8">
        <v>0</v>
      </c>
      <c r="V444" s="9"/>
      <c r="W444" s="33">
        <v>70701</v>
      </c>
      <c r="X444" s="9"/>
      <c r="Y444" s="30">
        <v>31</v>
      </c>
      <c r="Z444" s="9"/>
      <c r="AA444" s="30">
        <v>6</v>
      </c>
      <c r="AB444" s="9"/>
      <c r="AC444" s="30">
        <v>0</v>
      </c>
      <c r="AD444" s="9"/>
      <c r="AE444" s="30">
        <v>5</v>
      </c>
      <c r="AF444" s="9"/>
      <c r="AG444" s="30">
        <v>0</v>
      </c>
      <c r="AH444" s="9"/>
      <c r="AI444" s="32">
        <v>42</v>
      </c>
      <c r="AJ444" s="12"/>
      <c r="AK444" s="22">
        <v>1555541</v>
      </c>
      <c r="AM444" s="22">
        <v>200351</v>
      </c>
      <c r="AO444" s="22">
        <v>0</v>
      </c>
      <c r="AQ444" s="22">
        <v>169322</v>
      </c>
      <c r="AS444" s="26">
        <v>1925214</v>
      </c>
      <c r="AU444" s="23">
        <v>28.372800000000002</v>
      </c>
      <c r="AW444" s="23">
        <v>22.879000000000001</v>
      </c>
      <c r="AY444" s="23">
        <v>0</v>
      </c>
      <c r="BA444" s="23">
        <v>23.784500000000001</v>
      </c>
      <c r="BC444" s="24">
        <v>27.230399999999999</v>
      </c>
      <c r="BE444" s="1" t="str">
        <f t="shared" si="6"/>
        <v>No</v>
      </c>
    </row>
    <row r="445" spans="1:57" ht="11.25" customHeight="1">
      <c r="A445" s="7" t="s">
        <v>538</v>
      </c>
      <c r="B445" s="7" t="s">
        <v>533</v>
      </c>
      <c r="C445" s="37" t="s">
        <v>63</v>
      </c>
      <c r="D445" s="296">
        <v>2166</v>
      </c>
      <c r="E445" s="297">
        <v>20166</v>
      </c>
      <c r="F445" s="27" t="s">
        <v>173</v>
      </c>
      <c r="G445" s="73" t="s">
        <v>158</v>
      </c>
      <c r="H445" s="35">
        <v>18351295</v>
      </c>
      <c r="I445" s="35">
        <v>49</v>
      </c>
      <c r="J445" s="37" t="s">
        <v>7</v>
      </c>
      <c r="K445" s="37" t="s">
        <v>159</v>
      </c>
      <c r="L445" s="8">
        <v>49</v>
      </c>
      <c r="M445" s="8">
        <v>223828</v>
      </c>
      <c r="N445" s="9"/>
      <c r="O445" s="8">
        <v>33454</v>
      </c>
      <c r="P445" s="9"/>
      <c r="Q445" s="8">
        <v>8251</v>
      </c>
      <c r="R445" s="9"/>
      <c r="S445" s="8">
        <v>6899</v>
      </c>
      <c r="T445" s="9"/>
      <c r="U445" s="8">
        <v>0</v>
      </c>
      <c r="V445" s="9"/>
      <c r="W445" s="33">
        <v>272432</v>
      </c>
      <c r="X445" s="9"/>
      <c r="Y445" s="30">
        <v>106</v>
      </c>
      <c r="Z445" s="9"/>
      <c r="AA445" s="30">
        <v>14</v>
      </c>
      <c r="AB445" s="9"/>
      <c r="AC445" s="30">
        <v>4</v>
      </c>
      <c r="AD445" s="9"/>
      <c r="AE445" s="30">
        <v>3</v>
      </c>
      <c r="AF445" s="9"/>
      <c r="AG445" s="30">
        <v>0</v>
      </c>
      <c r="AH445" s="9"/>
      <c r="AI445" s="32">
        <v>127</v>
      </c>
      <c r="AJ445" s="12"/>
      <c r="AK445" s="22">
        <v>4938623</v>
      </c>
      <c r="AM445" s="22">
        <v>778475</v>
      </c>
      <c r="AO445" s="22">
        <v>222242</v>
      </c>
      <c r="AQ445" s="22">
        <v>260400</v>
      </c>
      <c r="AS445" s="26">
        <v>6199740</v>
      </c>
      <c r="AU445" s="23">
        <v>22.064399999999999</v>
      </c>
      <c r="AW445" s="23">
        <v>23.27</v>
      </c>
      <c r="AY445" s="23">
        <v>0.9929</v>
      </c>
      <c r="BA445" s="23">
        <v>37.744599999999998</v>
      </c>
      <c r="BC445" s="24">
        <v>22.757000000000001</v>
      </c>
      <c r="BE445" s="1" t="str">
        <f t="shared" si="6"/>
        <v>No</v>
      </c>
    </row>
    <row r="446" spans="1:57" ht="11.25" customHeight="1">
      <c r="A446" s="7" t="s">
        <v>1131</v>
      </c>
      <c r="B446" s="7" t="s">
        <v>735</v>
      </c>
      <c r="C446" s="37" t="s">
        <v>58</v>
      </c>
      <c r="D446" s="296">
        <v>4172</v>
      </c>
      <c r="E446" s="297">
        <v>40172</v>
      </c>
      <c r="F446" s="27" t="s">
        <v>165</v>
      </c>
      <c r="G446" s="73" t="s">
        <v>158</v>
      </c>
      <c r="H446" s="35">
        <v>212195</v>
      </c>
      <c r="I446" s="35">
        <v>49</v>
      </c>
      <c r="J446" s="37" t="s">
        <v>10</v>
      </c>
      <c r="K446" s="37" t="s">
        <v>159</v>
      </c>
      <c r="L446" s="8">
        <v>43</v>
      </c>
      <c r="M446" s="8">
        <v>74516</v>
      </c>
      <c r="N446" s="9"/>
      <c r="O446" s="8">
        <v>5933</v>
      </c>
      <c r="P446" s="9"/>
      <c r="Q446" s="8">
        <v>0</v>
      </c>
      <c r="R446" s="9"/>
      <c r="S446" s="8">
        <v>12237</v>
      </c>
      <c r="T446" s="9"/>
      <c r="U446" s="8">
        <v>0</v>
      </c>
      <c r="V446" s="9"/>
      <c r="W446" s="33">
        <v>92686</v>
      </c>
      <c r="X446" s="9"/>
      <c r="Y446" s="30">
        <v>45</v>
      </c>
      <c r="Z446" s="9"/>
      <c r="AA446" s="30">
        <v>3</v>
      </c>
      <c r="AB446" s="9"/>
      <c r="AC446" s="30">
        <v>0</v>
      </c>
      <c r="AD446" s="9"/>
      <c r="AE446" s="30">
        <v>7</v>
      </c>
      <c r="AF446" s="9"/>
      <c r="AG446" s="30">
        <v>0</v>
      </c>
      <c r="AH446" s="9"/>
      <c r="AI446" s="32">
        <v>55</v>
      </c>
      <c r="AJ446" s="12"/>
      <c r="AK446" s="22">
        <v>895365</v>
      </c>
      <c r="AM446" s="22">
        <v>81375</v>
      </c>
      <c r="AO446" s="22">
        <v>0</v>
      </c>
      <c r="AQ446" s="22">
        <v>270159</v>
      </c>
      <c r="AS446" s="26">
        <v>1246899</v>
      </c>
      <c r="AU446" s="23">
        <v>12.015700000000001</v>
      </c>
      <c r="AW446" s="23">
        <v>13.7157</v>
      </c>
      <c r="AY446" s="23">
        <v>0</v>
      </c>
      <c r="BA446" s="23">
        <v>22.077200000000001</v>
      </c>
      <c r="BC446" s="24">
        <v>13.4529</v>
      </c>
      <c r="BE446" s="1" t="str">
        <f t="shared" si="6"/>
        <v>No</v>
      </c>
    </row>
    <row r="447" spans="1:57" ht="11.25" customHeight="1">
      <c r="A447" s="7" t="s">
        <v>295</v>
      </c>
      <c r="B447" s="7" t="s">
        <v>296</v>
      </c>
      <c r="C447" s="37" t="s">
        <v>17</v>
      </c>
      <c r="D447" s="296">
        <v>9042</v>
      </c>
      <c r="E447" s="297">
        <v>90042</v>
      </c>
      <c r="F447" s="27" t="s">
        <v>162</v>
      </c>
      <c r="G447" s="73" t="s">
        <v>158</v>
      </c>
      <c r="H447" s="35">
        <v>12150996</v>
      </c>
      <c r="I447" s="35">
        <v>49</v>
      </c>
      <c r="J447" s="37" t="s">
        <v>7</v>
      </c>
      <c r="K447" s="37" t="s">
        <v>159</v>
      </c>
      <c r="L447" s="8">
        <v>43</v>
      </c>
      <c r="M447" s="8">
        <v>180483</v>
      </c>
      <c r="N447" s="9"/>
      <c r="O447" s="8">
        <v>37207</v>
      </c>
      <c r="P447" s="9"/>
      <c r="Q447" s="8">
        <v>8388</v>
      </c>
      <c r="R447" s="9"/>
      <c r="S447" s="8">
        <v>19719</v>
      </c>
      <c r="T447" s="9"/>
      <c r="U447" s="8">
        <v>0</v>
      </c>
      <c r="V447" s="9"/>
      <c r="W447" s="33">
        <v>245797</v>
      </c>
      <c r="X447" s="9"/>
      <c r="Y447" s="30">
        <v>98.3</v>
      </c>
      <c r="Z447" s="9"/>
      <c r="AA447" s="30">
        <v>20.149999999999999</v>
      </c>
      <c r="AB447" s="9"/>
      <c r="AC447" s="30">
        <v>4.88</v>
      </c>
      <c r="AD447" s="9"/>
      <c r="AE447" s="30">
        <v>13.02</v>
      </c>
      <c r="AF447" s="9"/>
      <c r="AG447" s="30">
        <v>0</v>
      </c>
      <c r="AH447" s="9"/>
      <c r="AI447" s="32">
        <v>136.35</v>
      </c>
      <c r="AJ447" s="12"/>
      <c r="AK447" s="22">
        <v>5689803</v>
      </c>
      <c r="AM447" s="22">
        <v>1236783</v>
      </c>
      <c r="AO447" s="22">
        <v>243336</v>
      </c>
      <c r="AQ447" s="22">
        <v>671478</v>
      </c>
      <c r="AS447" s="26">
        <v>7841400</v>
      </c>
      <c r="AU447" s="23">
        <v>31.525400000000001</v>
      </c>
      <c r="AW447" s="23">
        <v>33.240600000000001</v>
      </c>
      <c r="AY447" s="23">
        <v>1.3482000000000001</v>
      </c>
      <c r="BA447" s="23">
        <v>34.052300000000002</v>
      </c>
      <c r="BC447" s="24">
        <v>31.901900000000001</v>
      </c>
      <c r="BE447" s="1" t="str">
        <f t="shared" si="6"/>
        <v>No</v>
      </c>
    </row>
    <row r="448" spans="1:57" ht="11.25" customHeight="1">
      <c r="A448" s="7" t="s">
        <v>727</v>
      </c>
      <c r="B448" s="7" t="s">
        <v>728</v>
      </c>
      <c r="C448" s="37" t="s">
        <v>84</v>
      </c>
      <c r="D448" s="296">
        <v>6102</v>
      </c>
      <c r="E448" s="297">
        <v>60102</v>
      </c>
      <c r="F448" s="27" t="s">
        <v>165</v>
      </c>
      <c r="G448" s="73" t="s">
        <v>158</v>
      </c>
      <c r="H448" s="35">
        <v>92984</v>
      </c>
      <c r="I448" s="35">
        <v>49</v>
      </c>
      <c r="J448" s="37" t="s">
        <v>10</v>
      </c>
      <c r="K448" s="37" t="s">
        <v>159</v>
      </c>
      <c r="L448" s="8">
        <v>42</v>
      </c>
      <c r="M448" s="8">
        <v>62480</v>
      </c>
      <c r="N448" s="9"/>
      <c r="O448" s="8">
        <v>0</v>
      </c>
      <c r="P448" s="9"/>
      <c r="Q448" s="8">
        <v>716</v>
      </c>
      <c r="R448" s="9"/>
      <c r="S448" s="8">
        <v>20184</v>
      </c>
      <c r="T448" s="9"/>
      <c r="U448" s="8">
        <v>0</v>
      </c>
      <c r="V448" s="9"/>
      <c r="W448" s="33">
        <v>83380</v>
      </c>
      <c r="X448" s="9"/>
      <c r="Y448" s="30">
        <v>37</v>
      </c>
      <c r="Z448" s="9"/>
      <c r="AA448" s="30">
        <v>0</v>
      </c>
      <c r="AB448" s="9"/>
      <c r="AC448" s="30">
        <v>1</v>
      </c>
      <c r="AD448" s="9"/>
      <c r="AE448" s="30">
        <v>13</v>
      </c>
      <c r="AF448" s="9"/>
      <c r="AG448" s="30">
        <v>0</v>
      </c>
      <c r="AH448" s="9"/>
      <c r="AI448" s="32">
        <v>51</v>
      </c>
      <c r="AJ448" s="12"/>
      <c r="AK448" s="22">
        <v>762219</v>
      </c>
      <c r="AM448" s="22">
        <v>0</v>
      </c>
      <c r="AO448" s="22">
        <v>7655</v>
      </c>
      <c r="AQ448" s="22">
        <v>367710</v>
      </c>
      <c r="AS448" s="26">
        <v>1137584</v>
      </c>
      <c r="AU448" s="23">
        <v>12.199400000000001</v>
      </c>
      <c r="AY448" s="23">
        <v>0.1225</v>
      </c>
      <c r="BA448" s="23">
        <v>18.2179</v>
      </c>
      <c r="BC448" s="24">
        <v>13.6434</v>
      </c>
      <c r="BE448" s="1" t="str">
        <f t="shared" si="6"/>
        <v>No</v>
      </c>
    </row>
    <row r="449" spans="1:57" ht="11.25" customHeight="1">
      <c r="A449" s="7" t="s">
        <v>727</v>
      </c>
      <c r="B449" s="7" t="s">
        <v>728</v>
      </c>
      <c r="C449" s="37" t="s">
        <v>84</v>
      </c>
      <c r="D449" s="296">
        <v>6102</v>
      </c>
      <c r="E449" s="297">
        <v>60102</v>
      </c>
      <c r="F449" s="27" t="s">
        <v>165</v>
      </c>
      <c r="G449" s="73" t="s">
        <v>158</v>
      </c>
      <c r="H449" s="35">
        <v>92984</v>
      </c>
      <c r="I449" s="35">
        <v>49</v>
      </c>
      <c r="J449" s="37" t="s">
        <v>7</v>
      </c>
      <c r="K449" s="37" t="s">
        <v>159</v>
      </c>
      <c r="L449" s="8">
        <v>7</v>
      </c>
      <c r="M449" s="8">
        <v>27759</v>
      </c>
      <c r="N449" s="9"/>
      <c r="O449" s="8">
        <v>0</v>
      </c>
      <c r="P449" s="9"/>
      <c r="Q449" s="8">
        <v>728</v>
      </c>
      <c r="R449" s="9"/>
      <c r="S449" s="8">
        <v>10448</v>
      </c>
      <c r="T449" s="9"/>
      <c r="U449" s="8">
        <v>0</v>
      </c>
      <c r="V449" s="9"/>
      <c r="W449" s="33">
        <v>38935</v>
      </c>
      <c r="X449" s="9"/>
      <c r="Y449" s="30">
        <v>17</v>
      </c>
      <c r="Z449" s="9"/>
      <c r="AA449" s="30">
        <v>0</v>
      </c>
      <c r="AB449" s="9"/>
      <c r="AC449" s="30">
        <v>1</v>
      </c>
      <c r="AD449" s="9"/>
      <c r="AE449" s="30">
        <v>6</v>
      </c>
      <c r="AF449" s="9"/>
      <c r="AG449" s="30">
        <v>0</v>
      </c>
      <c r="AH449" s="9"/>
      <c r="AI449" s="32">
        <v>24</v>
      </c>
      <c r="AJ449" s="12"/>
      <c r="AK449" s="22">
        <v>350951</v>
      </c>
      <c r="AM449" s="22">
        <v>0</v>
      </c>
      <c r="AO449" s="22">
        <v>7803</v>
      </c>
      <c r="AQ449" s="22">
        <v>157044</v>
      </c>
      <c r="AS449" s="26">
        <v>515798</v>
      </c>
      <c r="AU449" s="23">
        <v>12.642799999999999</v>
      </c>
      <c r="AY449" s="23">
        <v>0.28110000000000002</v>
      </c>
      <c r="BA449" s="23">
        <v>15.031000000000001</v>
      </c>
      <c r="BC449" s="24">
        <v>13.2477</v>
      </c>
      <c r="BE449" s="1" t="str">
        <f t="shared" si="6"/>
        <v>No</v>
      </c>
    </row>
    <row r="450" spans="1:57" ht="11.25" customHeight="1">
      <c r="A450" s="7" t="s">
        <v>1131</v>
      </c>
      <c r="B450" s="7" t="s">
        <v>735</v>
      </c>
      <c r="C450" s="37" t="s">
        <v>58</v>
      </c>
      <c r="D450" s="296">
        <v>4172</v>
      </c>
      <c r="E450" s="297">
        <v>40172</v>
      </c>
      <c r="F450" s="27" t="s">
        <v>165</v>
      </c>
      <c r="G450" s="73" t="s">
        <v>158</v>
      </c>
      <c r="H450" s="35">
        <v>212195</v>
      </c>
      <c r="I450" s="35">
        <v>49</v>
      </c>
      <c r="J450" s="37" t="s">
        <v>7</v>
      </c>
      <c r="K450" s="37" t="s">
        <v>159</v>
      </c>
      <c r="L450" s="8">
        <v>6</v>
      </c>
      <c r="M450" s="8">
        <v>35622</v>
      </c>
      <c r="N450" s="9"/>
      <c r="O450" s="8">
        <v>2475</v>
      </c>
      <c r="P450" s="9"/>
      <c r="Q450" s="8">
        <v>0</v>
      </c>
      <c r="R450" s="9"/>
      <c r="S450" s="8">
        <v>4983</v>
      </c>
      <c r="T450" s="9"/>
      <c r="U450" s="8">
        <v>0</v>
      </c>
      <c r="V450" s="9"/>
      <c r="W450" s="33">
        <v>43080</v>
      </c>
      <c r="X450" s="9"/>
      <c r="Y450" s="30">
        <v>21</v>
      </c>
      <c r="Z450" s="9"/>
      <c r="AA450" s="30">
        <v>1.25</v>
      </c>
      <c r="AB450" s="9"/>
      <c r="AC450" s="30">
        <v>0</v>
      </c>
      <c r="AD450" s="9"/>
      <c r="AE450" s="30">
        <v>3</v>
      </c>
      <c r="AF450" s="9"/>
      <c r="AG450" s="30">
        <v>0</v>
      </c>
      <c r="AH450" s="9"/>
      <c r="AI450" s="32">
        <v>25.25</v>
      </c>
      <c r="AJ450" s="12"/>
      <c r="AK450" s="22">
        <v>511567</v>
      </c>
      <c r="AM450" s="22">
        <v>40080</v>
      </c>
      <c r="AO450" s="22">
        <v>0</v>
      </c>
      <c r="AQ450" s="22">
        <v>133063</v>
      </c>
      <c r="AS450" s="26">
        <v>684710</v>
      </c>
      <c r="AU450" s="23">
        <v>14.361000000000001</v>
      </c>
      <c r="AW450" s="23">
        <v>16.193899999999999</v>
      </c>
      <c r="AY450" s="23">
        <v>0</v>
      </c>
      <c r="BA450" s="23">
        <v>26.703399999999998</v>
      </c>
      <c r="BC450" s="24">
        <v>15.8939</v>
      </c>
      <c r="BE450" s="1" t="str">
        <f t="shared" ref="BE450:BE513" si="7">IF(BD450&amp;BB450&amp;AZ450&amp;AX450&amp;AV450&amp;AT450&amp;AR450&amp;AP450&amp;AN450&amp;AL450&amp;AJ450&amp;AH450&amp;AF450&amp;AD450&amp;AB450&amp;Z450&amp;X450&amp;V450&amp;T450&amp;R450&amp;P450&amp;N450&lt;&gt;"","Yes","No")</f>
        <v>No</v>
      </c>
    </row>
    <row r="451" spans="1:57" ht="11.25" customHeight="1">
      <c r="A451" s="7" t="s">
        <v>295</v>
      </c>
      <c r="B451" s="7" t="s">
        <v>296</v>
      </c>
      <c r="C451" s="37" t="s">
        <v>17</v>
      </c>
      <c r="D451" s="296">
        <v>9042</v>
      </c>
      <c r="E451" s="297">
        <v>90042</v>
      </c>
      <c r="F451" s="27" t="s">
        <v>162</v>
      </c>
      <c r="G451" s="73" t="s">
        <v>158</v>
      </c>
      <c r="H451" s="35">
        <v>12150996</v>
      </c>
      <c r="I451" s="35">
        <v>49</v>
      </c>
      <c r="J451" s="37" t="s">
        <v>10</v>
      </c>
      <c r="K451" s="37" t="s">
        <v>159</v>
      </c>
      <c r="L451" s="8">
        <v>6</v>
      </c>
      <c r="M451" s="8">
        <v>13377</v>
      </c>
      <c r="N451" s="9"/>
      <c r="O451" s="8">
        <v>932</v>
      </c>
      <c r="P451" s="9"/>
      <c r="Q451" s="8">
        <v>328</v>
      </c>
      <c r="R451" s="9"/>
      <c r="S451" s="8">
        <v>3111</v>
      </c>
      <c r="T451" s="9"/>
      <c r="U451" s="8">
        <v>0</v>
      </c>
      <c r="V451" s="9"/>
      <c r="W451" s="33">
        <v>17748</v>
      </c>
      <c r="X451" s="9"/>
      <c r="Y451" s="30">
        <v>7.2</v>
      </c>
      <c r="Z451" s="9"/>
      <c r="AA451" s="30">
        <v>0.65</v>
      </c>
      <c r="AB451" s="9"/>
      <c r="AC451" s="30">
        <v>1.87</v>
      </c>
      <c r="AD451" s="9"/>
      <c r="AE451" s="30">
        <v>1.98</v>
      </c>
      <c r="AF451" s="9"/>
      <c r="AG451" s="30">
        <v>0</v>
      </c>
      <c r="AH451" s="9"/>
      <c r="AI451" s="32">
        <v>11.7</v>
      </c>
      <c r="AJ451" s="12"/>
      <c r="AK451" s="22">
        <v>328183</v>
      </c>
      <c r="AM451" s="22">
        <v>24308</v>
      </c>
      <c r="AO451" s="22">
        <v>14158</v>
      </c>
      <c r="AQ451" s="22">
        <v>99173</v>
      </c>
      <c r="AS451" s="26">
        <v>465822</v>
      </c>
      <c r="AU451" s="23">
        <v>24.5334</v>
      </c>
      <c r="AW451" s="23">
        <v>26.081499999999998</v>
      </c>
      <c r="AY451" s="23">
        <v>1.0584</v>
      </c>
      <c r="BA451" s="23">
        <v>31.8782</v>
      </c>
      <c r="BC451" s="24">
        <v>26.246500000000001</v>
      </c>
      <c r="BE451" s="1" t="str">
        <f t="shared" si="7"/>
        <v>No</v>
      </c>
    </row>
    <row r="452" spans="1:57" ht="11.25" customHeight="1">
      <c r="A452" s="7" t="s">
        <v>126</v>
      </c>
      <c r="B452" s="7" t="s">
        <v>772</v>
      </c>
      <c r="C452" s="37" t="s">
        <v>96</v>
      </c>
      <c r="D452" s="296">
        <v>3107</v>
      </c>
      <c r="E452" s="297">
        <v>30107</v>
      </c>
      <c r="F452" s="27" t="s">
        <v>114</v>
      </c>
      <c r="G452" s="73" t="s">
        <v>158</v>
      </c>
      <c r="H452" s="35">
        <v>70350</v>
      </c>
      <c r="I452" s="35">
        <v>48</v>
      </c>
      <c r="J452" s="37" t="s">
        <v>34</v>
      </c>
      <c r="K452" s="37" t="s">
        <v>159</v>
      </c>
      <c r="L452" s="8">
        <v>48</v>
      </c>
      <c r="M452" s="8">
        <v>14198</v>
      </c>
      <c r="N452" s="9"/>
      <c r="O452" s="8">
        <v>24575</v>
      </c>
      <c r="P452" s="9"/>
      <c r="Q452" s="8">
        <v>18967</v>
      </c>
      <c r="R452" s="9"/>
      <c r="S452" s="8">
        <v>19160</v>
      </c>
      <c r="T452" s="9"/>
      <c r="U452" s="8">
        <v>0</v>
      </c>
      <c r="V452" s="9"/>
      <c r="W452" s="33">
        <v>76900</v>
      </c>
      <c r="X452" s="9"/>
      <c r="Y452" s="30">
        <v>8</v>
      </c>
      <c r="Z452" s="9"/>
      <c r="AA452" s="30">
        <v>16</v>
      </c>
      <c r="AB452" s="9"/>
      <c r="AC452" s="30">
        <v>13</v>
      </c>
      <c r="AD452" s="9"/>
      <c r="AE452" s="30">
        <v>12</v>
      </c>
      <c r="AF452" s="9"/>
      <c r="AG452" s="30">
        <v>0</v>
      </c>
      <c r="AH452" s="9"/>
      <c r="AI452" s="32">
        <v>49</v>
      </c>
      <c r="AJ452" s="12"/>
      <c r="AK452" s="22">
        <v>331103</v>
      </c>
      <c r="AM452" s="22">
        <v>625298</v>
      </c>
      <c r="AO452" s="22">
        <v>453013</v>
      </c>
      <c r="AQ452" s="22">
        <v>683117</v>
      </c>
      <c r="AS452" s="26">
        <v>2092531</v>
      </c>
      <c r="AU452" s="23">
        <v>23.320399999999999</v>
      </c>
      <c r="AW452" s="23">
        <v>25.444500000000001</v>
      </c>
      <c r="AY452" s="23">
        <v>31.9068</v>
      </c>
      <c r="BA452" s="23">
        <v>35.653300000000002</v>
      </c>
      <c r="BC452" s="24">
        <v>27.211099999999998</v>
      </c>
      <c r="BE452" s="1" t="str">
        <f t="shared" si="7"/>
        <v>No</v>
      </c>
    </row>
    <row r="453" spans="1:57" ht="11.25" customHeight="1">
      <c r="A453" s="7" t="s">
        <v>1111</v>
      </c>
      <c r="B453" s="7" t="s">
        <v>1112</v>
      </c>
      <c r="C453" s="37" t="s">
        <v>84</v>
      </c>
      <c r="D453" s="296">
        <v>6090</v>
      </c>
      <c r="E453" s="297">
        <v>60090</v>
      </c>
      <c r="F453" s="27" t="s">
        <v>195</v>
      </c>
      <c r="G453" s="73" t="s">
        <v>158</v>
      </c>
      <c r="H453" s="35">
        <v>728825</v>
      </c>
      <c r="I453" s="35">
        <v>48</v>
      </c>
      <c r="J453" s="37" t="s">
        <v>18</v>
      </c>
      <c r="K453" s="37" t="s">
        <v>159</v>
      </c>
      <c r="L453" s="8">
        <v>26</v>
      </c>
      <c r="M453" s="8">
        <v>23628</v>
      </c>
      <c r="N453" s="9"/>
      <c r="O453" s="8">
        <v>3312</v>
      </c>
      <c r="P453" s="9"/>
      <c r="Q453" s="8">
        <v>0</v>
      </c>
      <c r="R453" s="9"/>
      <c r="S453" s="8">
        <v>2891</v>
      </c>
      <c r="T453" s="9"/>
      <c r="U453" s="8">
        <v>0</v>
      </c>
      <c r="V453" s="9"/>
      <c r="W453" s="33">
        <v>29831</v>
      </c>
      <c r="X453" s="9"/>
      <c r="Y453" s="30">
        <v>13.17</v>
      </c>
      <c r="Z453" s="9"/>
      <c r="AA453" s="30">
        <v>2.08</v>
      </c>
      <c r="AB453" s="9"/>
      <c r="AC453" s="30">
        <v>0</v>
      </c>
      <c r="AD453" s="9"/>
      <c r="AE453" s="30">
        <v>1.61</v>
      </c>
      <c r="AF453" s="9"/>
      <c r="AG453" s="30">
        <v>0</v>
      </c>
      <c r="AH453" s="9"/>
      <c r="AI453" s="32">
        <v>16.86</v>
      </c>
      <c r="AJ453" s="12"/>
      <c r="AK453" s="22">
        <v>266683</v>
      </c>
      <c r="AM453" s="22">
        <v>49119</v>
      </c>
      <c r="AO453" s="22">
        <v>0</v>
      </c>
      <c r="AQ453" s="22">
        <v>51109</v>
      </c>
      <c r="AS453" s="26">
        <v>366911</v>
      </c>
      <c r="AU453" s="23">
        <v>11.2867</v>
      </c>
      <c r="AW453" s="23">
        <v>14.8306</v>
      </c>
      <c r="AY453" s="23">
        <v>0</v>
      </c>
      <c r="BA453" s="23">
        <v>17.678699999999999</v>
      </c>
      <c r="BC453" s="24">
        <v>12.2997</v>
      </c>
      <c r="BE453" s="1" t="str">
        <f t="shared" si="7"/>
        <v>No</v>
      </c>
    </row>
    <row r="454" spans="1:57" ht="11.25" customHeight="1">
      <c r="A454" s="7" t="s">
        <v>475</v>
      </c>
      <c r="B454" s="7" t="s">
        <v>476</v>
      </c>
      <c r="C454" s="37" t="s">
        <v>9</v>
      </c>
      <c r="D454" s="296">
        <v>4043</v>
      </c>
      <c r="E454" s="297">
        <v>40043</v>
      </c>
      <c r="F454" s="27" t="s">
        <v>162</v>
      </c>
      <c r="G454" s="73" t="s">
        <v>158</v>
      </c>
      <c r="H454" s="35">
        <v>326183</v>
      </c>
      <c r="I454" s="35">
        <v>48</v>
      </c>
      <c r="J454" s="37" t="s">
        <v>10</v>
      </c>
      <c r="K454" s="37" t="s">
        <v>159</v>
      </c>
      <c r="L454" s="8">
        <v>25</v>
      </c>
      <c r="M454" s="8">
        <v>56342</v>
      </c>
      <c r="N454" s="9"/>
      <c r="O454" s="8">
        <v>8035</v>
      </c>
      <c r="P454" s="9"/>
      <c r="Q454" s="8">
        <v>949</v>
      </c>
      <c r="R454" s="9"/>
      <c r="S454" s="8">
        <v>13033</v>
      </c>
      <c r="T454" s="9"/>
      <c r="U454" s="8">
        <v>0</v>
      </c>
      <c r="V454" s="9"/>
      <c r="W454" s="33">
        <v>78359</v>
      </c>
      <c r="X454" s="9"/>
      <c r="Y454" s="30">
        <v>29</v>
      </c>
      <c r="Z454" s="9"/>
      <c r="AA454" s="30">
        <v>4</v>
      </c>
      <c r="AB454" s="9"/>
      <c r="AC454" s="30">
        <v>0.5</v>
      </c>
      <c r="AD454" s="9"/>
      <c r="AE454" s="30">
        <v>7</v>
      </c>
      <c r="AF454" s="9"/>
      <c r="AG454" s="30">
        <v>0</v>
      </c>
      <c r="AH454" s="9"/>
      <c r="AI454" s="32">
        <v>40.5</v>
      </c>
      <c r="AJ454" s="12"/>
      <c r="AK454" s="22">
        <v>1015548</v>
      </c>
      <c r="AM454" s="22">
        <v>192996</v>
      </c>
      <c r="AO454" s="22">
        <v>12467</v>
      </c>
      <c r="AQ454" s="22">
        <v>114951</v>
      </c>
      <c r="AS454" s="26">
        <v>1335962</v>
      </c>
      <c r="AU454" s="23">
        <v>18.024699999999999</v>
      </c>
      <c r="AW454" s="23">
        <v>24.019400000000001</v>
      </c>
      <c r="AY454" s="23">
        <v>0.2213</v>
      </c>
      <c r="BA454" s="23">
        <v>8.82</v>
      </c>
      <c r="BC454" s="24">
        <v>17.049199999999999</v>
      </c>
      <c r="BE454" s="1" t="str">
        <f t="shared" si="7"/>
        <v>No</v>
      </c>
    </row>
    <row r="455" spans="1:57" ht="11.25" customHeight="1">
      <c r="A455" s="7" t="s">
        <v>475</v>
      </c>
      <c r="B455" s="7" t="s">
        <v>476</v>
      </c>
      <c r="C455" s="37" t="s">
        <v>9</v>
      </c>
      <c r="D455" s="296">
        <v>4043</v>
      </c>
      <c r="E455" s="297">
        <v>40043</v>
      </c>
      <c r="F455" s="27" t="s">
        <v>162</v>
      </c>
      <c r="G455" s="73" t="s">
        <v>158</v>
      </c>
      <c r="H455" s="35">
        <v>326183</v>
      </c>
      <c r="I455" s="35">
        <v>48</v>
      </c>
      <c r="J455" s="37" t="s">
        <v>7</v>
      </c>
      <c r="K455" s="37" t="s">
        <v>159</v>
      </c>
      <c r="L455" s="8">
        <v>23</v>
      </c>
      <c r="M455" s="8">
        <v>113003</v>
      </c>
      <c r="N455" s="9"/>
      <c r="O455" s="8">
        <v>32075</v>
      </c>
      <c r="P455" s="9"/>
      <c r="Q455" s="8">
        <v>949</v>
      </c>
      <c r="R455" s="9"/>
      <c r="S455" s="8">
        <v>11185</v>
      </c>
      <c r="T455" s="9"/>
      <c r="U455" s="8">
        <v>0</v>
      </c>
      <c r="V455" s="9"/>
      <c r="W455" s="33">
        <v>157212</v>
      </c>
      <c r="X455" s="9"/>
      <c r="Y455" s="30">
        <v>54</v>
      </c>
      <c r="Z455" s="9"/>
      <c r="AA455" s="30">
        <v>16</v>
      </c>
      <c r="AB455" s="9"/>
      <c r="AC455" s="30">
        <v>0.5</v>
      </c>
      <c r="AD455" s="9"/>
      <c r="AE455" s="30">
        <v>6</v>
      </c>
      <c r="AF455" s="9"/>
      <c r="AG455" s="30">
        <v>0</v>
      </c>
      <c r="AH455" s="9"/>
      <c r="AI455" s="32">
        <v>76.5</v>
      </c>
      <c r="AJ455" s="12"/>
      <c r="AK455" s="22">
        <v>2037174</v>
      </c>
      <c r="AM455" s="22">
        <v>443827</v>
      </c>
      <c r="AO455" s="22">
        <v>12468</v>
      </c>
      <c r="AQ455" s="22">
        <v>217390</v>
      </c>
      <c r="AS455" s="26">
        <v>2710859</v>
      </c>
      <c r="AU455" s="23">
        <v>18.0276</v>
      </c>
      <c r="AW455" s="23">
        <v>13.837199999999999</v>
      </c>
      <c r="AY455" s="23">
        <v>0.1103</v>
      </c>
      <c r="BA455" s="23">
        <v>19.4359</v>
      </c>
      <c r="BC455" s="24">
        <v>17.243300000000001</v>
      </c>
      <c r="BE455" s="1" t="str">
        <f t="shared" si="7"/>
        <v>No</v>
      </c>
    </row>
    <row r="456" spans="1:57" ht="11.25" customHeight="1">
      <c r="A456" s="7" t="s">
        <v>1111</v>
      </c>
      <c r="B456" s="7" t="s">
        <v>1112</v>
      </c>
      <c r="C456" s="37" t="s">
        <v>84</v>
      </c>
      <c r="D456" s="296">
        <v>6090</v>
      </c>
      <c r="E456" s="297">
        <v>60090</v>
      </c>
      <c r="F456" s="27" t="s">
        <v>195</v>
      </c>
      <c r="G456" s="73" t="s">
        <v>158</v>
      </c>
      <c r="H456" s="35">
        <v>728825</v>
      </c>
      <c r="I456" s="35">
        <v>48</v>
      </c>
      <c r="J456" s="37" t="s">
        <v>7</v>
      </c>
      <c r="K456" s="37" t="s">
        <v>159</v>
      </c>
      <c r="L456" s="8">
        <v>17</v>
      </c>
      <c r="M456" s="8">
        <v>83870</v>
      </c>
      <c r="N456" s="9"/>
      <c r="O456" s="8">
        <v>8205</v>
      </c>
      <c r="P456" s="9"/>
      <c r="Q456" s="8">
        <v>0</v>
      </c>
      <c r="R456" s="9"/>
      <c r="S456" s="8">
        <v>8132</v>
      </c>
      <c r="T456" s="9"/>
      <c r="U456" s="8">
        <v>0</v>
      </c>
      <c r="V456" s="9"/>
      <c r="W456" s="33">
        <v>100207</v>
      </c>
      <c r="X456" s="9"/>
      <c r="Y456" s="30">
        <v>46.79</v>
      </c>
      <c r="Z456" s="9"/>
      <c r="AA456" s="30">
        <v>4.2</v>
      </c>
      <c r="AB456" s="9"/>
      <c r="AC456" s="30">
        <v>0</v>
      </c>
      <c r="AD456" s="9"/>
      <c r="AE456" s="30">
        <v>4.5199999999999996</v>
      </c>
      <c r="AF456" s="9"/>
      <c r="AG456" s="30">
        <v>0</v>
      </c>
      <c r="AH456" s="9"/>
      <c r="AI456" s="32">
        <v>55.51</v>
      </c>
      <c r="AJ456" s="12"/>
      <c r="AK456" s="22">
        <v>1293362</v>
      </c>
      <c r="AM456" s="22">
        <v>195153</v>
      </c>
      <c r="AO456" s="22">
        <v>0</v>
      </c>
      <c r="AQ456" s="22">
        <v>262360</v>
      </c>
      <c r="AS456" s="26">
        <v>1750875</v>
      </c>
      <c r="AU456" s="23">
        <v>15.420999999999999</v>
      </c>
      <c r="AW456" s="23">
        <v>23.784600000000001</v>
      </c>
      <c r="AY456" s="23">
        <v>0</v>
      </c>
      <c r="BA456" s="23">
        <v>32.262700000000002</v>
      </c>
      <c r="BC456" s="24">
        <v>17.4726</v>
      </c>
      <c r="BE456" s="1" t="str">
        <f t="shared" si="7"/>
        <v>No</v>
      </c>
    </row>
    <row r="457" spans="1:57" ht="11.25" customHeight="1">
      <c r="A457" s="7" t="s">
        <v>1111</v>
      </c>
      <c r="B457" s="7" t="s">
        <v>1112</v>
      </c>
      <c r="C457" s="37" t="s">
        <v>84</v>
      </c>
      <c r="D457" s="296">
        <v>6090</v>
      </c>
      <c r="E457" s="297">
        <v>60090</v>
      </c>
      <c r="F457" s="27" t="s">
        <v>195</v>
      </c>
      <c r="G457" s="73" t="s">
        <v>158</v>
      </c>
      <c r="H457" s="35">
        <v>728825</v>
      </c>
      <c r="I457" s="35">
        <v>48</v>
      </c>
      <c r="J457" s="37" t="s">
        <v>10</v>
      </c>
      <c r="K457" s="37" t="s">
        <v>159</v>
      </c>
      <c r="L457" s="8">
        <v>5</v>
      </c>
      <c r="M457" s="8">
        <v>14658</v>
      </c>
      <c r="N457" s="9"/>
      <c r="O457" s="8">
        <v>1234</v>
      </c>
      <c r="P457" s="9"/>
      <c r="Q457" s="8">
        <v>0</v>
      </c>
      <c r="R457" s="9"/>
      <c r="S457" s="8">
        <v>1319</v>
      </c>
      <c r="T457" s="9"/>
      <c r="U457" s="8">
        <v>0</v>
      </c>
      <c r="V457" s="9"/>
      <c r="W457" s="33">
        <v>17211</v>
      </c>
      <c r="X457" s="9"/>
      <c r="Y457" s="30">
        <v>5.52</v>
      </c>
      <c r="Z457" s="9"/>
      <c r="AA457" s="30">
        <v>0.8</v>
      </c>
      <c r="AB457" s="9"/>
      <c r="AC457" s="30">
        <v>0</v>
      </c>
      <c r="AD457" s="9"/>
      <c r="AE457" s="30">
        <v>0.73</v>
      </c>
      <c r="AF457" s="9"/>
      <c r="AG457" s="30">
        <v>0</v>
      </c>
      <c r="AH457" s="9"/>
      <c r="AI457" s="32">
        <v>7.05</v>
      </c>
      <c r="AJ457" s="12"/>
      <c r="AK457" s="22">
        <v>95177</v>
      </c>
      <c r="AM457" s="22">
        <v>21241</v>
      </c>
      <c r="AO457" s="22">
        <v>0</v>
      </c>
      <c r="AQ457" s="22">
        <v>27258</v>
      </c>
      <c r="AS457" s="26">
        <v>143676</v>
      </c>
      <c r="AU457" s="23">
        <v>6.4931999999999999</v>
      </c>
      <c r="AW457" s="23">
        <v>17.213100000000001</v>
      </c>
      <c r="AY457" s="23">
        <v>0</v>
      </c>
      <c r="BA457" s="23">
        <v>20.665700000000001</v>
      </c>
      <c r="BC457" s="24">
        <v>8.3478999999999992</v>
      </c>
      <c r="BE457" s="1" t="str">
        <f t="shared" si="7"/>
        <v>No</v>
      </c>
    </row>
    <row r="458" spans="1:57" ht="11.25" customHeight="1">
      <c r="A458" s="7" t="s">
        <v>770</v>
      </c>
      <c r="B458" s="7" t="s">
        <v>771</v>
      </c>
      <c r="C458" s="37" t="s">
        <v>76</v>
      </c>
      <c r="D458" s="296">
        <v>57</v>
      </c>
      <c r="E458" s="297">
        <v>57</v>
      </c>
      <c r="F458" s="27" t="s">
        <v>195</v>
      </c>
      <c r="G458" s="73" t="s">
        <v>158</v>
      </c>
      <c r="H458" s="35">
        <v>83794</v>
      </c>
      <c r="I458" s="35">
        <v>47</v>
      </c>
      <c r="J458" s="37" t="s">
        <v>18</v>
      </c>
      <c r="K458" s="37" t="s">
        <v>159</v>
      </c>
      <c r="L458" s="8">
        <v>14</v>
      </c>
      <c r="M458" s="8">
        <v>18212</v>
      </c>
      <c r="N458" s="9"/>
      <c r="O458" s="8">
        <v>0</v>
      </c>
      <c r="P458" s="9"/>
      <c r="Q458" s="8">
        <v>0</v>
      </c>
      <c r="R458" s="9"/>
      <c r="S458" s="8">
        <v>10658</v>
      </c>
      <c r="T458" s="9"/>
      <c r="U458" s="8">
        <v>0</v>
      </c>
      <c r="V458" s="9"/>
      <c r="W458" s="33">
        <v>28870</v>
      </c>
      <c r="X458" s="9"/>
      <c r="Y458" s="30">
        <v>14.4</v>
      </c>
      <c r="Z458" s="9"/>
      <c r="AA458" s="30">
        <v>0</v>
      </c>
      <c r="AB458" s="9"/>
      <c r="AC458" s="30">
        <v>0</v>
      </c>
      <c r="AD458" s="9"/>
      <c r="AE458" s="30">
        <v>5.3</v>
      </c>
      <c r="AF458" s="9"/>
      <c r="AG458" s="30">
        <v>0</v>
      </c>
      <c r="AH458" s="9"/>
      <c r="AI458" s="32">
        <v>19.7</v>
      </c>
      <c r="AJ458" s="12"/>
      <c r="AK458" s="22">
        <v>397036</v>
      </c>
      <c r="AM458" s="22">
        <v>0</v>
      </c>
      <c r="AO458" s="22">
        <v>0</v>
      </c>
      <c r="AQ458" s="22">
        <v>161739</v>
      </c>
      <c r="AS458" s="26">
        <v>558775</v>
      </c>
      <c r="AU458" s="23">
        <v>21.800799999999999</v>
      </c>
      <c r="AY458" s="23">
        <v>0</v>
      </c>
      <c r="BA458" s="23">
        <v>15.1754</v>
      </c>
      <c r="BC458" s="24">
        <v>19.354900000000001</v>
      </c>
      <c r="BE458" s="1" t="str">
        <f t="shared" si="7"/>
        <v>No</v>
      </c>
    </row>
    <row r="459" spans="1:57" ht="11.25" customHeight="1">
      <c r="A459" s="7" t="s">
        <v>770</v>
      </c>
      <c r="B459" s="7" t="s">
        <v>771</v>
      </c>
      <c r="C459" s="37" t="s">
        <v>76</v>
      </c>
      <c r="D459" s="296">
        <v>57</v>
      </c>
      <c r="E459" s="297">
        <v>57</v>
      </c>
      <c r="F459" s="27" t="s">
        <v>195</v>
      </c>
      <c r="G459" s="73" t="s">
        <v>158</v>
      </c>
      <c r="H459" s="35">
        <v>83794</v>
      </c>
      <c r="I459" s="35">
        <v>47</v>
      </c>
      <c r="J459" s="37" t="s">
        <v>10</v>
      </c>
      <c r="K459" s="37" t="s">
        <v>159</v>
      </c>
      <c r="L459" s="8">
        <v>11</v>
      </c>
      <c r="M459" s="8">
        <v>24951</v>
      </c>
      <c r="N459" s="9"/>
      <c r="O459" s="8">
        <v>0</v>
      </c>
      <c r="P459" s="9"/>
      <c r="Q459" s="8">
        <v>0</v>
      </c>
      <c r="R459" s="9"/>
      <c r="S459" s="8">
        <v>4913</v>
      </c>
      <c r="T459" s="9"/>
      <c r="U459" s="8">
        <v>0</v>
      </c>
      <c r="V459" s="9"/>
      <c r="W459" s="33">
        <v>29864</v>
      </c>
      <c r="X459" s="9"/>
      <c r="Y459" s="30">
        <v>33.1</v>
      </c>
      <c r="Z459" s="9"/>
      <c r="AA459" s="30">
        <v>0</v>
      </c>
      <c r="AB459" s="9"/>
      <c r="AC459" s="30">
        <v>0</v>
      </c>
      <c r="AD459" s="9"/>
      <c r="AE459" s="30">
        <v>3.4</v>
      </c>
      <c r="AF459" s="9"/>
      <c r="AG459" s="30">
        <v>0</v>
      </c>
      <c r="AH459" s="9"/>
      <c r="AI459" s="32">
        <v>36.5</v>
      </c>
      <c r="AJ459" s="12"/>
      <c r="AK459" s="22">
        <v>300600</v>
      </c>
      <c r="AM459" s="22">
        <v>0</v>
      </c>
      <c r="AO459" s="22">
        <v>0</v>
      </c>
      <c r="AQ459" s="22">
        <v>122991</v>
      </c>
      <c r="AS459" s="26">
        <v>423591</v>
      </c>
      <c r="AU459" s="23">
        <v>12.047599999999999</v>
      </c>
      <c r="AY459" s="23">
        <v>0</v>
      </c>
      <c r="BA459" s="23">
        <v>25.033799999999999</v>
      </c>
      <c r="BC459" s="24">
        <v>14.183999999999999</v>
      </c>
      <c r="BE459" s="1" t="str">
        <f t="shared" si="7"/>
        <v>No</v>
      </c>
    </row>
    <row r="460" spans="1:57" ht="11.25" customHeight="1">
      <c r="A460" s="7" t="s">
        <v>770</v>
      </c>
      <c r="B460" s="7" t="s">
        <v>771</v>
      </c>
      <c r="C460" s="37" t="s">
        <v>76</v>
      </c>
      <c r="D460" s="296">
        <v>57</v>
      </c>
      <c r="E460" s="297">
        <v>57</v>
      </c>
      <c r="F460" s="27" t="s">
        <v>195</v>
      </c>
      <c r="G460" s="73" t="s">
        <v>158</v>
      </c>
      <c r="H460" s="35">
        <v>83794</v>
      </c>
      <c r="I460" s="35">
        <v>47</v>
      </c>
      <c r="J460" s="37" t="s">
        <v>7</v>
      </c>
      <c r="K460" s="37" t="s">
        <v>159</v>
      </c>
      <c r="L460" s="8">
        <v>1</v>
      </c>
      <c r="M460" s="8">
        <v>1805</v>
      </c>
      <c r="N460" s="9"/>
      <c r="O460" s="8">
        <v>0</v>
      </c>
      <c r="P460" s="9"/>
      <c r="Q460" s="8">
        <v>0</v>
      </c>
      <c r="R460" s="9"/>
      <c r="S460" s="8">
        <v>345</v>
      </c>
      <c r="T460" s="9"/>
      <c r="U460" s="8">
        <v>0</v>
      </c>
      <c r="V460" s="9"/>
      <c r="W460" s="33">
        <v>2150</v>
      </c>
      <c r="X460" s="9"/>
      <c r="Y460" s="30">
        <v>0.87</v>
      </c>
      <c r="Z460" s="9"/>
      <c r="AA460" s="30">
        <v>0</v>
      </c>
      <c r="AB460" s="9"/>
      <c r="AC460" s="30">
        <v>0</v>
      </c>
      <c r="AD460" s="9"/>
      <c r="AE460" s="30">
        <v>0.2</v>
      </c>
      <c r="AF460" s="9"/>
      <c r="AG460" s="30">
        <v>0</v>
      </c>
      <c r="AH460" s="9"/>
      <c r="AI460" s="32">
        <v>1.07</v>
      </c>
      <c r="AJ460" s="12"/>
      <c r="AK460" s="22">
        <v>26979</v>
      </c>
      <c r="AM460" s="22">
        <v>0</v>
      </c>
      <c r="AO460" s="22">
        <v>0</v>
      </c>
      <c r="AQ460" s="22">
        <v>9830</v>
      </c>
      <c r="AS460" s="26">
        <v>36809</v>
      </c>
      <c r="AU460" s="23">
        <v>14.9468</v>
      </c>
      <c r="AY460" s="23">
        <v>0</v>
      </c>
      <c r="BA460" s="23">
        <v>28.492799999999999</v>
      </c>
      <c r="BC460" s="24">
        <v>17.1205</v>
      </c>
      <c r="BE460" s="1" t="str">
        <f t="shared" si="7"/>
        <v>No</v>
      </c>
    </row>
    <row r="461" spans="1:57" ht="11.25" customHeight="1">
      <c r="A461" s="7" t="s">
        <v>340</v>
      </c>
      <c r="B461" s="7" t="s">
        <v>341</v>
      </c>
      <c r="C461" s="37" t="s">
        <v>17</v>
      </c>
      <c r="D461" s="296">
        <v>9039</v>
      </c>
      <c r="E461" s="297">
        <v>90039</v>
      </c>
      <c r="F461" s="27" t="s">
        <v>162</v>
      </c>
      <c r="G461" s="73" t="s">
        <v>158</v>
      </c>
      <c r="H461" s="35">
        <v>12150996</v>
      </c>
      <c r="I461" s="35">
        <v>46</v>
      </c>
      <c r="J461" s="37" t="s">
        <v>7</v>
      </c>
      <c r="K461" s="37" t="s">
        <v>159</v>
      </c>
      <c r="L461" s="8">
        <v>44</v>
      </c>
      <c r="M461" s="8">
        <v>242323</v>
      </c>
      <c r="N461" s="9"/>
      <c r="O461" s="8">
        <v>24578</v>
      </c>
      <c r="P461" s="9"/>
      <c r="Q461" s="8">
        <v>2731</v>
      </c>
      <c r="R461" s="9"/>
      <c r="S461" s="8">
        <v>21157</v>
      </c>
      <c r="T461" s="9"/>
      <c r="U461" s="8">
        <v>0</v>
      </c>
      <c r="V461" s="9"/>
      <c r="W461" s="33">
        <v>290789</v>
      </c>
      <c r="X461" s="9"/>
      <c r="Y461" s="30">
        <v>121.16</v>
      </c>
      <c r="Z461" s="9"/>
      <c r="AA461" s="30">
        <v>12.3</v>
      </c>
      <c r="AB461" s="9"/>
      <c r="AC461" s="30">
        <v>1.37</v>
      </c>
      <c r="AD461" s="9"/>
      <c r="AE461" s="30">
        <v>11.04</v>
      </c>
      <c r="AF461" s="9"/>
      <c r="AG461" s="30">
        <v>0</v>
      </c>
      <c r="AH461" s="9"/>
      <c r="AI461" s="32">
        <v>145.87</v>
      </c>
      <c r="AJ461" s="12"/>
      <c r="AK461" s="22">
        <v>7245355</v>
      </c>
      <c r="AM461" s="22">
        <v>1378813</v>
      </c>
      <c r="AO461" s="22">
        <v>153201</v>
      </c>
      <c r="AQ461" s="22">
        <v>706235</v>
      </c>
      <c r="AS461" s="26">
        <v>9483604</v>
      </c>
      <c r="AU461" s="23">
        <v>29.8996</v>
      </c>
      <c r="AW461" s="23">
        <v>56.099499999999999</v>
      </c>
      <c r="AY461" s="23">
        <v>0.63219999999999998</v>
      </c>
      <c r="BA461" s="23">
        <v>33.380699999999997</v>
      </c>
      <c r="BC461" s="24">
        <v>32.613399999999999</v>
      </c>
      <c r="BE461" s="1" t="str">
        <f t="shared" si="7"/>
        <v>No</v>
      </c>
    </row>
    <row r="462" spans="1:57" ht="11.25" customHeight="1">
      <c r="A462" s="7" t="s">
        <v>610</v>
      </c>
      <c r="B462" s="7" t="s">
        <v>611</v>
      </c>
      <c r="C462" s="37" t="s">
        <v>42</v>
      </c>
      <c r="D462" s="296">
        <v>5052</v>
      </c>
      <c r="E462" s="297">
        <v>50052</v>
      </c>
      <c r="F462" s="27" t="s">
        <v>165</v>
      </c>
      <c r="G462" s="73" t="s">
        <v>158</v>
      </c>
      <c r="H462" s="35">
        <v>278165</v>
      </c>
      <c r="I462" s="35">
        <v>46</v>
      </c>
      <c r="J462" s="37" t="s">
        <v>7</v>
      </c>
      <c r="K462" s="37" t="s">
        <v>159</v>
      </c>
      <c r="L462" s="8">
        <v>35</v>
      </c>
      <c r="M462" s="8">
        <v>153078</v>
      </c>
      <c r="N462" s="9"/>
      <c r="O462" s="8">
        <v>17656</v>
      </c>
      <c r="P462" s="9"/>
      <c r="Q462" s="8">
        <v>5268</v>
      </c>
      <c r="R462" s="9"/>
      <c r="S462" s="8">
        <v>16670</v>
      </c>
      <c r="T462" s="9"/>
      <c r="U462" s="8">
        <v>0</v>
      </c>
      <c r="V462" s="9"/>
      <c r="W462" s="33">
        <v>192672</v>
      </c>
      <c r="X462" s="9"/>
      <c r="Y462" s="30">
        <v>63</v>
      </c>
      <c r="Z462" s="9"/>
      <c r="AA462" s="30">
        <v>7.5</v>
      </c>
      <c r="AB462" s="9"/>
      <c r="AC462" s="30">
        <v>3.3</v>
      </c>
      <c r="AD462" s="9"/>
      <c r="AE462" s="30">
        <v>8.8000000000000007</v>
      </c>
      <c r="AF462" s="9"/>
      <c r="AG462" s="30">
        <v>0</v>
      </c>
      <c r="AH462" s="9"/>
      <c r="AI462" s="32">
        <v>82.6</v>
      </c>
      <c r="AJ462" s="12"/>
      <c r="AK462" s="22">
        <v>3560786</v>
      </c>
      <c r="AM462" s="22">
        <v>546471</v>
      </c>
      <c r="AO462" s="22">
        <v>52927</v>
      </c>
      <c r="AQ462" s="22">
        <v>352147</v>
      </c>
      <c r="AS462" s="26">
        <v>4512331</v>
      </c>
      <c r="AU462" s="23">
        <v>23.261299999999999</v>
      </c>
      <c r="AW462" s="23">
        <v>30.951000000000001</v>
      </c>
      <c r="AY462" s="23">
        <v>0.3458</v>
      </c>
      <c r="BA462" s="23">
        <v>21.124600000000001</v>
      </c>
      <c r="BC462" s="24">
        <v>23.419799999999999</v>
      </c>
      <c r="BE462" s="1" t="str">
        <f t="shared" si="7"/>
        <v>No</v>
      </c>
    </row>
    <row r="463" spans="1:57" ht="11.25" customHeight="1">
      <c r="A463" s="7" t="s">
        <v>610</v>
      </c>
      <c r="B463" s="7" t="s">
        <v>611</v>
      </c>
      <c r="C463" s="37" t="s">
        <v>42</v>
      </c>
      <c r="D463" s="296">
        <v>5052</v>
      </c>
      <c r="E463" s="297">
        <v>50052</v>
      </c>
      <c r="F463" s="27" t="s">
        <v>165</v>
      </c>
      <c r="G463" s="73" t="s">
        <v>158</v>
      </c>
      <c r="H463" s="35">
        <v>278165</v>
      </c>
      <c r="I463" s="35">
        <v>46</v>
      </c>
      <c r="J463" s="37" t="s">
        <v>10</v>
      </c>
      <c r="K463" s="37" t="s">
        <v>159</v>
      </c>
      <c r="L463" s="8">
        <v>11</v>
      </c>
      <c r="M463" s="8">
        <v>31189</v>
      </c>
      <c r="N463" s="9"/>
      <c r="O463" s="8">
        <v>5493</v>
      </c>
      <c r="P463" s="9"/>
      <c r="Q463" s="8">
        <v>2257</v>
      </c>
      <c r="R463" s="9"/>
      <c r="S463" s="8">
        <v>4138</v>
      </c>
      <c r="T463" s="9"/>
      <c r="U463" s="8">
        <v>0</v>
      </c>
      <c r="V463" s="9"/>
      <c r="W463" s="33">
        <v>43077</v>
      </c>
      <c r="X463" s="9"/>
      <c r="Y463" s="30">
        <v>12</v>
      </c>
      <c r="Z463" s="9"/>
      <c r="AA463" s="30">
        <v>2.6</v>
      </c>
      <c r="AB463" s="9"/>
      <c r="AC463" s="30">
        <v>1.2</v>
      </c>
      <c r="AD463" s="9"/>
      <c r="AE463" s="30">
        <v>2</v>
      </c>
      <c r="AF463" s="9"/>
      <c r="AG463" s="30">
        <v>0</v>
      </c>
      <c r="AH463" s="9"/>
      <c r="AI463" s="32">
        <v>17.8</v>
      </c>
      <c r="AJ463" s="12"/>
      <c r="AK463" s="22">
        <v>535217</v>
      </c>
      <c r="AM463" s="22">
        <v>91286</v>
      </c>
      <c r="AO463" s="22">
        <v>22683</v>
      </c>
      <c r="AQ463" s="22">
        <v>52620</v>
      </c>
      <c r="AS463" s="26">
        <v>701806</v>
      </c>
      <c r="AU463" s="23">
        <v>17.160399999999999</v>
      </c>
      <c r="AW463" s="23">
        <v>16.618600000000001</v>
      </c>
      <c r="AY463" s="23">
        <v>0.72729999999999995</v>
      </c>
      <c r="BA463" s="23">
        <v>12.7163</v>
      </c>
      <c r="BC463" s="24">
        <v>16.291899999999998</v>
      </c>
      <c r="BE463" s="1" t="str">
        <f t="shared" si="7"/>
        <v>No</v>
      </c>
    </row>
    <row r="464" spans="1:57" ht="11.25" customHeight="1">
      <c r="A464" s="7" t="s">
        <v>340</v>
      </c>
      <c r="B464" s="7" t="s">
        <v>341</v>
      </c>
      <c r="C464" s="37" t="s">
        <v>17</v>
      </c>
      <c r="D464" s="296">
        <v>9039</v>
      </c>
      <c r="E464" s="297">
        <v>90039</v>
      </c>
      <c r="F464" s="27" t="s">
        <v>162</v>
      </c>
      <c r="G464" s="73" t="s">
        <v>158</v>
      </c>
      <c r="H464" s="35">
        <v>12150996</v>
      </c>
      <c r="I464" s="35">
        <v>46</v>
      </c>
      <c r="J464" s="37" t="s">
        <v>10</v>
      </c>
      <c r="K464" s="37" t="s">
        <v>159</v>
      </c>
      <c r="L464" s="8">
        <v>2</v>
      </c>
      <c r="M464" s="8">
        <v>4402</v>
      </c>
      <c r="N464" s="9"/>
      <c r="O464" s="8">
        <v>162</v>
      </c>
      <c r="P464" s="9"/>
      <c r="Q464" s="8">
        <v>9</v>
      </c>
      <c r="R464" s="9"/>
      <c r="S464" s="8">
        <v>100</v>
      </c>
      <c r="T464" s="9"/>
      <c r="U464" s="8">
        <v>0</v>
      </c>
      <c r="V464" s="9"/>
      <c r="W464" s="33">
        <v>4673</v>
      </c>
      <c r="X464" s="9"/>
      <c r="Y464" s="30">
        <v>1.9</v>
      </c>
      <c r="Z464" s="9"/>
      <c r="AA464" s="30">
        <v>0.1</v>
      </c>
      <c r="AB464" s="9"/>
      <c r="AC464" s="30">
        <v>0.01</v>
      </c>
      <c r="AD464" s="9"/>
      <c r="AE464" s="30">
        <v>0.05</v>
      </c>
      <c r="AF464" s="9"/>
      <c r="AG464" s="30">
        <v>0</v>
      </c>
      <c r="AH464" s="9"/>
      <c r="AI464" s="32">
        <v>2.06</v>
      </c>
      <c r="AJ464" s="12"/>
      <c r="AK464" s="22">
        <v>101029</v>
      </c>
      <c r="AM464" s="22">
        <v>9929</v>
      </c>
      <c r="AO464" s="22">
        <v>523</v>
      </c>
      <c r="AQ464" s="22">
        <v>3505</v>
      </c>
      <c r="AS464" s="26">
        <v>114986</v>
      </c>
      <c r="AU464" s="23">
        <v>22.950700000000001</v>
      </c>
      <c r="AW464" s="23">
        <v>61.290100000000002</v>
      </c>
      <c r="AY464" s="23">
        <v>0.1188</v>
      </c>
      <c r="BA464" s="23">
        <v>35.049999999999997</v>
      </c>
      <c r="BC464" s="24">
        <v>24.6065</v>
      </c>
      <c r="BE464" s="1" t="str">
        <f t="shared" si="7"/>
        <v>No</v>
      </c>
    </row>
    <row r="465" spans="1:57" ht="11.25" customHeight="1">
      <c r="A465" s="7" t="s">
        <v>463</v>
      </c>
      <c r="B465" s="7" t="s">
        <v>464</v>
      </c>
      <c r="C465" s="37" t="s">
        <v>32</v>
      </c>
      <c r="D465" s="296">
        <v>4026</v>
      </c>
      <c r="E465" s="297">
        <v>40026</v>
      </c>
      <c r="F465" s="27" t="s">
        <v>162</v>
      </c>
      <c r="G465" s="73" t="s">
        <v>158</v>
      </c>
      <c r="H465" s="35">
        <v>643260</v>
      </c>
      <c r="I465" s="35">
        <v>45</v>
      </c>
      <c r="J465" s="37" t="s">
        <v>7</v>
      </c>
      <c r="K465" s="37" t="s">
        <v>159</v>
      </c>
      <c r="L465" s="8">
        <v>23</v>
      </c>
      <c r="M465" s="8">
        <v>138575</v>
      </c>
      <c r="N465" s="9"/>
      <c r="O465" s="8">
        <v>8926</v>
      </c>
      <c r="P465" s="9"/>
      <c r="Q465" s="8">
        <v>1649</v>
      </c>
      <c r="R465" s="9"/>
      <c r="S465" s="8">
        <v>16052</v>
      </c>
      <c r="T465" s="9"/>
      <c r="U465" s="8">
        <v>0</v>
      </c>
      <c r="V465" s="9"/>
      <c r="W465" s="33">
        <v>165202</v>
      </c>
      <c r="X465" s="9"/>
      <c r="Y465" s="30">
        <v>69</v>
      </c>
      <c r="Z465" s="9"/>
      <c r="AA465" s="30">
        <v>4</v>
      </c>
      <c r="AB465" s="9"/>
      <c r="AC465" s="30">
        <v>1</v>
      </c>
      <c r="AD465" s="9"/>
      <c r="AE465" s="30">
        <v>10.31</v>
      </c>
      <c r="AF465" s="9"/>
      <c r="AG465" s="30">
        <v>0</v>
      </c>
      <c r="AH465" s="9"/>
      <c r="AI465" s="32">
        <v>84.31</v>
      </c>
      <c r="AJ465" s="12"/>
      <c r="AK465" s="22">
        <v>2044138</v>
      </c>
      <c r="AM465" s="22">
        <v>103837</v>
      </c>
      <c r="AO465" s="22">
        <v>34501</v>
      </c>
      <c r="AQ465" s="22">
        <v>399988</v>
      </c>
      <c r="AS465" s="26">
        <v>2582464</v>
      </c>
      <c r="AU465" s="23">
        <v>14.751099999999999</v>
      </c>
      <c r="AW465" s="23">
        <v>11.633100000000001</v>
      </c>
      <c r="AY465" s="23">
        <v>0.249</v>
      </c>
      <c r="BA465" s="23">
        <v>24.918299999999999</v>
      </c>
      <c r="BC465" s="24">
        <v>15.632199999999999</v>
      </c>
      <c r="BE465" s="1" t="str">
        <f t="shared" si="7"/>
        <v>No</v>
      </c>
    </row>
    <row r="466" spans="1:57" ht="11.25" customHeight="1">
      <c r="A466" s="7" t="s">
        <v>463</v>
      </c>
      <c r="B466" s="7" t="s">
        <v>464</v>
      </c>
      <c r="C466" s="37" t="s">
        <v>32</v>
      </c>
      <c r="D466" s="296">
        <v>4026</v>
      </c>
      <c r="E466" s="297">
        <v>40026</v>
      </c>
      <c r="F466" s="27" t="s">
        <v>162</v>
      </c>
      <c r="G466" s="73" t="s">
        <v>158</v>
      </c>
      <c r="H466" s="35">
        <v>643260</v>
      </c>
      <c r="I466" s="35">
        <v>45</v>
      </c>
      <c r="J466" s="37" t="s">
        <v>10</v>
      </c>
      <c r="K466" s="37" t="s">
        <v>159</v>
      </c>
      <c r="L466" s="8">
        <v>22</v>
      </c>
      <c r="M466" s="8">
        <v>69037</v>
      </c>
      <c r="N466" s="9"/>
      <c r="O466" s="8">
        <v>2551</v>
      </c>
      <c r="P466" s="9"/>
      <c r="Q466" s="8">
        <v>0</v>
      </c>
      <c r="R466" s="9"/>
      <c r="S466" s="8">
        <v>4180</v>
      </c>
      <c r="T466" s="9"/>
      <c r="U466" s="8">
        <v>0</v>
      </c>
      <c r="V466" s="9"/>
      <c r="W466" s="33">
        <v>75768</v>
      </c>
      <c r="X466" s="9"/>
      <c r="Y466" s="30">
        <v>39</v>
      </c>
      <c r="Z466" s="9"/>
      <c r="AA466" s="30">
        <v>1</v>
      </c>
      <c r="AB466" s="9"/>
      <c r="AC466" s="30">
        <v>0</v>
      </c>
      <c r="AD466" s="9"/>
      <c r="AE466" s="30">
        <v>2.69</v>
      </c>
      <c r="AF466" s="9"/>
      <c r="AG466" s="30">
        <v>0</v>
      </c>
      <c r="AH466" s="9"/>
      <c r="AI466" s="32">
        <v>42.69</v>
      </c>
      <c r="AJ466" s="12"/>
      <c r="AK466" s="22">
        <v>968227</v>
      </c>
      <c r="AM466" s="22">
        <v>27504</v>
      </c>
      <c r="AO466" s="22">
        <v>0</v>
      </c>
      <c r="AQ466" s="22">
        <v>104156</v>
      </c>
      <c r="AS466" s="26">
        <v>1099887</v>
      </c>
      <c r="AU466" s="23">
        <v>14.024800000000001</v>
      </c>
      <c r="AW466" s="23">
        <v>10.781700000000001</v>
      </c>
      <c r="AY466" s="23">
        <v>0</v>
      </c>
      <c r="BA466" s="23">
        <v>24.9177</v>
      </c>
      <c r="BC466" s="24">
        <v>14.516500000000001</v>
      </c>
      <c r="BE466" s="1" t="str">
        <f t="shared" si="7"/>
        <v>No</v>
      </c>
    </row>
    <row r="467" spans="1:57" ht="11.25" customHeight="1">
      <c r="A467" s="7" t="s">
        <v>628</v>
      </c>
      <c r="B467" s="7" t="s">
        <v>629</v>
      </c>
      <c r="C467" s="37" t="s">
        <v>70</v>
      </c>
      <c r="D467" s="296">
        <v>2099</v>
      </c>
      <c r="E467" s="297">
        <v>20099</v>
      </c>
      <c r="F467" s="27" t="s">
        <v>165</v>
      </c>
      <c r="G467" s="73" t="s">
        <v>158</v>
      </c>
      <c r="H467" s="35">
        <v>18351295</v>
      </c>
      <c r="I467" s="35">
        <v>44</v>
      </c>
      <c r="J467" s="37" t="s">
        <v>20</v>
      </c>
      <c r="K467" s="37" t="s">
        <v>159</v>
      </c>
      <c r="L467" s="8">
        <v>44</v>
      </c>
      <c r="M467" s="8">
        <v>213977</v>
      </c>
      <c r="N467" s="9"/>
      <c r="O467" s="8">
        <v>95525</v>
      </c>
      <c r="P467" s="9"/>
      <c r="Q467" s="8">
        <v>215888</v>
      </c>
      <c r="R467" s="9"/>
      <c r="S467" s="8">
        <v>42031</v>
      </c>
      <c r="T467" s="9"/>
      <c r="U467" s="8">
        <v>0</v>
      </c>
      <c r="V467" s="9"/>
      <c r="W467" s="33">
        <v>567421</v>
      </c>
      <c r="X467" s="9"/>
      <c r="Y467" s="30">
        <v>112</v>
      </c>
      <c r="Z467" s="9"/>
      <c r="AA467" s="30">
        <v>50</v>
      </c>
      <c r="AB467" s="9"/>
      <c r="AC467" s="30">
        <v>113</v>
      </c>
      <c r="AD467" s="9"/>
      <c r="AE467" s="30">
        <v>22</v>
      </c>
      <c r="AF467" s="9"/>
      <c r="AG467" s="30">
        <v>0</v>
      </c>
      <c r="AH467" s="9"/>
      <c r="AI467" s="32">
        <v>297</v>
      </c>
      <c r="AJ467" s="12"/>
      <c r="AK467" s="22">
        <v>7982088</v>
      </c>
      <c r="AM467" s="22">
        <v>3518984</v>
      </c>
      <c r="AO467" s="22">
        <v>9621321</v>
      </c>
      <c r="AQ467" s="22">
        <v>2972243</v>
      </c>
      <c r="AS467" s="26">
        <v>24094636</v>
      </c>
      <c r="AU467" s="23">
        <v>37.3035</v>
      </c>
      <c r="AW467" s="23">
        <v>36.8384</v>
      </c>
      <c r="AY467" s="23">
        <v>44.964300000000001</v>
      </c>
      <c r="BA467" s="23">
        <v>70.715500000000006</v>
      </c>
      <c r="BC467" s="24">
        <v>42.4634</v>
      </c>
      <c r="BE467" s="1" t="str">
        <f t="shared" si="7"/>
        <v>No</v>
      </c>
    </row>
    <row r="468" spans="1:57" ht="11.25" customHeight="1">
      <c r="A468" s="7" t="s">
        <v>91</v>
      </c>
      <c r="B468" s="7" t="s">
        <v>179</v>
      </c>
      <c r="C468" s="37" t="s">
        <v>89</v>
      </c>
      <c r="D468" s="296">
        <v>43</v>
      </c>
      <c r="E468" s="297">
        <v>43</v>
      </c>
      <c r="F468" s="27" t="s">
        <v>165</v>
      </c>
      <c r="G468" s="73" t="s">
        <v>158</v>
      </c>
      <c r="H468" s="35">
        <v>67227</v>
      </c>
      <c r="I468" s="35">
        <v>44</v>
      </c>
      <c r="J468" s="37" t="s">
        <v>7</v>
      </c>
      <c r="K468" s="37" t="s">
        <v>159</v>
      </c>
      <c r="L468" s="8">
        <v>30</v>
      </c>
      <c r="M468" s="8">
        <v>118287</v>
      </c>
      <c r="N468" s="9"/>
      <c r="O468" s="8">
        <v>27621</v>
      </c>
      <c r="P468" s="9"/>
      <c r="Q468" s="8">
        <v>8030</v>
      </c>
      <c r="R468" s="9"/>
      <c r="S468" s="8">
        <v>34091</v>
      </c>
      <c r="T468" s="9"/>
      <c r="U468" s="8">
        <v>550</v>
      </c>
      <c r="V468" s="9"/>
      <c r="W468" s="33">
        <v>188579</v>
      </c>
      <c r="X468" s="9"/>
      <c r="Y468" s="30">
        <v>64.900000000000006</v>
      </c>
      <c r="Z468" s="9"/>
      <c r="AA468" s="30">
        <v>14.2</v>
      </c>
      <c r="AB468" s="9"/>
      <c r="AC468" s="30">
        <v>5</v>
      </c>
      <c r="AD468" s="9"/>
      <c r="AE468" s="30">
        <v>19</v>
      </c>
      <c r="AF468" s="9"/>
      <c r="AG468" s="30">
        <v>0.3</v>
      </c>
      <c r="AH468" s="9"/>
      <c r="AI468" s="32">
        <v>103.4</v>
      </c>
      <c r="AJ468" s="12"/>
      <c r="AK468" s="22">
        <v>2636461</v>
      </c>
      <c r="AM468" s="22">
        <v>748105</v>
      </c>
      <c r="AO468" s="22">
        <v>170331</v>
      </c>
      <c r="AQ468" s="22">
        <v>999282</v>
      </c>
      <c r="AS468" s="26">
        <v>4554179</v>
      </c>
      <c r="AU468" s="23">
        <v>22.288699999999999</v>
      </c>
      <c r="AW468" s="23">
        <v>27.084599999999998</v>
      </c>
      <c r="AY468" s="23">
        <v>1.44</v>
      </c>
      <c r="BA468" s="23">
        <v>29.312200000000001</v>
      </c>
      <c r="BC468" s="24">
        <v>24.15</v>
      </c>
      <c r="BE468" s="1" t="str">
        <f t="shared" si="7"/>
        <v>No</v>
      </c>
    </row>
    <row r="469" spans="1:57" ht="11.25" customHeight="1">
      <c r="A469" s="7" t="s">
        <v>718</v>
      </c>
      <c r="B469" s="7" t="s">
        <v>719</v>
      </c>
      <c r="C469" s="37" t="s">
        <v>48</v>
      </c>
      <c r="D469" s="296">
        <v>3096</v>
      </c>
      <c r="E469" s="297">
        <v>30096</v>
      </c>
      <c r="F469" s="27" t="s">
        <v>165</v>
      </c>
      <c r="G469" s="73" t="s">
        <v>158</v>
      </c>
      <c r="H469" s="35">
        <v>98081</v>
      </c>
      <c r="I469" s="35">
        <v>44</v>
      </c>
      <c r="J469" s="37" t="s">
        <v>10</v>
      </c>
      <c r="K469" s="37" t="s">
        <v>159</v>
      </c>
      <c r="L469" s="8">
        <v>23</v>
      </c>
      <c r="M469" s="8">
        <v>61288</v>
      </c>
      <c r="N469" s="9"/>
      <c r="O469" s="8">
        <v>6550</v>
      </c>
      <c r="P469" s="9"/>
      <c r="Q469" s="8">
        <v>958</v>
      </c>
      <c r="R469" s="9"/>
      <c r="S469" s="8">
        <v>20816</v>
      </c>
      <c r="T469" s="9"/>
      <c r="U469" s="8">
        <v>0</v>
      </c>
      <c r="V469" s="9"/>
      <c r="W469" s="33">
        <v>89612</v>
      </c>
      <c r="X469" s="9"/>
      <c r="Y469" s="30">
        <v>25.5</v>
      </c>
      <c r="Z469" s="9"/>
      <c r="AA469" s="30">
        <v>3</v>
      </c>
      <c r="AB469" s="9"/>
      <c r="AC469" s="30">
        <v>0.5</v>
      </c>
      <c r="AD469" s="9"/>
      <c r="AE469" s="30">
        <v>10</v>
      </c>
      <c r="AF469" s="9"/>
      <c r="AG469" s="30">
        <v>0</v>
      </c>
      <c r="AH469" s="9"/>
      <c r="AI469" s="32">
        <v>39</v>
      </c>
      <c r="AJ469" s="12"/>
      <c r="AK469" s="22">
        <v>738082</v>
      </c>
      <c r="AM469" s="22">
        <v>113319</v>
      </c>
      <c r="AO469" s="22">
        <v>22250</v>
      </c>
      <c r="AQ469" s="22">
        <v>327000</v>
      </c>
      <c r="AS469" s="26">
        <v>1200651</v>
      </c>
      <c r="AU469" s="23">
        <v>12.0428</v>
      </c>
      <c r="AW469" s="23">
        <v>17.300599999999999</v>
      </c>
      <c r="AY469" s="23">
        <v>0.36299999999999999</v>
      </c>
      <c r="BA469" s="23">
        <v>15.709099999999999</v>
      </c>
      <c r="BC469" s="24">
        <v>13.398300000000001</v>
      </c>
      <c r="BE469" s="1" t="str">
        <f t="shared" si="7"/>
        <v>No</v>
      </c>
    </row>
    <row r="470" spans="1:57" ht="11.25" customHeight="1">
      <c r="A470" s="7" t="s">
        <v>718</v>
      </c>
      <c r="B470" s="7" t="s">
        <v>719</v>
      </c>
      <c r="C470" s="37" t="s">
        <v>48</v>
      </c>
      <c r="D470" s="296">
        <v>3096</v>
      </c>
      <c r="E470" s="297">
        <v>30096</v>
      </c>
      <c r="F470" s="27" t="s">
        <v>165</v>
      </c>
      <c r="G470" s="73" t="s">
        <v>158</v>
      </c>
      <c r="H470" s="35">
        <v>98081</v>
      </c>
      <c r="I470" s="35">
        <v>44</v>
      </c>
      <c r="J470" s="37" t="s">
        <v>7</v>
      </c>
      <c r="K470" s="37" t="s">
        <v>159</v>
      </c>
      <c r="L470" s="8">
        <v>15</v>
      </c>
      <c r="M470" s="8">
        <v>121816</v>
      </c>
      <c r="N470" s="9"/>
      <c r="O470" s="8">
        <v>7985</v>
      </c>
      <c r="P470" s="9"/>
      <c r="Q470" s="8">
        <v>1070</v>
      </c>
      <c r="R470" s="9"/>
      <c r="S470" s="8">
        <v>8583</v>
      </c>
      <c r="T470" s="9"/>
      <c r="U470" s="8">
        <v>0</v>
      </c>
      <c r="V470" s="9"/>
      <c r="W470" s="33">
        <v>139454</v>
      </c>
      <c r="X470" s="9"/>
      <c r="Y470" s="30">
        <v>79.5</v>
      </c>
      <c r="Z470" s="9"/>
      <c r="AA470" s="30">
        <v>4</v>
      </c>
      <c r="AB470" s="9"/>
      <c r="AC470" s="30">
        <v>0.5</v>
      </c>
      <c r="AD470" s="9"/>
      <c r="AE470" s="30">
        <v>5</v>
      </c>
      <c r="AF470" s="9"/>
      <c r="AG470" s="30">
        <v>0</v>
      </c>
      <c r="AH470" s="9"/>
      <c r="AI470" s="32">
        <v>89</v>
      </c>
      <c r="AJ470" s="12"/>
      <c r="AK470" s="22">
        <v>1374857</v>
      </c>
      <c r="AM470" s="22">
        <v>138501</v>
      </c>
      <c r="AO470" s="22">
        <v>27561</v>
      </c>
      <c r="AQ470" s="22">
        <v>93223</v>
      </c>
      <c r="AS470" s="26">
        <v>1634142</v>
      </c>
      <c r="AU470" s="23">
        <v>11.286300000000001</v>
      </c>
      <c r="AW470" s="23">
        <v>17.345099999999999</v>
      </c>
      <c r="AY470" s="23">
        <v>0.2263</v>
      </c>
      <c r="BA470" s="23">
        <v>10.8614</v>
      </c>
      <c r="BC470" s="24">
        <v>11.7181</v>
      </c>
      <c r="BE470" s="1" t="str">
        <f t="shared" si="7"/>
        <v>No</v>
      </c>
    </row>
    <row r="471" spans="1:57" ht="11.25" customHeight="1">
      <c r="A471" s="7" t="s">
        <v>91</v>
      </c>
      <c r="B471" s="7" t="s">
        <v>179</v>
      </c>
      <c r="C471" s="37" t="s">
        <v>89</v>
      </c>
      <c r="D471" s="296">
        <v>43</v>
      </c>
      <c r="E471" s="297">
        <v>43</v>
      </c>
      <c r="F471" s="27" t="s">
        <v>165</v>
      </c>
      <c r="G471" s="73" t="s">
        <v>158</v>
      </c>
      <c r="H471" s="35">
        <v>67227</v>
      </c>
      <c r="I471" s="35">
        <v>44</v>
      </c>
      <c r="J471" s="37" t="s">
        <v>10</v>
      </c>
      <c r="K471" s="37" t="s">
        <v>159</v>
      </c>
      <c r="L471" s="8">
        <v>13</v>
      </c>
      <c r="M471" s="8">
        <v>24805</v>
      </c>
      <c r="N471" s="9"/>
      <c r="O471" s="8">
        <v>3442</v>
      </c>
      <c r="P471" s="9"/>
      <c r="Q471" s="8">
        <v>1692</v>
      </c>
      <c r="R471" s="9"/>
      <c r="S471" s="8">
        <v>7184</v>
      </c>
      <c r="T471" s="9"/>
      <c r="U471" s="8">
        <v>0</v>
      </c>
      <c r="V471" s="9"/>
      <c r="W471" s="33">
        <v>37123</v>
      </c>
      <c r="X471" s="9"/>
      <c r="Y471" s="30">
        <v>13.1</v>
      </c>
      <c r="Z471" s="9"/>
      <c r="AA471" s="30">
        <v>1.8</v>
      </c>
      <c r="AB471" s="9"/>
      <c r="AC471" s="30">
        <v>1</v>
      </c>
      <c r="AD471" s="9"/>
      <c r="AE471" s="30">
        <v>4</v>
      </c>
      <c r="AF471" s="9"/>
      <c r="AG471" s="30">
        <v>0</v>
      </c>
      <c r="AH471" s="9"/>
      <c r="AI471" s="32">
        <v>19.899999999999999</v>
      </c>
      <c r="AJ471" s="12"/>
      <c r="AK471" s="22">
        <v>556039</v>
      </c>
      <c r="AM471" s="22">
        <v>93271</v>
      </c>
      <c r="AO471" s="22">
        <v>35923</v>
      </c>
      <c r="AQ471" s="22">
        <v>210752</v>
      </c>
      <c r="AS471" s="26">
        <v>895985</v>
      </c>
      <c r="AU471" s="23">
        <v>22.416399999999999</v>
      </c>
      <c r="AW471" s="23">
        <v>27.097899999999999</v>
      </c>
      <c r="AY471" s="23">
        <v>1.4481999999999999</v>
      </c>
      <c r="BA471" s="23">
        <v>29.336300000000001</v>
      </c>
      <c r="BC471" s="24">
        <v>24.1356</v>
      </c>
      <c r="BE471" s="1" t="str">
        <f t="shared" si="7"/>
        <v>No</v>
      </c>
    </row>
    <row r="472" spans="1:57" ht="11.25" customHeight="1">
      <c r="A472" s="7" t="s">
        <v>1103</v>
      </c>
      <c r="B472" s="7" t="s">
        <v>794</v>
      </c>
      <c r="C472" s="37" t="s">
        <v>81</v>
      </c>
      <c r="D472" s="296"/>
      <c r="E472" s="297">
        <v>40244</v>
      </c>
      <c r="F472" s="27" t="s">
        <v>157</v>
      </c>
      <c r="G472" s="73" t="s">
        <v>158</v>
      </c>
      <c r="H472" s="35">
        <v>180786</v>
      </c>
      <c r="I472" s="35">
        <v>43</v>
      </c>
      <c r="J472" s="37" t="s">
        <v>10</v>
      </c>
      <c r="K472" s="37" t="s">
        <v>159</v>
      </c>
      <c r="L472" s="8">
        <v>43</v>
      </c>
      <c r="M472" s="8">
        <v>102574</v>
      </c>
      <c r="N472" s="9"/>
      <c r="O472" s="8">
        <v>0</v>
      </c>
      <c r="P472" s="9"/>
      <c r="Q472" s="8">
        <v>0</v>
      </c>
      <c r="R472" s="9"/>
      <c r="S472" s="8">
        <v>23400</v>
      </c>
      <c r="T472" s="9"/>
      <c r="U472" s="8">
        <v>0</v>
      </c>
      <c r="V472" s="9"/>
      <c r="W472" s="33">
        <v>125974</v>
      </c>
      <c r="X472" s="9"/>
      <c r="Y472" s="30">
        <v>54</v>
      </c>
      <c r="Z472" s="9"/>
      <c r="AA472" s="30">
        <v>0</v>
      </c>
      <c r="AB472" s="9"/>
      <c r="AC472" s="30">
        <v>0</v>
      </c>
      <c r="AD472" s="9"/>
      <c r="AE472" s="30">
        <v>13</v>
      </c>
      <c r="AF472" s="9"/>
      <c r="AG472" s="30">
        <v>0</v>
      </c>
      <c r="AH472" s="9"/>
      <c r="AI472" s="32">
        <v>67</v>
      </c>
      <c r="AJ472" s="12"/>
      <c r="AK472" s="22">
        <v>1478025</v>
      </c>
      <c r="AM472" s="22">
        <v>0</v>
      </c>
      <c r="AO472" s="22">
        <v>0</v>
      </c>
      <c r="AQ472" s="22">
        <v>412889</v>
      </c>
      <c r="AS472" s="26">
        <v>1890914</v>
      </c>
      <c r="AU472" s="23">
        <v>14.4094</v>
      </c>
      <c r="AY472" s="23">
        <v>0</v>
      </c>
      <c r="BA472" s="23">
        <v>17.6448</v>
      </c>
      <c r="BC472" s="24">
        <v>15.010400000000001</v>
      </c>
      <c r="BE472" s="1" t="str">
        <f t="shared" si="7"/>
        <v>No</v>
      </c>
    </row>
    <row r="473" spans="1:57" ht="11.25" customHeight="1">
      <c r="A473" s="7" t="s">
        <v>1104</v>
      </c>
      <c r="B473" s="7" t="s">
        <v>1105</v>
      </c>
      <c r="C473" s="37" t="s">
        <v>32</v>
      </c>
      <c r="D473" s="296"/>
      <c r="E473" s="297">
        <v>40245</v>
      </c>
      <c r="F473" s="27" t="s">
        <v>187</v>
      </c>
      <c r="G473" s="73" t="s">
        <v>158</v>
      </c>
      <c r="H473" s="35">
        <v>1065219</v>
      </c>
      <c r="I473" s="35">
        <v>43</v>
      </c>
      <c r="J473" s="37" t="s">
        <v>10</v>
      </c>
      <c r="K473" s="37" t="s">
        <v>159</v>
      </c>
      <c r="L473" s="8">
        <v>36</v>
      </c>
      <c r="M473" s="8">
        <v>74548</v>
      </c>
      <c r="N473" s="9"/>
      <c r="O473" s="8">
        <v>0</v>
      </c>
      <c r="P473" s="9"/>
      <c r="Q473" s="8">
        <v>0</v>
      </c>
      <c r="R473" s="9"/>
      <c r="S473" s="8">
        <v>19619</v>
      </c>
      <c r="T473" s="9"/>
      <c r="U473" s="8">
        <v>0</v>
      </c>
      <c r="V473" s="9"/>
      <c r="W473" s="33">
        <v>94167</v>
      </c>
      <c r="X473" s="9"/>
      <c r="Y473" s="30">
        <v>45</v>
      </c>
      <c r="Z473" s="9"/>
      <c r="AA473" s="30">
        <v>0</v>
      </c>
      <c r="AB473" s="9"/>
      <c r="AC473" s="30">
        <v>0</v>
      </c>
      <c r="AD473" s="9"/>
      <c r="AE473" s="30">
        <v>11</v>
      </c>
      <c r="AF473" s="9"/>
      <c r="AG473" s="30">
        <v>0</v>
      </c>
      <c r="AH473" s="9"/>
      <c r="AI473" s="32">
        <v>56</v>
      </c>
      <c r="AJ473" s="12"/>
      <c r="AK473" s="22">
        <v>678399</v>
      </c>
      <c r="AM473" s="22">
        <v>0</v>
      </c>
      <c r="AO473" s="22">
        <v>0</v>
      </c>
      <c r="AQ473" s="22">
        <v>236578</v>
      </c>
      <c r="AS473" s="26">
        <v>914977</v>
      </c>
      <c r="AU473" s="23">
        <v>9.1001999999999992</v>
      </c>
      <c r="AY473" s="23">
        <v>0</v>
      </c>
      <c r="BA473" s="23">
        <v>12.0586</v>
      </c>
      <c r="BC473" s="24">
        <v>9.7164999999999999</v>
      </c>
      <c r="BE473" s="1" t="str">
        <f t="shared" si="7"/>
        <v>No</v>
      </c>
    </row>
    <row r="474" spans="1:57" ht="11.25" customHeight="1">
      <c r="A474" s="7" t="s">
        <v>1132</v>
      </c>
      <c r="B474" s="7" t="s">
        <v>412</v>
      </c>
      <c r="C474" s="37" t="s">
        <v>28</v>
      </c>
      <c r="D474" s="296">
        <v>1051</v>
      </c>
      <c r="E474" s="297">
        <v>10051</v>
      </c>
      <c r="F474" s="27" t="s">
        <v>165</v>
      </c>
      <c r="G474" s="73" t="s">
        <v>158</v>
      </c>
      <c r="H474" s="35">
        <v>168136</v>
      </c>
      <c r="I474" s="35">
        <v>43</v>
      </c>
      <c r="J474" s="37" t="s">
        <v>7</v>
      </c>
      <c r="K474" s="37" t="s">
        <v>159</v>
      </c>
      <c r="L474" s="8">
        <v>28</v>
      </c>
      <c r="M474" s="8">
        <v>90333</v>
      </c>
      <c r="N474" s="9"/>
      <c r="O474" s="8">
        <v>16551</v>
      </c>
      <c r="P474" s="9"/>
      <c r="Q474" s="8">
        <v>0</v>
      </c>
      <c r="R474" s="9"/>
      <c r="S474" s="8">
        <v>11197</v>
      </c>
      <c r="T474" s="9"/>
      <c r="U474" s="8">
        <v>0</v>
      </c>
      <c r="V474" s="9"/>
      <c r="W474" s="33">
        <v>118081</v>
      </c>
      <c r="X474" s="9"/>
      <c r="Y474" s="30">
        <v>48.3</v>
      </c>
      <c r="Z474" s="9"/>
      <c r="AA474" s="30">
        <v>9.1999999999999993</v>
      </c>
      <c r="AB474" s="9"/>
      <c r="AC474" s="30">
        <v>0</v>
      </c>
      <c r="AD474" s="9"/>
      <c r="AE474" s="30">
        <v>6</v>
      </c>
      <c r="AF474" s="9"/>
      <c r="AG474" s="30">
        <v>0</v>
      </c>
      <c r="AH474" s="9"/>
      <c r="AI474" s="32">
        <v>63.5</v>
      </c>
      <c r="AJ474" s="12"/>
      <c r="AK474" s="22">
        <v>2251002</v>
      </c>
      <c r="AM474" s="22">
        <v>419980</v>
      </c>
      <c r="AO474" s="22">
        <v>0</v>
      </c>
      <c r="AQ474" s="22">
        <v>438473</v>
      </c>
      <c r="AS474" s="26">
        <v>3109455</v>
      </c>
      <c r="AU474" s="23">
        <v>24.918900000000001</v>
      </c>
      <c r="AW474" s="23">
        <v>25.3749</v>
      </c>
      <c r="AY474" s="23">
        <v>0</v>
      </c>
      <c r="BA474" s="23">
        <v>39.1599</v>
      </c>
      <c r="BC474" s="24">
        <v>26.333200000000001</v>
      </c>
      <c r="BE474" s="1" t="str">
        <f t="shared" si="7"/>
        <v>No</v>
      </c>
    </row>
    <row r="475" spans="1:57" ht="11.25" customHeight="1">
      <c r="A475" s="7" t="s">
        <v>595</v>
      </c>
      <c r="B475" s="7" t="s">
        <v>596</v>
      </c>
      <c r="C475" s="37" t="s">
        <v>81</v>
      </c>
      <c r="D475" s="296">
        <v>4100</v>
      </c>
      <c r="E475" s="297">
        <v>40100</v>
      </c>
      <c r="F475" s="27" t="s">
        <v>165</v>
      </c>
      <c r="G475" s="73" t="s">
        <v>158</v>
      </c>
      <c r="H475" s="35">
        <v>73107</v>
      </c>
      <c r="I475" s="35">
        <v>43</v>
      </c>
      <c r="J475" s="37" t="s">
        <v>10</v>
      </c>
      <c r="K475" s="37" t="s">
        <v>159</v>
      </c>
      <c r="L475" s="8">
        <v>25</v>
      </c>
      <c r="M475" s="8">
        <v>22724</v>
      </c>
      <c r="N475" s="9"/>
      <c r="O475" s="8">
        <v>4153</v>
      </c>
      <c r="P475" s="9"/>
      <c r="Q475" s="8">
        <v>428</v>
      </c>
      <c r="R475" s="9"/>
      <c r="S475" s="8">
        <v>4685</v>
      </c>
      <c r="T475" s="9"/>
      <c r="U475" s="8">
        <v>0</v>
      </c>
      <c r="V475" s="9"/>
      <c r="W475" s="33">
        <v>31990</v>
      </c>
      <c r="X475" s="9"/>
      <c r="Y475" s="30">
        <v>12.34</v>
      </c>
      <c r="Z475" s="9"/>
      <c r="AA475" s="30">
        <v>2.2400000000000002</v>
      </c>
      <c r="AB475" s="9"/>
      <c r="AC475" s="30">
        <v>0.32</v>
      </c>
      <c r="AD475" s="9"/>
      <c r="AE475" s="30">
        <v>2.88</v>
      </c>
      <c r="AF475" s="9"/>
      <c r="AG475" s="30">
        <v>0</v>
      </c>
      <c r="AH475" s="9"/>
      <c r="AI475" s="32">
        <v>17.78</v>
      </c>
      <c r="AJ475" s="12"/>
      <c r="AK475" s="22">
        <v>246376</v>
      </c>
      <c r="AM475" s="22">
        <v>58919</v>
      </c>
      <c r="AO475" s="22">
        <v>4651</v>
      </c>
      <c r="AQ475" s="22">
        <v>84543</v>
      </c>
      <c r="AS475" s="26">
        <v>394489</v>
      </c>
      <c r="AU475" s="23">
        <v>10.8421</v>
      </c>
      <c r="AW475" s="23">
        <v>14.187099999999999</v>
      </c>
      <c r="AY475" s="23">
        <v>0.20469999999999999</v>
      </c>
      <c r="BA475" s="23">
        <v>18.045500000000001</v>
      </c>
      <c r="BC475" s="24">
        <v>12.3316</v>
      </c>
      <c r="BE475" s="1" t="str">
        <f t="shared" si="7"/>
        <v>No</v>
      </c>
    </row>
    <row r="476" spans="1:57" ht="11.25" customHeight="1">
      <c r="A476" s="7" t="s">
        <v>721</v>
      </c>
      <c r="B476" s="7" t="s">
        <v>722</v>
      </c>
      <c r="C476" s="37" t="s">
        <v>17</v>
      </c>
      <c r="D476" s="296">
        <v>9206</v>
      </c>
      <c r="E476" s="297">
        <v>90206</v>
      </c>
      <c r="F476" s="27" t="s">
        <v>165</v>
      </c>
      <c r="G476" s="73" t="s">
        <v>158</v>
      </c>
      <c r="H476" s="35">
        <v>59219</v>
      </c>
      <c r="I476" s="35">
        <v>43</v>
      </c>
      <c r="J476" s="37" t="s">
        <v>7</v>
      </c>
      <c r="K476" s="37" t="s">
        <v>159</v>
      </c>
      <c r="L476" s="8">
        <v>22</v>
      </c>
      <c r="M476" s="8">
        <v>102692</v>
      </c>
      <c r="N476" s="9"/>
      <c r="O476" s="8">
        <v>16822</v>
      </c>
      <c r="P476" s="9"/>
      <c r="Q476" s="8">
        <v>0</v>
      </c>
      <c r="R476" s="9"/>
      <c r="S476" s="8">
        <v>6811</v>
      </c>
      <c r="T476" s="9"/>
      <c r="U476" s="8">
        <v>0</v>
      </c>
      <c r="V476" s="9"/>
      <c r="W476" s="33">
        <v>126325</v>
      </c>
      <c r="X476" s="9"/>
      <c r="Y476" s="30">
        <v>65.12</v>
      </c>
      <c r="Z476" s="9"/>
      <c r="AA476" s="30">
        <v>8.7100000000000009</v>
      </c>
      <c r="AB476" s="9"/>
      <c r="AC476" s="30">
        <v>0</v>
      </c>
      <c r="AD476" s="9"/>
      <c r="AE476" s="30">
        <v>3.76</v>
      </c>
      <c r="AF476" s="9"/>
      <c r="AG476" s="30">
        <v>0</v>
      </c>
      <c r="AH476" s="9"/>
      <c r="AI476" s="32">
        <v>77.59</v>
      </c>
      <c r="AJ476" s="12"/>
      <c r="AK476" s="22">
        <v>1807172</v>
      </c>
      <c r="AM476" s="22">
        <v>405719</v>
      </c>
      <c r="AO476" s="22">
        <v>0</v>
      </c>
      <c r="AQ476" s="22">
        <v>248062</v>
      </c>
      <c r="AS476" s="26">
        <v>2460953</v>
      </c>
      <c r="AU476" s="23">
        <v>17.597999999999999</v>
      </c>
      <c r="AW476" s="23">
        <v>24.118400000000001</v>
      </c>
      <c r="AY476" s="23">
        <v>0</v>
      </c>
      <c r="BA476" s="23">
        <v>36.4208</v>
      </c>
      <c r="BC476" s="24">
        <v>19.481100000000001</v>
      </c>
      <c r="BE476" s="1" t="str">
        <f t="shared" si="7"/>
        <v>No</v>
      </c>
    </row>
    <row r="477" spans="1:57" ht="11.25" customHeight="1">
      <c r="A477" s="7" t="s">
        <v>721</v>
      </c>
      <c r="B477" s="7" t="s">
        <v>722</v>
      </c>
      <c r="C477" s="37" t="s">
        <v>17</v>
      </c>
      <c r="D477" s="296">
        <v>9206</v>
      </c>
      <c r="E477" s="297">
        <v>90206</v>
      </c>
      <c r="F477" s="27" t="s">
        <v>165</v>
      </c>
      <c r="G477" s="73" t="s">
        <v>158</v>
      </c>
      <c r="H477" s="35">
        <v>59219</v>
      </c>
      <c r="I477" s="35">
        <v>43</v>
      </c>
      <c r="J477" s="37" t="s">
        <v>10</v>
      </c>
      <c r="K477" s="37" t="s">
        <v>159</v>
      </c>
      <c r="L477" s="8">
        <v>21</v>
      </c>
      <c r="M477" s="8">
        <v>69615</v>
      </c>
      <c r="N477" s="9"/>
      <c r="O477" s="8">
        <v>13342</v>
      </c>
      <c r="P477" s="9"/>
      <c r="Q477" s="8">
        <v>0</v>
      </c>
      <c r="R477" s="9"/>
      <c r="S477" s="8">
        <v>5909</v>
      </c>
      <c r="T477" s="9"/>
      <c r="U477" s="8">
        <v>0</v>
      </c>
      <c r="V477" s="9"/>
      <c r="W477" s="33">
        <v>88866</v>
      </c>
      <c r="X477" s="9"/>
      <c r="Y477" s="30">
        <v>38.090000000000003</v>
      </c>
      <c r="Z477" s="9"/>
      <c r="AA477" s="30">
        <v>6.95</v>
      </c>
      <c r="AB477" s="9"/>
      <c r="AC477" s="30">
        <v>0</v>
      </c>
      <c r="AD477" s="9"/>
      <c r="AE477" s="30">
        <v>3.26</v>
      </c>
      <c r="AF477" s="9"/>
      <c r="AG477" s="30">
        <v>0</v>
      </c>
      <c r="AH477" s="9"/>
      <c r="AI477" s="32">
        <v>48.3</v>
      </c>
      <c r="AJ477" s="12"/>
      <c r="AK477" s="22">
        <v>1230846</v>
      </c>
      <c r="AM477" s="22">
        <v>334238</v>
      </c>
      <c r="AO477" s="22">
        <v>0</v>
      </c>
      <c r="AQ477" s="22">
        <v>215215</v>
      </c>
      <c r="AS477" s="26">
        <v>1780299</v>
      </c>
      <c r="AU477" s="23">
        <v>17.680800000000001</v>
      </c>
      <c r="AW477" s="23">
        <v>25.051600000000001</v>
      </c>
      <c r="AY477" s="23">
        <v>0</v>
      </c>
      <c r="BA477" s="23">
        <v>36.421599999999998</v>
      </c>
      <c r="BC477" s="24">
        <v>20.0335</v>
      </c>
      <c r="BE477" s="1" t="str">
        <f t="shared" si="7"/>
        <v>No</v>
      </c>
    </row>
    <row r="478" spans="1:57" ht="11.25" customHeight="1">
      <c r="A478" s="7" t="s">
        <v>177</v>
      </c>
      <c r="B478" s="7" t="s">
        <v>178</v>
      </c>
      <c r="C478" s="37" t="s">
        <v>73</v>
      </c>
      <c r="D478" s="296">
        <v>5166</v>
      </c>
      <c r="E478" s="297">
        <v>50166</v>
      </c>
      <c r="F478" s="27" t="s">
        <v>162</v>
      </c>
      <c r="G478" s="73" t="s">
        <v>158</v>
      </c>
      <c r="H478" s="35">
        <v>1624827</v>
      </c>
      <c r="I478" s="35">
        <v>43</v>
      </c>
      <c r="J478" s="37" t="s">
        <v>10</v>
      </c>
      <c r="K478" s="37" t="s">
        <v>159</v>
      </c>
      <c r="L478" s="8">
        <v>16</v>
      </c>
      <c r="M478" s="8">
        <v>32618</v>
      </c>
      <c r="N478" s="9"/>
      <c r="O478" s="8">
        <v>0</v>
      </c>
      <c r="P478" s="9"/>
      <c r="Q478" s="8">
        <v>0</v>
      </c>
      <c r="R478" s="9"/>
      <c r="S478" s="8">
        <v>1548</v>
      </c>
      <c r="T478" s="9"/>
      <c r="U478" s="8">
        <v>0</v>
      </c>
      <c r="V478" s="9"/>
      <c r="W478" s="33">
        <v>34166</v>
      </c>
      <c r="X478" s="9"/>
      <c r="Y478" s="30">
        <v>18</v>
      </c>
      <c r="Z478" s="9"/>
      <c r="AA478" s="30">
        <v>0</v>
      </c>
      <c r="AB478" s="9"/>
      <c r="AC478" s="30">
        <v>0</v>
      </c>
      <c r="AD478" s="9"/>
      <c r="AE478" s="30">
        <v>1</v>
      </c>
      <c r="AF478" s="9"/>
      <c r="AG478" s="30">
        <v>0</v>
      </c>
      <c r="AH478" s="9"/>
      <c r="AI478" s="32">
        <v>19</v>
      </c>
      <c r="AJ478" s="12"/>
      <c r="AK478" s="22">
        <v>351932</v>
      </c>
      <c r="AM478" s="22">
        <v>0</v>
      </c>
      <c r="AO478" s="22">
        <v>0</v>
      </c>
      <c r="AQ478" s="22">
        <v>48695</v>
      </c>
      <c r="AS478" s="26">
        <v>400627</v>
      </c>
      <c r="AU478" s="23">
        <v>10.7895</v>
      </c>
      <c r="AY478" s="23">
        <v>0</v>
      </c>
      <c r="BA478" s="23">
        <v>31.456700000000001</v>
      </c>
      <c r="BC478" s="24">
        <v>11.725899999999999</v>
      </c>
      <c r="BE478" s="1" t="str">
        <f t="shared" si="7"/>
        <v>No</v>
      </c>
    </row>
    <row r="479" spans="1:57" ht="11.25" customHeight="1">
      <c r="A479" s="7" t="s">
        <v>693</v>
      </c>
      <c r="B479" s="7" t="s">
        <v>694</v>
      </c>
      <c r="C479" s="37" t="s">
        <v>58</v>
      </c>
      <c r="D479" s="296">
        <v>4006</v>
      </c>
      <c r="E479" s="297">
        <v>40006</v>
      </c>
      <c r="F479" s="27" t="s">
        <v>165</v>
      </c>
      <c r="G479" s="73" t="s">
        <v>158</v>
      </c>
      <c r="H479" s="35">
        <v>219957</v>
      </c>
      <c r="I479" s="35">
        <v>43</v>
      </c>
      <c r="J479" s="37" t="s">
        <v>10</v>
      </c>
      <c r="K479" s="37" t="s">
        <v>159</v>
      </c>
      <c r="L479" s="8">
        <v>16</v>
      </c>
      <c r="M479" s="8">
        <v>40665</v>
      </c>
      <c r="N479" s="9"/>
      <c r="O479" s="8">
        <v>0</v>
      </c>
      <c r="P479" s="9"/>
      <c r="Q479" s="8">
        <v>941</v>
      </c>
      <c r="R479" s="9"/>
      <c r="S479" s="8">
        <v>4699</v>
      </c>
      <c r="T479" s="9"/>
      <c r="U479" s="8">
        <v>0</v>
      </c>
      <c r="V479" s="9"/>
      <c r="W479" s="33">
        <v>46305</v>
      </c>
      <c r="X479" s="9"/>
      <c r="Y479" s="30">
        <v>25</v>
      </c>
      <c r="Z479" s="9"/>
      <c r="AA479" s="30">
        <v>0</v>
      </c>
      <c r="AB479" s="9"/>
      <c r="AC479" s="30">
        <v>0.5</v>
      </c>
      <c r="AD479" s="9"/>
      <c r="AE479" s="30">
        <v>3</v>
      </c>
      <c r="AF479" s="9"/>
      <c r="AG479" s="30">
        <v>0</v>
      </c>
      <c r="AH479" s="9"/>
      <c r="AI479" s="32">
        <v>28.5</v>
      </c>
      <c r="AJ479" s="12"/>
      <c r="AK479" s="22">
        <v>503534</v>
      </c>
      <c r="AM479" s="22">
        <v>0</v>
      </c>
      <c r="AO479" s="22">
        <v>10028</v>
      </c>
      <c r="AQ479" s="22">
        <v>142383</v>
      </c>
      <c r="AS479" s="26">
        <v>655945</v>
      </c>
      <c r="AU479" s="23">
        <v>12.3825</v>
      </c>
      <c r="AY479" s="23">
        <v>0.24660000000000001</v>
      </c>
      <c r="BA479" s="23">
        <v>30.300699999999999</v>
      </c>
      <c r="BC479" s="24">
        <v>14.165699999999999</v>
      </c>
      <c r="BE479" s="1" t="str">
        <f t="shared" si="7"/>
        <v>No</v>
      </c>
    </row>
    <row r="480" spans="1:57" ht="11.25" customHeight="1">
      <c r="A480" s="7" t="s">
        <v>1132</v>
      </c>
      <c r="B480" s="7" t="s">
        <v>412</v>
      </c>
      <c r="C480" s="37" t="s">
        <v>28</v>
      </c>
      <c r="D480" s="296">
        <v>1051</v>
      </c>
      <c r="E480" s="297">
        <v>10051</v>
      </c>
      <c r="F480" s="27" t="s">
        <v>165</v>
      </c>
      <c r="G480" s="73" t="s">
        <v>158</v>
      </c>
      <c r="H480" s="35">
        <v>168136</v>
      </c>
      <c r="I480" s="35">
        <v>43</v>
      </c>
      <c r="J480" s="37" t="s">
        <v>10</v>
      </c>
      <c r="K480" s="37" t="s">
        <v>159</v>
      </c>
      <c r="L480" s="8">
        <v>15</v>
      </c>
      <c r="M480" s="8">
        <v>41924</v>
      </c>
      <c r="N480" s="9"/>
      <c r="O480" s="8">
        <v>3582</v>
      </c>
      <c r="P480" s="9"/>
      <c r="Q480" s="8">
        <v>0</v>
      </c>
      <c r="R480" s="9"/>
      <c r="S480" s="8">
        <v>5791</v>
      </c>
      <c r="T480" s="9"/>
      <c r="U480" s="8">
        <v>0</v>
      </c>
      <c r="V480" s="9"/>
      <c r="W480" s="33">
        <v>51297</v>
      </c>
      <c r="X480" s="9"/>
      <c r="Y480" s="30">
        <v>22</v>
      </c>
      <c r="Z480" s="9"/>
      <c r="AA480" s="30">
        <v>2.8</v>
      </c>
      <c r="AB480" s="9"/>
      <c r="AC480" s="30">
        <v>0</v>
      </c>
      <c r="AD480" s="9"/>
      <c r="AE480" s="30">
        <v>4.5</v>
      </c>
      <c r="AF480" s="9"/>
      <c r="AG480" s="30">
        <v>0</v>
      </c>
      <c r="AH480" s="9"/>
      <c r="AI480" s="32">
        <v>29.3</v>
      </c>
      <c r="AJ480" s="12"/>
      <c r="AK480" s="22">
        <v>927228</v>
      </c>
      <c r="AM480" s="22">
        <v>81104</v>
      </c>
      <c r="AO480" s="22">
        <v>0</v>
      </c>
      <c r="AQ480" s="22">
        <v>133948</v>
      </c>
      <c r="AS480" s="26">
        <v>1142280</v>
      </c>
      <c r="AU480" s="23">
        <v>22.116900000000001</v>
      </c>
      <c r="AW480" s="23">
        <v>22.642099999999999</v>
      </c>
      <c r="AY480" s="23">
        <v>0</v>
      </c>
      <c r="BA480" s="23">
        <v>23.130400000000002</v>
      </c>
      <c r="BC480" s="24">
        <v>22.268000000000001</v>
      </c>
      <c r="BE480" s="1" t="str">
        <f t="shared" si="7"/>
        <v>No</v>
      </c>
    </row>
    <row r="481" spans="1:57" ht="11.25" customHeight="1">
      <c r="A481" s="7" t="s">
        <v>697</v>
      </c>
      <c r="B481" s="7" t="s">
        <v>698</v>
      </c>
      <c r="C481" s="37" t="s">
        <v>9</v>
      </c>
      <c r="D481" s="296">
        <v>4103</v>
      </c>
      <c r="E481" s="297">
        <v>40103</v>
      </c>
      <c r="F481" s="27" t="s">
        <v>195</v>
      </c>
      <c r="G481" s="73" t="s">
        <v>158</v>
      </c>
      <c r="H481" s="35">
        <v>68781</v>
      </c>
      <c r="I481" s="35">
        <v>43</v>
      </c>
      <c r="J481" s="37" t="s">
        <v>10</v>
      </c>
      <c r="K481" s="37" t="s">
        <v>159</v>
      </c>
      <c r="L481" s="8">
        <v>12</v>
      </c>
      <c r="M481" s="8">
        <v>28088</v>
      </c>
      <c r="N481" s="9"/>
      <c r="O481" s="8">
        <v>0</v>
      </c>
      <c r="P481" s="9"/>
      <c r="Q481" s="8">
        <v>338</v>
      </c>
      <c r="R481" s="9"/>
      <c r="S481" s="8">
        <v>1817</v>
      </c>
      <c r="T481" s="9"/>
      <c r="U481" s="8">
        <v>0</v>
      </c>
      <c r="V481" s="9"/>
      <c r="W481" s="33">
        <v>30243</v>
      </c>
      <c r="X481" s="9"/>
      <c r="Y481" s="30">
        <v>35</v>
      </c>
      <c r="Z481" s="9"/>
      <c r="AA481" s="30">
        <v>0</v>
      </c>
      <c r="AB481" s="9"/>
      <c r="AC481" s="30">
        <v>1</v>
      </c>
      <c r="AD481" s="9"/>
      <c r="AE481" s="30">
        <v>0.87</v>
      </c>
      <c r="AF481" s="9"/>
      <c r="AG481" s="30">
        <v>0</v>
      </c>
      <c r="AH481" s="9"/>
      <c r="AI481" s="32">
        <v>36.869999999999997</v>
      </c>
      <c r="AJ481" s="12"/>
      <c r="AK481" s="22">
        <v>366215</v>
      </c>
      <c r="AM481" s="22">
        <v>0</v>
      </c>
      <c r="AO481" s="22">
        <v>2560</v>
      </c>
      <c r="AQ481" s="22">
        <v>43216</v>
      </c>
      <c r="AS481" s="26">
        <v>411991</v>
      </c>
      <c r="AU481" s="23">
        <v>13.0381</v>
      </c>
      <c r="AY481" s="23">
        <v>9.11E-2</v>
      </c>
      <c r="BA481" s="23">
        <v>23.784300000000002</v>
      </c>
      <c r="BC481" s="24">
        <v>13.6227</v>
      </c>
      <c r="BE481" s="1" t="str">
        <f t="shared" si="7"/>
        <v>No</v>
      </c>
    </row>
    <row r="482" spans="1:57" ht="11.25" customHeight="1">
      <c r="A482" s="7" t="s">
        <v>595</v>
      </c>
      <c r="B482" s="7" t="s">
        <v>596</v>
      </c>
      <c r="C482" s="37" t="s">
        <v>81</v>
      </c>
      <c r="D482" s="296">
        <v>4100</v>
      </c>
      <c r="E482" s="297">
        <v>40100</v>
      </c>
      <c r="F482" s="27" t="s">
        <v>165</v>
      </c>
      <c r="G482" s="73" t="s">
        <v>158</v>
      </c>
      <c r="H482" s="35">
        <v>73107</v>
      </c>
      <c r="I482" s="35">
        <v>43</v>
      </c>
      <c r="J482" s="37" t="s">
        <v>7</v>
      </c>
      <c r="K482" s="37" t="s">
        <v>159</v>
      </c>
      <c r="L482" s="8">
        <v>11</v>
      </c>
      <c r="M482" s="8">
        <v>21645</v>
      </c>
      <c r="N482" s="9"/>
      <c r="O482" s="8">
        <v>6749</v>
      </c>
      <c r="P482" s="9"/>
      <c r="Q482" s="8">
        <v>695</v>
      </c>
      <c r="R482" s="9"/>
      <c r="S482" s="8">
        <v>7613</v>
      </c>
      <c r="T482" s="9"/>
      <c r="U482" s="8">
        <v>0</v>
      </c>
      <c r="V482" s="9"/>
      <c r="W482" s="33">
        <v>36702</v>
      </c>
      <c r="X482" s="9"/>
      <c r="Y482" s="30">
        <v>11.41</v>
      </c>
      <c r="Z482" s="9"/>
      <c r="AA482" s="30">
        <v>3.64</v>
      </c>
      <c r="AB482" s="9"/>
      <c r="AC482" s="30">
        <v>0.52</v>
      </c>
      <c r="AD482" s="9"/>
      <c r="AE482" s="30">
        <v>4.68</v>
      </c>
      <c r="AF482" s="9"/>
      <c r="AG482" s="30">
        <v>0</v>
      </c>
      <c r="AH482" s="9"/>
      <c r="AI482" s="32">
        <v>20.25</v>
      </c>
      <c r="AJ482" s="12"/>
      <c r="AK482" s="22">
        <v>273718</v>
      </c>
      <c r="AM482" s="22">
        <v>95744</v>
      </c>
      <c r="AO482" s="22">
        <v>7558</v>
      </c>
      <c r="AQ482" s="22">
        <v>137383</v>
      </c>
      <c r="AS482" s="26">
        <v>514403</v>
      </c>
      <c r="AU482" s="23">
        <v>12.645799999999999</v>
      </c>
      <c r="AW482" s="23">
        <v>14.186400000000001</v>
      </c>
      <c r="AY482" s="23">
        <v>0.34920000000000001</v>
      </c>
      <c r="BA482" s="23">
        <v>18.0458</v>
      </c>
      <c r="BC482" s="24">
        <v>14.015700000000001</v>
      </c>
      <c r="BE482" s="1" t="str">
        <f t="shared" si="7"/>
        <v>No</v>
      </c>
    </row>
    <row r="483" spans="1:57" ht="11.25" customHeight="1">
      <c r="A483" s="7" t="s">
        <v>177</v>
      </c>
      <c r="B483" s="7" t="s">
        <v>178</v>
      </c>
      <c r="C483" s="37" t="s">
        <v>73</v>
      </c>
      <c r="D483" s="296">
        <v>5166</v>
      </c>
      <c r="E483" s="297">
        <v>50166</v>
      </c>
      <c r="F483" s="27" t="s">
        <v>162</v>
      </c>
      <c r="G483" s="73" t="s">
        <v>158</v>
      </c>
      <c r="H483" s="35">
        <v>1624827</v>
      </c>
      <c r="I483" s="35">
        <v>43</v>
      </c>
      <c r="J483" s="37" t="s">
        <v>7</v>
      </c>
      <c r="K483" s="37" t="s">
        <v>159</v>
      </c>
      <c r="L483" s="8">
        <v>9</v>
      </c>
      <c r="M483" s="8">
        <v>15848</v>
      </c>
      <c r="N483" s="9"/>
      <c r="O483" s="8">
        <v>0</v>
      </c>
      <c r="P483" s="9"/>
      <c r="Q483" s="8">
        <v>0</v>
      </c>
      <c r="R483" s="9"/>
      <c r="S483" s="8">
        <v>2192</v>
      </c>
      <c r="T483" s="9"/>
      <c r="U483" s="8">
        <v>0</v>
      </c>
      <c r="V483" s="9"/>
      <c r="W483" s="33">
        <v>18040</v>
      </c>
      <c r="X483" s="9"/>
      <c r="Y483" s="30">
        <v>10</v>
      </c>
      <c r="Z483" s="9"/>
      <c r="AA483" s="30">
        <v>0</v>
      </c>
      <c r="AB483" s="9"/>
      <c r="AC483" s="30">
        <v>0</v>
      </c>
      <c r="AD483" s="9"/>
      <c r="AE483" s="30">
        <v>1</v>
      </c>
      <c r="AF483" s="9"/>
      <c r="AG483" s="30">
        <v>0</v>
      </c>
      <c r="AH483" s="9"/>
      <c r="AI483" s="32">
        <v>11</v>
      </c>
      <c r="AJ483" s="12"/>
      <c r="AK483" s="22">
        <v>178077</v>
      </c>
      <c r="AM483" s="22">
        <v>0</v>
      </c>
      <c r="AO483" s="22">
        <v>0</v>
      </c>
      <c r="AQ483" s="22">
        <v>24634</v>
      </c>
      <c r="AS483" s="26">
        <v>202711</v>
      </c>
      <c r="AU483" s="23">
        <v>11.236599999999999</v>
      </c>
      <c r="AY483" s="23">
        <v>0</v>
      </c>
      <c r="BA483" s="23">
        <v>11.238099999999999</v>
      </c>
      <c r="BC483" s="24">
        <v>11.236800000000001</v>
      </c>
      <c r="BE483" s="1" t="str">
        <f t="shared" si="7"/>
        <v>No</v>
      </c>
    </row>
    <row r="484" spans="1:57" ht="11.25" customHeight="1">
      <c r="A484" s="7" t="s">
        <v>1104</v>
      </c>
      <c r="B484" s="7" t="s">
        <v>1105</v>
      </c>
      <c r="C484" s="37" t="s">
        <v>32</v>
      </c>
      <c r="D484" s="296"/>
      <c r="E484" s="297">
        <v>40245</v>
      </c>
      <c r="F484" s="27" t="s">
        <v>187</v>
      </c>
      <c r="G484" s="73" t="s">
        <v>158</v>
      </c>
      <c r="H484" s="35">
        <v>1065219</v>
      </c>
      <c r="I484" s="35">
        <v>43</v>
      </c>
      <c r="J484" s="37" t="s">
        <v>7</v>
      </c>
      <c r="K484" s="37" t="s">
        <v>159</v>
      </c>
      <c r="L484" s="8">
        <v>7</v>
      </c>
      <c r="M484" s="8">
        <v>17786</v>
      </c>
      <c r="N484" s="9"/>
      <c r="O484" s="8">
        <v>0</v>
      </c>
      <c r="P484" s="9"/>
      <c r="Q484" s="8">
        <v>0</v>
      </c>
      <c r="R484" s="9"/>
      <c r="S484" s="8">
        <v>19535</v>
      </c>
      <c r="T484" s="9" t="s">
        <v>121</v>
      </c>
      <c r="U484" s="8">
        <v>0</v>
      </c>
      <c r="V484" s="9"/>
      <c r="W484" s="33">
        <v>37321</v>
      </c>
      <c r="X484" s="9" t="s">
        <v>121</v>
      </c>
      <c r="Y484" s="30">
        <v>9</v>
      </c>
      <c r="Z484" s="9"/>
      <c r="AA484" s="30">
        <v>0</v>
      </c>
      <c r="AB484" s="9"/>
      <c r="AC484" s="30">
        <v>0</v>
      </c>
      <c r="AD484" s="9"/>
      <c r="AE484" s="30">
        <v>11</v>
      </c>
      <c r="AF484" s="9"/>
      <c r="AG484" s="30">
        <v>0</v>
      </c>
      <c r="AH484" s="9"/>
      <c r="AI484" s="32">
        <v>20</v>
      </c>
      <c r="AJ484" s="12"/>
      <c r="AK484" s="22">
        <v>229941</v>
      </c>
      <c r="AM484" s="22">
        <v>0</v>
      </c>
      <c r="AO484" s="22">
        <v>0</v>
      </c>
      <c r="AQ484" s="22">
        <v>78859</v>
      </c>
      <c r="AR484" s="22" t="s">
        <v>121</v>
      </c>
      <c r="AS484" s="26">
        <v>308800</v>
      </c>
      <c r="AT484" s="22" t="s">
        <v>121</v>
      </c>
      <c r="AU484" s="23">
        <v>12.9282</v>
      </c>
      <c r="AY484" s="23">
        <v>0</v>
      </c>
      <c r="BA484" s="23">
        <v>4.0368000000000004</v>
      </c>
      <c r="BB484" s="23" t="s">
        <v>121</v>
      </c>
      <c r="BC484" s="24">
        <v>8.2742000000000004</v>
      </c>
      <c r="BD484" s="1" t="s">
        <v>121</v>
      </c>
      <c r="BE484" s="1" t="str">
        <f t="shared" si="7"/>
        <v>Yes</v>
      </c>
    </row>
    <row r="485" spans="1:57" ht="11.25" customHeight="1">
      <c r="A485" s="7" t="s">
        <v>595</v>
      </c>
      <c r="B485" s="7" t="s">
        <v>596</v>
      </c>
      <c r="C485" s="37" t="s">
        <v>81</v>
      </c>
      <c r="D485" s="296">
        <v>4100</v>
      </c>
      <c r="E485" s="297">
        <v>40100</v>
      </c>
      <c r="F485" s="27" t="s">
        <v>165</v>
      </c>
      <c r="G485" s="73" t="s">
        <v>158</v>
      </c>
      <c r="H485" s="35">
        <v>73107</v>
      </c>
      <c r="I485" s="35">
        <v>43</v>
      </c>
      <c r="J485" s="37" t="s">
        <v>18</v>
      </c>
      <c r="K485" s="37" t="s">
        <v>159</v>
      </c>
      <c r="L485" s="8">
        <v>7</v>
      </c>
      <c r="M485" s="8">
        <v>12652</v>
      </c>
      <c r="N485" s="9"/>
      <c r="O485" s="8">
        <v>2076</v>
      </c>
      <c r="P485" s="9"/>
      <c r="Q485" s="8">
        <v>214</v>
      </c>
      <c r="R485" s="9"/>
      <c r="S485" s="8">
        <v>2342</v>
      </c>
      <c r="T485" s="9"/>
      <c r="U485" s="8">
        <v>0</v>
      </c>
      <c r="V485" s="9"/>
      <c r="W485" s="33">
        <v>17284</v>
      </c>
      <c r="X485" s="9"/>
      <c r="Y485" s="30">
        <v>8.92</v>
      </c>
      <c r="Z485" s="9"/>
      <c r="AA485" s="30">
        <v>1.1200000000000001</v>
      </c>
      <c r="AB485" s="9"/>
      <c r="AC485" s="30">
        <v>0.16</v>
      </c>
      <c r="AD485" s="9"/>
      <c r="AE485" s="30">
        <v>1.44</v>
      </c>
      <c r="AF485" s="9"/>
      <c r="AG485" s="30">
        <v>0</v>
      </c>
      <c r="AH485" s="9"/>
      <c r="AI485" s="32">
        <v>11.64</v>
      </c>
      <c r="AJ485" s="12"/>
      <c r="AK485" s="22">
        <v>123761</v>
      </c>
      <c r="AM485" s="22">
        <v>29460</v>
      </c>
      <c r="AO485" s="22">
        <v>2326</v>
      </c>
      <c r="AQ485" s="22">
        <v>42272</v>
      </c>
      <c r="AS485" s="26">
        <v>197819</v>
      </c>
      <c r="AU485" s="23">
        <v>9.7819000000000003</v>
      </c>
      <c r="AW485" s="23">
        <v>14.190799999999999</v>
      </c>
      <c r="AY485" s="23">
        <v>0.18379999999999999</v>
      </c>
      <c r="BA485" s="23">
        <v>18.049499999999998</v>
      </c>
      <c r="BC485" s="24">
        <v>11.4452</v>
      </c>
      <c r="BE485" s="1" t="str">
        <f t="shared" si="7"/>
        <v>No</v>
      </c>
    </row>
    <row r="486" spans="1:57" ht="11.25" customHeight="1">
      <c r="A486" s="7" t="s">
        <v>693</v>
      </c>
      <c r="B486" s="7" t="s">
        <v>694</v>
      </c>
      <c r="C486" s="37" t="s">
        <v>58</v>
      </c>
      <c r="D486" s="296">
        <v>4006</v>
      </c>
      <c r="E486" s="297">
        <v>40006</v>
      </c>
      <c r="F486" s="27" t="s">
        <v>165</v>
      </c>
      <c r="G486" s="73" t="s">
        <v>158</v>
      </c>
      <c r="H486" s="35">
        <v>219957</v>
      </c>
      <c r="I486" s="35">
        <v>43</v>
      </c>
      <c r="J486" s="37" t="s">
        <v>8</v>
      </c>
      <c r="K486" s="37" t="s">
        <v>159</v>
      </c>
      <c r="L486" s="8">
        <v>2</v>
      </c>
      <c r="M486" s="8">
        <v>0</v>
      </c>
      <c r="N486" s="9"/>
      <c r="O486" s="8">
        <v>0</v>
      </c>
      <c r="P486" s="9"/>
      <c r="Q486" s="8">
        <v>80</v>
      </c>
      <c r="R486" s="9"/>
      <c r="S486" s="8">
        <v>75</v>
      </c>
      <c r="T486" s="9"/>
      <c r="U486" s="8">
        <v>0</v>
      </c>
      <c r="V486" s="9"/>
      <c r="W486" s="33">
        <v>155</v>
      </c>
      <c r="X486" s="9"/>
      <c r="Y486" s="30">
        <v>0</v>
      </c>
      <c r="Z486" s="9"/>
      <c r="AA486" s="30">
        <v>0</v>
      </c>
      <c r="AB486" s="9"/>
      <c r="AC486" s="30">
        <v>0.05</v>
      </c>
      <c r="AD486" s="9"/>
      <c r="AE486" s="30">
        <v>0.05</v>
      </c>
      <c r="AF486" s="9"/>
      <c r="AG486" s="30">
        <v>0</v>
      </c>
      <c r="AH486" s="9"/>
      <c r="AI486" s="32">
        <v>0.1</v>
      </c>
      <c r="AJ486" s="12"/>
      <c r="AK486" s="22">
        <v>0</v>
      </c>
      <c r="AM486" s="22">
        <v>0</v>
      </c>
      <c r="AO486" s="22">
        <v>2106</v>
      </c>
      <c r="AQ486" s="22">
        <v>1770</v>
      </c>
      <c r="AS486" s="26">
        <v>3876</v>
      </c>
      <c r="BA486" s="23">
        <v>23.6</v>
      </c>
      <c r="BC486" s="24">
        <v>25.006499999999999</v>
      </c>
      <c r="BE486" s="1" t="str">
        <f t="shared" si="7"/>
        <v>No</v>
      </c>
    </row>
    <row r="487" spans="1:57" ht="11.25" customHeight="1">
      <c r="A487" s="7" t="s">
        <v>115</v>
      </c>
      <c r="B487" s="7" t="s">
        <v>481</v>
      </c>
      <c r="C487" s="37" t="s">
        <v>36</v>
      </c>
      <c r="D487" s="296">
        <v>4203</v>
      </c>
      <c r="E487" s="297">
        <v>40203</v>
      </c>
      <c r="F487" s="27" t="s">
        <v>173</v>
      </c>
      <c r="G487" s="73" t="s">
        <v>158</v>
      </c>
      <c r="H487" s="35">
        <v>4515419</v>
      </c>
      <c r="I487" s="35">
        <v>42</v>
      </c>
      <c r="J487" s="37" t="s">
        <v>8</v>
      </c>
      <c r="K487" s="37" t="s">
        <v>159</v>
      </c>
      <c r="L487" s="8">
        <v>42</v>
      </c>
      <c r="M487" s="8">
        <v>0</v>
      </c>
      <c r="N487" s="9"/>
      <c r="O487" s="8">
        <v>0</v>
      </c>
      <c r="P487" s="9"/>
      <c r="Q487" s="8">
        <v>0</v>
      </c>
      <c r="R487" s="9"/>
      <c r="S487" s="8">
        <v>3988</v>
      </c>
      <c r="T487" s="9"/>
      <c r="U487" s="8">
        <v>0</v>
      </c>
      <c r="V487" s="9"/>
      <c r="W487" s="33">
        <v>3988</v>
      </c>
      <c r="X487" s="9"/>
      <c r="Y487" s="30">
        <v>0</v>
      </c>
      <c r="Z487" s="9"/>
      <c r="AA487" s="30">
        <v>0</v>
      </c>
      <c r="AB487" s="9"/>
      <c r="AC487" s="30">
        <v>0</v>
      </c>
      <c r="AD487" s="9"/>
      <c r="AE487" s="30">
        <v>2</v>
      </c>
      <c r="AF487" s="9"/>
      <c r="AG487" s="30">
        <v>0</v>
      </c>
      <c r="AH487" s="9"/>
      <c r="AI487" s="32">
        <v>2</v>
      </c>
      <c r="AJ487" s="12"/>
      <c r="AK487" s="22">
        <v>0</v>
      </c>
      <c r="AM487" s="22">
        <v>0</v>
      </c>
      <c r="AO487" s="22">
        <v>0</v>
      </c>
      <c r="AQ487" s="22">
        <v>122890</v>
      </c>
      <c r="AS487" s="26">
        <v>122890</v>
      </c>
      <c r="BA487" s="23">
        <v>30.814900000000002</v>
      </c>
      <c r="BC487" s="24">
        <v>30.814900000000002</v>
      </c>
      <c r="BE487" s="1" t="str">
        <f t="shared" si="7"/>
        <v>No</v>
      </c>
    </row>
    <row r="488" spans="1:57" ht="11.25" customHeight="1">
      <c r="A488" s="7" t="s">
        <v>331</v>
      </c>
      <c r="B488" s="7" t="s">
        <v>329</v>
      </c>
      <c r="C488" s="37" t="s">
        <v>28</v>
      </c>
      <c r="D488" s="296">
        <v>1056</v>
      </c>
      <c r="E488" s="297">
        <v>10056</v>
      </c>
      <c r="F488" s="27" t="s">
        <v>157</v>
      </c>
      <c r="G488" s="73" t="s">
        <v>158</v>
      </c>
      <c r="H488" s="35">
        <v>923311</v>
      </c>
      <c r="I488" s="35">
        <v>42</v>
      </c>
      <c r="J488" s="37" t="s">
        <v>7</v>
      </c>
      <c r="K488" s="37" t="s">
        <v>159</v>
      </c>
      <c r="L488" s="8">
        <v>42</v>
      </c>
      <c r="M488" s="8">
        <v>202317</v>
      </c>
      <c r="N488" s="9"/>
      <c r="O488" s="8">
        <v>46002</v>
      </c>
      <c r="P488" s="9"/>
      <c r="Q488" s="8">
        <v>4744</v>
      </c>
      <c r="R488" s="9"/>
      <c r="S488" s="8">
        <v>18697</v>
      </c>
      <c r="T488" s="9"/>
      <c r="U488" s="8">
        <v>0</v>
      </c>
      <c r="V488" s="9"/>
      <c r="W488" s="33">
        <v>271760</v>
      </c>
      <c r="X488" s="9"/>
      <c r="Y488" s="30">
        <v>102</v>
      </c>
      <c r="Z488" s="9"/>
      <c r="AA488" s="30">
        <v>21</v>
      </c>
      <c r="AB488" s="9"/>
      <c r="AC488" s="30">
        <v>3</v>
      </c>
      <c r="AD488" s="9"/>
      <c r="AE488" s="30">
        <v>13</v>
      </c>
      <c r="AF488" s="9"/>
      <c r="AG488" s="30">
        <v>0</v>
      </c>
      <c r="AH488" s="9"/>
      <c r="AI488" s="32">
        <v>139</v>
      </c>
      <c r="AJ488" s="12"/>
      <c r="AK488" s="22">
        <v>5730528</v>
      </c>
      <c r="AM488" s="22">
        <v>1462403</v>
      </c>
      <c r="AO488" s="22">
        <v>158165</v>
      </c>
      <c r="AQ488" s="22">
        <v>491562</v>
      </c>
      <c r="AS488" s="26">
        <v>7842658</v>
      </c>
      <c r="AU488" s="23">
        <v>28.3245</v>
      </c>
      <c r="AW488" s="23">
        <v>31.79</v>
      </c>
      <c r="AY488" s="23">
        <v>0.78180000000000005</v>
      </c>
      <c r="BA488" s="23">
        <v>26.291</v>
      </c>
      <c r="BC488" s="24">
        <v>28.858799999999999</v>
      </c>
      <c r="BE488" s="1" t="str">
        <f t="shared" si="7"/>
        <v>No</v>
      </c>
    </row>
    <row r="489" spans="1:57" ht="11.25" customHeight="1">
      <c r="A489" s="7" t="s">
        <v>525</v>
      </c>
      <c r="B489" s="7" t="s">
        <v>526</v>
      </c>
      <c r="C489" s="37" t="s">
        <v>9</v>
      </c>
      <c r="D489" s="296">
        <v>4068</v>
      </c>
      <c r="E489" s="297">
        <v>40068</v>
      </c>
      <c r="F489" s="27" t="s">
        <v>195</v>
      </c>
      <c r="G489" s="73" t="s">
        <v>158</v>
      </c>
      <c r="H489" s="35">
        <v>77074</v>
      </c>
      <c r="I489" s="35">
        <v>42</v>
      </c>
      <c r="J489" s="37" t="s">
        <v>10</v>
      </c>
      <c r="K489" s="37" t="s">
        <v>159</v>
      </c>
      <c r="L489" s="8">
        <v>42</v>
      </c>
      <c r="M489" s="8">
        <v>39741</v>
      </c>
      <c r="N489" s="9"/>
      <c r="O489" s="8">
        <v>0</v>
      </c>
      <c r="P489" s="9"/>
      <c r="Q489" s="8">
        <v>0</v>
      </c>
      <c r="R489" s="9"/>
      <c r="S489" s="8">
        <v>4105</v>
      </c>
      <c r="T489" s="9"/>
      <c r="U489" s="8">
        <v>0</v>
      </c>
      <c r="V489" s="9"/>
      <c r="W489" s="33">
        <v>43846</v>
      </c>
      <c r="X489" s="9"/>
      <c r="Y489" s="30">
        <v>36</v>
      </c>
      <c r="Z489" s="9"/>
      <c r="AA489" s="30">
        <v>0</v>
      </c>
      <c r="AB489" s="9"/>
      <c r="AC489" s="30">
        <v>0</v>
      </c>
      <c r="AD489" s="9"/>
      <c r="AE489" s="30">
        <v>3</v>
      </c>
      <c r="AF489" s="9"/>
      <c r="AG489" s="30">
        <v>0</v>
      </c>
      <c r="AH489" s="9"/>
      <c r="AI489" s="32">
        <v>39</v>
      </c>
      <c r="AJ489" s="12"/>
      <c r="AK489" s="22">
        <v>400368</v>
      </c>
      <c r="AM489" s="22">
        <v>0</v>
      </c>
      <c r="AO489" s="22">
        <v>0</v>
      </c>
      <c r="AQ489" s="22">
        <v>126295</v>
      </c>
      <c r="AS489" s="26">
        <v>526663</v>
      </c>
      <c r="AU489" s="23">
        <v>10.074400000000001</v>
      </c>
      <c r="AY489" s="23">
        <v>0</v>
      </c>
      <c r="BA489" s="23">
        <v>30.766100000000002</v>
      </c>
      <c r="BC489" s="24">
        <v>12.011699999999999</v>
      </c>
      <c r="BE489" s="1" t="str">
        <f t="shared" si="7"/>
        <v>No</v>
      </c>
    </row>
    <row r="490" spans="1:57" ht="11.25" customHeight="1">
      <c r="A490" s="7" t="s">
        <v>193</v>
      </c>
      <c r="B490" s="7" t="s">
        <v>194</v>
      </c>
      <c r="C490" s="37" t="s">
        <v>86</v>
      </c>
      <c r="D490" s="296">
        <v>3091</v>
      </c>
      <c r="E490" s="297">
        <v>30091</v>
      </c>
      <c r="F490" s="27" t="s">
        <v>162</v>
      </c>
      <c r="G490" s="73" t="s">
        <v>158</v>
      </c>
      <c r="H490" s="35">
        <v>88542</v>
      </c>
      <c r="I490" s="35">
        <v>42</v>
      </c>
      <c r="J490" s="37" t="s">
        <v>7</v>
      </c>
      <c r="K490" s="37" t="s">
        <v>159</v>
      </c>
      <c r="L490" s="8">
        <v>34</v>
      </c>
      <c r="M490" s="8">
        <v>107210</v>
      </c>
      <c r="N490" s="9"/>
      <c r="O490" s="8">
        <v>19589</v>
      </c>
      <c r="P490" s="9"/>
      <c r="Q490" s="8">
        <v>418</v>
      </c>
      <c r="R490" s="9"/>
      <c r="S490" s="8">
        <v>37280</v>
      </c>
      <c r="T490" s="9"/>
      <c r="U490" s="8">
        <v>0</v>
      </c>
      <c r="V490" s="9"/>
      <c r="W490" s="33">
        <v>164497</v>
      </c>
      <c r="X490" s="9"/>
      <c r="Y490" s="30">
        <v>175.5</v>
      </c>
      <c r="Z490" s="9"/>
      <c r="AA490" s="30">
        <v>12.67</v>
      </c>
      <c r="AB490" s="9"/>
      <c r="AC490" s="30">
        <v>0.22</v>
      </c>
      <c r="AD490" s="9"/>
      <c r="AE490" s="30">
        <v>21</v>
      </c>
      <c r="AF490" s="9"/>
      <c r="AG490" s="30">
        <v>0</v>
      </c>
      <c r="AH490" s="9"/>
      <c r="AI490" s="32">
        <v>209.39</v>
      </c>
      <c r="AJ490" s="12"/>
      <c r="AK490" s="22">
        <v>1507563</v>
      </c>
      <c r="AM490" s="22">
        <v>415515</v>
      </c>
      <c r="AO490" s="22">
        <v>13514</v>
      </c>
      <c r="AQ490" s="22">
        <v>942018</v>
      </c>
      <c r="AS490" s="26">
        <v>2878610</v>
      </c>
      <c r="AU490" s="23">
        <v>14.0618</v>
      </c>
      <c r="AW490" s="23">
        <v>21.211600000000001</v>
      </c>
      <c r="AY490" s="23">
        <v>0.12609999999999999</v>
      </c>
      <c r="BA490" s="23">
        <v>25.268699999999999</v>
      </c>
      <c r="BC490" s="24">
        <v>17.499500000000001</v>
      </c>
      <c r="BE490" s="1" t="str">
        <f t="shared" si="7"/>
        <v>No</v>
      </c>
    </row>
    <row r="491" spans="1:57" ht="11.25" customHeight="1">
      <c r="A491" s="7" t="s">
        <v>372</v>
      </c>
      <c r="B491" s="7" t="s">
        <v>373</v>
      </c>
      <c r="C491" s="37" t="s">
        <v>42</v>
      </c>
      <c r="D491" s="296">
        <v>5044</v>
      </c>
      <c r="E491" s="297">
        <v>50044</v>
      </c>
      <c r="F491" s="27" t="s">
        <v>165</v>
      </c>
      <c r="G491" s="73" t="s">
        <v>158</v>
      </c>
      <c r="H491" s="35">
        <v>313492</v>
      </c>
      <c r="I491" s="35">
        <v>42</v>
      </c>
      <c r="J491" s="37" t="s">
        <v>7</v>
      </c>
      <c r="K491" s="37" t="s">
        <v>159</v>
      </c>
      <c r="L491" s="8">
        <v>30</v>
      </c>
      <c r="M491" s="8">
        <v>144193</v>
      </c>
      <c r="N491" s="9"/>
      <c r="O491" s="8">
        <v>22004</v>
      </c>
      <c r="P491" s="9"/>
      <c r="Q491" s="8">
        <v>2717</v>
      </c>
      <c r="R491" s="9"/>
      <c r="S491" s="8">
        <v>7343</v>
      </c>
      <c r="T491" s="9"/>
      <c r="U491" s="8">
        <v>0</v>
      </c>
      <c r="V491" s="9"/>
      <c r="W491" s="33">
        <v>176257</v>
      </c>
      <c r="X491" s="9"/>
      <c r="Y491" s="30">
        <v>76.8</v>
      </c>
      <c r="Z491" s="9"/>
      <c r="AA491" s="30">
        <v>13.4</v>
      </c>
      <c r="AB491" s="9"/>
      <c r="AC491" s="30">
        <v>1.3</v>
      </c>
      <c r="AD491" s="9"/>
      <c r="AE491" s="30">
        <v>3.9</v>
      </c>
      <c r="AF491" s="9"/>
      <c r="AG491" s="30">
        <v>0</v>
      </c>
      <c r="AH491" s="9"/>
      <c r="AI491" s="32">
        <v>95.4</v>
      </c>
      <c r="AJ491" s="12"/>
      <c r="AK491" s="22">
        <v>3215180</v>
      </c>
      <c r="AM491" s="22">
        <v>524279</v>
      </c>
      <c r="AO491" s="22">
        <v>47549</v>
      </c>
      <c r="AQ491" s="22">
        <v>181226</v>
      </c>
      <c r="AS491" s="26">
        <v>3968234</v>
      </c>
      <c r="AU491" s="23">
        <v>22.297799999999999</v>
      </c>
      <c r="AW491" s="23">
        <v>23.826499999999999</v>
      </c>
      <c r="AY491" s="23">
        <v>0.32979999999999998</v>
      </c>
      <c r="BA491" s="23">
        <v>24.680099999999999</v>
      </c>
      <c r="BC491" s="24">
        <v>22.5139</v>
      </c>
      <c r="BE491" s="1" t="str">
        <f t="shared" si="7"/>
        <v>No</v>
      </c>
    </row>
    <row r="492" spans="1:57" ht="11.25" customHeight="1">
      <c r="A492" s="7" t="s">
        <v>1133</v>
      </c>
      <c r="B492" s="7" t="s">
        <v>782</v>
      </c>
      <c r="C492" s="37" t="s">
        <v>77</v>
      </c>
      <c r="D492" s="296" t="s">
        <v>783</v>
      </c>
      <c r="E492" s="297">
        <v>30137</v>
      </c>
      <c r="F492" s="27" t="s">
        <v>165</v>
      </c>
      <c r="G492" s="73" t="s">
        <v>158</v>
      </c>
      <c r="H492" s="35">
        <v>54316</v>
      </c>
      <c r="I492" s="35">
        <v>42</v>
      </c>
      <c r="J492" s="37" t="s">
        <v>10</v>
      </c>
      <c r="K492" s="37" t="s">
        <v>159</v>
      </c>
      <c r="L492" s="8">
        <v>27</v>
      </c>
      <c r="M492" s="8">
        <v>48262</v>
      </c>
      <c r="N492" s="9"/>
      <c r="O492" s="8">
        <v>7879</v>
      </c>
      <c r="P492" s="9"/>
      <c r="Q492" s="8">
        <v>1711</v>
      </c>
      <c r="R492" s="9"/>
      <c r="S492" s="8">
        <v>21567</v>
      </c>
      <c r="T492" s="9"/>
      <c r="U492" s="8">
        <v>0</v>
      </c>
      <c r="V492" s="9"/>
      <c r="W492" s="33">
        <v>79419</v>
      </c>
      <c r="X492" s="9"/>
      <c r="Y492" s="30">
        <v>45</v>
      </c>
      <c r="Z492" s="9"/>
      <c r="AA492" s="30">
        <v>3</v>
      </c>
      <c r="AB492" s="9"/>
      <c r="AC492" s="30">
        <v>1.5</v>
      </c>
      <c r="AD492" s="9"/>
      <c r="AE492" s="30">
        <v>16</v>
      </c>
      <c r="AF492" s="9"/>
      <c r="AG492" s="30">
        <v>0</v>
      </c>
      <c r="AH492" s="9"/>
      <c r="AI492" s="32">
        <v>65.5</v>
      </c>
      <c r="AJ492" s="12"/>
      <c r="AK492" s="22">
        <v>654393</v>
      </c>
      <c r="AM492" s="22">
        <v>145306</v>
      </c>
      <c r="AO492" s="22">
        <v>25792</v>
      </c>
      <c r="AQ492" s="22">
        <v>419772</v>
      </c>
      <c r="AS492" s="26">
        <v>1245263</v>
      </c>
      <c r="AU492" s="23">
        <v>13.559200000000001</v>
      </c>
      <c r="AW492" s="23">
        <v>18.4422</v>
      </c>
      <c r="AY492" s="23">
        <v>0.53439999999999999</v>
      </c>
      <c r="BA492" s="23">
        <v>19.4636</v>
      </c>
      <c r="BC492" s="24">
        <v>15.6797</v>
      </c>
      <c r="BE492" s="1" t="str">
        <f t="shared" si="7"/>
        <v>No</v>
      </c>
    </row>
    <row r="493" spans="1:57" ht="11.25" customHeight="1">
      <c r="A493" s="7" t="s">
        <v>606</v>
      </c>
      <c r="B493" s="7" t="s">
        <v>607</v>
      </c>
      <c r="C493" s="37" t="s">
        <v>82</v>
      </c>
      <c r="D493" s="296">
        <v>8002</v>
      </c>
      <c r="E493" s="297">
        <v>80002</v>
      </c>
      <c r="F493" s="27" t="s">
        <v>243</v>
      </c>
      <c r="G493" s="73" t="s">
        <v>158</v>
      </c>
      <c r="H493" s="35">
        <v>156777</v>
      </c>
      <c r="I493" s="35">
        <v>42</v>
      </c>
      <c r="J493" s="37" t="s">
        <v>7</v>
      </c>
      <c r="K493" s="37" t="s">
        <v>159</v>
      </c>
      <c r="L493" s="8">
        <v>22</v>
      </c>
      <c r="M493" s="8">
        <v>73510</v>
      </c>
      <c r="N493" s="9"/>
      <c r="O493" s="8">
        <v>10430</v>
      </c>
      <c r="P493" s="9"/>
      <c r="Q493" s="8">
        <v>6699</v>
      </c>
      <c r="R493" s="9"/>
      <c r="S493" s="8">
        <v>5432</v>
      </c>
      <c r="T493" s="9"/>
      <c r="U493" s="8">
        <v>0</v>
      </c>
      <c r="V493" s="9"/>
      <c r="W493" s="33">
        <v>96071</v>
      </c>
      <c r="X493" s="9"/>
      <c r="Y493" s="30">
        <v>37</v>
      </c>
      <c r="Z493" s="9"/>
      <c r="AA493" s="30">
        <v>6.5</v>
      </c>
      <c r="AB493" s="9"/>
      <c r="AC493" s="30">
        <v>4.0999999999999996</v>
      </c>
      <c r="AD493" s="9"/>
      <c r="AE493" s="30">
        <v>3.5</v>
      </c>
      <c r="AF493" s="9"/>
      <c r="AG493" s="30">
        <v>0</v>
      </c>
      <c r="AH493" s="9"/>
      <c r="AI493" s="32">
        <v>51.1</v>
      </c>
      <c r="AJ493" s="12"/>
      <c r="AK493" s="22">
        <v>1658180</v>
      </c>
      <c r="AM493" s="22">
        <v>211691</v>
      </c>
      <c r="AO493" s="22">
        <v>93713</v>
      </c>
      <c r="AQ493" s="22">
        <v>91394</v>
      </c>
      <c r="AS493" s="26">
        <v>2054978</v>
      </c>
      <c r="AU493" s="23">
        <v>22.557200000000002</v>
      </c>
      <c r="AW493" s="23">
        <v>20.296399999999998</v>
      </c>
      <c r="AY493" s="23">
        <v>1.2747999999999999</v>
      </c>
      <c r="BA493" s="23">
        <v>16.825099999999999</v>
      </c>
      <c r="BC493" s="24">
        <v>21.3902</v>
      </c>
      <c r="BE493" s="1" t="str">
        <f t="shared" si="7"/>
        <v>No</v>
      </c>
    </row>
    <row r="494" spans="1:57" ht="11.25" customHeight="1">
      <c r="A494" s="7" t="s">
        <v>606</v>
      </c>
      <c r="B494" s="7" t="s">
        <v>607</v>
      </c>
      <c r="C494" s="37" t="s">
        <v>82</v>
      </c>
      <c r="D494" s="296">
        <v>8002</v>
      </c>
      <c r="E494" s="297">
        <v>80002</v>
      </c>
      <c r="F494" s="27" t="s">
        <v>243</v>
      </c>
      <c r="G494" s="73" t="s">
        <v>158</v>
      </c>
      <c r="H494" s="35">
        <v>156777</v>
      </c>
      <c r="I494" s="35">
        <v>42</v>
      </c>
      <c r="J494" s="37" t="s">
        <v>10</v>
      </c>
      <c r="K494" s="37" t="s">
        <v>159</v>
      </c>
      <c r="L494" s="8">
        <v>20</v>
      </c>
      <c r="M494" s="8">
        <v>53888</v>
      </c>
      <c r="N494" s="9"/>
      <c r="O494" s="8">
        <v>5704</v>
      </c>
      <c r="P494" s="9"/>
      <c r="Q494" s="8">
        <v>4690</v>
      </c>
      <c r="R494" s="9"/>
      <c r="S494" s="8">
        <v>14326</v>
      </c>
      <c r="T494" s="9"/>
      <c r="U494" s="8">
        <v>0</v>
      </c>
      <c r="V494" s="9"/>
      <c r="W494" s="33">
        <v>78608</v>
      </c>
      <c r="X494" s="9"/>
      <c r="Y494" s="30">
        <v>29</v>
      </c>
      <c r="Z494" s="9"/>
      <c r="AA494" s="30">
        <v>3.8</v>
      </c>
      <c r="AB494" s="9"/>
      <c r="AC494" s="30">
        <v>2.8</v>
      </c>
      <c r="AD494" s="9"/>
      <c r="AE494" s="30">
        <v>9.5</v>
      </c>
      <c r="AF494" s="9"/>
      <c r="AG494" s="30">
        <v>0</v>
      </c>
      <c r="AH494" s="9"/>
      <c r="AI494" s="32">
        <v>45.1</v>
      </c>
      <c r="AJ494" s="12"/>
      <c r="AK494" s="22">
        <v>1223701</v>
      </c>
      <c r="AM494" s="22">
        <v>153294</v>
      </c>
      <c r="AO494" s="22">
        <v>67861</v>
      </c>
      <c r="AQ494" s="22">
        <v>272058</v>
      </c>
      <c r="AS494" s="26">
        <v>1716914</v>
      </c>
      <c r="AU494" s="23">
        <v>22.708200000000001</v>
      </c>
      <c r="AW494" s="23">
        <v>26.8748</v>
      </c>
      <c r="AY494" s="23">
        <v>1.2593000000000001</v>
      </c>
      <c r="BA494" s="23">
        <v>18.990500000000001</v>
      </c>
      <c r="BC494" s="24">
        <v>21.8415</v>
      </c>
      <c r="BE494" s="1" t="str">
        <f t="shared" si="7"/>
        <v>No</v>
      </c>
    </row>
    <row r="495" spans="1:57" ht="11.25" customHeight="1">
      <c r="A495" s="7" t="s">
        <v>372</v>
      </c>
      <c r="B495" s="7" t="s">
        <v>373</v>
      </c>
      <c r="C495" s="37" t="s">
        <v>42</v>
      </c>
      <c r="D495" s="296">
        <v>5044</v>
      </c>
      <c r="E495" s="297">
        <v>50044</v>
      </c>
      <c r="F495" s="27" t="s">
        <v>165</v>
      </c>
      <c r="G495" s="73" t="s">
        <v>158</v>
      </c>
      <c r="H495" s="35">
        <v>313492</v>
      </c>
      <c r="I495" s="35">
        <v>42</v>
      </c>
      <c r="J495" s="37" t="s">
        <v>10</v>
      </c>
      <c r="K495" s="37" t="s">
        <v>159</v>
      </c>
      <c r="L495" s="8">
        <v>12</v>
      </c>
      <c r="M495" s="8">
        <v>40288</v>
      </c>
      <c r="N495" s="9"/>
      <c r="O495" s="8">
        <v>2945</v>
      </c>
      <c r="P495" s="9"/>
      <c r="Q495" s="8">
        <v>768</v>
      </c>
      <c r="R495" s="9"/>
      <c r="S495" s="8">
        <v>2072</v>
      </c>
      <c r="T495" s="9"/>
      <c r="U495" s="8">
        <v>0</v>
      </c>
      <c r="V495" s="9"/>
      <c r="W495" s="33">
        <v>46073</v>
      </c>
      <c r="X495" s="9"/>
      <c r="Y495" s="30">
        <v>20.2</v>
      </c>
      <c r="Z495" s="9"/>
      <c r="AA495" s="30">
        <v>1.9</v>
      </c>
      <c r="AB495" s="9"/>
      <c r="AC495" s="30">
        <v>0.4</v>
      </c>
      <c r="AD495" s="9"/>
      <c r="AE495" s="30">
        <v>1.1000000000000001</v>
      </c>
      <c r="AF495" s="9"/>
      <c r="AG495" s="30">
        <v>0</v>
      </c>
      <c r="AH495" s="9"/>
      <c r="AI495" s="32">
        <v>23.6</v>
      </c>
      <c r="AJ495" s="12"/>
      <c r="AK495" s="22">
        <v>728759</v>
      </c>
      <c r="AM495" s="22">
        <v>64427</v>
      </c>
      <c r="AO495" s="22">
        <v>13418</v>
      </c>
      <c r="AQ495" s="22">
        <v>51140</v>
      </c>
      <c r="AS495" s="26">
        <v>857744</v>
      </c>
      <c r="AU495" s="23">
        <v>18.088699999999999</v>
      </c>
      <c r="AW495" s="23">
        <v>21.8767</v>
      </c>
      <c r="AY495" s="23">
        <v>0.33310000000000001</v>
      </c>
      <c r="BA495" s="23">
        <v>24.6815</v>
      </c>
      <c r="BC495" s="24">
        <v>18.617100000000001</v>
      </c>
      <c r="BE495" s="1" t="str">
        <f t="shared" si="7"/>
        <v>No</v>
      </c>
    </row>
    <row r="496" spans="1:57" ht="11.25" customHeight="1">
      <c r="A496" s="7" t="s">
        <v>1133</v>
      </c>
      <c r="B496" s="7" t="s">
        <v>782</v>
      </c>
      <c r="C496" s="37" t="s">
        <v>77</v>
      </c>
      <c r="D496" s="296" t="s">
        <v>783</v>
      </c>
      <c r="E496" s="297">
        <v>30137</v>
      </c>
      <c r="F496" s="27" t="s">
        <v>165</v>
      </c>
      <c r="G496" s="73" t="s">
        <v>158</v>
      </c>
      <c r="H496" s="35">
        <v>54316</v>
      </c>
      <c r="I496" s="35">
        <v>42</v>
      </c>
      <c r="J496" s="37" t="s">
        <v>7</v>
      </c>
      <c r="K496" s="37" t="s">
        <v>159</v>
      </c>
      <c r="L496" s="8">
        <v>10</v>
      </c>
      <c r="M496" s="8">
        <v>43960</v>
      </c>
      <c r="N496" s="9"/>
      <c r="O496" s="8">
        <v>8946</v>
      </c>
      <c r="P496" s="9"/>
      <c r="Q496" s="8">
        <v>2775</v>
      </c>
      <c r="R496" s="9"/>
      <c r="S496" s="8">
        <v>24321</v>
      </c>
      <c r="T496" s="9"/>
      <c r="U496" s="8">
        <v>0</v>
      </c>
      <c r="V496" s="9"/>
      <c r="W496" s="33">
        <v>80002</v>
      </c>
      <c r="X496" s="9"/>
      <c r="Y496" s="30">
        <v>27</v>
      </c>
      <c r="Z496" s="9"/>
      <c r="AA496" s="30">
        <v>4</v>
      </c>
      <c r="AB496" s="9"/>
      <c r="AC496" s="30">
        <v>1.5</v>
      </c>
      <c r="AD496" s="9"/>
      <c r="AE496" s="30">
        <v>16</v>
      </c>
      <c r="AF496" s="9"/>
      <c r="AG496" s="30">
        <v>0</v>
      </c>
      <c r="AH496" s="9"/>
      <c r="AI496" s="32">
        <v>48.5</v>
      </c>
      <c r="AJ496" s="12"/>
      <c r="AK496" s="22">
        <v>726588</v>
      </c>
      <c r="AM496" s="22">
        <v>171478</v>
      </c>
      <c r="AO496" s="22">
        <v>37642</v>
      </c>
      <c r="AQ496" s="22">
        <v>473360</v>
      </c>
      <c r="AS496" s="26">
        <v>1409068</v>
      </c>
      <c r="AU496" s="23">
        <v>16.528400000000001</v>
      </c>
      <c r="AW496" s="23">
        <v>19.168099999999999</v>
      </c>
      <c r="AY496" s="23">
        <v>0.85629999999999995</v>
      </c>
      <c r="BA496" s="23">
        <v>19.463000000000001</v>
      </c>
      <c r="BC496" s="24">
        <v>17.6129</v>
      </c>
      <c r="BE496" s="1" t="str">
        <f t="shared" si="7"/>
        <v>No</v>
      </c>
    </row>
    <row r="497" spans="1:57" ht="11.25" customHeight="1">
      <c r="A497" s="7" t="s">
        <v>193</v>
      </c>
      <c r="B497" s="7" t="s">
        <v>194</v>
      </c>
      <c r="C497" s="37" t="s">
        <v>86</v>
      </c>
      <c r="D497" s="296">
        <v>3091</v>
      </c>
      <c r="E497" s="297">
        <v>30091</v>
      </c>
      <c r="F497" s="27" t="s">
        <v>162</v>
      </c>
      <c r="G497" s="73" t="s">
        <v>158</v>
      </c>
      <c r="H497" s="35">
        <v>88542</v>
      </c>
      <c r="I497" s="35">
        <v>42</v>
      </c>
      <c r="J497" s="37" t="s">
        <v>10</v>
      </c>
      <c r="K497" s="37" t="s">
        <v>159</v>
      </c>
      <c r="L497" s="8">
        <v>8</v>
      </c>
      <c r="M497" s="8">
        <v>20878</v>
      </c>
      <c r="N497" s="9"/>
      <c r="O497" s="8">
        <v>2176</v>
      </c>
      <c r="P497" s="9"/>
      <c r="Q497" s="8">
        <v>46</v>
      </c>
      <c r="R497" s="9"/>
      <c r="S497" s="8">
        <v>4142</v>
      </c>
      <c r="T497" s="9"/>
      <c r="U497" s="8">
        <v>0</v>
      </c>
      <c r="V497" s="9"/>
      <c r="W497" s="33">
        <v>27242</v>
      </c>
      <c r="X497" s="9"/>
      <c r="Y497" s="30">
        <v>13.5</v>
      </c>
      <c r="Z497" s="9"/>
      <c r="AA497" s="30">
        <v>1.63</v>
      </c>
      <c r="AB497" s="9"/>
      <c r="AC497" s="30">
        <v>0.03</v>
      </c>
      <c r="AD497" s="9"/>
      <c r="AE497" s="30">
        <v>2.79</v>
      </c>
      <c r="AF497" s="9"/>
      <c r="AG497" s="30">
        <v>0</v>
      </c>
      <c r="AH497" s="9"/>
      <c r="AI497" s="32">
        <v>17.95</v>
      </c>
      <c r="AJ497" s="12"/>
      <c r="AK497" s="22">
        <v>318894</v>
      </c>
      <c r="AM497" s="22">
        <v>41545</v>
      </c>
      <c r="AO497" s="22">
        <v>1337</v>
      </c>
      <c r="AQ497" s="22">
        <v>123562</v>
      </c>
      <c r="AS497" s="26">
        <v>485338</v>
      </c>
      <c r="AU497" s="23">
        <v>15.2742</v>
      </c>
      <c r="AW497" s="23">
        <v>19.092400000000001</v>
      </c>
      <c r="AY497" s="23">
        <v>6.4000000000000001E-2</v>
      </c>
      <c r="BA497" s="23">
        <v>29.831499999999998</v>
      </c>
      <c r="BC497" s="24">
        <v>17.815799999999999</v>
      </c>
      <c r="BE497" s="1" t="str">
        <f t="shared" si="7"/>
        <v>No</v>
      </c>
    </row>
    <row r="498" spans="1:57" ht="11.25" customHeight="1">
      <c r="A498" s="7" t="s">
        <v>1134</v>
      </c>
      <c r="B498" s="7" t="s">
        <v>1135</v>
      </c>
      <c r="C498" s="37" t="s">
        <v>77</v>
      </c>
      <c r="D498" s="296">
        <v>3102</v>
      </c>
      <c r="E498" s="297">
        <v>30102</v>
      </c>
      <c r="F498" s="27" t="s">
        <v>173</v>
      </c>
      <c r="G498" s="73" t="s">
        <v>158</v>
      </c>
      <c r="H498" s="35">
        <v>18351295</v>
      </c>
      <c r="I498" s="35">
        <v>41</v>
      </c>
      <c r="J498" s="37" t="s">
        <v>18</v>
      </c>
      <c r="K498" s="37" t="s">
        <v>159</v>
      </c>
      <c r="L498" s="8">
        <v>41</v>
      </c>
      <c r="M498" s="8">
        <v>148914</v>
      </c>
      <c r="N498" s="9"/>
      <c r="O498" s="8">
        <v>23778</v>
      </c>
      <c r="P498" s="9"/>
      <c r="Q498" s="8">
        <v>16751</v>
      </c>
      <c r="R498" s="9"/>
      <c r="S498" s="8">
        <v>95343</v>
      </c>
      <c r="T498" s="9"/>
      <c r="U498" s="8">
        <v>0</v>
      </c>
      <c r="V498" s="9"/>
      <c r="W498" s="33">
        <v>284786</v>
      </c>
      <c r="X498" s="9"/>
      <c r="Y498" s="30">
        <v>91</v>
      </c>
      <c r="Z498" s="9"/>
      <c r="AA498" s="30">
        <v>12</v>
      </c>
      <c r="AB498" s="9"/>
      <c r="AC498" s="30">
        <v>14</v>
      </c>
      <c r="AD498" s="9"/>
      <c r="AE498" s="30">
        <v>63</v>
      </c>
      <c r="AF498" s="9"/>
      <c r="AG498" s="30">
        <v>0</v>
      </c>
      <c r="AH498" s="9"/>
      <c r="AI498" s="32">
        <v>180</v>
      </c>
      <c r="AJ498" s="12"/>
      <c r="AK498" s="22">
        <v>3412385</v>
      </c>
      <c r="AM498" s="22">
        <v>732527</v>
      </c>
      <c r="AO498" s="22">
        <v>320606</v>
      </c>
      <c r="AQ498" s="22">
        <v>1193433</v>
      </c>
      <c r="AS498" s="26">
        <v>5658951</v>
      </c>
      <c r="AU498" s="23">
        <v>22.915099999999999</v>
      </c>
      <c r="AW498" s="23">
        <v>30.806899999999999</v>
      </c>
      <c r="AY498" s="23">
        <v>2.153</v>
      </c>
      <c r="BA498" s="23">
        <v>12.517300000000001</v>
      </c>
      <c r="BC498" s="24">
        <v>19.870899999999999</v>
      </c>
      <c r="BE498" s="1" t="str">
        <f t="shared" si="7"/>
        <v>No</v>
      </c>
    </row>
    <row r="499" spans="1:57" ht="11.25" customHeight="1">
      <c r="A499" s="7" t="s">
        <v>765</v>
      </c>
      <c r="B499" s="7" t="s">
        <v>766</v>
      </c>
      <c r="C499" s="37" t="s">
        <v>38</v>
      </c>
      <c r="D499" s="296">
        <v>7049</v>
      </c>
      <c r="E499" s="297">
        <v>70049</v>
      </c>
      <c r="F499" s="27" t="s">
        <v>187</v>
      </c>
      <c r="G499" s="73" t="s">
        <v>158</v>
      </c>
      <c r="H499" s="35">
        <v>280051</v>
      </c>
      <c r="I499" s="35">
        <v>41</v>
      </c>
      <c r="J499" s="37" t="s">
        <v>10</v>
      </c>
      <c r="K499" s="37" t="s">
        <v>159</v>
      </c>
      <c r="L499" s="8">
        <v>30</v>
      </c>
      <c r="M499" s="8">
        <v>50180</v>
      </c>
      <c r="N499" s="9"/>
      <c r="O499" s="8">
        <v>2311</v>
      </c>
      <c r="P499" s="9"/>
      <c r="Q499" s="8">
        <v>28</v>
      </c>
      <c r="R499" s="9"/>
      <c r="S499" s="8">
        <v>4184</v>
      </c>
      <c r="T499" s="9"/>
      <c r="U499" s="8">
        <v>0</v>
      </c>
      <c r="V499" s="9"/>
      <c r="W499" s="33">
        <v>56703</v>
      </c>
      <c r="X499" s="9"/>
      <c r="Y499" s="30">
        <v>43.93</v>
      </c>
      <c r="Z499" s="9"/>
      <c r="AA499" s="30">
        <v>1.22</v>
      </c>
      <c r="AB499" s="9"/>
      <c r="AC499" s="30">
        <v>0.01</v>
      </c>
      <c r="AD499" s="9"/>
      <c r="AE499" s="30">
        <v>2.4500000000000002</v>
      </c>
      <c r="AF499" s="9"/>
      <c r="AG499" s="30">
        <v>0</v>
      </c>
      <c r="AH499" s="9"/>
      <c r="AI499" s="32">
        <v>47.61</v>
      </c>
      <c r="AJ499" s="12"/>
      <c r="AK499" s="22">
        <v>647211</v>
      </c>
      <c r="AM499" s="22">
        <v>55843</v>
      </c>
      <c r="AO499" s="22">
        <v>672</v>
      </c>
      <c r="AQ499" s="22">
        <v>119807</v>
      </c>
      <c r="AS499" s="26">
        <v>823533</v>
      </c>
      <c r="AU499" s="23">
        <v>12.8978</v>
      </c>
      <c r="AW499" s="23">
        <v>24.164000000000001</v>
      </c>
      <c r="AY499" s="23">
        <v>1.34E-2</v>
      </c>
      <c r="BA499" s="23">
        <v>28.634599999999999</v>
      </c>
      <c r="BC499" s="24">
        <v>14.5236</v>
      </c>
      <c r="BE499" s="1" t="str">
        <f t="shared" si="7"/>
        <v>No</v>
      </c>
    </row>
    <row r="500" spans="1:57" ht="11.25" customHeight="1">
      <c r="A500" s="7" t="s">
        <v>358</v>
      </c>
      <c r="B500" s="7" t="s">
        <v>359</v>
      </c>
      <c r="C500" s="37" t="s">
        <v>70</v>
      </c>
      <c r="D500" s="296">
        <v>2010</v>
      </c>
      <c r="E500" s="297">
        <v>20010</v>
      </c>
      <c r="F500" s="27" t="s">
        <v>162</v>
      </c>
      <c r="G500" s="73" t="s">
        <v>158</v>
      </c>
      <c r="H500" s="35">
        <v>423566</v>
      </c>
      <c r="I500" s="35">
        <v>41</v>
      </c>
      <c r="J500" s="37" t="s">
        <v>7</v>
      </c>
      <c r="K500" s="37" t="s">
        <v>159</v>
      </c>
      <c r="L500" s="8">
        <v>26</v>
      </c>
      <c r="M500" s="8">
        <v>61601</v>
      </c>
      <c r="N500" s="9"/>
      <c r="O500" s="8">
        <v>9999</v>
      </c>
      <c r="P500" s="9"/>
      <c r="Q500" s="8">
        <v>1204</v>
      </c>
      <c r="R500" s="9"/>
      <c r="S500" s="8">
        <v>4300</v>
      </c>
      <c r="T500" s="9"/>
      <c r="U500" s="8">
        <v>0</v>
      </c>
      <c r="V500" s="9"/>
      <c r="W500" s="33">
        <v>77104</v>
      </c>
      <c r="X500" s="9"/>
      <c r="Y500" s="30">
        <v>38</v>
      </c>
      <c r="Z500" s="9"/>
      <c r="AA500" s="30">
        <v>5</v>
      </c>
      <c r="AB500" s="9"/>
      <c r="AC500" s="30">
        <v>0.5</v>
      </c>
      <c r="AD500" s="9"/>
      <c r="AE500" s="30">
        <v>2</v>
      </c>
      <c r="AF500" s="9"/>
      <c r="AG500" s="30">
        <v>0</v>
      </c>
      <c r="AH500" s="9"/>
      <c r="AI500" s="32">
        <v>45.5</v>
      </c>
      <c r="AJ500" s="12"/>
      <c r="AK500" s="22">
        <v>1254604</v>
      </c>
      <c r="AM500" s="22">
        <v>274981</v>
      </c>
      <c r="AO500" s="22">
        <v>34372</v>
      </c>
      <c r="AQ500" s="22">
        <v>154677</v>
      </c>
      <c r="AS500" s="26">
        <v>1718634</v>
      </c>
      <c r="AU500" s="23">
        <v>20.366599999999998</v>
      </c>
      <c r="AW500" s="23">
        <v>27.500900000000001</v>
      </c>
      <c r="AY500" s="23">
        <v>0.55800000000000005</v>
      </c>
      <c r="BA500" s="23">
        <v>35.971400000000003</v>
      </c>
      <c r="BC500" s="24">
        <v>22.2898</v>
      </c>
      <c r="BE500" s="1" t="str">
        <f t="shared" si="7"/>
        <v>No</v>
      </c>
    </row>
    <row r="501" spans="1:57" ht="11.25" customHeight="1">
      <c r="A501" s="7" t="s">
        <v>170</v>
      </c>
      <c r="B501" s="7" t="s">
        <v>171</v>
      </c>
      <c r="C501" s="37" t="s">
        <v>73</v>
      </c>
      <c r="D501" s="296">
        <v>5157</v>
      </c>
      <c r="E501" s="297">
        <v>50157</v>
      </c>
      <c r="F501" s="27" t="s">
        <v>165</v>
      </c>
      <c r="G501" s="73" t="s">
        <v>158</v>
      </c>
      <c r="H501" s="35">
        <v>1624827</v>
      </c>
      <c r="I501" s="35">
        <v>41</v>
      </c>
      <c r="J501" s="37" t="s">
        <v>10</v>
      </c>
      <c r="K501" s="37" t="s">
        <v>159</v>
      </c>
      <c r="L501" s="8">
        <v>24</v>
      </c>
      <c r="M501" s="8">
        <v>48478</v>
      </c>
      <c r="N501" s="9"/>
      <c r="O501" s="8">
        <v>3456</v>
      </c>
      <c r="P501" s="9"/>
      <c r="Q501" s="8">
        <v>372</v>
      </c>
      <c r="R501" s="9"/>
      <c r="S501" s="8">
        <v>6176</v>
      </c>
      <c r="T501" s="9"/>
      <c r="U501" s="8">
        <v>0</v>
      </c>
      <c r="V501" s="9"/>
      <c r="W501" s="33">
        <v>58482</v>
      </c>
      <c r="X501" s="9"/>
      <c r="Y501" s="30">
        <v>26.89</v>
      </c>
      <c r="Z501" s="9"/>
      <c r="AA501" s="30">
        <v>1.77</v>
      </c>
      <c r="AB501" s="9"/>
      <c r="AC501" s="30">
        <v>0.35</v>
      </c>
      <c r="AD501" s="9"/>
      <c r="AE501" s="30">
        <v>3.72</v>
      </c>
      <c r="AF501" s="9"/>
      <c r="AG501" s="30">
        <v>0</v>
      </c>
      <c r="AH501" s="9"/>
      <c r="AI501" s="32">
        <v>32.729999999999997</v>
      </c>
      <c r="AJ501" s="12"/>
      <c r="AK501" s="22">
        <v>848065</v>
      </c>
      <c r="AM501" s="22">
        <v>65239</v>
      </c>
      <c r="AO501" s="22">
        <v>5658</v>
      </c>
      <c r="AQ501" s="22">
        <v>161773</v>
      </c>
      <c r="AS501" s="26">
        <v>1080735</v>
      </c>
      <c r="AU501" s="23">
        <v>17.4938</v>
      </c>
      <c r="AW501" s="23">
        <v>18.876999999999999</v>
      </c>
      <c r="AY501" s="23">
        <v>0.1167</v>
      </c>
      <c r="BA501" s="23">
        <v>26.1938</v>
      </c>
      <c r="BC501" s="24">
        <v>18.479800000000001</v>
      </c>
      <c r="BE501" s="1" t="str">
        <f t="shared" si="7"/>
        <v>No</v>
      </c>
    </row>
    <row r="502" spans="1:57" ht="11.25" customHeight="1">
      <c r="A502" s="7" t="s">
        <v>683</v>
      </c>
      <c r="B502" s="7" t="s">
        <v>684</v>
      </c>
      <c r="C502" s="37" t="s">
        <v>93</v>
      </c>
      <c r="D502" s="296">
        <v>5096</v>
      </c>
      <c r="E502" s="297">
        <v>50096</v>
      </c>
      <c r="F502" s="27" t="s">
        <v>162</v>
      </c>
      <c r="G502" s="73" t="s">
        <v>158</v>
      </c>
      <c r="H502" s="35">
        <v>1376476</v>
      </c>
      <c r="I502" s="35">
        <v>41</v>
      </c>
      <c r="J502" s="37" t="s">
        <v>7</v>
      </c>
      <c r="K502" s="37" t="s">
        <v>159</v>
      </c>
      <c r="L502" s="8">
        <v>20</v>
      </c>
      <c r="M502" s="8">
        <v>79241</v>
      </c>
      <c r="N502" s="9"/>
      <c r="O502" s="8">
        <v>15530</v>
      </c>
      <c r="P502" s="9"/>
      <c r="Q502" s="8">
        <v>1954</v>
      </c>
      <c r="R502" s="9"/>
      <c r="S502" s="8">
        <v>8989</v>
      </c>
      <c r="T502" s="9"/>
      <c r="U502" s="8">
        <v>365</v>
      </c>
      <c r="V502" s="9"/>
      <c r="W502" s="33">
        <v>106079</v>
      </c>
      <c r="X502" s="9"/>
      <c r="Y502" s="30">
        <v>40.700000000000003</v>
      </c>
      <c r="Z502" s="9"/>
      <c r="AA502" s="30">
        <v>9.3000000000000007</v>
      </c>
      <c r="AB502" s="9"/>
      <c r="AC502" s="30">
        <v>1</v>
      </c>
      <c r="AD502" s="9"/>
      <c r="AE502" s="30">
        <v>4.9000000000000004</v>
      </c>
      <c r="AF502" s="9"/>
      <c r="AG502" s="30">
        <v>0.2</v>
      </c>
      <c r="AH502" s="9"/>
      <c r="AI502" s="32">
        <v>56.1</v>
      </c>
      <c r="AJ502" s="12"/>
      <c r="AK502" s="22">
        <v>1744570</v>
      </c>
      <c r="AM502" s="22">
        <v>393986</v>
      </c>
      <c r="AO502" s="22">
        <v>46546</v>
      </c>
      <c r="AQ502" s="22">
        <v>303250</v>
      </c>
      <c r="AS502" s="26">
        <v>2488352</v>
      </c>
      <c r="AU502" s="23">
        <v>22.015999999999998</v>
      </c>
      <c r="AW502" s="23">
        <v>25.369299999999999</v>
      </c>
      <c r="AY502" s="23">
        <v>0.58740000000000003</v>
      </c>
      <c r="BA502" s="23">
        <v>33.735700000000001</v>
      </c>
      <c r="BC502" s="24">
        <v>23.4575</v>
      </c>
      <c r="BE502" s="1" t="str">
        <f t="shared" si="7"/>
        <v>No</v>
      </c>
    </row>
    <row r="503" spans="1:57" ht="11.25" customHeight="1">
      <c r="A503" s="7" t="s">
        <v>358</v>
      </c>
      <c r="B503" s="7" t="s">
        <v>359</v>
      </c>
      <c r="C503" s="37" t="s">
        <v>70</v>
      </c>
      <c r="D503" s="296">
        <v>2010</v>
      </c>
      <c r="E503" s="297">
        <v>20010</v>
      </c>
      <c r="F503" s="27" t="s">
        <v>162</v>
      </c>
      <c r="G503" s="73" t="s">
        <v>158</v>
      </c>
      <c r="H503" s="35">
        <v>423566</v>
      </c>
      <c r="I503" s="35">
        <v>41</v>
      </c>
      <c r="J503" s="37" t="s">
        <v>10</v>
      </c>
      <c r="K503" s="37" t="s">
        <v>159</v>
      </c>
      <c r="L503" s="8">
        <v>15</v>
      </c>
      <c r="M503" s="8">
        <v>62097</v>
      </c>
      <c r="N503" s="9"/>
      <c r="O503" s="8">
        <v>8725</v>
      </c>
      <c r="P503" s="9"/>
      <c r="Q503" s="8">
        <v>1213</v>
      </c>
      <c r="R503" s="9"/>
      <c r="S503" s="8">
        <v>5206</v>
      </c>
      <c r="T503" s="9"/>
      <c r="U503" s="8">
        <v>0</v>
      </c>
      <c r="V503" s="9"/>
      <c r="W503" s="33">
        <v>77241</v>
      </c>
      <c r="X503" s="9"/>
      <c r="Y503" s="30">
        <v>39</v>
      </c>
      <c r="Z503" s="9"/>
      <c r="AA503" s="30">
        <v>4</v>
      </c>
      <c r="AB503" s="9"/>
      <c r="AC503" s="30">
        <v>0.5</v>
      </c>
      <c r="AD503" s="9"/>
      <c r="AE503" s="30">
        <v>3</v>
      </c>
      <c r="AF503" s="9"/>
      <c r="AG503" s="30">
        <v>0</v>
      </c>
      <c r="AH503" s="9"/>
      <c r="AI503" s="32">
        <v>46.5</v>
      </c>
      <c r="AJ503" s="12"/>
      <c r="AK503" s="22">
        <v>1143056</v>
      </c>
      <c r="AM503" s="22">
        <v>228610</v>
      </c>
      <c r="AO503" s="22">
        <v>30481</v>
      </c>
      <c r="AQ503" s="22">
        <v>121925</v>
      </c>
      <c r="AS503" s="26">
        <v>1524072</v>
      </c>
      <c r="AU503" s="23">
        <v>18.407599999999999</v>
      </c>
      <c r="AW503" s="23">
        <v>26.201699999999999</v>
      </c>
      <c r="AY503" s="23">
        <v>0.4909</v>
      </c>
      <c r="BA503" s="23">
        <v>23.420100000000001</v>
      </c>
      <c r="BC503" s="24">
        <v>19.731400000000001</v>
      </c>
      <c r="BE503" s="1" t="str">
        <f t="shared" si="7"/>
        <v>No</v>
      </c>
    </row>
    <row r="504" spans="1:57" ht="11.25" customHeight="1">
      <c r="A504" s="7" t="s">
        <v>170</v>
      </c>
      <c r="B504" s="7" t="s">
        <v>171</v>
      </c>
      <c r="C504" s="37" t="s">
        <v>73</v>
      </c>
      <c r="D504" s="296">
        <v>5157</v>
      </c>
      <c r="E504" s="297">
        <v>50157</v>
      </c>
      <c r="F504" s="27" t="s">
        <v>165</v>
      </c>
      <c r="G504" s="73" t="s">
        <v>158</v>
      </c>
      <c r="H504" s="35">
        <v>1624827</v>
      </c>
      <c r="I504" s="35">
        <v>41</v>
      </c>
      <c r="J504" s="37" t="s">
        <v>7</v>
      </c>
      <c r="K504" s="37" t="s">
        <v>159</v>
      </c>
      <c r="L504" s="8">
        <v>11</v>
      </c>
      <c r="M504" s="8">
        <v>50810</v>
      </c>
      <c r="N504" s="9"/>
      <c r="O504" s="8">
        <v>2612</v>
      </c>
      <c r="P504" s="9"/>
      <c r="Q504" s="8">
        <v>281</v>
      </c>
      <c r="R504" s="9"/>
      <c r="S504" s="8">
        <v>2381</v>
      </c>
      <c r="T504" s="9"/>
      <c r="U504" s="8">
        <v>0</v>
      </c>
      <c r="V504" s="9"/>
      <c r="W504" s="33">
        <v>56084</v>
      </c>
      <c r="X504" s="9"/>
      <c r="Y504" s="30">
        <v>28.19</v>
      </c>
      <c r="Z504" s="9"/>
      <c r="AA504" s="30">
        <v>1.35</v>
      </c>
      <c r="AB504" s="9"/>
      <c r="AC504" s="30">
        <v>0.27</v>
      </c>
      <c r="AD504" s="9"/>
      <c r="AE504" s="30">
        <v>1.43</v>
      </c>
      <c r="AF504" s="9"/>
      <c r="AG504" s="30">
        <v>0</v>
      </c>
      <c r="AH504" s="9"/>
      <c r="AI504" s="32">
        <v>31.24</v>
      </c>
      <c r="AJ504" s="12"/>
      <c r="AK504" s="22">
        <v>645911</v>
      </c>
      <c r="AM504" s="22">
        <v>49320</v>
      </c>
      <c r="AO504" s="22">
        <v>4277</v>
      </c>
      <c r="AQ504" s="22">
        <v>62350</v>
      </c>
      <c r="AS504" s="26">
        <v>761858</v>
      </c>
      <c r="AU504" s="23">
        <v>12.712300000000001</v>
      </c>
      <c r="AW504" s="23">
        <v>18.882100000000001</v>
      </c>
      <c r="AY504" s="23">
        <v>8.4199999999999997E-2</v>
      </c>
      <c r="BA504" s="23">
        <v>26.186499999999999</v>
      </c>
      <c r="BC504" s="24">
        <v>13.584199999999999</v>
      </c>
      <c r="BE504" s="1" t="str">
        <f t="shared" si="7"/>
        <v>No</v>
      </c>
    </row>
    <row r="505" spans="1:57" ht="11.25" customHeight="1">
      <c r="A505" s="7" t="s">
        <v>170</v>
      </c>
      <c r="B505" s="7" t="s">
        <v>171</v>
      </c>
      <c r="C505" s="37" t="s">
        <v>73</v>
      </c>
      <c r="D505" s="296">
        <v>5157</v>
      </c>
      <c r="E505" s="297">
        <v>50157</v>
      </c>
      <c r="F505" s="27" t="s">
        <v>165</v>
      </c>
      <c r="G505" s="73" t="s">
        <v>158</v>
      </c>
      <c r="H505" s="35">
        <v>1624827</v>
      </c>
      <c r="I505" s="35">
        <v>41</v>
      </c>
      <c r="J505" s="37" t="s">
        <v>18</v>
      </c>
      <c r="K505" s="37" t="s">
        <v>159</v>
      </c>
      <c r="L505" s="8">
        <v>6</v>
      </c>
      <c r="M505" s="8">
        <v>35885</v>
      </c>
      <c r="N505" s="9"/>
      <c r="O505" s="8">
        <v>3647</v>
      </c>
      <c r="P505" s="9"/>
      <c r="Q505" s="8">
        <v>393</v>
      </c>
      <c r="R505" s="9"/>
      <c r="S505" s="8">
        <v>1415</v>
      </c>
      <c r="T505" s="9"/>
      <c r="U505" s="8">
        <v>0</v>
      </c>
      <c r="V505" s="9"/>
      <c r="W505" s="33">
        <v>41340</v>
      </c>
      <c r="X505" s="9"/>
      <c r="Y505" s="30">
        <v>19.91</v>
      </c>
      <c r="Z505" s="9"/>
      <c r="AA505" s="30">
        <v>1.88</v>
      </c>
      <c r="AB505" s="9"/>
      <c r="AC505" s="30">
        <v>0.38</v>
      </c>
      <c r="AD505" s="9"/>
      <c r="AE505" s="30">
        <v>0.85</v>
      </c>
      <c r="AF505" s="9"/>
      <c r="AG505" s="30">
        <v>0</v>
      </c>
      <c r="AH505" s="9"/>
      <c r="AI505" s="32">
        <v>23.02</v>
      </c>
      <c r="AJ505" s="12"/>
      <c r="AK505" s="22">
        <v>440409</v>
      </c>
      <c r="AM505" s="22">
        <v>68840</v>
      </c>
      <c r="AO505" s="22">
        <v>5970</v>
      </c>
      <c r="AQ505" s="22">
        <v>37073</v>
      </c>
      <c r="AS505" s="26">
        <v>552292</v>
      </c>
      <c r="AU505" s="23">
        <v>12.2728</v>
      </c>
      <c r="AW505" s="23">
        <v>18.875800000000002</v>
      </c>
      <c r="AY505" s="23">
        <v>0.16639999999999999</v>
      </c>
      <c r="BA505" s="23">
        <v>26.2</v>
      </c>
      <c r="BC505" s="24">
        <v>13.3597</v>
      </c>
      <c r="BE505" s="1" t="str">
        <f t="shared" si="7"/>
        <v>No</v>
      </c>
    </row>
    <row r="506" spans="1:57" ht="11.25" customHeight="1">
      <c r="A506" s="7" t="s">
        <v>683</v>
      </c>
      <c r="B506" s="7" t="s">
        <v>684</v>
      </c>
      <c r="C506" s="37" t="s">
        <v>93</v>
      </c>
      <c r="D506" s="296">
        <v>5096</v>
      </c>
      <c r="E506" s="297">
        <v>50096</v>
      </c>
      <c r="F506" s="27" t="s">
        <v>162</v>
      </c>
      <c r="G506" s="73" t="s">
        <v>158</v>
      </c>
      <c r="H506" s="35">
        <v>1376476</v>
      </c>
      <c r="I506" s="35">
        <v>41</v>
      </c>
      <c r="J506" s="37" t="s">
        <v>10</v>
      </c>
      <c r="K506" s="37" t="s">
        <v>159</v>
      </c>
      <c r="L506" s="8">
        <v>5</v>
      </c>
      <c r="M506" s="8">
        <v>9809</v>
      </c>
      <c r="N506" s="9"/>
      <c r="O506" s="8">
        <v>1475</v>
      </c>
      <c r="P506" s="9"/>
      <c r="Q506" s="8">
        <v>189</v>
      </c>
      <c r="R506" s="9"/>
      <c r="S506" s="8">
        <v>888</v>
      </c>
      <c r="T506" s="9"/>
      <c r="U506" s="8">
        <v>0</v>
      </c>
      <c r="V506" s="9"/>
      <c r="W506" s="33">
        <v>12361</v>
      </c>
      <c r="X506" s="9"/>
      <c r="Y506" s="30">
        <v>5.3</v>
      </c>
      <c r="Z506" s="9"/>
      <c r="AA506" s="30">
        <v>0.9</v>
      </c>
      <c r="AB506" s="9"/>
      <c r="AC506" s="30">
        <v>0.1</v>
      </c>
      <c r="AD506" s="9"/>
      <c r="AE506" s="30">
        <v>0.5</v>
      </c>
      <c r="AF506" s="9"/>
      <c r="AG506" s="30">
        <v>0</v>
      </c>
      <c r="AH506" s="9"/>
      <c r="AI506" s="32">
        <v>6.8</v>
      </c>
      <c r="AJ506" s="12"/>
      <c r="AK506" s="22">
        <v>158306</v>
      </c>
      <c r="AM506" s="22">
        <v>36991</v>
      </c>
      <c r="AO506" s="22">
        <v>4100</v>
      </c>
      <c r="AQ506" s="22">
        <v>29708</v>
      </c>
      <c r="AS506" s="26">
        <v>229105</v>
      </c>
      <c r="AU506" s="23">
        <v>16.1389</v>
      </c>
      <c r="AW506" s="23">
        <v>25.078600000000002</v>
      </c>
      <c r="AY506" s="23">
        <v>0.41799999999999998</v>
      </c>
      <c r="BA506" s="23">
        <v>33.454999999999998</v>
      </c>
      <c r="BC506" s="24">
        <v>18.534500000000001</v>
      </c>
      <c r="BE506" s="1" t="str">
        <f t="shared" si="7"/>
        <v>No</v>
      </c>
    </row>
    <row r="507" spans="1:57" ht="11.25" customHeight="1">
      <c r="A507" s="7" t="s">
        <v>1136</v>
      </c>
      <c r="B507" s="7" t="s">
        <v>1137</v>
      </c>
      <c r="C507" s="37" t="s">
        <v>9</v>
      </c>
      <c r="D507" s="296" t="s">
        <v>1138</v>
      </c>
      <c r="E507" s="297">
        <v>40928</v>
      </c>
      <c r="F507" s="27" t="s">
        <v>162</v>
      </c>
      <c r="G507" s="73" t="s">
        <v>158</v>
      </c>
      <c r="H507" s="35">
        <v>57383</v>
      </c>
      <c r="I507" s="35">
        <v>40</v>
      </c>
      <c r="J507" s="37" t="s">
        <v>10</v>
      </c>
      <c r="K507" s="37" t="s">
        <v>159</v>
      </c>
      <c r="L507" s="8">
        <v>36</v>
      </c>
      <c r="M507" s="8">
        <v>58603</v>
      </c>
      <c r="N507" s="9"/>
      <c r="O507" s="8">
        <v>1873</v>
      </c>
      <c r="P507" s="9"/>
      <c r="Q507" s="8">
        <v>0</v>
      </c>
      <c r="R507" s="9"/>
      <c r="S507" s="8">
        <v>6033</v>
      </c>
      <c r="T507" s="9"/>
      <c r="U507" s="8">
        <v>0</v>
      </c>
      <c r="V507" s="9"/>
      <c r="W507" s="33">
        <v>66509</v>
      </c>
      <c r="X507" s="9"/>
      <c r="Y507" s="30">
        <v>41</v>
      </c>
      <c r="Z507" s="9"/>
      <c r="AA507" s="30">
        <v>1.5</v>
      </c>
      <c r="AB507" s="9"/>
      <c r="AC507" s="30">
        <v>0</v>
      </c>
      <c r="AD507" s="9"/>
      <c r="AE507" s="30">
        <v>4.5</v>
      </c>
      <c r="AF507" s="9"/>
      <c r="AG507" s="30">
        <v>0</v>
      </c>
      <c r="AH507" s="9"/>
      <c r="AI507" s="32">
        <v>47</v>
      </c>
      <c r="AJ507" s="12"/>
      <c r="AK507" s="22">
        <v>1111569</v>
      </c>
      <c r="AM507" s="22">
        <v>70951</v>
      </c>
      <c r="AO507" s="22">
        <v>0</v>
      </c>
      <c r="AQ507" s="22">
        <v>208591</v>
      </c>
      <c r="AS507" s="26">
        <v>1391111</v>
      </c>
      <c r="AU507" s="23">
        <v>18.9678</v>
      </c>
      <c r="AW507" s="23">
        <v>37.880899999999997</v>
      </c>
      <c r="AY507" s="23">
        <v>0</v>
      </c>
      <c r="BA507" s="23">
        <v>34.575000000000003</v>
      </c>
      <c r="BC507" s="24">
        <v>20.9161</v>
      </c>
      <c r="BE507" s="1" t="str">
        <f t="shared" si="7"/>
        <v>No</v>
      </c>
    </row>
    <row r="508" spans="1:57" ht="11.25" customHeight="1">
      <c r="A508" s="7" t="s">
        <v>368</v>
      </c>
      <c r="B508" s="7" t="s">
        <v>369</v>
      </c>
      <c r="C508" s="37" t="s">
        <v>58</v>
      </c>
      <c r="D508" s="296">
        <v>4009</v>
      </c>
      <c r="E508" s="297">
        <v>40009</v>
      </c>
      <c r="F508" s="27" t="s">
        <v>162</v>
      </c>
      <c r="G508" s="73" t="s">
        <v>158</v>
      </c>
      <c r="H508" s="35">
        <v>310282</v>
      </c>
      <c r="I508" s="35">
        <v>40</v>
      </c>
      <c r="J508" s="37" t="s">
        <v>7</v>
      </c>
      <c r="K508" s="37" t="s">
        <v>159</v>
      </c>
      <c r="L508" s="8">
        <v>23</v>
      </c>
      <c r="M508" s="8">
        <v>128768</v>
      </c>
      <c r="N508" s="9"/>
      <c r="O508" s="8">
        <v>17491</v>
      </c>
      <c r="P508" s="9"/>
      <c r="Q508" s="8">
        <v>1919</v>
      </c>
      <c r="R508" s="9"/>
      <c r="S508" s="8">
        <v>13695</v>
      </c>
      <c r="T508" s="9"/>
      <c r="U508" s="8">
        <v>0</v>
      </c>
      <c r="V508" s="9"/>
      <c r="W508" s="33">
        <v>161873</v>
      </c>
      <c r="X508" s="9"/>
      <c r="Y508" s="30">
        <v>70.3</v>
      </c>
      <c r="Z508" s="9"/>
      <c r="AA508" s="30">
        <v>8</v>
      </c>
      <c r="AB508" s="9"/>
      <c r="AC508" s="30">
        <v>1.1000000000000001</v>
      </c>
      <c r="AD508" s="9"/>
      <c r="AE508" s="30">
        <v>7.9</v>
      </c>
      <c r="AF508" s="9"/>
      <c r="AG508" s="30">
        <v>0</v>
      </c>
      <c r="AH508" s="9"/>
      <c r="AI508" s="32">
        <v>87.3</v>
      </c>
      <c r="AJ508" s="12"/>
      <c r="AK508" s="22">
        <v>1962618</v>
      </c>
      <c r="AM508" s="22">
        <v>287694</v>
      </c>
      <c r="AO508" s="22">
        <v>27665</v>
      </c>
      <c r="AQ508" s="22">
        <v>356660</v>
      </c>
      <c r="AS508" s="26">
        <v>2634637</v>
      </c>
      <c r="AU508" s="23">
        <v>15.2415</v>
      </c>
      <c r="AW508" s="23">
        <v>16.4481</v>
      </c>
      <c r="AY508" s="23">
        <v>0.21479999999999999</v>
      </c>
      <c r="BA508" s="23">
        <v>26.043099999999999</v>
      </c>
      <c r="BC508" s="24">
        <v>16.276</v>
      </c>
      <c r="BE508" s="1" t="str">
        <f t="shared" si="7"/>
        <v>No</v>
      </c>
    </row>
    <row r="509" spans="1:57" ht="11.25" customHeight="1">
      <c r="A509" s="7" t="s">
        <v>368</v>
      </c>
      <c r="B509" s="7" t="s">
        <v>369</v>
      </c>
      <c r="C509" s="37" t="s">
        <v>58</v>
      </c>
      <c r="D509" s="296">
        <v>4009</v>
      </c>
      <c r="E509" s="297">
        <v>40009</v>
      </c>
      <c r="F509" s="27" t="s">
        <v>162</v>
      </c>
      <c r="G509" s="73" t="s">
        <v>158</v>
      </c>
      <c r="H509" s="35">
        <v>310282</v>
      </c>
      <c r="I509" s="35">
        <v>40</v>
      </c>
      <c r="J509" s="37" t="s">
        <v>10</v>
      </c>
      <c r="K509" s="37" t="s">
        <v>159</v>
      </c>
      <c r="L509" s="8">
        <v>16</v>
      </c>
      <c r="M509" s="8">
        <v>49039</v>
      </c>
      <c r="N509" s="9"/>
      <c r="O509" s="8">
        <v>6661</v>
      </c>
      <c r="P509" s="9"/>
      <c r="Q509" s="8">
        <v>731</v>
      </c>
      <c r="R509" s="9"/>
      <c r="S509" s="8">
        <v>5215</v>
      </c>
      <c r="T509" s="9"/>
      <c r="U509" s="8">
        <v>0</v>
      </c>
      <c r="V509" s="9"/>
      <c r="W509" s="33">
        <v>61646</v>
      </c>
      <c r="X509" s="9"/>
      <c r="Y509" s="30">
        <v>26.8</v>
      </c>
      <c r="Z509" s="9"/>
      <c r="AA509" s="30">
        <v>3.03</v>
      </c>
      <c r="AB509" s="9"/>
      <c r="AC509" s="30">
        <v>0.4</v>
      </c>
      <c r="AD509" s="9"/>
      <c r="AE509" s="30">
        <v>3</v>
      </c>
      <c r="AF509" s="9"/>
      <c r="AG509" s="30">
        <v>0</v>
      </c>
      <c r="AH509" s="9"/>
      <c r="AI509" s="32">
        <v>33.229999999999997</v>
      </c>
      <c r="AJ509" s="12"/>
      <c r="AK509" s="22">
        <v>747546</v>
      </c>
      <c r="AM509" s="22">
        <v>109580</v>
      </c>
      <c r="AO509" s="22">
        <v>10538</v>
      </c>
      <c r="AQ509" s="22">
        <v>136945</v>
      </c>
      <c r="AS509" s="26">
        <v>1004609</v>
      </c>
      <c r="AU509" s="23">
        <v>15.2439</v>
      </c>
      <c r="AW509" s="23">
        <v>16.451000000000001</v>
      </c>
      <c r="AY509" s="23">
        <v>0.21490000000000001</v>
      </c>
      <c r="BA509" s="23">
        <v>26.259799999999998</v>
      </c>
      <c r="BC509" s="24">
        <v>16.296399999999998</v>
      </c>
      <c r="BE509" s="1" t="str">
        <f t="shared" si="7"/>
        <v>No</v>
      </c>
    </row>
    <row r="510" spans="1:57" ht="11.25" customHeight="1">
      <c r="A510" s="7" t="s">
        <v>1136</v>
      </c>
      <c r="B510" s="7" t="s">
        <v>1137</v>
      </c>
      <c r="C510" s="37" t="s">
        <v>9</v>
      </c>
      <c r="D510" s="296" t="s">
        <v>1138</v>
      </c>
      <c r="E510" s="297">
        <v>40928</v>
      </c>
      <c r="F510" s="27" t="s">
        <v>162</v>
      </c>
      <c r="G510" s="73" t="s">
        <v>158</v>
      </c>
      <c r="H510" s="35">
        <v>57383</v>
      </c>
      <c r="I510" s="35">
        <v>40</v>
      </c>
      <c r="J510" s="37" t="s">
        <v>18</v>
      </c>
      <c r="K510" s="37" t="s">
        <v>159</v>
      </c>
      <c r="L510" s="8">
        <v>4</v>
      </c>
      <c r="M510" s="8">
        <v>6494</v>
      </c>
      <c r="N510" s="9"/>
      <c r="O510" s="8">
        <v>727</v>
      </c>
      <c r="P510" s="9"/>
      <c r="Q510" s="8">
        <v>0</v>
      </c>
      <c r="R510" s="9"/>
      <c r="S510" s="8">
        <v>791</v>
      </c>
      <c r="T510" s="9"/>
      <c r="U510" s="8">
        <v>0</v>
      </c>
      <c r="V510" s="9"/>
      <c r="W510" s="33">
        <v>8012</v>
      </c>
      <c r="X510" s="9"/>
      <c r="Y510" s="30">
        <v>4</v>
      </c>
      <c r="Z510" s="9"/>
      <c r="AA510" s="30">
        <v>0.5</v>
      </c>
      <c r="AB510" s="9"/>
      <c r="AC510" s="30">
        <v>0</v>
      </c>
      <c r="AD510" s="9"/>
      <c r="AE510" s="30">
        <v>0.5</v>
      </c>
      <c r="AF510" s="9"/>
      <c r="AG510" s="30">
        <v>0</v>
      </c>
      <c r="AH510" s="9"/>
      <c r="AI510" s="32">
        <v>5</v>
      </c>
      <c r="AJ510" s="12"/>
      <c r="AK510" s="22">
        <v>123507</v>
      </c>
      <c r="AM510" s="22">
        <v>7883</v>
      </c>
      <c r="AO510" s="22">
        <v>0</v>
      </c>
      <c r="AQ510" s="22">
        <v>23177</v>
      </c>
      <c r="AS510" s="26">
        <v>154567</v>
      </c>
      <c r="AU510" s="23">
        <v>19.018599999999999</v>
      </c>
      <c r="AW510" s="23">
        <v>10.8432</v>
      </c>
      <c r="AY510" s="23">
        <v>0</v>
      </c>
      <c r="BA510" s="23">
        <v>29.300899999999999</v>
      </c>
      <c r="BC510" s="24">
        <v>19.291899999999998</v>
      </c>
      <c r="BE510" s="1" t="str">
        <f t="shared" si="7"/>
        <v>No</v>
      </c>
    </row>
    <row r="511" spans="1:57" ht="11.25" customHeight="1">
      <c r="A511" s="7" t="s">
        <v>763</v>
      </c>
      <c r="B511" s="7" t="s">
        <v>764</v>
      </c>
      <c r="C511" s="37" t="s">
        <v>63</v>
      </c>
      <c r="D511" s="296">
        <v>2199</v>
      </c>
      <c r="E511" s="297">
        <v>20199</v>
      </c>
      <c r="F511" s="27" t="s">
        <v>162</v>
      </c>
      <c r="G511" s="73" t="s">
        <v>158</v>
      </c>
      <c r="H511" s="35">
        <v>248402</v>
      </c>
      <c r="I511" s="35">
        <v>39</v>
      </c>
      <c r="J511" s="37" t="s">
        <v>10</v>
      </c>
      <c r="K511" s="37" t="s">
        <v>159</v>
      </c>
      <c r="L511" s="8">
        <v>39</v>
      </c>
      <c r="M511" s="8">
        <v>55428</v>
      </c>
      <c r="N511" s="9"/>
      <c r="O511" s="8">
        <v>1009</v>
      </c>
      <c r="P511" s="9"/>
      <c r="Q511" s="8">
        <v>0</v>
      </c>
      <c r="R511" s="9"/>
      <c r="S511" s="8">
        <v>3493</v>
      </c>
      <c r="T511" s="9"/>
      <c r="U511" s="8">
        <v>0</v>
      </c>
      <c r="V511" s="9"/>
      <c r="W511" s="33">
        <v>59930</v>
      </c>
      <c r="X511" s="9"/>
      <c r="Y511" s="30">
        <v>41</v>
      </c>
      <c r="Z511" s="9"/>
      <c r="AA511" s="30">
        <v>0.5</v>
      </c>
      <c r="AB511" s="9"/>
      <c r="AC511" s="30">
        <v>0</v>
      </c>
      <c r="AD511" s="9"/>
      <c r="AE511" s="30">
        <v>2</v>
      </c>
      <c r="AF511" s="9"/>
      <c r="AG511" s="30">
        <v>0</v>
      </c>
      <c r="AH511" s="9"/>
      <c r="AI511" s="32">
        <v>43.5</v>
      </c>
      <c r="AJ511" s="12"/>
      <c r="AK511" s="22">
        <v>1090093</v>
      </c>
      <c r="AM511" s="22">
        <v>27250</v>
      </c>
      <c r="AO511" s="22">
        <v>0</v>
      </c>
      <c r="AQ511" s="22">
        <v>127994</v>
      </c>
      <c r="AS511" s="26">
        <v>1245337</v>
      </c>
      <c r="AU511" s="23">
        <v>19.666799999999999</v>
      </c>
      <c r="AW511" s="23">
        <v>27.006900000000002</v>
      </c>
      <c r="AY511" s="23">
        <v>0</v>
      </c>
      <c r="BA511" s="23">
        <v>36.643000000000001</v>
      </c>
      <c r="BC511" s="24">
        <v>20.779900000000001</v>
      </c>
      <c r="BE511" s="1" t="str">
        <f t="shared" si="7"/>
        <v>No</v>
      </c>
    </row>
    <row r="512" spans="1:57" ht="11.25" customHeight="1">
      <c r="A512" s="7" t="s">
        <v>155</v>
      </c>
      <c r="B512" s="7" t="s">
        <v>156</v>
      </c>
      <c r="C512" s="37" t="s">
        <v>5</v>
      </c>
      <c r="D512" s="296">
        <v>41</v>
      </c>
      <c r="E512" s="297">
        <v>41</v>
      </c>
      <c r="F512" s="27" t="s">
        <v>157</v>
      </c>
      <c r="G512" s="73" t="s">
        <v>158</v>
      </c>
      <c r="H512" s="35">
        <v>251243</v>
      </c>
      <c r="I512" s="35">
        <v>39</v>
      </c>
      <c r="J512" s="37" t="s">
        <v>6</v>
      </c>
      <c r="K512" s="37" t="s">
        <v>159</v>
      </c>
      <c r="L512" s="8">
        <v>39</v>
      </c>
      <c r="M512" s="8">
        <v>172302</v>
      </c>
      <c r="N512" s="9"/>
      <c r="O512" s="8">
        <v>76619</v>
      </c>
      <c r="P512" s="9"/>
      <c r="Q512" s="8">
        <v>110745</v>
      </c>
      <c r="R512" s="9"/>
      <c r="S512" s="8">
        <v>85993</v>
      </c>
      <c r="T512" s="9"/>
      <c r="U512" s="8">
        <v>127281</v>
      </c>
      <c r="V512" s="9"/>
      <c r="W512" s="33">
        <v>572940</v>
      </c>
      <c r="X512" s="9"/>
      <c r="Y512" s="30">
        <v>67.8</v>
      </c>
      <c r="Z512" s="9"/>
      <c r="AA512" s="30">
        <v>43.6</v>
      </c>
      <c r="AB512" s="9"/>
      <c r="AC512" s="30">
        <v>82.6</v>
      </c>
      <c r="AD512" s="9"/>
      <c r="AE512" s="30">
        <v>55.3</v>
      </c>
      <c r="AF512" s="9"/>
      <c r="AG512" s="30">
        <v>54.6</v>
      </c>
      <c r="AH512" s="9"/>
      <c r="AI512" s="32">
        <v>303.89999999999998</v>
      </c>
      <c r="AJ512" s="12"/>
      <c r="AK512" s="22">
        <v>7623843</v>
      </c>
      <c r="AM512" s="22">
        <v>3540191</v>
      </c>
      <c r="AO512" s="22">
        <v>4140110</v>
      </c>
      <c r="AQ512" s="22">
        <v>4097842</v>
      </c>
      <c r="AS512" s="26">
        <v>19401986</v>
      </c>
      <c r="AU512" s="23">
        <v>44.247</v>
      </c>
      <c r="AW512" s="23">
        <v>46.205100000000002</v>
      </c>
      <c r="AY512" s="23">
        <v>24.028199999999998</v>
      </c>
      <c r="BA512" s="23">
        <v>47.653199999999998</v>
      </c>
      <c r="BC512" s="24">
        <v>33.863900000000001</v>
      </c>
      <c r="BE512" s="1" t="str">
        <f t="shared" si="7"/>
        <v>No</v>
      </c>
    </row>
    <row r="513" spans="1:57" ht="11.25" customHeight="1">
      <c r="A513" s="7" t="s">
        <v>1139</v>
      </c>
      <c r="B513" s="7" t="s">
        <v>1140</v>
      </c>
      <c r="C513" s="37" t="s">
        <v>48</v>
      </c>
      <c r="D513" s="296" t="s">
        <v>1141</v>
      </c>
      <c r="E513" s="297">
        <v>30129</v>
      </c>
      <c r="F513" s="27" t="s">
        <v>162</v>
      </c>
      <c r="G513" s="73" t="s">
        <v>158</v>
      </c>
      <c r="H513" s="35">
        <v>2203663</v>
      </c>
      <c r="I513" s="35">
        <v>39</v>
      </c>
      <c r="J513" s="37" t="s">
        <v>10</v>
      </c>
      <c r="K513" s="37" t="s">
        <v>159</v>
      </c>
      <c r="L513" s="8">
        <v>34</v>
      </c>
      <c r="M513" s="8">
        <v>66131</v>
      </c>
      <c r="N513" s="9"/>
      <c r="O513" s="8">
        <v>6228</v>
      </c>
      <c r="P513" s="9"/>
      <c r="Q513" s="8">
        <v>0</v>
      </c>
      <c r="R513" s="9"/>
      <c r="S513" s="8">
        <v>3900</v>
      </c>
      <c r="T513" s="9"/>
      <c r="U513" s="8">
        <v>0</v>
      </c>
      <c r="V513" s="9"/>
      <c r="W513" s="33">
        <v>76259</v>
      </c>
      <c r="X513" s="9"/>
      <c r="Y513" s="30">
        <v>38</v>
      </c>
      <c r="Z513" s="9"/>
      <c r="AA513" s="30">
        <v>3</v>
      </c>
      <c r="AB513" s="9"/>
      <c r="AC513" s="30">
        <v>0</v>
      </c>
      <c r="AD513" s="9"/>
      <c r="AE513" s="30">
        <v>2</v>
      </c>
      <c r="AF513" s="9"/>
      <c r="AG513" s="30">
        <v>0</v>
      </c>
      <c r="AH513" s="9"/>
      <c r="AI513" s="32">
        <v>43</v>
      </c>
      <c r="AJ513" s="12"/>
      <c r="AK513" s="22">
        <v>944909</v>
      </c>
      <c r="AM513" s="22">
        <v>102152</v>
      </c>
      <c r="AO513" s="22">
        <v>0</v>
      </c>
      <c r="AQ513" s="22">
        <v>152483</v>
      </c>
      <c r="AS513" s="26">
        <v>1199544</v>
      </c>
      <c r="AU513" s="23">
        <v>14.288399999999999</v>
      </c>
      <c r="AW513" s="23">
        <v>16.402100000000001</v>
      </c>
      <c r="AY513" s="23">
        <v>0</v>
      </c>
      <c r="BA513" s="23">
        <v>39.098199999999999</v>
      </c>
      <c r="BC513" s="24">
        <v>15.729900000000001</v>
      </c>
      <c r="BE513" s="1" t="str">
        <f t="shared" si="7"/>
        <v>No</v>
      </c>
    </row>
    <row r="514" spans="1:57" ht="11.25" customHeight="1">
      <c r="A514" s="7" t="s">
        <v>713</v>
      </c>
      <c r="B514" s="7" t="s">
        <v>714</v>
      </c>
      <c r="C514" s="37" t="s">
        <v>86</v>
      </c>
      <c r="D514" s="296">
        <v>3094</v>
      </c>
      <c r="E514" s="297">
        <v>30094</v>
      </c>
      <c r="F514" s="27" t="s">
        <v>162</v>
      </c>
      <c r="G514" s="73" t="s">
        <v>158</v>
      </c>
      <c r="H514" s="35">
        <v>66784</v>
      </c>
      <c r="I514" s="35">
        <v>39</v>
      </c>
      <c r="J514" s="37" t="s">
        <v>7</v>
      </c>
      <c r="K514" s="37" t="s">
        <v>159</v>
      </c>
      <c r="L514" s="8">
        <v>32</v>
      </c>
      <c r="M514" s="8">
        <v>90886</v>
      </c>
      <c r="N514" s="9"/>
      <c r="O514" s="8">
        <v>12558</v>
      </c>
      <c r="P514" s="9"/>
      <c r="Q514" s="8">
        <v>1916</v>
      </c>
      <c r="R514" s="9"/>
      <c r="S514" s="8">
        <v>7442</v>
      </c>
      <c r="T514" s="9"/>
      <c r="U514" s="8">
        <v>750</v>
      </c>
      <c r="V514" s="9"/>
      <c r="W514" s="33">
        <v>113552</v>
      </c>
      <c r="X514" s="9"/>
      <c r="Y514" s="30">
        <v>97.9</v>
      </c>
      <c r="Z514" s="9"/>
      <c r="AA514" s="30">
        <v>10.3</v>
      </c>
      <c r="AB514" s="9"/>
      <c r="AC514" s="30">
        <v>1.38</v>
      </c>
      <c r="AD514" s="9"/>
      <c r="AE514" s="30">
        <v>5.3</v>
      </c>
      <c r="AF514" s="9"/>
      <c r="AG514" s="30">
        <v>0.5</v>
      </c>
      <c r="AH514" s="9"/>
      <c r="AI514" s="32">
        <v>115.38</v>
      </c>
      <c r="AJ514" s="12"/>
      <c r="AK514" s="22">
        <v>1504437</v>
      </c>
      <c r="AM514" s="22">
        <v>258750</v>
      </c>
      <c r="AO514" s="22">
        <v>41561</v>
      </c>
      <c r="AQ514" s="22">
        <v>182685</v>
      </c>
      <c r="AS514" s="26">
        <v>1987433</v>
      </c>
      <c r="AU514" s="23">
        <v>16.553000000000001</v>
      </c>
      <c r="AW514" s="23">
        <v>20.604399999999998</v>
      </c>
      <c r="AY514" s="23">
        <v>0.45729999999999998</v>
      </c>
      <c r="BA514" s="23">
        <v>24.547799999999999</v>
      </c>
      <c r="BC514" s="24">
        <v>17.502400000000002</v>
      </c>
      <c r="BE514" s="1" t="str">
        <f t="shared" ref="BE514:BE577" si="8">IF(BD514&amp;BB514&amp;AZ514&amp;AX514&amp;AV514&amp;AT514&amp;AR514&amp;AP514&amp;AN514&amp;AL514&amp;AJ514&amp;AH514&amp;AF514&amp;AD514&amp;AB514&amp;Z514&amp;X514&amp;V514&amp;T514&amp;R514&amp;P514&amp;N514&lt;&gt;"","Yes","No")</f>
        <v>No</v>
      </c>
    </row>
    <row r="515" spans="1:57" ht="11.25" customHeight="1">
      <c r="A515" s="7" t="s">
        <v>211</v>
      </c>
      <c r="B515" s="7" t="s">
        <v>212</v>
      </c>
      <c r="C515" s="37" t="s">
        <v>93</v>
      </c>
      <c r="D515" s="296">
        <v>5006</v>
      </c>
      <c r="E515" s="297">
        <v>50006</v>
      </c>
      <c r="F515" s="27" t="s">
        <v>162</v>
      </c>
      <c r="G515" s="73" t="s">
        <v>158</v>
      </c>
      <c r="H515" s="35">
        <v>133700</v>
      </c>
      <c r="I515" s="35">
        <v>39</v>
      </c>
      <c r="J515" s="37" t="s">
        <v>7</v>
      </c>
      <c r="K515" s="37" t="s">
        <v>159</v>
      </c>
      <c r="L515" s="8">
        <v>29</v>
      </c>
      <c r="M515" s="8">
        <v>94481</v>
      </c>
      <c r="N515" s="9"/>
      <c r="O515" s="8">
        <v>14210</v>
      </c>
      <c r="P515" s="9"/>
      <c r="Q515" s="8">
        <v>1207</v>
      </c>
      <c r="R515" s="9"/>
      <c r="S515" s="8">
        <v>12846</v>
      </c>
      <c r="T515" s="9"/>
      <c r="U515" s="8">
        <v>0</v>
      </c>
      <c r="V515" s="9"/>
      <c r="W515" s="33">
        <v>122744</v>
      </c>
      <c r="X515" s="9"/>
      <c r="Y515" s="30">
        <v>60.4</v>
      </c>
      <c r="Z515" s="9"/>
      <c r="AA515" s="30">
        <v>7.9</v>
      </c>
      <c r="AB515" s="9"/>
      <c r="AC515" s="30">
        <v>0.6</v>
      </c>
      <c r="AD515" s="9"/>
      <c r="AE515" s="30">
        <v>7</v>
      </c>
      <c r="AF515" s="9"/>
      <c r="AG515" s="30">
        <v>0</v>
      </c>
      <c r="AH515" s="9"/>
      <c r="AI515" s="32">
        <v>75.900000000000006</v>
      </c>
      <c r="AJ515" s="12"/>
      <c r="AK515" s="22">
        <v>1831438</v>
      </c>
      <c r="AM515" s="22">
        <v>254785</v>
      </c>
      <c r="AO515" s="22">
        <v>25545</v>
      </c>
      <c r="AQ515" s="22">
        <v>279505</v>
      </c>
      <c r="AS515" s="26">
        <v>2391273</v>
      </c>
      <c r="AU515" s="23">
        <v>19.3842</v>
      </c>
      <c r="AW515" s="23">
        <v>17.93</v>
      </c>
      <c r="AY515" s="23">
        <v>0.27039999999999997</v>
      </c>
      <c r="BA515" s="23">
        <v>21.758099999999999</v>
      </c>
      <c r="BC515" s="24">
        <v>19.4818</v>
      </c>
      <c r="BE515" s="1" t="str">
        <f t="shared" si="8"/>
        <v>No</v>
      </c>
    </row>
    <row r="516" spans="1:57" ht="11.25" customHeight="1">
      <c r="A516" s="7" t="s">
        <v>211</v>
      </c>
      <c r="B516" s="7" t="s">
        <v>212</v>
      </c>
      <c r="C516" s="37" t="s">
        <v>93</v>
      </c>
      <c r="D516" s="296">
        <v>5006</v>
      </c>
      <c r="E516" s="297">
        <v>50006</v>
      </c>
      <c r="F516" s="27" t="s">
        <v>162</v>
      </c>
      <c r="G516" s="73" t="s">
        <v>158</v>
      </c>
      <c r="H516" s="35">
        <v>133700</v>
      </c>
      <c r="I516" s="35">
        <v>39</v>
      </c>
      <c r="J516" s="37" t="s">
        <v>10</v>
      </c>
      <c r="K516" s="37" t="s">
        <v>159</v>
      </c>
      <c r="L516" s="8">
        <v>7</v>
      </c>
      <c r="M516" s="8">
        <v>13918</v>
      </c>
      <c r="N516" s="9"/>
      <c r="O516" s="8">
        <v>1903</v>
      </c>
      <c r="P516" s="9"/>
      <c r="Q516" s="8">
        <v>162</v>
      </c>
      <c r="R516" s="9"/>
      <c r="S516" s="8">
        <v>1719</v>
      </c>
      <c r="T516" s="9"/>
      <c r="U516" s="8">
        <v>0</v>
      </c>
      <c r="V516" s="9"/>
      <c r="W516" s="33">
        <v>17702</v>
      </c>
      <c r="X516" s="9"/>
      <c r="Y516" s="30">
        <v>9.9</v>
      </c>
      <c r="Z516" s="9"/>
      <c r="AA516" s="30">
        <v>1.3</v>
      </c>
      <c r="AB516" s="9"/>
      <c r="AC516" s="30">
        <v>0.1</v>
      </c>
      <c r="AD516" s="9"/>
      <c r="AE516" s="30">
        <v>0.9</v>
      </c>
      <c r="AF516" s="9"/>
      <c r="AG516" s="30">
        <v>0</v>
      </c>
      <c r="AH516" s="9"/>
      <c r="AI516" s="32">
        <v>12.2</v>
      </c>
      <c r="AJ516" s="12"/>
      <c r="AK516" s="22">
        <v>244274</v>
      </c>
      <c r="AM516" s="22">
        <v>33967</v>
      </c>
      <c r="AO516" s="22">
        <v>3412</v>
      </c>
      <c r="AQ516" s="22">
        <v>37284</v>
      </c>
      <c r="AS516" s="26">
        <v>318937</v>
      </c>
      <c r="AU516" s="23">
        <v>17.550899999999999</v>
      </c>
      <c r="AW516" s="23">
        <v>17.8492</v>
      </c>
      <c r="AY516" s="23">
        <v>0.2452</v>
      </c>
      <c r="BA516" s="23">
        <v>21.689399999999999</v>
      </c>
      <c r="BC516" s="24">
        <v>18.016999999999999</v>
      </c>
      <c r="BE516" s="1" t="str">
        <f t="shared" si="8"/>
        <v>No</v>
      </c>
    </row>
    <row r="517" spans="1:57" ht="11.25" customHeight="1">
      <c r="A517" s="7" t="s">
        <v>713</v>
      </c>
      <c r="B517" s="7" t="s">
        <v>714</v>
      </c>
      <c r="C517" s="37" t="s">
        <v>86</v>
      </c>
      <c r="D517" s="296">
        <v>3094</v>
      </c>
      <c r="E517" s="297">
        <v>30094</v>
      </c>
      <c r="F517" s="27" t="s">
        <v>162</v>
      </c>
      <c r="G517" s="73" t="s">
        <v>158</v>
      </c>
      <c r="H517" s="35">
        <v>66784</v>
      </c>
      <c r="I517" s="35">
        <v>39</v>
      </c>
      <c r="J517" s="37" t="s">
        <v>10</v>
      </c>
      <c r="K517" s="37" t="s">
        <v>159</v>
      </c>
      <c r="L517" s="8">
        <v>7</v>
      </c>
      <c r="M517" s="8">
        <v>15559</v>
      </c>
      <c r="N517" s="9"/>
      <c r="O517" s="8">
        <v>2001</v>
      </c>
      <c r="P517" s="9"/>
      <c r="Q517" s="8">
        <v>379</v>
      </c>
      <c r="R517" s="9"/>
      <c r="S517" s="8">
        <v>1211</v>
      </c>
      <c r="T517" s="9"/>
      <c r="U517" s="8">
        <v>270</v>
      </c>
      <c r="V517" s="9"/>
      <c r="W517" s="33">
        <v>19420</v>
      </c>
      <c r="X517" s="9"/>
      <c r="Y517" s="30">
        <v>26.4</v>
      </c>
      <c r="Z517" s="9"/>
      <c r="AA517" s="30">
        <v>2</v>
      </c>
      <c r="AB517" s="9"/>
      <c r="AC517" s="30">
        <v>0.4</v>
      </c>
      <c r="AD517" s="9"/>
      <c r="AE517" s="30">
        <v>0.62</v>
      </c>
      <c r="AF517" s="9"/>
      <c r="AG517" s="30">
        <v>0.9</v>
      </c>
      <c r="AH517" s="9"/>
      <c r="AI517" s="32">
        <v>30.32</v>
      </c>
      <c r="AJ517" s="12"/>
      <c r="AK517" s="22">
        <v>300403</v>
      </c>
      <c r="AM517" s="22">
        <v>35000</v>
      </c>
      <c r="AO517" s="22">
        <v>6767</v>
      </c>
      <c r="AQ517" s="22">
        <v>29739</v>
      </c>
      <c r="AS517" s="26">
        <v>371909</v>
      </c>
      <c r="AU517" s="23">
        <v>19.307300000000001</v>
      </c>
      <c r="AW517" s="23">
        <v>17.491299999999999</v>
      </c>
      <c r="AY517" s="23">
        <v>0.43490000000000001</v>
      </c>
      <c r="BA517" s="23">
        <v>24.557400000000001</v>
      </c>
      <c r="BC517" s="24">
        <v>19.1508</v>
      </c>
      <c r="BE517" s="1" t="str">
        <f t="shared" si="8"/>
        <v>No</v>
      </c>
    </row>
    <row r="518" spans="1:57" ht="11.25" customHeight="1">
      <c r="A518" s="7" t="s">
        <v>708</v>
      </c>
      <c r="B518" s="7" t="s">
        <v>202</v>
      </c>
      <c r="C518" s="37" t="s">
        <v>52</v>
      </c>
      <c r="D518" s="296">
        <v>5158</v>
      </c>
      <c r="E518" s="297">
        <v>50158</v>
      </c>
      <c r="F518" s="27" t="s">
        <v>114</v>
      </c>
      <c r="G518" s="73" t="s">
        <v>158</v>
      </c>
      <c r="H518" s="35">
        <v>306022</v>
      </c>
      <c r="I518" s="35">
        <v>38</v>
      </c>
      <c r="J518" s="37" t="s">
        <v>7</v>
      </c>
      <c r="K518" s="37" t="s">
        <v>159</v>
      </c>
      <c r="L518" s="8">
        <v>38</v>
      </c>
      <c r="M518" s="8">
        <v>191779</v>
      </c>
      <c r="N518" s="9"/>
      <c r="O518" s="8">
        <v>19824</v>
      </c>
      <c r="P518" s="9"/>
      <c r="Q518" s="8">
        <v>0</v>
      </c>
      <c r="R518" s="9"/>
      <c r="S518" s="8">
        <v>6057</v>
      </c>
      <c r="T518" s="9"/>
      <c r="U518" s="8">
        <v>0</v>
      </c>
      <c r="V518" s="9"/>
      <c r="W518" s="33">
        <v>217660</v>
      </c>
      <c r="X518" s="9"/>
      <c r="Y518" s="30">
        <v>142.4</v>
      </c>
      <c r="Z518" s="9"/>
      <c r="AA518" s="30">
        <v>11.4</v>
      </c>
      <c r="AB518" s="9"/>
      <c r="AC518" s="30">
        <v>0</v>
      </c>
      <c r="AD518" s="9"/>
      <c r="AE518" s="30">
        <v>3.3</v>
      </c>
      <c r="AF518" s="9"/>
      <c r="AG518" s="30">
        <v>0</v>
      </c>
      <c r="AH518" s="9"/>
      <c r="AI518" s="32">
        <v>157.1</v>
      </c>
      <c r="AJ518" s="12"/>
      <c r="AK518" s="22">
        <v>3768400</v>
      </c>
      <c r="AM518" s="22">
        <v>546564</v>
      </c>
      <c r="AO518" s="22">
        <v>0</v>
      </c>
      <c r="AQ518" s="22">
        <v>216590</v>
      </c>
      <c r="AS518" s="26">
        <v>4531554</v>
      </c>
      <c r="AU518" s="23">
        <v>19.649699999999999</v>
      </c>
      <c r="AW518" s="23">
        <v>27.570799999999998</v>
      </c>
      <c r="AY518" s="23">
        <v>0</v>
      </c>
      <c r="BA518" s="23">
        <v>35.758600000000001</v>
      </c>
      <c r="BC518" s="24">
        <v>20.819400000000002</v>
      </c>
      <c r="BE518" s="1" t="str">
        <f t="shared" si="8"/>
        <v>No</v>
      </c>
    </row>
    <row r="519" spans="1:57" ht="11.25" customHeight="1">
      <c r="A519" s="7" t="s">
        <v>784</v>
      </c>
      <c r="B519" s="7" t="s">
        <v>785</v>
      </c>
      <c r="C519" s="37" t="s">
        <v>84</v>
      </c>
      <c r="D519" s="296">
        <v>6130</v>
      </c>
      <c r="E519" s="297">
        <v>60130</v>
      </c>
      <c r="F519" s="27" t="s">
        <v>195</v>
      </c>
      <c r="G519" s="73" t="s">
        <v>158</v>
      </c>
      <c r="H519" s="35">
        <v>1758210</v>
      </c>
      <c r="I519" s="35">
        <v>38</v>
      </c>
      <c r="J519" s="37" t="s">
        <v>10</v>
      </c>
      <c r="K519" s="37" t="s">
        <v>159</v>
      </c>
      <c r="L519" s="8">
        <v>38</v>
      </c>
      <c r="M519" s="8">
        <v>81955</v>
      </c>
      <c r="N519" s="9"/>
      <c r="O519" s="8">
        <v>1541</v>
      </c>
      <c r="P519" s="9"/>
      <c r="Q519" s="8">
        <v>0</v>
      </c>
      <c r="R519" s="9"/>
      <c r="S519" s="8">
        <v>9614</v>
      </c>
      <c r="T519" s="9"/>
      <c r="U519" s="8">
        <v>0</v>
      </c>
      <c r="V519" s="9"/>
      <c r="W519" s="33">
        <v>93110</v>
      </c>
      <c r="X519" s="9"/>
      <c r="Y519" s="30">
        <v>58.54</v>
      </c>
      <c r="Z519" s="9"/>
      <c r="AA519" s="30">
        <v>2</v>
      </c>
      <c r="AB519" s="9"/>
      <c r="AC519" s="30">
        <v>0</v>
      </c>
      <c r="AD519" s="9"/>
      <c r="AE519" s="30">
        <v>6.78</v>
      </c>
      <c r="AF519" s="9"/>
      <c r="AG519" s="30">
        <v>0</v>
      </c>
      <c r="AH519" s="9"/>
      <c r="AI519" s="32">
        <v>67.319999999999993</v>
      </c>
      <c r="AJ519" s="12"/>
      <c r="AK519" s="22">
        <v>1032595</v>
      </c>
      <c r="AM519" s="22">
        <v>48757</v>
      </c>
      <c r="AO519" s="22">
        <v>0</v>
      </c>
      <c r="AQ519" s="22">
        <v>231775</v>
      </c>
      <c r="AS519" s="26">
        <v>1313127</v>
      </c>
      <c r="AU519" s="23">
        <v>12.599500000000001</v>
      </c>
      <c r="AW519" s="23">
        <v>31.639800000000001</v>
      </c>
      <c r="AY519" s="23">
        <v>0</v>
      </c>
      <c r="BA519" s="23">
        <v>24.1081</v>
      </c>
      <c r="BC519" s="24">
        <v>14.103</v>
      </c>
      <c r="BE519" s="1" t="str">
        <f t="shared" si="8"/>
        <v>No</v>
      </c>
    </row>
    <row r="520" spans="1:57" ht="11.25" customHeight="1">
      <c r="A520" s="7" t="s">
        <v>223</v>
      </c>
      <c r="B520" s="7" t="s">
        <v>224</v>
      </c>
      <c r="C520" s="37" t="s">
        <v>42</v>
      </c>
      <c r="D520" s="296">
        <v>5110</v>
      </c>
      <c r="E520" s="297">
        <v>50110</v>
      </c>
      <c r="F520" s="27" t="s">
        <v>165</v>
      </c>
      <c r="G520" s="73" t="s">
        <v>158</v>
      </c>
      <c r="H520" s="35">
        <v>108657</v>
      </c>
      <c r="I520" s="35">
        <v>38</v>
      </c>
      <c r="J520" s="37" t="s">
        <v>7</v>
      </c>
      <c r="K520" s="37" t="s">
        <v>159</v>
      </c>
      <c r="L520" s="8">
        <v>30</v>
      </c>
      <c r="M520" s="8">
        <v>123426</v>
      </c>
      <c r="N520" s="9"/>
      <c r="O520" s="8">
        <v>24516</v>
      </c>
      <c r="P520" s="9"/>
      <c r="Q520" s="8">
        <v>1965</v>
      </c>
      <c r="R520" s="9"/>
      <c r="S520" s="8">
        <v>7454</v>
      </c>
      <c r="T520" s="9"/>
      <c r="U520" s="8">
        <v>0</v>
      </c>
      <c r="V520" s="9"/>
      <c r="W520" s="33">
        <v>157361</v>
      </c>
      <c r="X520" s="9"/>
      <c r="Y520" s="30">
        <v>71</v>
      </c>
      <c r="Z520" s="9"/>
      <c r="AA520" s="30">
        <v>14</v>
      </c>
      <c r="AB520" s="9"/>
      <c r="AC520" s="30">
        <v>1</v>
      </c>
      <c r="AD520" s="9"/>
      <c r="AE520" s="30">
        <v>4</v>
      </c>
      <c r="AF520" s="9"/>
      <c r="AG520" s="30">
        <v>0</v>
      </c>
      <c r="AH520" s="9"/>
      <c r="AI520" s="32">
        <v>90</v>
      </c>
      <c r="AJ520" s="12"/>
      <c r="AK520" s="22">
        <v>2173356</v>
      </c>
      <c r="AM520" s="22">
        <v>529468</v>
      </c>
      <c r="AO520" s="22">
        <v>37588</v>
      </c>
      <c r="AQ520" s="22">
        <v>183311</v>
      </c>
      <c r="AS520" s="26">
        <v>2923723</v>
      </c>
      <c r="AU520" s="23">
        <v>17.608599999999999</v>
      </c>
      <c r="AW520" s="23">
        <v>21.596800000000002</v>
      </c>
      <c r="AY520" s="23">
        <v>0.30449999999999999</v>
      </c>
      <c r="BA520" s="23">
        <v>24.592300000000002</v>
      </c>
      <c r="BC520" s="24">
        <v>18.579699999999999</v>
      </c>
      <c r="BE520" s="1" t="str">
        <f t="shared" si="8"/>
        <v>No</v>
      </c>
    </row>
    <row r="521" spans="1:57" ht="11.25" customHeight="1">
      <c r="A521" s="7" t="s">
        <v>663</v>
      </c>
      <c r="B521" s="7" t="s">
        <v>664</v>
      </c>
      <c r="C521" s="37" t="s">
        <v>69</v>
      </c>
      <c r="D521" s="296">
        <v>6077</v>
      </c>
      <c r="E521" s="297">
        <v>60077</v>
      </c>
      <c r="F521" s="27" t="s">
        <v>162</v>
      </c>
      <c r="G521" s="73" t="s">
        <v>158</v>
      </c>
      <c r="H521" s="35">
        <v>89284</v>
      </c>
      <c r="I521" s="35">
        <v>38</v>
      </c>
      <c r="J521" s="37" t="s">
        <v>7</v>
      </c>
      <c r="K521" s="37" t="s">
        <v>159</v>
      </c>
      <c r="L521" s="8">
        <v>26</v>
      </c>
      <c r="M521" s="8">
        <v>130536</v>
      </c>
      <c r="N521" s="9"/>
      <c r="O521" s="8">
        <v>18264</v>
      </c>
      <c r="P521" s="9"/>
      <c r="Q521" s="8">
        <v>4464</v>
      </c>
      <c r="R521" s="9"/>
      <c r="S521" s="8">
        <v>13763</v>
      </c>
      <c r="T521" s="9"/>
      <c r="U521" s="8">
        <v>0</v>
      </c>
      <c r="V521" s="9"/>
      <c r="W521" s="33">
        <v>167027</v>
      </c>
      <c r="X521" s="9"/>
      <c r="Y521" s="30">
        <v>66.5</v>
      </c>
      <c r="Z521" s="9"/>
      <c r="AA521" s="30">
        <v>10.4</v>
      </c>
      <c r="AB521" s="9"/>
      <c r="AC521" s="30">
        <v>2.4</v>
      </c>
      <c r="AD521" s="9"/>
      <c r="AE521" s="30">
        <v>7.6</v>
      </c>
      <c r="AF521" s="9"/>
      <c r="AG521" s="30">
        <v>0</v>
      </c>
      <c r="AH521" s="9"/>
      <c r="AI521" s="32">
        <v>86.9</v>
      </c>
      <c r="AJ521" s="12"/>
      <c r="AK521" s="22">
        <v>2571647</v>
      </c>
      <c r="AM521" s="22">
        <v>448322</v>
      </c>
      <c r="AO521" s="22">
        <v>37648</v>
      </c>
      <c r="AQ521" s="22">
        <v>366465</v>
      </c>
      <c r="AS521" s="26">
        <v>3424082</v>
      </c>
      <c r="AU521" s="23">
        <v>19.700700000000001</v>
      </c>
      <c r="AW521" s="23">
        <v>24.546800000000001</v>
      </c>
      <c r="AY521" s="23">
        <v>0.28839999999999999</v>
      </c>
      <c r="BA521" s="23">
        <v>26.626799999999999</v>
      </c>
      <c r="BC521" s="24">
        <v>20.5002</v>
      </c>
      <c r="BE521" s="1" t="str">
        <f t="shared" si="8"/>
        <v>No</v>
      </c>
    </row>
    <row r="522" spans="1:57" ht="11.25" customHeight="1">
      <c r="A522" s="7" t="s">
        <v>404</v>
      </c>
      <c r="B522" s="7" t="s">
        <v>405</v>
      </c>
      <c r="C522" s="37" t="s">
        <v>93</v>
      </c>
      <c r="D522" s="296">
        <v>5002</v>
      </c>
      <c r="E522" s="297">
        <v>50002</v>
      </c>
      <c r="F522" s="27" t="s">
        <v>162</v>
      </c>
      <c r="G522" s="73" t="s">
        <v>158</v>
      </c>
      <c r="H522" s="35">
        <v>206520</v>
      </c>
      <c r="I522" s="35">
        <v>38</v>
      </c>
      <c r="J522" s="37" t="s">
        <v>7</v>
      </c>
      <c r="K522" s="37" t="s">
        <v>159</v>
      </c>
      <c r="L522" s="8">
        <v>25</v>
      </c>
      <c r="M522" s="8">
        <v>96915</v>
      </c>
      <c r="N522" s="9"/>
      <c r="O522" s="8">
        <v>17954</v>
      </c>
      <c r="P522" s="9"/>
      <c r="Q522" s="8">
        <v>1401</v>
      </c>
      <c r="R522" s="9"/>
      <c r="S522" s="8">
        <v>6497</v>
      </c>
      <c r="T522" s="9"/>
      <c r="U522" s="8">
        <v>0</v>
      </c>
      <c r="V522" s="9"/>
      <c r="W522" s="33">
        <v>122767</v>
      </c>
      <c r="X522" s="9"/>
      <c r="Y522" s="30">
        <v>46</v>
      </c>
      <c r="Z522" s="9"/>
      <c r="AA522" s="30">
        <v>10</v>
      </c>
      <c r="AB522" s="9"/>
      <c r="AC522" s="30">
        <v>1</v>
      </c>
      <c r="AD522" s="9"/>
      <c r="AE522" s="30">
        <v>5</v>
      </c>
      <c r="AF522" s="9"/>
      <c r="AG522" s="30">
        <v>0</v>
      </c>
      <c r="AH522" s="9"/>
      <c r="AI522" s="32">
        <v>62</v>
      </c>
      <c r="AJ522" s="12"/>
      <c r="AK522" s="22">
        <v>2211080</v>
      </c>
      <c r="AM522" s="22">
        <v>433648</v>
      </c>
      <c r="AO522" s="22">
        <v>27385</v>
      </c>
      <c r="AQ522" s="22">
        <v>143884</v>
      </c>
      <c r="AS522" s="26">
        <v>2815997</v>
      </c>
      <c r="AU522" s="23">
        <v>22.814599999999999</v>
      </c>
      <c r="AW522" s="23">
        <v>24.153300000000002</v>
      </c>
      <c r="AY522" s="23">
        <v>0.28260000000000002</v>
      </c>
      <c r="BA522" s="23">
        <v>22.1462</v>
      </c>
      <c r="BC522" s="24">
        <v>22.9377</v>
      </c>
      <c r="BE522" s="1" t="str">
        <f t="shared" si="8"/>
        <v>No</v>
      </c>
    </row>
    <row r="523" spans="1:57" ht="11.25" customHeight="1">
      <c r="A523" s="7" t="s">
        <v>209</v>
      </c>
      <c r="B523" s="7" t="s">
        <v>210</v>
      </c>
      <c r="C523" s="37" t="s">
        <v>77</v>
      </c>
      <c r="D523" s="296">
        <v>3023</v>
      </c>
      <c r="E523" s="297">
        <v>30023</v>
      </c>
      <c r="F523" s="27" t="s">
        <v>165</v>
      </c>
      <c r="G523" s="73" t="s">
        <v>158</v>
      </c>
      <c r="H523" s="35">
        <v>1733853</v>
      </c>
      <c r="I523" s="35">
        <v>38</v>
      </c>
      <c r="J523" s="37" t="s">
        <v>7</v>
      </c>
      <c r="K523" s="37" t="s">
        <v>159</v>
      </c>
      <c r="L523" s="8">
        <v>20</v>
      </c>
      <c r="M523" s="8">
        <v>88645</v>
      </c>
      <c r="N523" s="9"/>
      <c r="O523" s="8">
        <v>17320</v>
      </c>
      <c r="P523" s="9"/>
      <c r="Q523" s="8">
        <v>3759</v>
      </c>
      <c r="R523" s="9"/>
      <c r="S523" s="8">
        <v>8448</v>
      </c>
      <c r="T523" s="9"/>
      <c r="U523" s="8">
        <v>0</v>
      </c>
      <c r="V523" s="9"/>
      <c r="W523" s="33">
        <v>118172</v>
      </c>
      <c r="X523" s="9"/>
      <c r="Y523" s="30">
        <v>46.21</v>
      </c>
      <c r="Z523" s="9"/>
      <c r="AA523" s="30">
        <v>8.5299999999999994</v>
      </c>
      <c r="AB523" s="9"/>
      <c r="AC523" s="30">
        <v>1.86</v>
      </c>
      <c r="AD523" s="9"/>
      <c r="AE523" s="30">
        <v>5.78</v>
      </c>
      <c r="AF523" s="9"/>
      <c r="AG523" s="30">
        <v>0</v>
      </c>
      <c r="AH523" s="9"/>
      <c r="AI523" s="32">
        <v>62.38</v>
      </c>
      <c r="AJ523" s="12"/>
      <c r="AK523" s="22">
        <v>1591518</v>
      </c>
      <c r="AM523" s="22">
        <v>390509</v>
      </c>
      <c r="AO523" s="22">
        <v>56286</v>
      </c>
      <c r="AQ523" s="22">
        <v>248884</v>
      </c>
      <c r="AS523" s="26">
        <v>2287197</v>
      </c>
      <c r="AU523" s="23">
        <v>17.953800000000001</v>
      </c>
      <c r="AW523" s="23">
        <v>22.546700000000001</v>
      </c>
      <c r="AY523" s="23">
        <v>0.63500000000000001</v>
      </c>
      <c r="BA523" s="23">
        <v>29.460699999999999</v>
      </c>
      <c r="BC523" s="24">
        <v>19.354800000000001</v>
      </c>
      <c r="BE523" s="1" t="str">
        <f t="shared" si="8"/>
        <v>No</v>
      </c>
    </row>
    <row r="524" spans="1:57" ht="11.25" customHeight="1">
      <c r="A524" s="7" t="s">
        <v>209</v>
      </c>
      <c r="B524" s="7" t="s">
        <v>210</v>
      </c>
      <c r="C524" s="37" t="s">
        <v>77</v>
      </c>
      <c r="D524" s="296">
        <v>3023</v>
      </c>
      <c r="E524" s="297">
        <v>30023</v>
      </c>
      <c r="F524" s="27" t="s">
        <v>165</v>
      </c>
      <c r="G524" s="73" t="s">
        <v>158</v>
      </c>
      <c r="H524" s="35">
        <v>1733853</v>
      </c>
      <c r="I524" s="35">
        <v>38</v>
      </c>
      <c r="J524" s="37" t="s">
        <v>10</v>
      </c>
      <c r="K524" s="37" t="s">
        <v>159</v>
      </c>
      <c r="L524" s="8">
        <v>18</v>
      </c>
      <c r="M524" s="8">
        <v>42780</v>
      </c>
      <c r="N524" s="9"/>
      <c r="O524" s="8">
        <v>10615</v>
      </c>
      <c r="P524" s="9"/>
      <c r="Q524" s="8">
        <v>2304</v>
      </c>
      <c r="R524" s="9"/>
      <c r="S524" s="8">
        <v>6013</v>
      </c>
      <c r="T524" s="9"/>
      <c r="U524" s="8">
        <v>0</v>
      </c>
      <c r="V524" s="9"/>
      <c r="W524" s="33">
        <v>61712</v>
      </c>
      <c r="X524" s="9"/>
      <c r="Y524" s="30">
        <v>22.55</v>
      </c>
      <c r="Z524" s="9"/>
      <c r="AA524" s="30">
        <v>5.23</v>
      </c>
      <c r="AB524" s="9"/>
      <c r="AC524" s="30">
        <v>1.1399999999999999</v>
      </c>
      <c r="AD524" s="9"/>
      <c r="AE524" s="30">
        <v>3.61</v>
      </c>
      <c r="AF524" s="9"/>
      <c r="AG524" s="30">
        <v>0</v>
      </c>
      <c r="AH524" s="9"/>
      <c r="AI524" s="32">
        <v>32.53</v>
      </c>
      <c r="AJ524" s="12"/>
      <c r="AK524" s="22">
        <v>591251</v>
      </c>
      <c r="AM524" s="22">
        <v>128770</v>
      </c>
      <c r="AO524" s="22">
        <v>31947</v>
      </c>
      <c r="AQ524" s="22">
        <v>155517</v>
      </c>
      <c r="AS524" s="26">
        <v>907485</v>
      </c>
      <c r="AU524" s="23">
        <v>13.8207</v>
      </c>
      <c r="AW524" s="23">
        <v>12.1309</v>
      </c>
      <c r="AY524" s="23">
        <v>0.74680000000000002</v>
      </c>
      <c r="BA524" s="23">
        <v>25.863499999999998</v>
      </c>
      <c r="BC524" s="24">
        <v>14.7052</v>
      </c>
      <c r="BE524" s="1" t="str">
        <f t="shared" si="8"/>
        <v>No</v>
      </c>
    </row>
    <row r="525" spans="1:57" ht="11.25" customHeight="1">
      <c r="A525" s="7" t="s">
        <v>573</v>
      </c>
      <c r="B525" s="7" t="s">
        <v>574</v>
      </c>
      <c r="C525" s="37" t="s">
        <v>76</v>
      </c>
      <c r="D525" s="296">
        <v>34</v>
      </c>
      <c r="E525" s="297">
        <v>34</v>
      </c>
      <c r="F525" s="27" t="s">
        <v>165</v>
      </c>
      <c r="G525" s="73" t="s">
        <v>158</v>
      </c>
      <c r="H525" s="35">
        <v>154081</v>
      </c>
      <c r="I525" s="35">
        <v>38</v>
      </c>
      <c r="J525" s="37" t="s">
        <v>7</v>
      </c>
      <c r="K525" s="37" t="s">
        <v>159</v>
      </c>
      <c r="L525" s="8">
        <v>18</v>
      </c>
      <c r="M525" s="8">
        <v>74708</v>
      </c>
      <c r="N525" s="9"/>
      <c r="O525" s="8">
        <v>13962</v>
      </c>
      <c r="P525" s="9"/>
      <c r="Q525" s="8">
        <v>1663</v>
      </c>
      <c r="R525" s="9"/>
      <c r="S525" s="8">
        <v>21500</v>
      </c>
      <c r="T525" s="9"/>
      <c r="U525" s="8">
        <v>0</v>
      </c>
      <c r="V525" s="9"/>
      <c r="W525" s="33">
        <v>111833</v>
      </c>
      <c r="X525" s="9"/>
      <c r="Y525" s="30">
        <v>40</v>
      </c>
      <c r="Z525" s="9"/>
      <c r="AA525" s="30">
        <v>7</v>
      </c>
      <c r="AB525" s="9"/>
      <c r="AC525" s="30">
        <v>3</v>
      </c>
      <c r="AD525" s="9"/>
      <c r="AE525" s="30">
        <v>10</v>
      </c>
      <c r="AF525" s="9"/>
      <c r="AG525" s="30">
        <v>0</v>
      </c>
      <c r="AH525" s="9"/>
      <c r="AI525" s="32">
        <v>60</v>
      </c>
      <c r="AJ525" s="12"/>
      <c r="AK525" s="22">
        <v>1813863</v>
      </c>
      <c r="AM525" s="22">
        <v>316508</v>
      </c>
      <c r="AO525" s="22">
        <v>29132</v>
      </c>
      <c r="AQ525" s="22">
        <v>512647</v>
      </c>
      <c r="AS525" s="26">
        <v>2672150</v>
      </c>
      <c r="AU525" s="23">
        <v>24.279399999999999</v>
      </c>
      <c r="AW525" s="23">
        <v>22.6692</v>
      </c>
      <c r="AY525" s="23">
        <v>0.38990000000000002</v>
      </c>
      <c r="BA525" s="23">
        <v>23.844000000000001</v>
      </c>
      <c r="BC525" s="24">
        <v>23.894100000000002</v>
      </c>
      <c r="BE525" s="1" t="str">
        <f t="shared" si="8"/>
        <v>No</v>
      </c>
    </row>
    <row r="526" spans="1:57" ht="11.25" customHeight="1">
      <c r="A526" s="7" t="s">
        <v>1114</v>
      </c>
      <c r="B526" s="7" t="s">
        <v>717</v>
      </c>
      <c r="C526" s="37" t="s">
        <v>17</v>
      </c>
      <c r="D526" s="296">
        <v>9196</v>
      </c>
      <c r="E526" s="297">
        <v>90196</v>
      </c>
      <c r="F526" s="27" t="s">
        <v>162</v>
      </c>
      <c r="G526" s="73" t="s">
        <v>158</v>
      </c>
      <c r="H526" s="35">
        <v>1723634</v>
      </c>
      <c r="I526" s="35">
        <v>38</v>
      </c>
      <c r="J526" s="37" t="s">
        <v>7</v>
      </c>
      <c r="K526" s="37" t="s">
        <v>159</v>
      </c>
      <c r="L526" s="8">
        <v>15</v>
      </c>
      <c r="M526" s="8">
        <v>82583</v>
      </c>
      <c r="N526" s="9"/>
      <c r="O526" s="8">
        <v>9512</v>
      </c>
      <c r="P526" s="9"/>
      <c r="Q526" s="8">
        <v>374</v>
      </c>
      <c r="R526" s="9"/>
      <c r="S526" s="8">
        <v>24001</v>
      </c>
      <c r="T526" s="9"/>
      <c r="U526" s="8">
        <v>0</v>
      </c>
      <c r="V526" s="9"/>
      <c r="W526" s="33">
        <v>116470</v>
      </c>
      <c r="X526" s="9"/>
      <c r="Y526" s="30">
        <v>41.3</v>
      </c>
      <c r="Z526" s="9"/>
      <c r="AA526" s="30">
        <v>5.0999999999999996</v>
      </c>
      <c r="AB526" s="9"/>
      <c r="AC526" s="30">
        <v>0.4</v>
      </c>
      <c r="AD526" s="9"/>
      <c r="AE526" s="30">
        <v>13.1</v>
      </c>
      <c r="AF526" s="9"/>
      <c r="AG526" s="30">
        <v>0</v>
      </c>
      <c r="AH526" s="9"/>
      <c r="AI526" s="32">
        <v>59.9</v>
      </c>
      <c r="AJ526" s="12"/>
      <c r="AK526" s="22">
        <v>2226986</v>
      </c>
      <c r="AM526" s="22">
        <v>283373</v>
      </c>
      <c r="AO526" s="22">
        <v>9091</v>
      </c>
      <c r="AQ526" s="22">
        <v>733429</v>
      </c>
      <c r="AS526" s="26">
        <v>3252879</v>
      </c>
      <c r="AU526" s="23">
        <v>26.9666</v>
      </c>
      <c r="AW526" s="23">
        <v>29.7911</v>
      </c>
      <c r="AY526" s="23">
        <v>0.1101</v>
      </c>
      <c r="BA526" s="23">
        <v>30.558299999999999</v>
      </c>
      <c r="BC526" s="24">
        <v>27.928899999999999</v>
      </c>
      <c r="BE526" s="1" t="str">
        <f t="shared" si="8"/>
        <v>No</v>
      </c>
    </row>
    <row r="527" spans="1:57" ht="11.25" customHeight="1">
      <c r="A527" s="7" t="s">
        <v>663</v>
      </c>
      <c r="B527" s="7" t="s">
        <v>664</v>
      </c>
      <c r="C527" s="37" t="s">
        <v>69</v>
      </c>
      <c r="D527" s="296">
        <v>6077</v>
      </c>
      <c r="E527" s="297">
        <v>60077</v>
      </c>
      <c r="F527" s="27" t="s">
        <v>162</v>
      </c>
      <c r="G527" s="73" t="s">
        <v>158</v>
      </c>
      <c r="H527" s="35">
        <v>89284</v>
      </c>
      <c r="I527" s="35">
        <v>38</v>
      </c>
      <c r="J527" s="37" t="s">
        <v>10</v>
      </c>
      <c r="K527" s="37" t="s">
        <v>159</v>
      </c>
      <c r="L527" s="8">
        <v>12</v>
      </c>
      <c r="M527" s="8">
        <v>37953</v>
      </c>
      <c r="N527" s="9"/>
      <c r="O527" s="8">
        <v>4969</v>
      </c>
      <c r="P527" s="9"/>
      <c r="Q527" s="8">
        <v>713</v>
      </c>
      <c r="R527" s="9"/>
      <c r="S527" s="8">
        <v>3441</v>
      </c>
      <c r="T527" s="9"/>
      <c r="U527" s="8">
        <v>0</v>
      </c>
      <c r="V527" s="9"/>
      <c r="W527" s="33">
        <v>47076</v>
      </c>
      <c r="X527" s="9"/>
      <c r="Y527" s="30">
        <v>20</v>
      </c>
      <c r="Z527" s="9"/>
      <c r="AA527" s="30">
        <v>2.6</v>
      </c>
      <c r="AB527" s="9"/>
      <c r="AC527" s="30">
        <v>0.6</v>
      </c>
      <c r="AD527" s="9"/>
      <c r="AE527" s="30">
        <v>1.9</v>
      </c>
      <c r="AF527" s="9"/>
      <c r="AG527" s="30">
        <v>0</v>
      </c>
      <c r="AH527" s="9"/>
      <c r="AI527" s="32">
        <v>25.1</v>
      </c>
      <c r="AJ527" s="12"/>
      <c r="AK527" s="22">
        <v>625767</v>
      </c>
      <c r="AM527" s="22">
        <v>149441</v>
      </c>
      <c r="AO527" s="22">
        <v>12549</v>
      </c>
      <c r="AQ527" s="22">
        <v>122155</v>
      </c>
      <c r="AS527" s="26">
        <v>909912</v>
      </c>
      <c r="AU527" s="23">
        <v>16.4879</v>
      </c>
      <c r="AW527" s="23">
        <v>30.0747</v>
      </c>
      <c r="AY527" s="23">
        <v>0.3306</v>
      </c>
      <c r="BA527" s="23">
        <v>35.499899999999997</v>
      </c>
      <c r="BC527" s="24">
        <v>19.328600000000002</v>
      </c>
      <c r="BE527" s="1" t="str">
        <f t="shared" si="8"/>
        <v>No</v>
      </c>
    </row>
    <row r="528" spans="1:57" ht="11.25" customHeight="1">
      <c r="A528" s="7" t="s">
        <v>223</v>
      </c>
      <c r="B528" s="7" t="s">
        <v>224</v>
      </c>
      <c r="C528" s="37" t="s">
        <v>42</v>
      </c>
      <c r="D528" s="296">
        <v>5110</v>
      </c>
      <c r="E528" s="297">
        <v>50110</v>
      </c>
      <c r="F528" s="27" t="s">
        <v>165</v>
      </c>
      <c r="G528" s="73" t="s">
        <v>158</v>
      </c>
      <c r="H528" s="35">
        <v>108657</v>
      </c>
      <c r="I528" s="35">
        <v>38</v>
      </c>
      <c r="J528" s="37" t="s">
        <v>10</v>
      </c>
      <c r="K528" s="37" t="s">
        <v>159</v>
      </c>
      <c r="L528" s="8">
        <v>8</v>
      </c>
      <c r="M528" s="8">
        <v>21570</v>
      </c>
      <c r="N528" s="9"/>
      <c r="O528" s="8">
        <v>2372</v>
      </c>
      <c r="P528" s="9"/>
      <c r="Q528" s="8">
        <v>344</v>
      </c>
      <c r="R528" s="9"/>
      <c r="S528" s="8">
        <v>2011</v>
      </c>
      <c r="T528" s="9"/>
      <c r="U528" s="8">
        <v>0</v>
      </c>
      <c r="V528" s="9"/>
      <c r="W528" s="33">
        <v>26297</v>
      </c>
      <c r="X528" s="9"/>
      <c r="Y528" s="30">
        <v>13</v>
      </c>
      <c r="Z528" s="9"/>
      <c r="AA528" s="30">
        <v>1.2</v>
      </c>
      <c r="AB528" s="9"/>
      <c r="AC528" s="30">
        <v>0.2</v>
      </c>
      <c r="AD528" s="9"/>
      <c r="AE528" s="30">
        <v>1</v>
      </c>
      <c r="AF528" s="9"/>
      <c r="AG528" s="30">
        <v>0</v>
      </c>
      <c r="AH528" s="9"/>
      <c r="AI528" s="32">
        <v>15.4</v>
      </c>
      <c r="AJ528" s="12"/>
      <c r="AK528" s="22">
        <v>278519</v>
      </c>
      <c r="AM528" s="22">
        <v>32970</v>
      </c>
      <c r="AO528" s="22">
        <v>6633</v>
      </c>
      <c r="AQ528" s="22">
        <v>42894</v>
      </c>
      <c r="AS528" s="26">
        <v>361016</v>
      </c>
      <c r="AU528" s="23">
        <v>12.9123</v>
      </c>
      <c r="AW528" s="23">
        <v>13.899699999999999</v>
      </c>
      <c r="AY528" s="23">
        <v>0.3075</v>
      </c>
      <c r="BA528" s="23">
        <v>21.329699999999999</v>
      </c>
      <c r="BC528" s="24">
        <v>13.728400000000001</v>
      </c>
      <c r="BE528" s="1" t="str">
        <f t="shared" si="8"/>
        <v>No</v>
      </c>
    </row>
    <row r="529" spans="1:57" ht="11.25" customHeight="1">
      <c r="A529" s="7" t="s">
        <v>732</v>
      </c>
      <c r="B529" s="7" t="s">
        <v>438</v>
      </c>
      <c r="C529" s="37" t="s">
        <v>83</v>
      </c>
      <c r="D529" s="296">
        <v>4171</v>
      </c>
      <c r="E529" s="297">
        <v>40171</v>
      </c>
      <c r="F529" s="27" t="s">
        <v>162</v>
      </c>
      <c r="G529" s="73" t="s">
        <v>158</v>
      </c>
      <c r="H529" s="35">
        <v>558696</v>
      </c>
      <c r="I529" s="35">
        <v>37</v>
      </c>
      <c r="J529" s="37" t="s">
        <v>10</v>
      </c>
      <c r="K529" s="37" t="s">
        <v>159</v>
      </c>
      <c r="L529" s="8">
        <v>37</v>
      </c>
      <c r="M529" s="8">
        <v>88863</v>
      </c>
      <c r="N529" s="9"/>
      <c r="O529" s="8">
        <v>0</v>
      </c>
      <c r="P529" s="9"/>
      <c r="Q529" s="8">
        <v>0</v>
      </c>
      <c r="R529" s="9"/>
      <c r="S529" s="8">
        <v>0</v>
      </c>
      <c r="T529" s="9"/>
      <c r="U529" s="8">
        <v>0</v>
      </c>
      <c r="V529" s="9"/>
      <c r="W529" s="33">
        <v>88863</v>
      </c>
      <c r="X529" s="9"/>
      <c r="Y529" s="30">
        <v>44</v>
      </c>
      <c r="Z529" s="9"/>
      <c r="AA529" s="30">
        <v>0</v>
      </c>
      <c r="AB529" s="9"/>
      <c r="AC529" s="30">
        <v>0</v>
      </c>
      <c r="AD529" s="9"/>
      <c r="AE529" s="30">
        <v>0</v>
      </c>
      <c r="AF529" s="9"/>
      <c r="AG529" s="30">
        <v>0</v>
      </c>
      <c r="AH529" s="9"/>
      <c r="AI529" s="32">
        <v>44</v>
      </c>
      <c r="AJ529" s="12"/>
      <c r="AK529" s="22">
        <v>1387278</v>
      </c>
      <c r="AM529" s="22">
        <v>0</v>
      </c>
      <c r="AO529" s="22">
        <v>0</v>
      </c>
      <c r="AQ529" s="22">
        <v>0</v>
      </c>
      <c r="AS529" s="26">
        <v>1387278</v>
      </c>
      <c r="AU529" s="23">
        <v>15.6114</v>
      </c>
      <c r="AY529" s="23">
        <v>0</v>
      </c>
      <c r="BC529" s="24">
        <v>15.6114</v>
      </c>
      <c r="BE529" s="1" t="str">
        <f t="shared" si="8"/>
        <v>No</v>
      </c>
    </row>
    <row r="530" spans="1:57" ht="11.25" customHeight="1">
      <c r="A530" s="7" t="s">
        <v>309</v>
      </c>
      <c r="B530" s="7" t="s">
        <v>310</v>
      </c>
      <c r="C530" s="37" t="s">
        <v>36</v>
      </c>
      <c r="D530" s="296">
        <v>4058</v>
      </c>
      <c r="E530" s="297">
        <v>40058</v>
      </c>
      <c r="F530" s="27" t="s">
        <v>162</v>
      </c>
      <c r="G530" s="73" t="s">
        <v>158</v>
      </c>
      <c r="H530" s="35">
        <v>60851</v>
      </c>
      <c r="I530" s="35">
        <v>37</v>
      </c>
      <c r="J530" s="37" t="s">
        <v>7</v>
      </c>
      <c r="K530" s="37" t="s">
        <v>159</v>
      </c>
      <c r="L530" s="8">
        <v>31</v>
      </c>
      <c r="M530" s="8">
        <v>54757</v>
      </c>
      <c r="N530" s="9"/>
      <c r="O530" s="8">
        <v>15283</v>
      </c>
      <c r="P530" s="9"/>
      <c r="Q530" s="8">
        <v>1917</v>
      </c>
      <c r="R530" s="9"/>
      <c r="S530" s="8">
        <v>16506</v>
      </c>
      <c r="T530" s="9"/>
      <c r="U530" s="8">
        <v>0</v>
      </c>
      <c r="V530" s="9"/>
      <c r="W530" s="33">
        <v>88463</v>
      </c>
      <c r="X530" s="9"/>
      <c r="Y530" s="30">
        <v>29</v>
      </c>
      <c r="Z530" s="9"/>
      <c r="AA530" s="30">
        <v>11</v>
      </c>
      <c r="AB530" s="9"/>
      <c r="AC530" s="30">
        <v>1</v>
      </c>
      <c r="AD530" s="9"/>
      <c r="AE530" s="30">
        <v>11</v>
      </c>
      <c r="AF530" s="9"/>
      <c r="AG530" s="30">
        <v>0</v>
      </c>
      <c r="AH530" s="9"/>
      <c r="AI530" s="32">
        <v>52</v>
      </c>
      <c r="AJ530" s="12"/>
      <c r="AK530" s="22">
        <v>796090</v>
      </c>
      <c r="AM530" s="22">
        <v>162942</v>
      </c>
      <c r="AO530" s="22">
        <v>17937</v>
      </c>
      <c r="AQ530" s="22">
        <v>206765</v>
      </c>
      <c r="AS530" s="26">
        <v>1183734</v>
      </c>
      <c r="AU530" s="23">
        <v>14.538600000000001</v>
      </c>
      <c r="AW530" s="23">
        <v>10.6617</v>
      </c>
      <c r="AY530" s="23">
        <v>0.3276</v>
      </c>
      <c r="BA530" s="23">
        <v>12.5267</v>
      </c>
      <c r="BC530" s="24">
        <v>13.3811</v>
      </c>
      <c r="BE530" s="1" t="str">
        <f t="shared" si="8"/>
        <v>No</v>
      </c>
    </row>
    <row r="531" spans="1:57" ht="11.25" customHeight="1">
      <c r="A531" s="7" t="s">
        <v>322</v>
      </c>
      <c r="B531" s="7" t="s">
        <v>323</v>
      </c>
      <c r="C531" s="37" t="s">
        <v>55</v>
      </c>
      <c r="D531" s="296">
        <v>7016</v>
      </c>
      <c r="E531" s="297">
        <v>70016</v>
      </c>
      <c r="F531" s="27" t="s">
        <v>162</v>
      </c>
      <c r="G531" s="73" t="s">
        <v>158</v>
      </c>
      <c r="H531" s="35">
        <v>124748</v>
      </c>
      <c r="I531" s="35">
        <v>37</v>
      </c>
      <c r="J531" s="37" t="s">
        <v>7</v>
      </c>
      <c r="K531" s="37" t="s">
        <v>159</v>
      </c>
      <c r="L531" s="8">
        <v>28</v>
      </c>
      <c r="M531" s="8">
        <v>125139</v>
      </c>
      <c r="N531" s="9"/>
      <c r="O531" s="8">
        <v>7179</v>
      </c>
      <c r="P531" s="9"/>
      <c r="Q531" s="8">
        <v>0</v>
      </c>
      <c r="R531" s="9"/>
      <c r="S531" s="8">
        <v>3804</v>
      </c>
      <c r="T531" s="9"/>
      <c r="U531" s="8">
        <v>0</v>
      </c>
      <c r="V531" s="9"/>
      <c r="W531" s="33">
        <v>136122</v>
      </c>
      <c r="X531" s="9"/>
      <c r="Y531" s="30">
        <v>105</v>
      </c>
      <c r="Z531" s="9"/>
      <c r="AA531" s="30">
        <v>4</v>
      </c>
      <c r="AB531" s="9"/>
      <c r="AC531" s="30">
        <v>0</v>
      </c>
      <c r="AD531" s="9"/>
      <c r="AE531" s="30">
        <v>4</v>
      </c>
      <c r="AF531" s="9"/>
      <c r="AG531" s="30">
        <v>0</v>
      </c>
      <c r="AH531" s="9"/>
      <c r="AI531" s="32">
        <v>113</v>
      </c>
      <c r="AJ531" s="12"/>
      <c r="AK531" s="22">
        <v>2012430</v>
      </c>
      <c r="AM531" s="22">
        <v>189723</v>
      </c>
      <c r="AO531" s="22">
        <v>0</v>
      </c>
      <c r="AQ531" s="22">
        <v>129016</v>
      </c>
      <c r="AS531" s="26">
        <v>2331169</v>
      </c>
      <c r="AU531" s="23">
        <v>16.081600000000002</v>
      </c>
      <c r="AW531" s="23">
        <v>26.427499999999998</v>
      </c>
      <c r="AY531" s="23">
        <v>0</v>
      </c>
      <c r="BA531" s="23">
        <v>33.915900000000001</v>
      </c>
      <c r="BC531" s="24">
        <v>17.125599999999999</v>
      </c>
      <c r="BE531" s="1" t="str">
        <f t="shared" si="8"/>
        <v>No</v>
      </c>
    </row>
    <row r="532" spans="1:57" ht="11.25" customHeight="1">
      <c r="A532" s="7" t="s">
        <v>394</v>
      </c>
      <c r="B532" s="7" t="s">
        <v>395</v>
      </c>
      <c r="C532" s="37" t="s">
        <v>86</v>
      </c>
      <c r="D532" s="296">
        <v>3008</v>
      </c>
      <c r="E532" s="297">
        <v>30008</v>
      </c>
      <c r="F532" s="27" t="s">
        <v>165</v>
      </c>
      <c r="G532" s="73" t="s">
        <v>158</v>
      </c>
      <c r="H532" s="35">
        <v>116636</v>
      </c>
      <c r="I532" s="35">
        <v>37</v>
      </c>
      <c r="J532" s="37" t="s">
        <v>7</v>
      </c>
      <c r="K532" s="37" t="s">
        <v>159</v>
      </c>
      <c r="L532" s="8">
        <v>28</v>
      </c>
      <c r="M532" s="8">
        <v>121318</v>
      </c>
      <c r="N532" s="9"/>
      <c r="O532" s="8">
        <v>18777</v>
      </c>
      <c r="P532" s="9"/>
      <c r="Q532" s="8">
        <v>12220</v>
      </c>
      <c r="R532" s="9"/>
      <c r="S532" s="8">
        <v>17075</v>
      </c>
      <c r="T532" s="9"/>
      <c r="U532" s="8">
        <v>0</v>
      </c>
      <c r="V532" s="9"/>
      <c r="W532" s="33">
        <v>169390</v>
      </c>
      <c r="X532" s="9"/>
      <c r="Y532" s="30">
        <v>46</v>
      </c>
      <c r="Z532" s="9"/>
      <c r="AA532" s="30">
        <v>8.8000000000000007</v>
      </c>
      <c r="AB532" s="9"/>
      <c r="AC532" s="30">
        <v>7.2</v>
      </c>
      <c r="AD532" s="9"/>
      <c r="AE532" s="30">
        <v>11</v>
      </c>
      <c r="AF532" s="9"/>
      <c r="AG532" s="30">
        <v>0</v>
      </c>
      <c r="AH532" s="9"/>
      <c r="AI532" s="32">
        <v>73</v>
      </c>
      <c r="AJ532" s="12"/>
      <c r="AK532" s="22">
        <v>2171148</v>
      </c>
      <c r="AM532" s="22">
        <v>429124</v>
      </c>
      <c r="AO532" s="22">
        <v>154838</v>
      </c>
      <c r="AQ532" s="22">
        <v>299032</v>
      </c>
      <c r="AS532" s="26">
        <v>3054142</v>
      </c>
      <c r="AU532" s="23">
        <v>17.8963</v>
      </c>
      <c r="AW532" s="23">
        <v>22.8537</v>
      </c>
      <c r="AY532" s="23">
        <v>1.2763</v>
      </c>
      <c r="BA532" s="23">
        <v>17.512899999999998</v>
      </c>
      <c r="BC532" s="24">
        <v>18.030200000000001</v>
      </c>
      <c r="BE532" s="1" t="str">
        <f t="shared" si="8"/>
        <v>No</v>
      </c>
    </row>
    <row r="533" spans="1:57" ht="11.25" customHeight="1">
      <c r="A533" s="7" t="s">
        <v>645</v>
      </c>
      <c r="B533" s="7" t="s">
        <v>646</v>
      </c>
      <c r="C533" s="37" t="s">
        <v>96</v>
      </c>
      <c r="D533" s="296">
        <v>3002</v>
      </c>
      <c r="E533" s="297">
        <v>30002</v>
      </c>
      <c r="F533" s="27" t="s">
        <v>165</v>
      </c>
      <c r="G533" s="73" t="s">
        <v>158</v>
      </c>
      <c r="H533" s="35">
        <v>202637</v>
      </c>
      <c r="I533" s="35">
        <v>37</v>
      </c>
      <c r="J533" s="37" t="s">
        <v>7</v>
      </c>
      <c r="K533" s="37" t="s">
        <v>159</v>
      </c>
      <c r="L533" s="8">
        <v>27</v>
      </c>
      <c r="M533" s="8">
        <v>82432</v>
      </c>
      <c r="N533" s="9"/>
      <c r="O533" s="8">
        <v>14936</v>
      </c>
      <c r="P533" s="9"/>
      <c r="Q533" s="8">
        <v>8790</v>
      </c>
      <c r="R533" s="9"/>
      <c r="S533" s="8">
        <v>8127</v>
      </c>
      <c r="T533" s="9"/>
      <c r="U533" s="8">
        <v>0</v>
      </c>
      <c r="V533" s="9"/>
      <c r="W533" s="33">
        <v>114285</v>
      </c>
      <c r="X533" s="9"/>
      <c r="Y533" s="30">
        <v>46</v>
      </c>
      <c r="Z533" s="9"/>
      <c r="AA533" s="30">
        <v>7.8</v>
      </c>
      <c r="AB533" s="9"/>
      <c r="AC533" s="30">
        <v>4.9000000000000004</v>
      </c>
      <c r="AD533" s="9"/>
      <c r="AE533" s="30">
        <v>4.9000000000000004</v>
      </c>
      <c r="AF533" s="9"/>
      <c r="AG533" s="30">
        <v>0</v>
      </c>
      <c r="AH533" s="9"/>
      <c r="AI533" s="32">
        <v>63.6</v>
      </c>
      <c r="AJ533" s="12"/>
      <c r="AK533" s="22">
        <v>1591980</v>
      </c>
      <c r="AM533" s="22">
        <v>342036</v>
      </c>
      <c r="AO533" s="22">
        <v>131422</v>
      </c>
      <c r="AQ533" s="22">
        <v>308118</v>
      </c>
      <c r="AS533" s="26">
        <v>2373556</v>
      </c>
      <c r="AU533" s="23">
        <v>19.3126</v>
      </c>
      <c r="AW533" s="23">
        <v>22.900099999999998</v>
      </c>
      <c r="AY533" s="23">
        <v>1.5943000000000001</v>
      </c>
      <c r="BA533" s="23">
        <v>37.9129</v>
      </c>
      <c r="BC533" s="24">
        <v>20.768699999999999</v>
      </c>
      <c r="BE533" s="1" t="str">
        <f t="shared" si="8"/>
        <v>No</v>
      </c>
    </row>
    <row r="534" spans="1:57" ht="11.25" customHeight="1">
      <c r="A534" s="7" t="s">
        <v>484</v>
      </c>
      <c r="B534" s="7" t="s">
        <v>485</v>
      </c>
      <c r="C534" s="37" t="s">
        <v>42</v>
      </c>
      <c r="D534" s="296">
        <v>5043</v>
      </c>
      <c r="E534" s="297">
        <v>50043</v>
      </c>
      <c r="F534" s="27" t="s">
        <v>162</v>
      </c>
      <c r="G534" s="73" t="s">
        <v>158</v>
      </c>
      <c r="H534" s="35">
        <v>229351</v>
      </c>
      <c r="I534" s="35">
        <v>37</v>
      </c>
      <c r="J534" s="37" t="s">
        <v>7</v>
      </c>
      <c r="K534" s="37" t="s">
        <v>159</v>
      </c>
      <c r="L534" s="8">
        <v>24</v>
      </c>
      <c r="M534" s="8">
        <v>99717</v>
      </c>
      <c r="N534" s="9"/>
      <c r="O534" s="8">
        <v>18644</v>
      </c>
      <c r="P534" s="9"/>
      <c r="Q534" s="8">
        <v>1930</v>
      </c>
      <c r="R534" s="9"/>
      <c r="S534" s="8">
        <v>4821</v>
      </c>
      <c r="T534" s="9"/>
      <c r="U534" s="8">
        <v>0</v>
      </c>
      <c r="V534" s="9"/>
      <c r="W534" s="33">
        <v>125112</v>
      </c>
      <c r="X534" s="9"/>
      <c r="Y534" s="30">
        <v>54.1</v>
      </c>
      <c r="Z534" s="9"/>
      <c r="AA534" s="30">
        <v>13</v>
      </c>
      <c r="AB534" s="9"/>
      <c r="AC534" s="30">
        <v>5.0999999999999996</v>
      </c>
      <c r="AD534" s="9"/>
      <c r="AE534" s="30">
        <v>3.2</v>
      </c>
      <c r="AF534" s="9"/>
      <c r="AG534" s="30">
        <v>0</v>
      </c>
      <c r="AH534" s="9"/>
      <c r="AI534" s="32">
        <v>75.400000000000006</v>
      </c>
      <c r="AJ534" s="12"/>
      <c r="AK534" s="22">
        <v>2148623</v>
      </c>
      <c r="AM534" s="22">
        <v>331210</v>
      </c>
      <c r="AO534" s="22">
        <v>21073</v>
      </c>
      <c r="AQ534" s="22">
        <v>105819</v>
      </c>
      <c r="AS534" s="26">
        <v>2606725</v>
      </c>
      <c r="AU534" s="23">
        <v>21.5472</v>
      </c>
      <c r="AW534" s="23">
        <v>17.765000000000001</v>
      </c>
      <c r="AY534" s="23">
        <v>0.21129999999999999</v>
      </c>
      <c r="BA534" s="23">
        <v>21.9496</v>
      </c>
      <c r="BC534" s="24">
        <v>20.835100000000001</v>
      </c>
      <c r="BE534" s="1" t="str">
        <f t="shared" si="8"/>
        <v>No</v>
      </c>
    </row>
    <row r="535" spans="1:57" ht="11.25" customHeight="1">
      <c r="A535" s="7" t="s">
        <v>651</v>
      </c>
      <c r="B535" s="7" t="s">
        <v>652</v>
      </c>
      <c r="C535" s="37" t="s">
        <v>44</v>
      </c>
      <c r="D535" s="296">
        <v>7014</v>
      </c>
      <c r="E535" s="297">
        <v>70014</v>
      </c>
      <c r="F535" s="27" t="s">
        <v>165</v>
      </c>
      <c r="G535" s="73" t="s">
        <v>158</v>
      </c>
      <c r="H535" s="35">
        <v>150003</v>
      </c>
      <c r="I535" s="35">
        <v>37</v>
      </c>
      <c r="J535" s="37" t="s">
        <v>7</v>
      </c>
      <c r="K535" s="37" t="s">
        <v>159</v>
      </c>
      <c r="L535" s="8">
        <v>22</v>
      </c>
      <c r="M535" s="8">
        <v>92125</v>
      </c>
      <c r="N535" s="9"/>
      <c r="O535" s="8">
        <v>16391</v>
      </c>
      <c r="P535" s="9"/>
      <c r="Q535" s="8">
        <v>6908</v>
      </c>
      <c r="R535" s="9"/>
      <c r="S535" s="8">
        <v>16302</v>
      </c>
      <c r="T535" s="9"/>
      <c r="U535" s="8">
        <v>0</v>
      </c>
      <c r="V535" s="9"/>
      <c r="W535" s="33">
        <v>131726</v>
      </c>
      <c r="X535" s="9"/>
      <c r="Y535" s="30">
        <v>54.2</v>
      </c>
      <c r="Z535" s="9"/>
      <c r="AA535" s="30">
        <v>9.1</v>
      </c>
      <c r="AB535" s="9"/>
      <c r="AC535" s="30">
        <v>3.8</v>
      </c>
      <c r="AD535" s="9"/>
      <c r="AE535" s="30">
        <v>10</v>
      </c>
      <c r="AF535" s="9"/>
      <c r="AG535" s="30">
        <v>0</v>
      </c>
      <c r="AH535" s="9"/>
      <c r="AI535" s="32">
        <v>77.099999999999994</v>
      </c>
      <c r="AJ535" s="12"/>
      <c r="AK535" s="22">
        <v>1789945</v>
      </c>
      <c r="AM535" s="22">
        <v>323434</v>
      </c>
      <c r="AO535" s="22">
        <v>115795</v>
      </c>
      <c r="AQ535" s="22">
        <v>412487</v>
      </c>
      <c r="AS535" s="26">
        <v>2641661</v>
      </c>
      <c r="AU535" s="23">
        <v>19.429500000000001</v>
      </c>
      <c r="AW535" s="23">
        <v>19.732399999999998</v>
      </c>
      <c r="AY535" s="23">
        <v>1.2568999999999999</v>
      </c>
      <c r="BA535" s="23">
        <v>25.302800000000001</v>
      </c>
      <c r="BC535" s="24">
        <v>20.054200000000002</v>
      </c>
      <c r="BE535" s="1" t="str">
        <f t="shared" si="8"/>
        <v>No</v>
      </c>
    </row>
    <row r="536" spans="1:57" ht="11.25" customHeight="1">
      <c r="A536" s="7" t="s">
        <v>426</v>
      </c>
      <c r="B536" s="7" t="s">
        <v>427</v>
      </c>
      <c r="C536" s="37" t="s">
        <v>86</v>
      </c>
      <c r="D536" s="296">
        <v>3076</v>
      </c>
      <c r="E536" s="297">
        <v>30076</v>
      </c>
      <c r="F536" s="27" t="s">
        <v>165</v>
      </c>
      <c r="G536" s="73" t="s">
        <v>158</v>
      </c>
      <c r="H536" s="35">
        <v>75689</v>
      </c>
      <c r="I536" s="35">
        <v>37</v>
      </c>
      <c r="J536" s="37" t="s">
        <v>7</v>
      </c>
      <c r="K536" s="37" t="s">
        <v>159</v>
      </c>
      <c r="L536" s="8">
        <v>20</v>
      </c>
      <c r="M536" s="8">
        <v>93326</v>
      </c>
      <c r="N536" s="9"/>
      <c r="O536" s="8">
        <v>0</v>
      </c>
      <c r="P536" s="9"/>
      <c r="Q536" s="8">
        <v>0</v>
      </c>
      <c r="R536" s="9"/>
      <c r="S536" s="8">
        <v>9980</v>
      </c>
      <c r="T536" s="9"/>
      <c r="U536" s="8">
        <v>0</v>
      </c>
      <c r="V536" s="9"/>
      <c r="W536" s="33">
        <v>103306</v>
      </c>
      <c r="X536" s="9"/>
      <c r="Y536" s="30">
        <v>78</v>
      </c>
      <c r="Z536" s="9"/>
      <c r="AA536" s="30">
        <v>0</v>
      </c>
      <c r="AB536" s="9"/>
      <c r="AC536" s="30">
        <v>0</v>
      </c>
      <c r="AD536" s="9"/>
      <c r="AE536" s="30">
        <v>7</v>
      </c>
      <c r="AF536" s="9"/>
      <c r="AG536" s="30">
        <v>0</v>
      </c>
      <c r="AH536" s="9"/>
      <c r="AI536" s="32">
        <v>85</v>
      </c>
      <c r="AJ536" s="12"/>
      <c r="AK536" s="22">
        <v>1447552</v>
      </c>
      <c r="AM536" s="22">
        <v>0</v>
      </c>
      <c r="AO536" s="22">
        <v>0</v>
      </c>
      <c r="AQ536" s="22">
        <v>356109</v>
      </c>
      <c r="AS536" s="26">
        <v>1803661</v>
      </c>
      <c r="AU536" s="23">
        <v>15.5107</v>
      </c>
      <c r="AY536" s="23">
        <v>0</v>
      </c>
      <c r="BA536" s="23">
        <v>35.682299999999998</v>
      </c>
      <c r="BC536" s="24">
        <v>17.459399999999999</v>
      </c>
      <c r="BE536" s="1" t="str">
        <f t="shared" si="8"/>
        <v>No</v>
      </c>
    </row>
    <row r="537" spans="1:57" ht="11.25" customHeight="1">
      <c r="A537" s="7" t="s">
        <v>484</v>
      </c>
      <c r="B537" s="7" t="s">
        <v>485</v>
      </c>
      <c r="C537" s="37" t="s">
        <v>42</v>
      </c>
      <c r="D537" s="296">
        <v>5043</v>
      </c>
      <c r="E537" s="297">
        <v>50043</v>
      </c>
      <c r="F537" s="27" t="s">
        <v>162</v>
      </c>
      <c r="G537" s="73" t="s">
        <v>158</v>
      </c>
      <c r="H537" s="35">
        <v>229351</v>
      </c>
      <c r="I537" s="35">
        <v>37</v>
      </c>
      <c r="J537" s="37" t="s">
        <v>10</v>
      </c>
      <c r="K537" s="37" t="s">
        <v>159</v>
      </c>
      <c r="L537" s="8">
        <v>13</v>
      </c>
      <c r="M537" s="8">
        <v>38195</v>
      </c>
      <c r="N537" s="9"/>
      <c r="O537" s="8">
        <v>7990</v>
      </c>
      <c r="P537" s="9"/>
      <c r="Q537" s="8">
        <v>827</v>
      </c>
      <c r="R537" s="9"/>
      <c r="S537" s="8">
        <v>3018</v>
      </c>
      <c r="T537" s="9"/>
      <c r="U537" s="8">
        <v>0</v>
      </c>
      <c r="V537" s="9"/>
      <c r="W537" s="33">
        <v>50030</v>
      </c>
      <c r="X537" s="9"/>
      <c r="Y537" s="30">
        <v>21</v>
      </c>
      <c r="Z537" s="9"/>
      <c r="AA537" s="30">
        <v>5.6</v>
      </c>
      <c r="AB537" s="9"/>
      <c r="AC537" s="30">
        <v>2.2000000000000002</v>
      </c>
      <c r="AD537" s="9"/>
      <c r="AE537" s="30">
        <v>1.9</v>
      </c>
      <c r="AF537" s="9"/>
      <c r="AG537" s="30">
        <v>0</v>
      </c>
      <c r="AH537" s="9"/>
      <c r="AI537" s="32">
        <v>30.7</v>
      </c>
      <c r="AJ537" s="12"/>
      <c r="AK537" s="22">
        <v>583030</v>
      </c>
      <c r="AM537" s="22">
        <v>141947</v>
      </c>
      <c r="AO537" s="22">
        <v>9031</v>
      </c>
      <c r="AQ537" s="22">
        <v>64755</v>
      </c>
      <c r="AS537" s="26">
        <v>798763</v>
      </c>
      <c r="AU537" s="23">
        <v>15.2646</v>
      </c>
      <c r="AW537" s="23">
        <v>17.765599999999999</v>
      </c>
      <c r="AY537" s="23">
        <v>0.2364</v>
      </c>
      <c r="BA537" s="23">
        <v>21.456299999999999</v>
      </c>
      <c r="BC537" s="24">
        <v>15.9657</v>
      </c>
      <c r="BE537" s="1" t="str">
        <f t="shared" si="8"/>
        <v>No</v>
      </c>
    </row>
    <row r="538" spans="1:57" ht="11.25" customHeight="1">
      <c r="A538" s="7" t="s">
        <v>645</v>
      </c>
      <c r="B538" s="7" t="s">
        <v>646</v>
      </c>
      <c r="C538" s="37" t="s">
        <v>96</v>
      </c>
      <c r="D538" s="296">
        <v>3002</v>
      </c>
      <c r="E538" s="297">
        <v>30002</v>
      </c>
      <c r="F538" s="27" t="s">
        <v>165</v>
      </c>
      <c r="G538" s="73" t="s">
        <v>158</v>
      </c>
      <c r="H538" s="35">
        <v>202637</v>
      </c>
      <c r="I538" s="35">
        <v>37</v>
      </c>
      <c r="J538" s="37" t="s">
        <v>10</v>
      </c>
      <c r="K538" s="37" t="s">
        <v>159</v>
      </c>
      <c r="L538" s="8">
        <v>10</v>
      </c>
      <c r="M538" s="8">
        <v>25236</v>
      </c>
      <c r="N538" s="9"/>
      <c r="O538" s="8">
        <v>450</v>
      </c>
      <c r="P538" s="9"/>
      <c r="Q538" s="8">
        <v>52</v>
      </c>
      <c r="R538" s="9"/>
      <c r="S538" s="8">
        <v>208</v>
      </c>
      <c r="T538" s="9"/>
      <c r="U538" s="8">
        <v>0</v>
      </c>
      <c r="V538" s="9"/>
      <c r="W538" s="33">
        <v>25946</v>
      </c>
      <c r="X538" s="9"/>
      <c r="Y538" s="30">
        <v>12</v>
      </c>
      <c r="Z538" s="9"/>
      <c r="AA538" s="30">
        <v>0.2</v>
      </c>
      <c r="AB538" s="9"/>
      <c r="AC538" s="30">
        <v>0.1</v>
      </c>
      <c r="AD538" s="9"/>
      <c r="AE538" s="30">
        <v>0.1</v>
      </c>
      <c r="AF538" s="9"/>
      <c r="AG538" s="30">
        <v>0</v>
      </c>
      <c r="AH538" s="9"/>
      <c r="AI538" s="32">
        <v>12.4</v>
      </c>
      <c r="AJ538" s="12"/>
      <c r="AK538" s="22">
        <v>350128</v>
      </c>
      <c r="AM538" s="22">
        <v>8911</v>
      </c>
      <c r="AO538" s="22">
        <v>758</v>
      </c>
      <c r="AQ538" s="22">
        <v>7900</v>
      </c>
      <c r="AS538" s="26">
        <v>367697</v>
      </c>
      <c r="AU538" s="23">
        <v>13.8741</v>
      </c>
      <c r="AW538" s="23">
        <v>19.802199999999999</v>
      </c>
      <c r="AY538" s="23">
        <v>0.03</v>
      </c>
      <c r="BA538" s="23">
        <v>37.980800000000002</v>
      </c>
      <c r="BC538" s="24">
        <v>14.1716</v>
      </c>
      <c r="BE538" s="1" t="str">
        <f t="shared" si="8"/>
        <v>No</v>
      </c>
    </row>
    <row r="539" spans="1:57" ht="11.25" customHeight="1">
      <c r="A539" s="7" t="s">
        <v>394</v>
      </c>
      <c r="B539" s="7" t="s">
        <v>395</v>
      </c>
      <c r="C539" s="37" t="s">
        <v>86</v>
      </c>
      <c r="D539" s="296">
        <v>3008</v>
      </c>
      <c r="E539" s="297">
        <v>30008</v>
      </c>
      <c r="F539" s="27" t="s">
        <v>165</v>
      </c>
      <c r="G539" s="73" t="s">
        <v>158</v>
      </c>
      <c r="H539" s="35">
        <v>116636</v>
      </c>
      <c r="I539" s="35">
        <v>37</v>
      </c>
      <c r="J539" s="37" t="s">
        <v>10</v>
      </c>
      <c r="K539" s="37" t="s">
        <v>159</v>
      </c>
      <c r="L539" s="8">
        <v>9</v>
      </c>
      <c r="M539" s="8">
        <v>19314</v>
      </c>
      <c r="N539" s="9"/>
      <c r="O539" s="8">
        <v>580</v>
      </c>
      <c r="P539" s="9"/>
      <c r="Q539" s="8">
        <v>3055</v>
      </c>
      <c r="R539" s="9"/>
      <c r="S539" s="8">
        <v>5209</v>
      </c>
      <c r="T539" s="9"/>
      <c r="U539" s="8">
        <v>0</v>
      </c>
      <c r="V539" s="9"/>
      <c r="W539" s="33">
        <v>28158</v>
      </c>
      <c r="X539" s="9"/>
      <c r="Y539" s="30">
        <v>19</v>
      </c>
      <c r="Z539" s="9"/>
      <c r="AA539" s="30">
        <v>0.3</v>
      </c>
      <c r="AB539" s="9"/>
      <c r="AC539" s="30">
        <v>1.8</v>
      </c>
      <c r="AD539" s="9"/>
      <c r="AE539" s="30">
        <v>5</v>
      </c>
      <c r="AF539" s="9"/>
      <c r="AG539" s="30">
        <v>0</v>
      </c>
      <c r="AH539" s="9"/>
      <c r="AI539" s="32">
        <v>26.1</v>
      </c>
      <c r="AJ539" s="12"/>
      <c r="AK539" s="22">
        <v>264795</v>
      </c>
      <c r="AM539" s="22">
        <v>12620</v>
      </c>
      <c r="AO539" s="22">
        <v>42402</v>
      </c>
      <c r="AQ539" s="22">
        <v>81687</v>
      </c>
      <c r="AS539" s="26">
        <v>401504</v>
      </c>
      <c r="AU539" s="23">
        <v>13.71</v>
      </c>
      <c r="AW539" s="23">
        <v>21.758600000000001</v>
      </c>
      <c r="AY539" s="23">
        <v>2.1953999999999998</v>
      </c>
      <c r="BA539" s="23">
        <v>15.681900000000001</v>
      </c>
      <c r="BC539" s="24">
        <v>14.259</v>
      </c>
      <c r="BE539" s="1" t="str">
        <f t="shared" si="8"/>
        <v>No</v>
      </c>
    </row>
    <row r="540" spans="1:57" ht="11.25" customHeight="1">
      <c r="A540" s="7" t="s">
        <v>322</v>
      </c>
      <c r="B540" s="7" t="s">
        <v>323</v>
      </c>
      <c r="C540" s="37" t="s">
        <v>55</v>
      </c>
      <c r="D540" s="296">
        <v>7016</v>
      </c>
      <c r="E540" s="297">
        <v>70016</v>
      </c>
      <c r="F540" s="27" t="s">
        <v>162</v>
      </c>
      <c r="G540" s="73" t="s">
        <v>158</v>
      </c>
      <c r="H540" s="35">
        <v>124748</v>
      </c>
      <c r="I540" s="35">
        <v>37</v>
      </c>
      <c r="J540" s="37" t="s">
        <v>10</v>
      </c>
      <c r="K540" s="37" t="s">
        <v>159</v>
      </c>
      <c r="L540" s="8">
        <v>9</v>
      </c>
      <c r="M540" s="8">
        <v>31591</v>
      </c>
      <c r="N540" s="9"/>
      <c r="O540" s="8">
        <v>1615</v>
      </c>
      <c r="P540" s="9"/>
      <c r="Q540" s="8">
        <v>0</v>
      </c>
      <c r="R540" s="9"/>
      <c r="S540" s="8">
        <v>2793</v>
      </c>
      <c r="T540" s="9"/>
      <c r="U540" s="8">
        <v>0</v>
      </c>
      <c r="V540" s="9"/>
      <c r="W540" s="33">
        <v>35999</v>
      </c>
      <c r="X540" s="9"/>
      <c r="Y540" s="30">
        <v>19</v>
      </c>
      <c r="Z540" s="9"/>
      <c r="AA540" s="30">
        <v>1</v>
      </c>
      <c r="AB540" s="9"/>
      <c r="AC540" s="30">
        <v>0</v>
      </c>
      <c r="AD540" s="9"/>
      <c r="AE540" s="30">
        <v>2</v>
      </c>
      <c r="AF540" s="9"/>
      <c r="AG540" s="30">
        <v>0</v>
      </c>
      <c r="AH540" s="9"/>
      <c r="AI540" s="32">
        <v>22</v>
      </c>
      <c r="AJ540" s="12"/>
      <c r="AK540" s="22">
        <v>460333</v>
      </c>
      <c r="AM540" s="22">
        <v>45556</v>
      </c>
      <c r="AO540" s="22">
        <v>0</v>
      </c>
      <c r="AQ540" s="22">
        <v>43710</v>
      </c>
      <c r="AS540" s="26">
        <v>549599</v>
      </c>
      <c r="AU540" s="23">
        <v>14.5717</v>
      </c>
      <c r="AW540" s="23">
        <v>28.207999999999998</v>
      </c>
      <c r="AY540" s="23">
        <v>0</v>
      </c>
      <c r="BA540" s="23">
        <v>15.649800000000001</v>
      </c>
      <c r="BC540" s="24">
        <v>15.267099999999999</v>
      </c>
      <c r="BE540" s="1" t="str">
        <f t="shared" si="8"/>
        <v>No</v>
      </c>
    </row>
    <row r="541" spans="1:57" ht="11.25" customHeight="1">
      <c r="A541" s="7" t="s">
        <v>651</v>
      </c>
      <c r="B541" s="7" t="s">
        <v>652</v>
      </c>
      <c r="C541" s="37" t="s">
        <v>44</v>
      </c>
      <c r="D541" s="296">
        <v>7014</v>
      </c>
      <c r="E541" s="297">
        <v>70014</v>
      </c>
      <c r="F541" s="27" t="s">
        <v>165</v>
      </c>
      <c r="G541" s="73" t="s">
        <v>158</v>
      </c>
      <c r="H541" s="35">
        <v>150003</v>
      </c>
      <c r="I541" s="35">
        <v>37</v>
      </c>
      <c r="J541" s="37" t="s">
        <v>10</v>
      </c>
      <c r="K541" s="37" t="s">
        <v>159</v>
      </c>
      <c r="L541" s="8">
        <v>8</v>
      </c>
      <c r="M541" s="8">
        <v>30459</v>
      </c>
      <c r="N541" s="9"/>
      <c r="O541" s="8">
        <v>4738</v>
      </c>
      <c r="P541" s="9"/>
      <c r="Q541" s="8">
        <v>1538</v>
      </c>
      <c r="R541" s="9"/>
      <c r="S541" s="8">
        <v>4379</v>
      </c>
      <c r="T541" s="9"/>
      <c r="U541" s="8">
        <v>0</v>
      </c>
      <c r="V541" s="9"/>
      <c r="W541" s="33">
        <v>41114</v>
      </c>
      <c r="X541" s="9"/>
      <c r="Y541" s="30">
        <v>17.899999999999999</v>
      </c>
      <c r="Z541" s="9"/>
      <c r="AA541" s="30">
        <v>2.6</v>
      </c>
      <c r="AB541" s="9"/>
      <c r="AC541" s="30">
        <v>0.9</v>
      </c>
      <c r="AD541" s="9"/>
      <c r="AE541" s="30">
        <v>2.5</v>
      </c>
      <c r="AF541" s="9"/>
      <c r="AG541" s="30">
        <v>0</v>
      </c>
      <c r="AH541" s="9"/>
      <c r="AI541" s="32">
        <v>23.9</v>
      </c>
      <c r="AJ541" s="12"/>
      <c r="AK541" s="22">
        <v>566381</v>
      </c>
      <c r="AM541" s="22">
        <v>94014</v>
      </c>
      <c r="AO541" s="22">
        <v>24509</v>
      </c>
      <c r="AQ541" s="22">
        <v>109056</v>
      </c>
      <c r="AS541" s="26">
        <v>793960</v>
      </c>
      <c r="AU541" s="23">
        <v>18.594899999999999</v>
      </c>
      <c r="AW541" s="23">
        <v>19.842500000000001</v>
      </c>
      <c r="AY541" s="23">
        <v>0.80469999999999997</v>
      </c>
      <c r="BA541" s="23">
        <v>24.904299999999999</v>
      </c>
      <c r="BC541" s="24">
        <v>19.311199999999999</v>
      </c>
      <c r="BE541" s="1" t="str">
        <f t="shared" si="8"/>
        <v>No</v>
      </c>
    </row>
    <row r="542" spans="1:57" ht="11.25" customHeight="1">
      <c r="A542" s="7" t="s">
        <v>309</v>
      </c>
      <c r="B542" s="7" t="s">
        <v>310</v>
      </c>
      <c r="C542" s="37" t="s">
        <v>36</v>
      </c>
      <c r="D542" s="296">
        <v>4058</v>
      </c>
      <c r="E542" s="297">
        <v>40058</v>
      </c>
      <c r="F542" s="27" t="s">
        <v>162</v>
      </c>
      <c r="G542" s="73" t="s">
        <v>158</v>
      </c>
      <c r="H542" s="35">
        <v>60851</v>
      </c>
      <c r="I542" s="35">
        <v>37</v>
      </c>
      <c r="J542" s="37" t="s">
        <v>10</v>
      </c>
      <c r="K542" s="37" t="s">
        <v>159</v>
      </c>
      <c r="L542" s="8">
        <v>6</v>
      </c>
      <c r="M542" s="8">
        <v>12140</v>
      </c>
      <c r="N542" s="9"/>
      <c r="O542" s="8">
        <v>1704</v>
      </c>
      <c r="P542" s="9"/>
      <c r="Q542" s="8">
        <v>1939</v>
      </c>
      <c r="R542" s="9"/>
      <c r="S542" s="8">
        <v>1822</v>
      </c>
      <c r="T542" s="9"/>
      <c r="U542" s="8">
        <v>0</v>
      </c>
      <c r="V542" s="9"/>
      <c r="W542" s="33">
        <v>17605</v>
      </c>
      <c r="X542" s="9"/>
      <c r="Y542" s="30">
        <v>8</v>
      </c>
      <c r="Z542" s="9"/>
      <c r="AA542" s="30">
        <v>1</v>
      </c>
      <c r="AB542" s="9"/>
      <c r="AC542" s="30">
        <v>2</v>
      </c>
      <c r="AD542" s="9"/>
      <c r="AE542" s="30">
        <v>2</v>
      </c>
      <c r="AF542" s="9"/>
      <c r="AG542" s="30">
        <v>0</v>
      </c>
      <c r="AH542" s="9"/>
      <c r="AI542" s="32">
        <v>13</v>
      </c>
      <c r="AJ542" s="12"/>
      <c r="AK542" s="22">
        <v>140574</v>
      </c>
      <c r="AM542" s="22">
        <v>12503</v>
      </c>
      <c r="AO542" s="22">
        <v>17856</v>
      </c>
      <c r="AQ542" s="22">
        <v>22665</v>
      </c>
      <c r="AS542" s="26">
        <v>193598</v>
      </c>
      <c r="AU542" s="23">
        <v>11.5794</v>
      </c>
      <c r="AW542" s="23">
        <v>7.3373999999999997</v>
      </c>
      <c r="AY542" s="23">
        <v>1.4708000000000001</v>
      </c>
      <c r="BA542" s="23">
        <v>12.4396</v>
      </c>
      <c r="BC542" s="24">
        <v>10.9968</v>
      </c>
      <c r="BE542" s="1" t="str">
        <f t="shared" si="8"/>
        <v>No</v>
      </c>
    </row>
    <row r="543" spans="1:57" ht="11.25" customHeight="1">
      <c r="A543" s="7" t="s">
        <v>426</v>
      </c>
      <c r="B543" s="7" t="s">
        <v>427</v>
      </c>
      <c r="C543" s="37" t="s">
        <v>86</v>
      </c>
      <c r="D543" s="296">
        <v>3076</v>
      </c>
      <c r="E543" s="297">
        <v>30076</v>
      </c>
      <c r="F543" s="27" t="s">
        <v>165</v>
      </c>
      <c r="G543" s="73" t="s">
        <v>158</v>
      </c>
      <c r="H543" s="35">
        <v>75689</v>
      </c>
      <c r="I543" s="35">
        <v>37</v>
      </c>
      <c r="J543" s="37" t="s">
        <v>10</v>
      </c>
      <c r="K543" s="37" t="s">
        <v>159</v>
      </c>
      <c r="L543" s="8">
        <v>4</v>
      </c>
      <c r="M543" s="8">
        <v>8925</v>
      </c>
      <c r="N543" s="9"/>
      <c r="O543" s="8">
        <v>0</v>
      </c>
      <c r="P543" s="9"/>
      <c r="Q543" s="8">
        <v>0</v>
      </c>
      <c r="R543" s="9"/>
      <c r="S543" s="8">
        <v>1826</v>
      </c>
      <c r="T543" s="9"/>
      <c r="U543" s="8">
        <v>0</v>
      </c>
      <c r="V543" s="9"/>
      <c r="W543" s="33">
        <v>10751</v>
      </c>
      <c r="X543" s="9"/>
      <c r="Y543" s="30">
        <v>6</v>
      </c>
      <c r="Z543" s="9"/>
      <c r="AA543" s="30">
        <v>0</v>
      </c>
      <c r="AB543" s="9"/>
      <c r="AC543" s="30">
        <v>0</v>
      </c>
      <c r="AD543" s="9"/>
      <c r="AE543" s="30">
        <v>1</v>
      </c>
      <c r="AF543" s="9"/>
      <c r="AG543" s="30">
        <v>0</v>
      </c>
      <c r="AH543" s="9"/>
      <c r="AI543" s="32">
        <v>7</v>
      </c>
      <c r="AJ543" s="12"/>
      <c r="AK543" s="22">
        <v>144368</v>
      </c>
      <c r="AM543" s="22">
        <v>0</v>
      </c>
      <c r="AO543" s="22">
        <v>0</v>
      </c>
      <c r="AQ543" s="22">
        <v>62843</v>
      </c>
      <c r="AS543" s="26">
        <v>207211</v>
      </c>
      <c r="AU543" s="23">
        <v>16.175699999999999</v>
      </c>
      <c r="AY543" s="23">
        <v>0</v>
      </c>
      <c r="BA543" s="23">
        <v>34.415700000000001</v>
      </c>
      <c r="BC543" s="24">
        <v>19.273599999999998</v>
      </c>
      <c r="BE543" s="1" t="str">
        <f t="shared" si="8"/>
        <v>No</v>
      </c>
    </row>
    <row r="544" spans="1:57" ht="11.25" customHeight="1">
      <c r="A544" s="7" t="s">
        <v>668</v>
      </c>
      <c r="B544" s="7" t="s">
        <v>669</v>
      </c>
      <c r="C544" s="37" t="s">
        <v>17</v>
      </c>
      <c r="D544" s="296">
        <v>9142</v>
      </c>
      <c r="E544" s="297">
        <v>90142</v>
      </c>
      <c r="F544" s="27" t="s">
        <v>114</v>
      </c>
      <c r="G544" s="73" t="s">
        <v>158</v>
      </c>
      <c r="H544" s="35">
        <v>72794</v>
      </c>
      <c r="I544" s="35">
        <v>36</v>
      </c>
      <c r="J544" s="37" t="s">
        <v>7</v>
      </c>
      <c r="K544" s="37" t="s">
        <v>159</v>
      </c>
      <c r="L544" s="8">
        <v>36</v>
      </c>
      <c r="M544" s="8">
        <v>160690</v>
      </c>
      <c r="N544" s="9"/>
      <c r="O544" s="8">
        <v>33403</v>
      </c>
      <c r="P544" s="9"/>
      <c r="Q544" s="8">
        <v>2131</v>
      </c>
      <c r="R544" s="9"/>
      <c r="S544" s="8">
        <v>18743</v>
      </c>
      <c r="T544" s="9"/>
      <c r="U544" s="8">
        <v>0</v>
      </c>
      <c r="V544" s="9"/>
      <c r="W544" s="33">
        <v>214967</v>
      </c>
      <c r="X544" s="9"/>
      <c r="Y544" s="30">
        <v>242</v>
      </c>
      <c r="Z544" s="9"/>
      <c r="AA544" s="30">
        <v>39.5</v>
      </c>
      <c r="AB544" s="9"/>
      <c r="AC544" s="30">
        <v>1.5</v>
      </c>
      <c r="AD544" s="9"/>
      <c r="AE544" s="30">
        <v>24</v>
      </c>
      <c r="AF544" s="9"/>
      <c r="AG544" s="30">
        <v>0</v>
      </c>
      <c r="AH544" s="9"/>
      <c r="AI544" s="32">
        <v>307</v>
      </c>
      <c r="AJ544" s="12"/>
      <c r="AK544" s="22">
        <v>2034664</v>
      </c>
      <c r="AM544" s="22">
        <v>764278</v>
      </c>
      <c r="AO544" s="22">
        <v>72902</v>
      </c>
      <c r="AQ544" s="22">
        <v>419377</v>
      </c>
      <c r="AS544" s="26">
        <v>3291221</v>
      </c>
      <c r="AU544" s="23">
        <v>12.662000000000001</v>
      </c>
      <c r="AW544" s="23">
        <v>22.880500000000001</v>
      </c>
      <c r="AY544" s="23">
        <v>0.45369999999999999</v>
      </c>
      <c r="BA544" s="23">
        <v>22.3751</v>
      </c>
      <c r="BC544" s="24">
        <v>15.3104</v>
      </c>
      <c r="BE544" s="1" t="str">
        <f t="shared" si="8"/>
        <v>No</v>
      </c>
    </row>
    <row r="545" spans="1:57" ht="11.25" customHeight="1">
      <c r="A545" s="7" t="s">
        <v>512</v>
      </c>
      <c r="B545" s="7" t="s">
        <v>513</v>
      </c>
      <c r="C545" s="37" t="s">
        <v>42</v>
      </c>
      <c r="D545" s="296">
        <v>5054</v>
      </c>
      <c r="E545" s="297">
        <v>50054</v>
      </c>
      <c r="F545" s="27" t="s">
        <v>162</v>
      </c>
      <c r="G545" s="73" t="s">
        <v>158</v>
      </c>
      <c r="H545" s="35">
        <v>90580</v>
      </c>
      <c r="I545" s="35">
        <v>36</v>
      </c>
      <c r="J545" s="37" t="s">
        <v>7</v>
      </c>
      <c r="K545" s="37" t="s">
        <v>159</v>
      </c>
      <c r="L545" s="8">
        <v>26</v>
      </c>
      <c r="M545" s="8">
        <v>76608</v>
      </c>
      <c r="N545" s="9"/>
      <c r="O545" s="8">
        <v>9941</v>
      </c>
      <c r="P545" s="9"/>
      <c r="Q545" s="8">
        <v>1629</v>
      </c>
      <c r="R545" s="9"/>
      <c r="S545" s="8">
        <v>12480</v>
      </c>
      <c r="T545" s="9"/>
      <c r="U545" s="8">
        <v>0</v>
      </c>
      <c r="V545" s="9"/>
      <c r="W545" s="33">
        <v>100658</v>
      </c>
      <c r="X545" s="9"/>
      <c r="Y545" s="30">
        <v>39</v>
      </c>
      <c r="Z545" s="9"/>
      <c r="AA545" s="30">
        <v>5</v>
      </c>
      <c r="AB545" s="9"/>
      <c r="AC545" s="30">
        <v>1</v>
      </c>
      <c r="AD545" s="9"/>
      <c r="AE545" s="30">
        <v>8</v>
      </c>
      <c r="AF545" s="9"/>
      <c r="AG545" s="30">
        <v>0</v>
      </c>
      <c r="AH545" s="9"/>
      <c r="AI545" s="32">
        <v>53</v>
      </c>
      <c r="AJ545" s="12"/>
      <c r="AK545" s="22">
        <v>1771165</v>
      </c>
      <c r="AM545" s="22">
        <v>241393</v>
      </c>
      <c r="AO545" s="22">
        <v>43790</v>
      </c>
      <c r="AQ545" s="22">
        <v>254451</v>
      </c>
      <c r="AS545" s="26">
        <v>2310799</v>
      </c>
      <c r="AU545" s="23">
        <v>23.119800000000001</v>
      </c>
      <c r="AW545" s="23">
        <v>24.282599999999999</v>
      </c>
      <c r="AY545" s="23">
        <v>0.5716</v>
      </c>
      <c r="BA545" s="23">
        <v>20.3887</v>
      </c>
      <c r="BC545" s="24">
        <v>22.956900000000001</v>
      </c>
      <c r="BE545" s="1" t="str">
        <f t="shared" si="8"/>
        <v>No</v>
      </c>
    </row>
    <row r="546" spans="1:57" ht="11.25" customHeight="1">
      <c r="A546" s="7" t="s">
        <v>225</v>
      </c>
      <c r="B546" s="7" t="s">
        <v>226</v>
      </c>
      <c r="C546" s="37" t="s">
        <v>40</v>
      </c>
      <c r="D546" s="296">
        <v>5047</v>
      </c>
      <c r="E546" s="297">
        <v>50047</v>
      </c>
      <c r="F546" s="27" t="s">
        <v>165</v>
      </c>
      <c r="G546" s="73" t="s">
        <v>158</v>
      </c>
      <c r="H546" s="35">
        <v>132600</v>
      </c>
      <c r="I546" s="35">
        <v>36</v>
      </c>
      <c r="J546" s="37" t="s">
        <v>7</v>
      </c>
      <c r="K546" s="37" t="s">
        <v>159</v>
      </c>
      <c r="L546" s="8">
        <v>23</v>
      </c>
      <c r="M546" s="8">
        <v>124953</v>
      </c>
      <c r="N546" s="9"/>
      <c r="O546" s="8">
        <v>16139</v>
      </c>
      <c r="P546" s="9"/>
      <c r="Q546" s="8">
        <v>7595</v>
      </c>
      <c r="R546" s="9"/>
      <c r="S546" s="8">
        <v>20428</v>
      </c>
      <c r="T546" s="9"/>
      <c r="U546" s="8">
        <v>0</v>
      </c>
      <c r="V546" s="9"/>
      <c r="W546" s="33">
        <v>169115</v>
      </c>
      <c r="X546" s="9"/>
      <c r="Y546" s="30">
        <v>72.180000000000007</v>
      </c>
      <c r="Z546" s="9"/>
      <c r="AA546" s="30">
        <v>8.9</v>
      </c>
      <c r="AB546" s="9"/>
      <c r="AC546" s="30">
        <v>4.1900000000000004</v>
      </c>
      <c r="AD546" s="9"/>
      <c r="AE546" s="30">
        <v>12.6</v>
      </c>
      <c r="AF546" s="9"/>
      <c r="AG546" s="30">
        <v>0</v>
      </c>
      <c r="AH546" s="9"/>
      <c r="AI546" s="32">
        <v>97.87</v>
      </c>
      <c r="AJ546" s="12"/>
      <c r="AK546" s="22">
        <v>2889403</v>
      </c>
      <c r="AM546" s="22">
        <v>405129</v>
      </c>
      <c r="AO546" s="22">
        <v>185636</v>
      </c>
      <c r="AQ546" s="22">
        <v>544934</v>
      </c>
      <c r="AS546" s="26">
        <v>4025102</v>
      </c>
      <c r="AU546" s="23">
        <v>23.123899999999999</v>
      </c>
      <c r="AW546" s="23">
        <v>25.102499999999999</v>
      </c>
      <c r="AY546" s="23">
        <v>1.4856</v>
      </c>
      <c r="BA546" s="23">
        <v>26.675799999999999</v>
      </c>
      <c r="BC546" s="24">
        <v>23.800999999999998</v>
      </c>
      <c r="BE546" s="1" t="str">
        <f t="shared" si="8"/>
        <v>No</v>
      </c>
    </row>
    <row r="547" spans="1:57" ht="11.25" customHeight="1">
      <c r="A547" s="7" t="s">
        <v>50</v>
      </c>
      <c r="B547" s="7" t="s">
        <v>376</v>
      </c>
      <c r="C547" s="37" t="s">
        <v>48</v>
      </c>
      <c r="D547" s="296">
        <v>3072</v>
      </c>
      <c r="E547" s="297">
        <v>30072</v>
      </c>
      <c r="F547" s="27" t="s">
        <v>162</v>
      </c>
      <c r="G547" s="73" t="s">
        <v>158</v>
      </c>
      <c r="H547" s="35">
        <v>141576</v>
      </c>
      <c r="I547" s="35">
        <v>36</v>
      </c>
      <c r="J547" s="37" t="s">
        <v>7</v>
      </c>
      <c r="K547" s="37" t="s">
        <v>159</v>
      </c>
      <c r="L547" s="8">
        <v>18</v>
      </c>
      <c r="M547" s="8">
        <v>77060</v>
      </c>
      <c r="N547" s="9"/>
      <c r="O547" s="8">
        <v>1053</v>
      </c>
      <c r="P547" s="9"/>
      <c r="Q547" s="8">
        <v>0</v>
      </c>
      <c r="R547" s="9"/>
      <c r="S547" s="8">
        <v>19036</v>
      </c>
      <c r="T547" s="9"/>
      <c r="U547" s="8">
        <v>0</v>
      </c>
      <c r="V547" s="9"/>
      <c r="W547" s="33">
        <v>97149</v>
      </c>
      <c r="X547" s="9"/>
      <c r="Y547" s="30">
        <v>47.3</v>
      </c>
      <c r="Z547" s="9"/>
      <c r="AA547" s="30">
        <v>0.69</v>
      </c>
      <c r="AB547" s="9"/>
      <c r="AC547" s="30">
        <v>0</v>
      </c>
      <c r="AD547" s="9"/>
      <c r="AE547" s="30">
        <v>12.16</v>
      </c>
      <c r="AF547" s="9"/>
      <c r="AG547" s="30">
        <v>0</v>
      </c>
      <c r="AH547" s="9"/>
      <c r="AI547" s="32">
        <v>60.15</v>
      </c>
      <c r="AJ547" s="12"/>
      <c r="AK547" s="22">
        <v>1689441</v>
      </c>
      <c r="AM547" s="22">
        <v>13133</v>
      </c>
      <c r="AO547" s="22">
        <v>0</v>
      </c>
      <c r="AQ547" s="22">
        <v>410176</v>
      </c>
      <c r="AS547" s="26">
        <v>2112750</v>
      </c>
      <c r="AU547" s="23">
        <v>21.9237</v>
      </c>
      <c r="AW547" s="23">
        <v>12.472</v>
      </c>
      <c r="AY547" s="23">
        <v>0</v>
      </c>
      <c r="BA547" s="23">
        <v>21.5474</v>
      </c>
      <c r="BC547" s="24">
        <v>21.747499999999999</v>
      </c>
      <c r="BE547" s="1" t="str">
        <f t="shared" si="8"/>
        <v>No</v>
      </c>
    </row>
    <row r="548" spans="1:57" ht="11.25" customHeight="1">
      <c r="A548" s="7" t="s">
        <v>50</v>
      </c>
      <c r="B548" s="7" t="s">
        <v>376</v>
      </c>
      <c r="C548" s="37" t="s">
        <v>48</v>
      </c>
      <c r="D548" s="296">
        <v>3072</v>
      </c>
      <c r="E548" s="297">
        <v>30072</v>
      </c>
      <c r="F548" s="27" t="s">
        <v>162</v>
      </c>
      <c r="G548" s="73" t="s">
        <v>158</v>
      </c>
      <c r="H548" s="35">
        <v>141576</v>
      </c>
      <c r="I548" s="35">
        <v>36</v>
      </c>
      <c r="J548" s="37" t="s">
        <v>10</v>
      </c>
      <c r="K548" s="37" t="s">
        <v>159</v>
      </c>
      <c r="L548" s="8">
        <v>18</v>
      </c>
      <c r="M548" s="8">
        <v>31238</v>
      </c>
      <c r="N548" s="9"/>
      <c r="O548" s="8">
        <v>473</v>
      </c>
      <c r="P548" s="9"/>
      <c r="Q548" s="8">
        <v>0</v>
      </c>
      <c r="R548" s="9"/>
      <c r="S548" s="8">
        <v>10832</v>
      </c>
      <c r="T548" s="9"/>
      <c r="U548" s="8">
        <v>0</v>
      </c>
      <c r="V548" s="9"/>
      <c r="W548" s="33">
        <v>42543</v>
      </c>
      <c r="X548" s="9"/>
      <c r="Y548" s="30">
        <v>21.45</v>
      </c>
      <c r="Z548" s="9"/>
      <c r="AA548" s="30">
        <v>0.31</v>
      </c>
      <c r="AB548" s="9"/>
      <c r="AC548" s="30">
        <v>0</v>
      </c>
      <c r="AD548" s="9"/>
      <c r="AE548" s="30">
        <v>6.66</v>
      </c>
      <c r="AF548" s="9"/>
      <c r="AG548" s="30">
        <v>0</v>
      </c>
      <c r="AH548" s="9"/>
      <c r="AI548" s="32">
        <v>28.42</v>
      </c>
      <c r="AJ548" s="12"/>
      <c r="AK548" s="22">
        <v>708398</v>
      </c>
      <c r="AM548" s="22">
        <v>8756</v>
      </c>
      <c r="AO548" s="22">
        <v>0</v>
      </c>
      <c r="AQ548" s="22">
        <v>179796</v>
      </c>
      <c r="AS548" s="26">
        <v>896950</v>
      </c>
      <c r="AU548" s="23">
        <v>22.677399999999999</v>
      </c>
      <c r="AW548" s="23">
        <v>18.511600000000001</v>
      </c>
      <c r="AY548" s="23">
        <v>0</v>
      </c>
      <c r="BA548" s="23">
        <v>16.598600000000001</v>
      </c>
      <c r="BC548" s="24">
        <v>21.083400000000001</v>
      </c>
      <c r="BE548" s="1" t="str">
        <f t="shared" si="8"/>
        <v>No</v>
      </c>
    </row>
    <row r="549" spans="1:57" ht="11.25" customHeight="1">
      <c r="A549" s="7" t="s">
        <v>225</v>
      </c>
      <c r="B549" s="7" t="s">
        <v>226</v>
      </c>
      <c r="C549" s="37" t="s">
        <v>40</v>
      </c>
      <c r="D549" s="296">
        <v>5047</v>
      </c>
      <c r="E549" s="297">
        <v>50047</v>
      </c>
      <c r="F549" s="27" t="s">
        <v>165</v>
      </c>
      <c r="G549" s="73" t="s">
        <v>158</v>
      </c>
      <c r="H549" s="35">
        <v>132600</v>
      </c>
      <c r="I549" s="35">
        <v>36</v>
      </c>
      <c r="J549" s="37" t="s">
        <v>10</v>
      </c>
      <c r="K549" s="37" t="s">
        <v>159</v>
      </c>
      <c r="L549" s="8">
        <v>13</v>
      </c>
      <c r="M549" s="8">
        <v>35241</v>
      </c>
      <c r="N549" s="9"/>
      <c r="O549" s="8">
        <v>4821</v>
      </c>
      <c r="P549" s="9"/>
      <c r="Q549" s="8">
        <v>2268</v>
      </c>
      <c r="R549" s="9"/>
      <c r="S549" s="8">
        <v>8755</v>
      </c>
      <c r="T549" s="9"/>
      <c r="U549" s="8">
        <v>0</v>
      </c>
      <c r="V549" s="9"/>
      <c r="W549" s="33">
        <v>51085</v>
      </c>
      <c r="X549" s="9"/>
      <c r="Y549" s="30">
        <v>18.82</v>
      </c>
      <c r="Z549" s="9"/>
      <c r="AA549" s="30">
        <v>2.66</v>
      </c>
      <c r="AB549" s="9"/>
      <c r="AC549" s="30">
        <v>1.25</v>
      </c>
      <c r="AD549" s="9"/>
      <c r="AE549" s="30">
        <v>5.4</v>
      </c>
      <c r="AF549" s="9"/>
      <c r="AG549" s="30">
        <v>0</v>
      </c>
      <c r="AH549" s="9"/>
      <c r="AI549" s="32">
        <v>28.13</v>
      </c>
      <c r="AJ549" s="12"/>
      <c r="AK549" s="22">
        <v>841065</v>
      </c>
      <c r="AM549" s="22">
        <v>116842</v>
      </c>
      <c r="AO549" s="22">
        <v>57430</v>
      </c>
      <c r="AQ549" s="22">
        <v>331699</v>
      </c>
      <c r="AS549" s="26">
        <v>1347036</v>
      </c>
      <c r="AU549" s="23">
        <v>23.866099999999999</v>
      </c>
      <c r="AW549" s="23">
        <v>24.2361</v>
      </c>
      <c r="AY549" s="23">
        <v>1.6295999999999999</v>
      </c>
      <c r="BA549" s="23">
        <v>37.886800000000001</v>
      </c>
      <c r="BC549" s="24">
        <v>26.368500000000001</v>
      </c>
      <c r="BE549" s="1" t="str">
        <f t="shared" si="8"/>
        <v>No</v>
      </c>
    </row>
    <row r="550" spans="1:57" ht="11.25" customHeight="1">
      <c r="A550" s="7" t="s">
        <v>512</v>
      </c>
      <c r="B550" s="7" t="s">
        <v>513</v>
      </c>
      <c r="C550" s="37" t="s">
        <v>42</v>
      </c>
      <c r="D550" s="296">
        <v>5054</v>
      </c>
      <c r="E550" s="297">
        <v>50054</v>
      </c>
      <c r="F550" s="27" t="s">
        <v>162</v>
      </c>
      <c r="G550" s="73" t="s">
        <v>158</v>
      </c>
      <c r="H550" s="35">
        <v>90580</v>
      </c>
      <c r="I550" s="35">
        <v>36</v>
      </c>
      <c r="J550" s="37" t="s">
        <v>10</v>
      </c>
      <c r="K550" s="37" t="s">
        <v>159</v>
      </c>
      <c r="L550" s="8">
        <v>10</v>
      </c>
      <c r="M550" s="8">
        <v>25462</v>
      </c>
      <c r="N550" s="9"/>
      <c r="O550" s="8">
        <v>3187</v>
      </c>
      <c r="P550" s="9"/>
      <c r="Q550" s="8">
        <v>1082</v>
      </c>
      <c r="R550" s="9"/>
      <c r="S550" s="8">
        <v>4593</v>
      </c>
      <c r="T550" s="9"/>
      <c r="U550" s="8">
        <v>0</v>
      </c>
      <c r="V550" s="9"/>
      <c r="W550" s="33">
        <v>34324</v>
      </c>
      <c r="X550" s="9"/>
      <c r="Y550" s="30">
        <v>13</v>
      </c>
      <c r="Z550" s="9"/>
      <c r="AA550" s="30">
        <v>1.5</v>
      </c>
      <c r="AB550" s="9"/>
      <c r="AC550" s="30">
        <v>1</v>
      </c>
      <c r="AD550" s="9"/>
      <c r="AE550" s="30">
        <v>3</v>
      </c>
      <c r="AF550" s="9"/>
      <c r="AG550" s="30">
        <v>0</v>
      </c>
      <c r="AH550" s="9"/>
      <c r="AI550" s="32">
        <v>18.5</v>
      </c>
      <c r="AJ550" s="12"/>
      <c r="AK550" s="22">
        <v>584562</v>
      </c>
      <c r="AM550" s="22">
        <v>77077</v>
      </c>
      <c r="AO550" s="22">
        <v>14597</v>
      </c>
      <c r="AQ550" s="22">
        <v>84817</v>
      </c>
      <c r="AS550" s="26">
        <v>761053</v>
      </c>
      <c r="AU550" s="23">
        <v>22.958200000000001</v>
      </c>
      <c r="AW550" s="23">
        <v>24.184799999999999</v>
      </c>
      <c r="AY550" s="23">
        <v>0.57330000000000003</v>
      </c>
      <c r="BA550" s="23">
        <v>18.4666</v>
      </c>
      <c r="BC550" s="24">
        <v>22.172599999999999</v>
      </c>
      <c r="BE550" s="1" t="str">
        <f t="shared" si="8"/>
        <v>No</v>
      </c>
    </row>
    <row r="551" spans="1:57" ht="11.25" customHeight="1">
      <c r="A551" s="7" t="s">
        <v>1098</v>
      </c>
      <c r="B551" s="7" t="s">
        <v>1099</v>
      </c>
      <c r="C551" s="37" t="s">
        <v>47</v>
      </c>
      <c r="D551" s="296"/>
      <c r="E551" s="297">
        <v>10183</v>
      </c>
      <c r="F551" s="27" t="s">
        <v>165</v>
      </c>
      <c r="G551" s="73" t="s">
        <v>158</v>
      </c>
      <c r="H551" s="35">
        <v>246695</v>
      </c>
      <c r="I551" s="35">
        <v>34</v>
      </c>
      <c r="J551" s="37" t="s">
        <v>7</v>
      </c>
      <c r="K551" s="37" t="s">
        <v>159</v>
      </c>
      <c r="L551" s="8">
        <v>24</v>
      </c>
      <c r="M551" s="8">
        <v>92331</v>
      </c>
      <c r="N551" s="9"/>
      <c r="O551" s="8">
        <v>6597</v>
      </c>
      <c r="P551" s="9"/>
      <c r="Q551" s="8">
        <v>16920</v>
      </c>
      <c r="R551" s="9"/>
      <c r="S551" s="8">
        <v>19032</v>
      </c>
      <c r="T551" s="9"/>
      <c r="U551" s="8">
        <v>0</v>
      </c>
      <c r="V551" s="9"/>
      <c r="W551" s="33">
        <v>134880</v>
      </c>
      <c r="X551" s="9"/>
      <c r="Y551" s="30">
        <v>76</v>
      </c>
      <c r="Z551" s="9"/>
      <c r="AA551" s="30">
        <v>4</v>
      </c>
      <c r="AB551" s="9"/>
      <c r="AC551" s="30">
        <v>9</v>
      </c>
      <c r="AD551" s="9"/>
      <c r="AE551" s="30">
        <v>11</v>
      </c>
      <c r="AF551" s="9"/>
      <c r="AG551" s="30">
        <v>0</v>
      </c>
      <c r="AH551" s="9"/>
      <c r="AI551" s="32">
        <v>100</v>
      </c>
      <c r="AJ551" s="12"/>
      <c r="AK551" s="22">
        <v>2038235</v>
      </c>
      <c r="AM551" s="22">
        <v>156769</v>
      </c>
      <c r="AO551" s="22">
        <v>171127</v>
      </c>
      <c r="AP551" s="22" t="s">
        <v>121</v>
      </c>
      <c r="AQ551" s="22">
        <v>695386</v>
      </c>
      <c r="AR551" s="22" t="s">
        <v>121</v>
      </c>
      <c r="AS551" s="26">
        <v>3061517</v>
      </c>
      <c r="AT551" s="22" t="s">
        <v>121</v>
      </c>
      <c r="AU551" s="23">
        <v>22.075299999999999</v>
      </c>
      <c r="AW551" s="23">
        <v>23.7637</v>
      </c>
      <c r="AY551" s="23">
        <v>1.8533999999999999</v>
      </c>
      <c r="AZ551" s="23" t="s">
        <v>121</v>
      </c>
      <c r="BA551" s="23">
        <v>36.537700000000001</v>
      </c>
      <c r="BB551" s="23" t="s">
        <v>121</v>
      </c>
      <c r="BC551" s="24">
        <v>22.6981</v>
      </c>
      <c r="BD551" s="1" t="s">
        <v>121</v>
      </c>
      <c r="BE551" s="1" t="str">
        <f t="shared" si="8"/>
        <v>Yes</v>
      </c>
    </row>
    <row r="552" spans="1:57" ht="11.25" customHeight="1">
      <c r="A552" s="7" t="s">
        <v>311</v>
      </c>
      <c r="B552" s="7" t="s">
        <v>312</v>
      </c>
      <c r="C552" s="37" t="s">
        <v>17</v>
      </c>
      <c r="D552" s="296">
        <v>9017</v>
      </c>
      <c r="E552" s="297">
        <v>90017</v>
      </c>
      <c r="F552" s="27" t="s">
        <v>162</v>
      </c>
      <c r="G552" s="73" t="s">
        <v>158</v>
      </c>
      <c r="H552" s="35">
        <v>308231</v>
      </c>
      <c r="I552" s="35">
        <v>34</v>
      </c>
      <c r="J552" s="37" t="s">
        <v>7</v>
      </c>
      <c r="K552" s="37" t="s">
        <v>159</v>
      </c>
      <c r="L552" s="8">
        <v>23</v>
      </c>
      <c r="M552" s="8">
        <v>154119</v>
      </c>
      <c r="N552" s="9"/>
      <c r="O552" s="8">
        <v>8766</v>
      </c>
      <c r="P552" s="9"/>
      <c r="Q552" s="8">
        <v>2573</v>
      </c>
      <c r="R552" s="9"/>
      <c r="S552" s="8">
        <v>19083</v>
      </c>
      <c r="T552" s="9"/>
      <c r="U552" s="8">
        <v>0</v>
      </c>
      <c r="V552" s="9"/>
      <c r="W552" s="33">
        <v>184541</v>
      </c>
      <c r="X552" s="9"/>
      <c r="Y552" s="30">
        <v>63.5</v>
      </c>
      <c r="Z552" s="9"/>
      <c r="AA552" s="30">
        <v>3.16</v>
      </c>
      <c r="AB552" s="9"/>
      <c r="AC552" s="30">
        <v>1.24</v>
      </c>
      <c r="AD552" s="9"/>
      <c r="AE552" s="30">
        <v>8.82</v>
      </c>
      <c r="AF552" s="9"/>
      <c r="AG552" s="30">
        <v>0</v>
      </c>
      <c r="AH552" s="9"/>
      <c r="AI552" s="32">
        <v>76.72</v>
      </c>
      <c r="AJ552" s="12"/>
      <c r="AK552" s="22">
        <v>3618954</v>
      </c>
      <c r="AM552" s="22">
        <v>150840</v>
      </c>
      <c r="AO552" s="22">
        <v>58993</v>
      </c>
      <c r="AQ552" s="22">
        <v>699091</v>
      </c>
      <c r="AS552" s="26">
        <v>4527878</v>
      </c>
      <c r="AU552" s="23">
        <v>23.4816</v>
      </c>
      <c r="AW552" s="23">
        <v>17.2074</v>
      </c>
      <c r="AY552" s="23">
        <v>0.38279999999999997</v>
      </c>
      <c r="BA552" s="23">
        <v>36.6342</v>
      </c>
      <c r="BC552" s="24">
        <v>24.535900000000002</v>
      </c>
      <c r="BE552" s="1" t="str">
        <f t="shared" si="8"/>
        <v>No</v>
      </c>
    </row>
    <row r="553" spans="1:57" ht="11.25" customHeight="1">
      <c r="A553" s="7" t="s">
        <v>123</v>
      </c>
      <c r="B553" s="7" t="s">
        <v>200</v>
      </c>
      <c r="C553" s="37" t="s">
        <v>77</v>
      </c>
      <c r="D553" s="296">
        <v>3011</v>
      </c>
      <c r="E553" s="297">
        <v>30011</v>
      </c>
      <c r="F553" s="27" t="s">
        <v>165</v>
      </c>
      <c r="G553" s="73" t="s">
        <v>158</v>
      </c>
      <c r="H553" s="35">
        <v>79930</v>
      </c>
      <c r="I553" s="35">
        <v>34</v>
      </c>
      <c r="J553" s="37" t="s">
        <v>7</v>
      </c>
      <c r="K553" s="37" t="s">
        <v>159</v>
      </c>
      <c r="L553" s="8">
        <v>21</v>
      </c>
      <c r="M553" s="8">
        <v>57460</v>
      </c>
      <c r="N553" s="9"/>
      <c r="O553" s="8">
        <v>14610</v>
      </c>
      <c r="P553" s="9"/>
      <c r="Q553" s="8">
        <v>0</v>
      </c>
      <c r="R553" s="9"/>
      <c r="S553" s="8">
        <v>8732</v>
      </c>
      <c r="T553" s="9"/>
      <c r="U553" s="8">
        <v>0</v>
      </c>
      <c r="V553" s="9"/>
      <c r="W553" s="33">
        <v>80802</v>
      </c>
      <c r="X553" s="9"/>
      <c r="Y553" s="30">
        <v>30.5</v>
      </c>
      <c r="Z553" s="9"/>
      <c r="AA553" s="30">
        <v>8.02</v>
      </c>
      <c r="AB553" s="9"/>
      <c r="AC553" s="30">
        <v>0</v>
      </c>
      <c r="AD553" s="9"/>
      <c r="AE553" s="30">
        <v>4.93</v>
      </c>
      <c r="AF553" s="9"/>
      <c r="AG553" s="30">
        <v>0</v>
      </c>
      <c r="AH553" s="9"/>
      <c r="AI553" s="32">
        <v>43.45</v>
      </c>
      <c r="AJ553" s="12"/>
      <c r="AK553" s="22">
        <v>1378617</v>
      </c>
      <c r="AM553" s="22">
        <v>353359</v>
      </c>
      <c r="AO553" s="22">
        <v>0</v>
      </c>
      <c r="AQ553" s="22">
        <v>230165</v>
      </c>
      <c r="AS553" s="26">
        <v>1962141</v>
      </c>
      <c r="AU553" s="23">
        <v>23.992599999999999</v>
      </c>
      <c r="AW553" s="23">
        <v>24.1861</v>
      </c>
      <c r="AY553" s="23">
        <v>0</v>
      </c>
      <c r="BA553" s="23">
        <v>26.358799999999999</v>
      </c>
      <c r="BC553" s="24">
        <v>24.283300000000001</v>
      </c>
      <c r="BE553" s="1" t="str">
        <f t="shared" si="8"/>
        <v>No</v>
      </c>
    </row>
    <row r="554" spans="1:57" ht="11.25" customHeight="1">
      <c r="A554" s="7" t="s">
        <v>1098</v>
      </c>
      <c r="B554" s="7" t="s">
        <v>1099</v>
      </c>
      <c r="C554" s="37" t="s">
        <v>47</v>
      </c>
      <c r="D554" s="296"/>
      <c r="E554" s="297">
        <v>10183</v>
      </c>
      <c r="F554" s="27" t="s">
        <v>165</v>
      </c>
      <c r="G554" s="73" t="s">
        <v>158</v>
      </c>
      <c r="H554" s="35">
        <v>246695</v>
      </c>
      <c r="I554" s="35">
        <v>34</v>
      </c>
      <c r="J554" s="37" t="s">
        <v>19</v>
      </c>
      <c r="K554" s="37" t="s">
        <v>159</v>
      </c>
      <c r="L554" s="8">
        <v>10</v>
      </c>
      <c r="M554" s="8">
        <v>792853</v>
      </c>
      <c r="N554" s="9"/>
      <c r="O554" s="8">
        <v>59357</v>
      </c>
      <c r="P554" s="9"/>
      <c r="Q554" s="8">
        <v>16016</v>
      </c>
      <c r="R554" s="9"/>
      <c r="S554" s="8">
        <v>155269</v>
      </c>
      <c r="T554" s="9"/>
      <c r="U554" s="8">
        <v>0</v>
      </c>
      <c r="V554" s="9"/>
      <c r="W554" s="33">
        <v>1023495</v>
      </c>
      <c r="X554" s="9"/>
      <c r="Y554" s="30">
        <v>489</v>
      </c>
      <c r="Z554" s="9"/>
      <c r="AA554" s="30">
        <v>27</v>
      </c>
      <c r="AB554" s="9"/>
      <c r="AC554" s="30">
        <v>8</v>
      </c>
      <c r="AD554" s="9"/>
      <c r="AE554" s="30">
        <v>81</v>
      </c>
      <c r="AF554" s="9"/>
      <c r="AG554" s="30">
        <v>0</v>
      </c>
      <c r="AH554" s="9"/>
      <c r="AI554" s="32">
        <v>605</v>
      </c>
      <c r="AJ554" s="12"/>
      <c r="AK554" s="22">
        <v>15026764</v>
      </c>
      <c r="AM554" s="22">
        <v>2810498</v>
      </c>
      <c r="AO554" s="22">
        <v>695386</v>
      </c>
      <c r="AQ554" s="22">
        <v>11146929</v>
      </c>
      <c r="AR554" s="22" t="s">
        <v>121</v>
      </c>
      <c r="AS554" s="26">
        <v>29679577</v>
      </c>
      <c r="AT554" s="22" t="s">
        <v>121</v>
      </c>
      <c r="AU554" s="23">
        <v>18.9528</v>
      </c>
      <c r="AW554" s="23">
        <v>47.3491</v>
      </c>
      <c r="AY554" s="23">
        <v>0.87709999999999999</v>
      </c>
      <c r="BA554" s="23">
        <v>71.7911</v>
      </c>
      <c r="BB554" s="23" t="s">
        <v>121</v>
      </c>
      <c r="BC554" s="24">
        <v>28.9983</v>
      </c>
      <c r="BD554" s="1" t="s">
        <v>121</v>
      </c>
      <c r="BE554" s="1" t="str">
        <f t="shared" si="8"/>
        <v>Yes</v>
      </c>
    </row>
    <row r="555" spans="1:57" ht="11.25" customHeight="1">
      <c r="A555" s="7" t="s">
        <v>123</v>
      </c>
      <c r="B555" s="7" t="s">
        <v>200</v>
      </c>
      <c r="C555" s="37" t="s">
        <v>77</v>
      </c>
      <c r="D555" s="296">
        <v>3011</v>
      </c>
      <c r="E555" s="297">
        <v>30011</v>
      </c>
      <c r="F555" s="27" t="s">
        <v>165</v>
      </c>
      <c r="G555" s="73" t="s">
        <v>158</v>
      </c>
      <c r="H555" s="35">
        <v>79930</v>
      </c>
      <c r="I555" s="35">
        <v>34</v>
      </c>
      <c r="J555" s="37" t="s">
        <v>10</v>
      </c>
      <c r="K555" s="37" t="s">
        <v>159</v>
      </c>
      <c r="L555" s="8">
        <v>1</v>
      </c>
      <c r="M555" s="8">
        <v>263</v>
      </c>
      <c r="N555" s="9"/>
      <c r="O555" s="8">
        <v>52</v>
      </c>
      <c r="P555" s="9"/>
      <c r="Q555" s="8">
        <v>6</v>
      </c>
      <c r="R555" s="9"/>
      <c r="S555" s="8">
        <v>34</v>
      </c>
      <c r="T555" s="9"/>
      <c r="U555" s="8">
        <v>0</v>
      </c>
      <c r="V555" s="9"/>
      <c r="W555" s="33">
        <v>355</v>
      </c>
      <c r="X555" s="9"/>
      <c r="Y555" s="30">
        <v>0.5</v>
      </c>
      <c r="Z555" s="9"/>
      <c r="AA555" s="30">
        <v>0.03</v>
      </c>
      <c r="AB555" s="9"/>
      <c r="AC555" s="30">
        <v>0</v>
      </c>
      <c r="AD555" s="9"/>
      <c r="AE555" s="30">
        <v>0.02</v>
      </c>
      <c r="AF555" s="9"/>
      <c r="AG555" s="30">
        <v>0</v>
      </c>
      <c r="AH555" s="9"/>
      <c r="AI555" s="32">
        <v>0.55000000000000004</v>
      </c>
      <c r="AJ555" s="12"/>
      <c r="AK555" s="22">
        <v>6186</v>
      </c>
      <c r="AM555" s="22">
        <v>461</v>
      </c>
      <c r="AO555" s="22">
        <v>51</v>
      </c>
      <c r="AQ555" s="22">
        <v>313</v>
      </c>
      <c r="AS555" s="26">
        <v>7011</v>
      </c>
      <c r="AU555" s="23">
        <v>23.520900000000001</v>
      </c>
      <c r="AW555" s="23">
        <v>8.8653999999999993</v>
      </c>
      <c r="AY555" s="23">
        <v>0.19389999999999999</v>
      </c>
      <c r="BA555" s="23">
        <v>9.2058999999999997</v>
      </c>
      <c r="BC555" s="24">
        <v>19.749300000000002</v>
      </c>
      <c r="BE555" s="1" t="str">
        <f t="shared" si="8"/>
        <v>No</v>
      </c>
    </row>
    <row r="556" spans="1:57" ht="11.25" customHeight="1">
      <c r="A556" s="7" t="s">
        <v>503</v>
      </c>
      <c r="B556" s="7" t="s">
        <v>504</v>
      </c>
      <c r="C556" s="37" t="s">
        <v>57</v>
      </c>
      <c r="D556" s="296">
        <v>8009</v>
      </c>
      <c r="E556" s="297">
        <v>80009</v>
      </c>
      <c r="F556" s="27" t="s">
        <v>165</v>
      </c>
      <c r="G556" s="73" t="s">
        <v>158</v>
      </c>
      <c r="H556" s="35">
        <v>82157</v>
      </c>
      <c r="I556" s="35">
        <v>33</v>
      </c>
      <c r="J556" s="37" t="s">
        <v>7</v>
      </c>
      <c r="K556" s="37" t="s">
        <v>159</v>
      </c>
      <c r="L556" s="8">
        <v>24</v>
      </c>
      <c r="M556" s="8">
        <v>66375</v>
      </c>
      <c r="N556" s="9"/>
      <c r="O556" s="8">
        <v>14678</v>
      </c>
      <c r="P556" s="9"/>
      <c r="Q556" s="8">
        <v>1067</v>
      </c>
      <c r="R556" s="9"/>
      <c r="S556" s="8">
        <v>17098</v>
      </c>
      <c r="T556" s="9"/>
      <c r="U556" s="8">
        <v>0</v>
      </c>
      <c r="V556" s="9"/>
      <c r="W556" s="33">
        <v>99218</v>
      </c>
      <c r="X556" s="9"/>
      <c r="Y556" s="30">
        <v>40.25</v>
      </c>
      <c r="Z556" s="9"/>
      <c r="AA556" s="30">
        <v>7.24</v>
      </c>
      <c r="AB556" s="9"/>
      <c r="AC556" s="30">
        <v>0.51</v>
      </c>
      <c r="AD556" s="9"/>
      <c r="AE556" s="30">
        <v>9.4700000000000006</v>
      </c>
      <c r="AF556" s="9"/>
      <c r="AG556" s="30">
        <v>0</v>
      </c>
      <c r="AH556" s="9"/>
      <c r="AI556" s="32">
        <v>57.47</v>
      </c>
      <c r="AJ556" s="12"/>
      <c r="AK556" s="22">
        <v>1554951</v>
      </c>
      <c r="AM556" s="22">
        <v>323533</v>
      </c>
      <c r="AO556" s="22">
        <v>9754</v>
      </c>
      <c r="AQ556" s="22">
        <v>408091</v>
      </c>
      <c r="AS556" s="26">
        <v>2296329</v>
      </c>
      <c r="AU556" s="23">
        <v>23.4268</v>
      </c>
      <c r="AW556" s="23">
        <v>22.042000000000002</v>
      </c>
      <c r="AY556" s="23">
        <v>0.14699999999999999</v>
      </c>
      <c r="BA556" s="23">
        <v>23.867799999999999</v>
      </c>
      <c r="BC556" s="24">
        <v>23.144300000000001</v>
      </c>
      <c r="BE556" s="1" t="str">
        <f t="shared" si="8"/>
        <v>No</v>
      </c>
    </row>
    <row r="557" spans="1:57" ht="11.25" customHeight="1">
      <c r="A557" s="7" t="s">
        <v>241</v>
      </c>
      <c r="B557" s="7" t="s">
        <v>242</v>
      </c>
      <c r="C557" s="37" t="s">
        <v>32</v>
      </c>
      <c r="D557" s="296">
        <v>4097</v>
      </c>
      <c r="E557" s="297">
        <v>40097</v>
      </c>
      <c r="F557" s="27" t="s">
        <v>243</v>
      </c>
      <c r="G557" s="73" t="s">
        <v>158</v>
      </c>
      <c r="H557" s="35">
        <v>376047</v>
      </c>
      <c r="I557" s="35">
        <v>33</v>
      </c>
      <c r="J557" s="37" t="s">
        <v>10</v>
      </c>
      <c r="K557" s="37" t="s">
        <v>159</v>
      </c>
      <c r="L557" s="8">
        <v>24</v>
      </c>
      <c r="M557" s="8">
        <v>69929</v>
      </c>
      <c r="N557" s="9"/>
      <c r="O557" s="8">
        <v>0</v>
      </c>
      <c r="P557" s="9"/>
      <c r="Q557" s="8">
        <v>0</v>
      </c>
      <c r="R557" s="9"/>
      <c r="S557" s="8">
        <v>10668</v>
      </c>
      <c r="T557" s="9"/>
      <c r="U557" s="8">
        <v>0</v>
      </c>
      <c r="V557" s="9"/>
      <c r="W557" s="33">
        <v>80597</v>
      </c>
      <c r="X557" s="9"/>
      <c r="Y557" s="30">
        <v>36.799999999999997</v>
      </c>
      <c r="Z557" s="9"/>
      <c r="AA557" s="30">
        <v>0</v>
      </c>
      <c r="AB557" s="9"/>
      <c r="AC557" s="30">
        <v>0</v>
      </c>
      <c r="AD557" s="9"/>
      <c r="AE557" s="30">
        <v>6</v>
      </c>
      <c r="AF557" s="9"/>
      <c r="AG557" s="30">
        <v>0</v>
      </c>
      <c r="AH557" s="9"/>
      <c r="AI557" s="32">
        <v>42.8</v>
      </c>
      <c r="AJ557" s="12"/>
      <c r="AK557" s="22">
        <v>833588</v>
      </c>
      <c r="AM557" s="22">
        <v>0</v>
      </c>
      <c r="AO557" s="22">
        <v>0</v>
      </c>
      <c r="AQ557" s="22">
        <v>357378</v>
      </c>
      <c r="AS557" s="26">
        <v>1190966</v>
      </c>
      <c r="AU557" s="23">
        <v>11.920500000000001</v>
      </c>
      <c r="AY557" s="23">
        <v>0</v>
      </c>
      <c r="BA557" s="23">
        <v>33.5</v>
      </c>
      <c r="BC557" s="24">
        <v>14.7768</v>
      </c>
      <c r="BE557" s="1" t="str">
        <f t="shared" si="8"/>
        <v>No</v>
      </c>
    </row>
    <row r="558" spans="1:57" ht="11.25" customHeight="1">
      <c r="A558" s="7" t="s">
        <v>287</v>
      </c>
      <c r="B558" s="7" t="s">
        <v>288</v>
      </c>
      <c r="C558" s="37" t="s">
        <v>84</v>
      </c>
      <c r="D558" s="296">
        <v>6014</v>
      </c>
      <c r="E558" s="297">
        <v>60014</v>
      </c>
      <c r="F558" s="27" t="s">
        <v>162</v>
      </c>
      <c r="G558" s="73" t="s">
        <v>158</v>
      </c>
      <c r="H558" s="35">
        <v>217585</v>
      </c>
      <c r="I558" s="35">
        <v>33</v>
      </c>
      <c r="J558" s="37" t="s">
        <v>7</v>
      </c>
      <c r="K558" s="37" t="s">
        <v>159</v>
      </c>
      <c r="L558" s="8">
        <v>19</v>
      </c>
      <c r="M558" s="8">
        <v>88904</v>
      </c>
      <c r="N558" s="9"/>
      <c r="O558" s="8">
        <v>8276</v>
      </c>
      <c r="P558" s="9"/>
      <c r="Q558" s="8">
        <v>20300</v>
      </c>
      <c r="R558" s="9"/>
      <c r="S558" s="8">
        <v>11748</v>
      </c>
      <c r="T558" s="9"/>
      <c r="U558" s="8">
        <v>0</v>
      </c>
      <c r="V558" s="9"/>
      <c r="W558" s="33">
        <v>129228</v>
      </c>
      <c r="X558" s="9"/>
      <c r="Y558" s="30">
        <v>46</v>
      </c>
      <c r="Z558" s="9"/>
      <c r="AA558" s="30">
        <v>5.0599999999999996</v>
      </c>
      <c r="AB558" s="9"/>
      <c r="AC558" s="30">
        <v>12</v>
      </c>
      <c r="AD558" s="9"/>
      <c r="AE558" s="30">
        <v>7</v>
      </c>
      <c r="AF558" s="9"/>
      <c r="AG558" s="30">
        <v>0</v>
      </c>
      <c r="AH558" s="9"/>
      <c r="AI558" s="32">
        <v>70.06</v>
      </c>
      <c r="AJ558" s="12"/>
      <c r="AK558" s="22">
        <v>918758</v>
      </c>
      <c r="AM558" s="22">
        <v>68170</v>
      </c>
      <c r="AO558" s="22">
        <v>209566</v>
      </c>
      <c r="AQ558" s="22">
        <v>167550</v>
      </c>
      <c r="AS558" s="26">
        <v>1364044</v>
      </c>
      <c r="AU558" s="23">
        <v>10.334300000000001</v>
      </c>
      <c r="AW558" s="23">
        <v>8.2370999999999999</v>
      </c>
      <c r="AY558" s="23">
        <v>2.3572000000000002</v>
      </c>
      <c r="BA558" s="23">
        <v>14.262</v>
      </c>
      <c r="BC558" s="24">
        <v>10.555300000000001</v>
      </c>
      <c r="BE558" s="1" t="str">
        <f t="shared" si="8"/>
        <v>No</v>
      </c>
    </row>
    <row r="559" spans="1:57" ht="11.25" customHeight="1">
      <c r="A559" s="7" t="s">
        <v>503</v>
      </c>
      <c r="B559" s="7" t="s">
        <v>504</v>
      </c>
      <c r="C559" s="37" t="s">
        <v>57</v>
      </c>
      <c r="D559" s="296">
        <v>8009</v>
      </c>
      <c r="E559" s="297">
        <v>80009</v>
      </c>
      <c r="F559" s="27" t="s">
        <v>165</v>
      </c>
      <c r="G559" s="73" t="s">
        <v>158</v>
      </c>
      <c r="H559" s="35">
        <v>82157</v>
      </c>
      <c r="I559" s="35">
        <v>33</v>
      </c>
      <c r="J559" s="37" t="s">
        <v>10</v>
      </c>
      <c r="K559" s="37" t="s">
        <v>159</v>
      </c>
      <c r="L559" s="8">
        <v>9</v>
      </c>
      <c r="M559" s="8">
        <v>14687</v>
      </c>
      <c r="N559" s="9"/>
      <c r="O559" s="8">
        <v>366</v>
      </c>
      <c r="P559" s="9"/>
      <c r="Q559" s="8">
        <v>27</v>
      </c>
      <c r="R559" s="9"/>
      <c r="S559" s="8">
        <v>4274</v>
      </c>
      <c r="T559" s="9"/>
      <c r="U559" s="8">
        <v>0</v>
      </c>
      <c r="V559" s="9"/>
      <c r="W559" s="33">
        <v>19354</v>
      </c>
      <c r="X559" s="9"/>
      <c r="Y559" s="30">
        <v>7.97</v>
      </c>
      <c r="Z559" s="9"/>
      <c r="AA559" s="30">
        <v>0.17</v>
      </c>
      <c r="AB559" s="9"/>
      <c r="AC559" s="30">
        <v>0.01</v>
      </c>
      <c r="AD559" s="9"/>
      <c r="AE559" s="30">
        <v>2.29</v>
      </c>
      <c r="AF559" s="9"/>
      <c r="AG559" s="30">
        <v>0</v>
      </c>
      <c r="AH559" s="9"/>
      <c r="AI559" s="32">
        <v>10.44</v>
      </c>
      <c r="AJ559" s="12"/>
      <c r="AK559" s="22">
        <v>355275</v>
      </c>
      <c r="AM559" s="22">
        <v>6987</v>
      </c>
      <c r="AO559" s="22">
        <v>691</v>
      </c>
      <c r="AQ559" s="22">
        <v>65204</v>
      </c>
      <c r="AS559" s="26">
        <v>428157</v>
      </c>
      <c r="AU559" s="23">
        <v>24.189800000000002</v>
      </c>
      <c r="AW559" s="23">
        <v>19.090199999999999</v>
      </c>
      <c r="AY559" s="23">
        <v>4.7E-2</v>
      </c>
      <c r="BA559" s="23">
        <v>15.256</v>
      </c>
      <c r="BC559" s="24">
        <v>22.122399999999999</v>
      </c>
      <c r="BE559" s="1" t="str">
        <f t="shared" si="8"/>
        <v>No</v>
      </c>
    </row>
    <row r="560" spans="1:57" ht="11.25" customHeight="1">
      <c r="A560" s="7" t="s">
        <v>241</v>
      </c>
      <c r="B560" s="7" t="s">
        <v>242</v>
      </c>
      <c r="C560" s="37" t="s">
        <v>32</v>
      </c>
      <c r="D560" s="296">
        <v>4097</v>
      </c>
      <c r="E560" s="297">
        <v>40097</v>
      </c>
      <c r="F560" s="27" t="s">
        <v>243</v>
      </c>
      <c r="G560" s="73" t="s">
        <v>158</v>
      </c>
      <c r="H560" s="35">
        <v>376047</v>
      </c>
      <c r="I560" s="35">
        <v>33</v>
      </c>
      <c r="J560" s="37" t="s">
        <v>7</v>
      </c>
      <c r="K560" s="37" t="s">
        <v>159</v>
      </c>
      <c r="L560" s="8">
        <v>9</v>
      </c>
      <c r="M560" s="8">
        <v>37576</v>
      </c>
      <c r="N560" s="9"/>
      <c r="O560" s="8">
        <v>0</v>
      </c>
      <c r="P560" s="9"/>
      <c r="Q560" s="8">
        <v>0</v>
      </c>
      <c r="R560" s="9"/>
      <c r="S560" s="8">
        <v>16192</v>
      </c>
      <c r="T560" s="9"/>
      <c r="U560" s="8">
        <v>0</v>
      </c>
      <c r="V560" s="9"/>
      <c r="W560" s="33">
        <v>53768</v>
      </c>
      <c r="X560" s="9"/>
      <c r="Y560" s="30">
        <v>23.75</v>
      </c>
      <c r="Z560" s="9"/>
      <c r="AA560" s="30">
        <v>0</v>
      </c>
      <c r="AB560" s="9"/>
      <c r="AC560" s="30">
        <v>0</v>
      </c>
      <c r="AD560" s="9"/>
      <c r="AE560" s="30">
        <v>8.26</v>
      </c>
      <c r="AF560" s="9"/>
      <c r="AG560" s="30">
        <v>0</v>
      </c>
      <c r="AH560" s="9"/>
      <c r="AI560" s="32">
        <v>32.01</v>
      </c>
      <c r="AJ560" s="12"/>
      <c r="AK560" s="22">
        <v>478474</v>
      </c>
      <c r="AM560" s="22">
        <v>0</v>
      </c>
      <c r="AO560" s="22">
        <v>0</v>
      </c>
      <c r="AQ560" s="22">
        <v>397943</v>
      </c>
      <c r="AS560" s="26">
        <v>876417</v>
      </c>
      <c r="AU560" s="23">
        <v>12.733499999999999</v>
      </c>
      <c r="AY560" s="23">
        <v>0</v>
      </c>
      <c r="BA560" s="23">
        <v>24.576499999999999</v>
      </c>
      <c r="BC560" s="24">
        <v>16.3</v>
      </c>
      <c r="BE560" s="1" t="str">
        <f t="shared" si="8"/>
        <v>No</v>
      </c>
    </row>
    <row r="561" spans="1:57" ht="11.25" customHeight="1">
      <c r="A561" s="7" t="s">
        <v>287</v>
      </c>
      <c r="B561" s="7" t="s">
        <v>288</v>
      </c>
      <c r="C561" s="37" t="s">
        <v>84</v>
      </c>
      <c r="D561" s="296">
        <v>6014</v>
      </c>
      <c r="E561" s="297">
        <v>60014</v>
      </c>
      <c r="F561" s="27" t="s">
        <v>162</v>
      </c>
      <c r="G561" s="73" t="s">
        <v>158</v>
      </c>
      <c r="H561" s="35">
        <v>217585</v>
      </c>
      <c r="I561" s="35">
        <v>33</v>
      </c>
      <c r="J561" s="37" t="s">
        <v>10</v>
      </c>
      <c r="K561" s="37" t="s">
        <v>159</v>
      </c>
      <c r="L561" s="8">
        <v>8</v>
      </c>
      <c r="M561" s="8">
        <v>21283</v>
      </c>
      <c r="N561" s="9"/>
      <c r="O561" s="8">
        <v>1489</v>
      </c>
      <c r="P561" s="9"/>
      <c r="Q561" s="8">
        <v>3654</v>
      </c>
      <c r="R561" s="9"/>
      <c r="S561" s="8">
        <v>2554</v>
      </c>
      <c r="T561" s="9"/>
      <c r="U561" s="8">
        <v>0</v>
      </c>
      <c r="V561" s="9"/>
      <c r="W561" s="33">
        <v>28980</v>
      </c>
      <c r="X561" s="9"/>
      <c r="Y561" s="30">
        <v>10</v>
      </c>
      <c r="Z561" s="9"/>
      <c r="AA561" s="30">
        <v>0.94</v>
      </c>
      <c r="AB561" s="9"/>
      <c r="AC561" s="30">
        <v>2</v>
      </c>
      <c r="AD561" s="9"/>
      <c r="AE561" s="30">
        <v>1</v>
      </c>
      <c r="AF561" s="9"/>
      <c r="AG561" s="30">
        <v>0</v>
      </c>
      <c r="AH561" s="9"/>
      <c r="AI561" s="32">
        <v>13.94</v>
      </c>
      <c r="AJ561" s="12"/>
      <c r="AK561" s="22">
        <v>249528</v>
      </c>
      <c r="AM561" s="22">
        <v>14818</v>
      </c>
      <c r="AO561" s="22">
        <v>45554</v>
      </c>
      <c r="AQ561" s="22">
        <v>36386</v>
      </c>
      <c r="AS561" s="26">
        <v>346286</v>
      </c>
      <c r="AU561" s="23">
        <v>11.724299999999999</v>
      </c>
      <c r="AW561" s="23">
        <v>9.9515999999999991</v>
      </c>
      <c r="AY561" s="23">
        <v>2.1404000000000001</v>
      </c>
      <c r="BA561" s="23">
        <v>14.246700000000001</v>
      </c>
      <c r="BC561" s="24">
        <v>11.9491</v>
      </c>
      <c r="BE561" s="1" t="str">
        <f t="shared" si="8"/>
        <v>No</v>
      </c>
    </row>
    <row r="562" spans="1:57" ht="11.25" customHeight="1">
      <c r="A562" s="7" t="s">
        <v>72</v>
      </c>
      <c r="B562" s="7" t="s">
        <v>505</v>
      </c>
      <c r="C562" s="37" t="s">
        <v>70</v>
      </c>
      <c r="D562" s="296">
        <v>2135</v>
      </c>
      <c r="E562" s="297">
        <v>20135</v>
      </c>
      <c r="F562" s="27" t="s">
        <v>173</v>
      </c>
      <c r="G562" s="73" t="s">
        <v>158</v>
      </c>
      <c r="H562" s="35">
        <v>18351295</v>
      </c>
      <c r="I562" s="35">
        <v>32</v>
      </c>
      <c r="J562" s="37" t="s">
        <v>18</v>
      </c>
      <c r="K562" s="37" t="s">
        <v>159</v>
      </c>
      <c r="L562" s="8">
        <v>32</v>
      </c>
      <c r="M562" s="8">
        <v>57110</v>
      </c>
      <c r="N562" s="9"/>
      <c r="O562" s="8">
        <v>17231</v>
      </c>
      <c r="P562" s="9"/>
      <c r="Q562" s="8">
        <v>0</v>
      </c>
      <c r="R562" s="9"/>
      <c r="S562" s="8">
        <v>20254</v>
      </c>
      <c r="T562" s="9"/>
      <c r="U562" s="8">
        <v>0</v>
      </c>
      <c r="V562" s="9"/>
      <c r="W562" s="33">
        <v>94595</v>
      </c>
      <c r="X562" s="9"/>
      <c r="Y562" s="30">
        <v>29</v>
      </c>
      <c r="Z562" s="9"/>
      <c r="AA562" s="30">
        <v>9</v>
      </c>
      <c r="AB562" s="9"/>
      <c r="AC562" s="30">
        <v>0</v>
      </c>
      <c r="AD562" s="9"/>
      <c r="AE562" s="30">
        <v>11</v>
      </c>
      <c r="AF562" s="9"/>
      <c r="AG562" s="30">
        <v>0</v>
      </c>
      <c r="AH562" s="9"/>
      <c r="AI562" s="32">
        <v>49</v>
      </c>
      <c r="AJ562" s="12"/>
      <c r="AK562" s="22">
        <v>992418</v>
      </c>
      <c r="AM562" s="22">
        <v>396228</v>
      </c>
      <c r="AO562" s="22">
        <v>0</v>
      </c>
      <c r="AQ562" s="22">
        <v>221945</v>
      </c>
      <c r="AS562" s="26">
        <v>1610591</v>
      </c>
      <c r="AU562" s="23">
        <v>17.377300000000002</v>
      </c>
      <c r="AW562" s="23">
        <v>22.995100000000001</v>
      </c>
      <c r="AY562" s="23">
        <v>0</v>
      </c>
      <c r="BA562" s="23">
        <v>10.9581</v>
      </c>
      <c r="BC562" s="24">
        <v>17.026199999999999</v>
      </c>
      <c r="BE562" s="1" t="str">
        <f t="shared" si="8"/>
        <v>No</v>
      </c>
    </row>
    <row r="563" spans="1:57" ht="11.25" customHeight="1">
      <c r="A563" s="7" t="s">
        <v>579</v>
      </c>
      <c r="B563" s="7" t="s">
        <v>580</v>
      </c>
      <c r="C563" s="37" t="s">
        <v>52</v>
      </c>
      <c r="D563" s="296">
        <v>5039</v>
      </c>
      <c r="E563" s="297">
        <v>50039</v>
      </c>
      <c r="F563" s="27" t="s">
        <v>165</v>
      </c>
      <c r="G563" s="73" t="s">
        <v>158</v>
      </c>
      <c r="H563" s="35">
        <v>126265</v>
      </c>
      <c r="I563" s="35">
        <v>32</v>
      </c>
      <c r="J563" s="37" t="s">
        <v>7</v>
      </c>
      <c r="K563" s="37" t="s">
        <v>159</v>
      </c>
      <c r="L563" s="8">
        <v>28</v>
      </c>
      <c r="M563" s="8">
        <v>61451</v>
      </c>
      <c r="N563" s="9"/>
      <c r="O563" s="8">
        <v>18175</v>
      </c>
      <c r="P563" s="9"/>
      <c r="Q563" s="8">
        <v>5642</v>
      </c>
      <c r="R563" s="9"/>
      <c r="S563" s="8">
        <v>18287</v>
      </c>
      <c r="T563" s="9"/>
      <c r="U563" s="8">
        <v>0</v>
      </c>
      <c r="V563" s="9"/>
      <c r="W563" s="33">
        <v>103555</v>
      </c>
      <c r="X563" s="9"/>
      <c r="Y563" s="30">
        <v>38.6</v>
      </c>
      <c r="Z563" s="9"/>
      <c r="AA563" s="30">
        <v>9.1999999999999993</v>
      </c>
      <c r="AB563" s="9"/>
      <c r="AC563" s="30">
        <v>5</v>
      </c>
      <c r="AD563" s="9"/>
      <c r="AE563" s="30">
        <v>13.4</v>
      </c>
      <c r="AF563" s="9"/>
      <c r="AG563" s="30">
        <v>0</v>
      </c>
      <c r="AH563" s="9"/>
      <c r="AI563" s="32">
        <v>66.2</v>
      </c>
      <c r="AJ563" s="12"/>
      <c r="AK563" s="22">
        <v>1110991</v>
      </c>
      <c r="AM563" s="22">
        <v>246520</v>
      </c>
      <c r="AO563" s="22">
        <v>62549</v>
      </c>
      <c r="AQ563" s="22">
        <v>436106</v>
      </c>
      <c r="AS563" s="26">
        <v>1856166</v>
      </c>
      <c r="AU563" s="23">
        <v>18.0793</v>
      </c>
      <c r="AW563" s="23">
        <v>13.563700000000001</v>
      </c>
      <c r="AY563" s="23">
        <v>1.0179</v>
      </c>
      <c r="BA563" s="23">
        <v>23.847899999999999</v>
      </c>
      <c r="BC563" s="24">
        <v>17.924399999999999</v>
      </c>
      <c r="BE563" s="1" t="str">
        <f t="shared" si="8"/>
        <v>No</v>
      </c>
    </row>
    <row r="564" spans="1:57" ht="11.25" customHeight="1">
      <c r="A564" s="7" t="s">
        <v>188</v>
      </c>
      <c r="B564" s="7" t="s">
        <v>189</v>
      </c>
      <c r="C564" s="37" t="s">
        <v>77</v>
      </c>
      <c r="D564" s="296">
        <v>3087</v>
      </c>
      <c r="E564" s="297">
        <v>30087</v>
      </c>
      <c r="F564" s="27" t="s">
        <v>162</v>
      </c>
      <c r="G564" s="73" t="s">
        <v>158</v>
      </c>
      <c r="H564" s="35">
        <v>51370</v>
      </c>
      <c r="I564" s="35">
        <v>32</v>
      </c>
      <c r="J564" s="37" t="s">
        <v>10</v>
      </c>
      <c r="K564" s="37" t="s">
        <v>159</v>
      </c>
      <c r="L564" s="8">
        <v>20</v>
      </c>
      <c r="M564" s="8">
        <v>43437</v>
      </c>
      <c r="N564" s="9"/>
      <c r="O564" s="8">
        <v>4222</v>
      </c>
      <c r="P564" s="9"/>
      <c r="Q564" s="8">
        <v>1028</v>
      </c>
      <c r="R564" s="9"/>
      <c r="S564" s="8">
        <v>5420</v>
      </c>
      <c r="T564" s="9"/>
      <c r="U564" s="8">
        <v>208</v>
      </c>
      <c r="V564" s="9"/>
      <c r="W564" s="33">
        <v>54315</v>
      </c>
      <c r="X564" s="9"/>
      <c r="Y564" s="30">
        <v>24</v>
      </c>
      <c r="Z564" s="9"/>
      <c r="AA564" s="30">
        <v>2.14</v>
      </c>
      <c r="AB564" s="9"/>
      <c r="AC564" s="30">
        <v>0.66</v>
      </c>
      <c r="AD564" s="9"/>
      <c r="AE564" s="30">
        <v>2.8</v>
      </c>
      <c r="AF564" s="9"/>
      <c r="AG564" s="30">
        <v>0.11</v>
      </c>
      <c r="AH564" s="9"/>
      <c r="AI564" s="32">
        <v>29.71</v>
      </c>
      <c r="AJ564" s="12"/>
      <c r="AK564" s="22">
        <v>478808</v>
      </c>
      <c r="AM564" s="22">
        <v>160446</v>
      </c>
      <c r="AO564" s="22">
        <v>30816</v>
      </c>
      <c r="AQ564" s="22">
        <v>177854</v>
      </c>
      <c r="AS564" s="26">
        <v>847924</v>
      </c>
      <c r="AU564" s="23">
        <v>11.023</v>
      </c>
      <c r="AW564" s="23">
        <v>38.002400000000002</v>
      </c>
      <c r="AY564" s="23">
        <v>0.70940000000000003</v>
      </c>
      <c r="BA564" s="23">
        <v>32.814399999999999</v>
      </c>
      <c r="BC564" s="24">
        <v>15.6112</v>
      </c>
      <c r="BE564" s="1" t="str">
        <f t="shared" si="8"/>
        <v>No</v>
      </c>
    </row>
    <row r="565" spans="1:57" ht="11.25" customHeight="1">
      <c r="A565" s="7" t="s">
        <v>1144</v>
      </c>
      <c r="B565" s="7" t="s">
        <v>717</v>
      </c>
      <c r="C565" s="37" t="s">
        <v>51</v>
      </c>
      <c r="D565" s="296">
        <v>1098</v>
      </c>
      <c r="E565" s="297">
        <v>10098</v>
      </c>
      <c r="F565" s="27" t="s">
        <v>187</v>
      </c>
      <c r="G565" s="73" t="s">
        <v>158</v>
      </c>
      <c r="H565" s="35">
        <v>59397</v>
      </c>
      <c r="I565" s="35">
        <v>32</v>
      </c>
      <c r="J565" s="37" t="s">
        <v>10</v>
      </c>
      <c r="K565" s="37" t="s">
        <v>159</v>
      </c>
      <c r="L565" s="8">
        <v>20</v>
      </c>
      <c r="M565" s="8">
        <v>51532</v>
      </c>
      <c r="N565" s="9"/>
      <c r="O565" s="8">
        <v>4753</v>
      </c>
      <c r="P565" s="9"/>
      <c r="Q565" s="8">
        <v>228</v>
      </c>
      <c r="R565" s="9"/>
      <c r="S565" s="8">
        <v>911</v>
      </c>
      <c r="T565" s="9"/>
      <c r="U565" s="8">
        <v>0</v>
      </c>
      <c r="V565" s="9"/>
      <c r="W565" s="33">
        <v>57424</v>
      </c>
      <c r="X565" s="9"/>
      <c r="Y565" s="30">
        <v>26</v>
      </c>
      <c r="Z565" s="9"/>
      <c r="AA565" s="30">
        <v>6</v>
      </c>
      <c r="AB565" s="9"/>
      <c r="AC565" s="30">
        <v>1</v>
      </c>
      <c r="AD565" s="9"/>
      <c r="AE565" s="30">
        <v>5</v>
      </c>
      <c r="AF565" s="9"/>
      <c r="AG565" s="30">
        <v>0</v>
      </c>
      <c r="AH565" s="9"/>
      <c r="AI565" s="32">
        <v>38</v>
      </c>
      <c r="AJ565" s="12"/>
      <c r="AK565" s="22">
        <v>790599</v>
      </c>
      <c r="AM565" s="22">
        <v>106389</v>
      </c>
      <c r="AO565" s="22">
        <v>3184</v>
      </c>
      <c r="AQ565" s="22">
        <v>27058</v>
      </c>
      <c r="AS565" s="26">
        <v>927230</v>
      </c>
      <c r="AU565" s="23">
        <v>15.341900000000001</v>
      </c>
      <c r="AW565" s="23">
        <v>22.383500000000002</v>
      </c>
      <c r="AY565" s="23">
        <v>6.1800000000000001E-2</v>
      </c>
      <c r="BA565" s="23">
        <v>29.7014</v>
      </c>
      <c r="BC565" s="24">
        <v>16.147099999999998</v>
      </c>
      <c r="BE565" s="1" t="str">
        <f t="shared" si="8"/>
        <v>No</v>
      </c>
    </row>
    <row r="566" spans="1:57" ht="11.25" customHeight="1">
      <c r="A566" s="7" t="s">
        <v>11</v>
      </c>
      <c r="B566" s="7" t="s">
        <v>298</v>
      </c>
      <c r="C566" s="37" t="s">
        <v>9</v>
      </c>
      <c r="D566" s="296">
        <v>4071</v>
      </c>
      <c r="E566" s="297">
        <v>40071</v>
      </c>
      <c r="F566" s="27" t="s">
        <v>162</v>
      </c>
      <c r="G566" s="73" t="s">
        <v>158</v>
      </c>
      <c r="H566" s="35">
        <v>286692</v>
      </c>
      <c r="I566" s="35">
        <v>32</v>
      </c>
      <c r="J566" s="37" t="s">
        <v>10</v>
      </c>
      <c r="K566" s="37" t="s">
        <v>159</v>
      </c>
      <c r="L566" s="8">
        <v>19</v>
      </c>
      <c r="M566" s="8">
        <v>48413</v>
      </c>
      <c r="N566" s="9"/>
      <c r="O566" s="8">
        <v>2060</v>
      </c>
      <c r="P566" s="9"/>
      <c r="Q566" s="8">
        <v>148</v>
      </c>
      <c r="R566" s="9"/>
      <c r="S566" s="8">
        <v>2783</v>
      </c>
      <c r="T566" s="9"/>
      <c r="U566" s="8">
        <v>0</v>
      </c>
      <c r="V566" s="9"/>
      <c r="W566" s="33">
        <v>53404</v>
      </c>
      <c r="X566" s="9"/>
      <c r="Y566" s="30">
        <v>27.4</v>
      </c>
      <c r="Z566" s="9"/>
      <c r="AA566" s="30">
        <v>2.85</v>
      </c>
      <c r="AB566" s="9"/>
      <c r="AC566" s="30">
        <v>0.09</v>
      </c>
      <c r="AD566" s="9"/>
      <c r="AE566" s="30">
        <v>1.6</v>
      </c>
      <c r="AF566" s="9"/>
      <c r="AG566" s="30">
        <v>0</v>
      </c>
      <c r="AH566" s="9"/>
      <c r="AI566" s="32">
        <v>31.94</v>
      </c>
      <c r="AJ566" s="12"/>
      <c r="AK566" s="22">
        <v>831851</v>
      </c>
      <c r="AM566" s="22">
        <v>47658</v>
      </c>
      <c r="AO566" s="22">
        <v>3593</v>
      </c>
      <c r="AQ566" s="22">
        <v>110211</v>
      </c>
      <c r="AS566" s="26">
        <v>993313</v>
      </c>
      <c r="AU566" s="23">
        <v>17.182400000000001</v>
      </c>
      <c r="AW566" s="23">
        <v>23.135000000000002</v>
      </c>
      <c r="AY566" s="23">
        <v>7.4200000000000002E-2</v>
      </c>
      <c r="BA566" s="23">
        <v>39.601500000000001</v>
      </c>
      <c r="BC566" s="24">
        <v>18.600000000000001</v>
      </c>
      <c r="BE566" s="1" t="str">
        <f t="shared" si="8"/>
        <v>No</v>
      </c>
    </row>
    <row r="567" spans="1:57" ht="11.25" customHeight="1">
      <c r="A567" s="7" t="s">
        <v>738</v>
      </c>
      <c r="B567" s="7" t="s">
        <v>739</v>
      </c>
      <c r="C567" s="37" t="s">
        <v>13</v>
      </c>
      <c r="D567" s="296">
        <v>9219</v>
      </c>
      <c r="E567" s="297">
        <v>90219</v>
      </c>
      <c r="F567" s="27" t="s">
        <v>165</v>
      </c>
      <c r="G567" s="73" t="s">
        <v>158</v>
      </c>
      <c r="H567" s="35">
        <v>71957</v>
      </c>
      <c r="I567" s="35">
        <v>32</v>
      </c>
      <c r="J567" s="37" t="s">
        <v>7</v>
      </c>
      <c r="K567" s="37" t="s">
        <v>159</v>
      </c>
      <c r="L567" s="8">
        <v>18</v>
      </c>
      <c r="M567" s="8">
        <v>106664</v>
      </c>
      <c r="N567" s="9"/>
      <c r="O567" s="8">
        <v>10868</v>
      </c>
      <c r="P567" s="9"/>
      <c r="Q567" s="8">
        <v>6138</v>
      </c>
      <c r="R567" s="9"/>
      <c r="S567" s="8">
        <v>20648</v>
      </c>
      <c r="T567" s="9"/>
      <c r="U567" s="8">
        <v>1872</v>
      </c>
      <c r="V567" s="9"/>
      <c r="W567" s="33">
        <v>146190</v>
      </c>
      <c r="X567" s="9"/>
      <c r="Y567" s="30">
        <v>53.5</v>
      </c>
      <c r="Z567" s="9"/>
      <c r="AA567" s="30">
        <v>5.16</v>
      </c>
      <c r="AB567" s="9"/>
      <c r="AC567" s="30">
        <v>3.56</v>
      </c>
      <c r="AD567" s="9"/>
      <c r="AE567" s="30">
        <v>12.21</v>
      </c>
      <c r="AF567" s="9"/>
      <c r="AG567" s="30">
        <v>1</v>
      </c>
      <c r="AH567" s="9"/>
      <c r="AI567" s="32">
        <v>75.430000000000007</v>
      </c>
      <c r="AJ567" s="12"/>
      <c r="AK567" s="22">
        <v>2088323</v>
      </c>
      <c r="AM567" s="22">
        <v>259255</v>
      </c>
      <c r="AO567" s="22">
        <v>141202</v>
      </c>
      <c r="AQ567" s="22">
        <v>648995</v>
      </c>
      <c r="AS567" s="26">
        <v>3137775</v>
      </c>
      <c r="AU567" s="23">
        <v>19.578499999999998</v>
      </c>
      <c r="AW567" s="23">
        <v>23.854900000000001</v>
      </c>
      <c r="AY567" s="23">
        <v>1.3238000000000001</v>
      </c>
      <c r="BA567" s="23">
        <v>31.4314</v>
      </c>
      <c r="BC567" s="24">
        <v>21.463699999999999</v>
      </c>
      <c r="BE567" s="1" t="str">
        <f t="shared" si="8"/>
        <v>No</v>
      </c>
    </row>
    <row r="568" spans="1:57" ht="11.25" customHeight="1">
      <c r="A568" s="7" t="s">
        <v>1142</v>
      </c>
      <c r="B568" s="7" t="s">
        <v>1143</v>
      </c>
      <c r="C568" s="37" t="s">
        <v>17</v>
      </c>
      <c r="D568" s="296">
        <v>9229</v>
      </c>
      <c r="E568" s="297">
        <v>90229</v>
      </c>
      <c r="F568" s="27" t="s">
        <v>165</v>
      </c>
      <c r="G568" s="73" t="s">
        <v>158</v>
      </c>
      <c r="H568" s="35">
        <v>1723634</v>
      </c>
      <c r="I568" s="35">
        <v>32</v>
      </c>
      <c r="J568" s="37" t="s">
        <v>10</v>
      </c>
      <c r="K568" s="37" t="s">
        <v>159</v>
      </c>
      <c r="L568" s="8">
        <v>15</v>
      </c>
      <c r="M568" s="8">
        <v>38390</v>
      </c>
      <c r="N568" s="9"/>
      <c r="O568" s="8">
        <v>3484</v>
      </c>
      <c r="P568" s="9"/>
      <c r="Q568" s="8">
        <v>1394</v>
      </c>
      <c r="R568" s="9"/>
      <c r="S568" s="8">
        <v>4181</v>
      </c>
      <c r="T568" s="9"/>
      <c r="U568" s="8">
        <v>1394</v>
      </c>
      <c r="V568" s="9"/>
      <c r="W568" s="33">
        <v>48843</v>
      </c>
      <c r="X568" s="9"/>
      <c r="Y568" s="30">
        <v>24.8</v>
      </c>
      <c r="Z568" s="9"/>
      <c r="AA568" s="30">
        <v>2</v>
      </c>
      <c r="AB568" s="9"/>
      <c r="AC568" s="30">
        <v>0.8</v>
      </c>
      <c r="AD568" s="9"/>
      <c r="AE568" s="30">
        <v>2.4</v>
      </c>
      <c r="AF568" s="9"/>
      <c r="AG568" s="30">
        <v>0.8</v>
      </c>
      <c r="AH568" s="9"/>
      <c r="AI568" s="32">
        <v>30.8</v>
      </c>
      <c r="AJ568" s="12"/>
      <c r="AK568" s="22">
        <v>754644</v>
      </c>
      <c r="AM568" s="22">
        <v>80529</v>
      </c>
      <c r="AO568" s="22">
        <v>26682</v>
      </c>
      <c r="AQ568" s="22">
        <v>178042</v>
      </c>
      <c r="AS568" s="26">
        <v>1039897</v>
      </c>
      <c r="AU568" s="23">
        <v>19.657299999999999</v>
      </c>
      <c r="AW568" s="23">
        <v>23.113900000000001</v>
      </c>
      <c r="AY568" s="23">
        <v>0.69499999999999995</v>
      </c>
      <c r="BA568" s="23">
        <v>42.583599999999997</v>
      </c>
      <c r="BC568" s="24">
        <v>21.290600000000001</v>
      </c>
      <c r="BE568" s="1" t="str">
        <f t="shared" si="8"/>
        <v>No</v>
      </c>
    </row>
    <row r="569" spans="1:57" ht="11.25" customHeight="1">
      <c r="A569" s="7" t="s">
        <v>11</v>
      </c>
      <c r="B569" s="7" t="s">
        <v>298</v>
      </c>
      <c r="C569" s="37" t="s">
        <v>9</v>
      </c>
      <c r="D569" s="296">
        <v>4071</v>
      </c>
      <c r="E569" s="297">
        <v>40071</v>
      </c>
      <c r="F569" s="27" t="s">
        <v>162</v>
      </c>
      <c r="G569" s="73" t="s">
        <v>158</v>
      </c>
      <c r="H569" s="35">
        <v>286692</v>
      </c>
      <c r="I569" s="35">
        <v>32</v>
      </c>
      <c r="J569" s="37" t="s">
        <v>7</v>
      </c>
      <c r="K569" s="37" t="s">
        <v>159</v>
      </c>
      <c r="L569" s="8">
        <v>13</v>
      </c>
      <c r="M569" s="8">
        <v>52084</v>
      </c>
      <c r="N569" s="9"/>
      <c r="O569" s="8">
        <v>4693</v>
      </c>
      <c r="P569" s="9"/>
      <c r="Q569" s="8">
        <v>517</v>
      </c>
      <c r="R569" s="9"/>
      <c r="S569" s="8">
        <v>2688</v>
      </c>
      <c r="T569" s="9"/>
      <c r="U569" s="8">
        <v>0</v>
      </c>
      <c r="V569" s="9"/>
      <c r="W569" s="33">
        <v>59982</v>
      </c>
      <c r="X569" s="9"/>
      <c r="Y569" s="30">
        <v>30.6</v>
      </c>
      <c r="Z569" s="9"/>
      <c r="AA569" s="30">
        <v>4.0999999999999996</v>
      </c>
      <c r="AB569" s="9"/>
      <c r="AC569" s="30">
        <v>0.3</v>
      </c>
      <c r="AD569" s="9"/>
      <c r="AE569" s="30">
        <v>1.4</v>
      </c>
      <c r="AF569" s="9"/>
      <c r="AG569" s="30">
        <v>0</v>
      </c>
      <c r="AH569" s="9"/>
      <c r="AI569" s="32">
        <v>36.4</v>
      </c>
      <c r="AJ569" s="12"/>
      <c r="AK569" s="22">
        <v>869132</v>
      </c>
      <c r="AM569" s="22">
        <v>75523</v>
      </c>
      <c r="AO569" s="22">
        <v>6155</v>
      </c>
      <c r="AQ569" s="22">
        <v>108306</v>
      </c>
      <c r="AS569" s="26">
        <v>1059116</v>
      </c>
      <c r="AU569" s="23">
        <v>16.687100000000001</v>
      </c>
      <c r="AW569" s="23">
        <v>16.092700000000001</v>
      </c>
      <c r="AY569" s="23">
        <v>0.1182</v>
      </c>
      <c r="BA569" s="23">
        <v>40.292400000000001</v>
      </c>
      <c r="BC569" s="24">
        <v>17.6572</v>
      </c>
      <c r="BE569" s="1" t="str">
        <f t="shared" si="8"/>
        <v>No</v>
      </c>
    </row>
    <row r="570" spans="1:57" ht="11.25" customHeight="1">
      <c r="A570" s="7" t="s">
        <v>1144</v>
      </c>
      <c r="B570" s="7" t="s">
        <v>717</v>
      </c>
      <c r="C570" s="37" t="s">
        <v>51</v>
      </c>
      <c r="D570" s="296">
        <v>1098</v>
      </c>
      <c r="E570" s="297">
        <v>10098</v>
      </c>
      <c r="F570" s="27" t="s">
        <v>187</v>
      </c>
      <c r="G570" s="73" t="s">
        <v>158</v>
      </c>
      <c r="H570" s="35">
        <v>59397</v>
      </c>
      <c r="I570" s="35">
        <v>32</v>
      </c>
      <c r="J570" s="37" t="s">
        <v>7</v>
      </c>
      <c r="K570" s="37" t="s">
        <v>159</v>
      </c>
      <c r="L570" s="8">
        <v>12</v>
      </c>
      <c r="M570" s="8">
        <v>20134</v>
      </c>
      <c r="N570" s="9"/>
      <c r="O570" s="8">
        <v>1817</v>
      </c>
      <c r="P570" s="9"/>
      <c r="Q570" s="8">
        <v>228</v>
      </c>
      <c r="R570" s="9"/>
      <c r="S570" s="8">
        <v>2914</v>
      </c>
      <c r="T570" s="9"/>
      <c r="U570" s="8">
        <v>0</v>
      </c>
      <c r="V570" s="9"/>
      <c r="W570" s="33">
        <v>25093</v>
      </c>
      <c r="X570" s="9"/>
      <c r="Y570" s="30">
        <v>42</v>
      </c>
      <c r="Z570" s="9"/>
      <c r="AA570" s="30">
        <v>5</v>
      </c>
      <c r="AB570" s="9"/>
      <c r="AC570" s="30">
        <v>1</v>
      </c>
      <c r="AD570" s="9"/>
      <c r="AE570" s="30">
        <v>9</v>
      </c>
      <c r="AF570" s="9"/>
      <c r="AG570" s="30">
        <v>0</v>
      </c>
      <c r="AH570" s="9"/>
      <c r="AI570" s="32">
        <v>57</v>
      </c>
      <c r="AJ570" s="12"/>
      <c r="AK570" s="22">
        <v>344285</v>
      </c>
      <c r="AM570" s="22">
        <v>37791</v>
      </c>
      <c r="AO570" s="22">
        <v>3504</v>
      </c>
      <c r="AQ570" s="22">
        <v>77819</v>
      </c>
      <c r="AS570" s="26">
        <v>463399</v>
      </c>
      <c r="AU570" s="23">
        <v>17.099699999999999</v>
      </c>
      <c r="AW570" s="23">
        <v>20.7986</v>
      </c>
      <c r="AY570" s="23">
        <v>0.17399999999999999</v>
      </c>
      <c r="BA570" s="23">
        <v>26.705200000000001</v>
      </c>
      <c r="BC570" s="24">
        <v>18.467300000000002</v>
      </c>
      <c r="BE570" s="1" t="str">
        <f t="shared" si="8"/>
        <v>No</v>
      </c>
    </row>
    <row r="571" spans="1:57" ht="11.25" customHeight="1">
      <c r="A571" s="7" t="s">
        <v>1142</v>
      </c>
      <c r="B571" s="7" t="s">
        <v>1143</v>
      </c>
      <c r="C571" s="37" t="s">
        <v>17</v>
      </c>
      <c r="D571" s="296">
        <v>9229</v>
      </c>
      <c r="E571" s="297">
        <v>90229</v>
      </c>
      <c r="F571" s="27" t="s">
        <v>165</v>
      </c>
      <c r="G571" s="73" t="s">
        <v>158</v>
      </c>
      <c r="H571" s="35">
        <v>1723634</v>
      </c>
      <c r="I571" s="35">
        <v>32</v>
      </c>
      <c r="J571" s="37" t="s">
        <v>18</v>
      </c>
      <c r="K571" s="37" t="s">
        <v>159</v>
      </c>
      <c r="L571" s="8">
        <v>11</v>
      </c>
      <c r="M571" s="8">
        <v>31671</v>
      </c>
      <c r="N571" s="9"/>
      <c r="O571" s="8">
        <v>2874</v>
      </c>
      <c r="P571" s="9"/>
      <c r="Q571" s="8">
        <v>1150</v>
      </c>
      <c r="R571" s="9"/>
      <c r="S571" s="8">
        <v>3449</v>
      </c>
      <c r="T571" s="9"/>
      <c r="U571" s="8">
        <v>1150</v>
      </c>
      <c r="V571" s="9"/>
      <c r="W571" s="33">
        <v>40294</v>
      </c>
      <c r="X571" s="9"/>
      <c r="Y571" s="30">
        <v>20.46</v>
      </c>
      <c r="Z571" s="9"/>
      <c r="AA571" s="30">
        <v>1.65</v>
      </c>
      <c r="AB571" s="9"/>
      <c r="AC571" s="30">
        <v>0.66</v>
      </c>
      <c r="AD571" s="9"/>
      <c r="AE571" s="30">
        <v>1.98</v>
      </c>
      <c r="AF571" s="9"/>
      <c r="AG571" s="30">
        <v>0.66</v>
      </c>
      <c r="AH571" s="9"/>
      <c r="AI571" s="32">
        <v>25.41</v>
      </c>
      <c r="AJ571" s="12"/>
      <c r="AK571" s="22">
        <v>672171</v>
      </c>
      <c r="AM571" s="22">
        <v>71728</v>
      </c>
      <c r="AO571" s="22">
        <v>23766</v>
      </c>
      <c r="AQ571" s="22">
        <v>158585</v>
      </c>
      <c r="AS571" s="26">
        <v>926250</v>
      </c>
      <c r="AU571" s="23">
        <v>21.223500000000001</v>
      </c>
      <c r="AW571" s="23">
        <v>24.957599999999999</v>
      </c>
      <c r="AY571" s="23">
        <v>0.75039999999999996</v>
      </c>
      <c r="BA571" s="23">
        <v>45.98</v>
      </c>
      <c r="BC571" s="24">
        <v>22.987300000000001</v>
      </c>
      <c r="BE571" s="1" t="str">
        <f t="shared" si="8"/>
        <v>No</v>
      </c>
    </row>
    <row r="572" spans="1:57" ht="11.25" customHeight="1">
      <c r="A572" s="7" t="s">
        <v>43</v>
      </c>
      <c r="B572" s="7" t="s">
        <v>521</v>
      </c>
      <c r="C572" s="37" t="s">
        <v>42</v>
      </c>
      <c r="D572" s="296">
        <v>5103</v>
      </c>
      <c r="E572" s="297">
        <v>50103</v>
      </c>
      <c r="F572" s="27" t="s">
        <v>162</v>
      </c>
      <c r="G572" s="73" t="s">
        <v>158</v>
      </c>
      <c r="H572" s="35">
        <v>8608208</v>
      </c>
      <c r="I572" s="35">
        <v>32</v>
      </c>
      <c r="J572" s="37" t="s">
        <v>10</v>
      </c>
      <c r="K572" s="37" t="s">
        <v>159</v>
      </c>
      <c r="L572" s="8">
        <v>7</v>
      </c>
      <c r="M572" s="8">
        <v>10443</v>
      </c>
      <c r="N572" s="9"/>
      <c r="O572" s="8">
        <v>0</v>
      </c>
      <c r="P572" s="9"/>
      <c r="Q572" s="8">
        <v>0</v>
      </c>
      <c r="R572" s="9"/>
      <c r="S572" s="8">
        <v>4013</v>
      </c>
      <c r="T572" s="9"/>
      <c r="U572" s="8">
        <v>0</v>
      </c>
      <c r="V572" s="9"/>
      <c r="W572" s="33">
        <v>14456</v>
      </c>
      <c r="X572" s="9"/>
      <c r="Y572" s="30">
        <v>7</v>
      </c>
      <c r="Z572" s="9"/>
      <c r="AA572" s="30">
        <v>0</v>
      </c>
      <c r="AB572" s="9"/>
      <c r="AC572" s="30">
        <v>0</v>
      </c>
      <c r="AD572" s="9"/>
      <c r="AE572" s="30">
        <v>3</v>
      </c>
      <c r="AF572" s="9"/>
      <c r="AG572" s="30">
        <v>0</v>
      </c>
      <c r="AH572" s="9"/>
      <c r="AI572" s="32">
        <v>10</v>
      </c>
      <c r="AJ572" s="12"/>
      <c r="AK572" s="22">
        <v>150005</v>
      </c>
      <c r="AM572" s="22">
        <v>0</v>
      </c>
      <c r="AO572" s="22">
        <v>0</v>
      </c>
      <c r="AQ572" s="22">
        <v>46906</v>
      </c>
      <c r="AS572" s="26">
        <v>196911</v>
      </c>
      <c r="AU572" s="23">
        <v>14.3642</v>
      </c>
      <c r="AY572" s="23">
        <v>0</v>
      </c>
      <c r="BA572" s="23">
        <v>11.688499999999999</v>
      </c>
      <c r="BC572" s="24">
        <v>13.6214</v>
      </c>
      <c r="BE572" s="1" t="str">
        <f t="shared" si="8"/>
        <v>No</v>
      </c>
    </row>
    <row r="573" spans="1:57" ht="11.25" customHeight="1">
      <c r="A573" s="7" t="s">
        <v>188</v>
      </c>
      <c r="B573" s="7" t="s">
        <v>189</v>
      </c>
      <c r="C573" s="37" t="s">
        <v>77</v>
      </c>
      <c r="D573" s="296">
        <v>3087</v>
      </c>
      <c r="E573" s="297">
        <v>30087</v>
      </c>
      <c r="F573" s="27" t="s">
        <v>162</v>
      </c>
      <c r="G573" s="73" t="s">
        <v>158</v>
      </c>
      <c r="H573" s="35">
        <v>51370</v>
      </c>
      <c r="I573" s="35">
        <v>32</v>
      </c>
      <c r="J573" s="37" t="s">
        <v>7</v>
      </c>
      <c r="K573" s="37" t="s">
        <v>159</v>
      </c>
      <c r="L573" s="8">
        <v>7</v>
      </c>
      <c r="M573" s="8">
        <v>20327</v>
      </c>
      <c r="N573" s="9"/>
      <c r="O573" s="8">
        <v>2587</v>
      </c>
      <c r="P573" s="9"/>
      <c r="Q573" s="8">
        <v>605</v>
      </c>
      <c r="R573" s="9"/>
      <c r="S573" s="8">
        <v>4024</v>
      </c>
      <c r="T573" s="9"/>
      <c r="U573" s="8">
        <v>106</v>
      </c>
      <c r="V573" s="9"/>
      <c r="W573" s="33">
        <v>27649</v>
      </c>
      <c r="X573" s="9"/>
      <c r="Y573" s="30">
        <v>12.2</v>
      </c>
      <c r="Z573" s="9"/>
      <c r="AA573" s="30">
        <v>1.3</v>
      </c>
      <c r="AB573" s="9"/>
      <c r="AC573" s="30">
        <v>0.6</v>
      </c>
      <c r="AD573" s="9"/>
      <c r="AE573" s="30">
        <v>2</v>
      </c>
      <c r="AF573" s="9"/>
      <c r="AG573" s="30">
        <v>0.1</v>
      </c>
      <c r="AH573" s="9"/>
      <c r="AI573" s="32">
        <v>16.2</v>
      </c>
      <c r="AJ573" s="12"/>
      <c r="AK573" s="22">
        <v>295909</v>
      </c>
      <c r="AM573" s="22">
        <v>72445</v>
      </c>
      <c r="AO573" s="22">
        <v>20319</v>
      </c>
      <c r="AQ573" s="22">
        <v>96594</v>
      </c>
      <c r="AS573" s="26">
        <v>485267</v>
      </c>
      <c r="AU573" s="23">
        <v>14.557399999999999</v>
      </c>
      <c r="AW573" s="23">
        <v>28.003499999999999</v>
      </c>
      <c r="AY573" s="23">
        <v>0.99960000000000004</v>
      </c>
      <c r="BA573" s="23">
        <v>24.0045</v>
      </c>
      <c r="BC573" s="24">
        <v>17.550999999999998</v>
      </c>
      <c r="BE573" s="1" t="str">
        <f t="shared" si="8"/>
        <v>No</v>
      </c>
    </row>
    <row r="574" spans="1:57" ht="11.25" customHeight="1">
      <c r="A574" s="7" t="s">
        <v>738</v>
      </c>
      <c r="B574" s="7" t="s">
        <v>739</v>
      </c>
      <c r="C574" s="37" t="s">
        <v>13</v>
      </c>
      <c r="D574" s="296">
        <v>9219</v>
      </c>
      <c r="E574" s="297">
        <v>90219</v>
      </c>
      <c r="F574" s="27" t="s">
        <v>165</v>
      </c>
      <c r="G574" s="73" t="s">
        <v>158</v>
      </c>
      <c r="H574" s="35">
        <v>71957</v>
      </c>
      <c r="I574" s="35">
        <v>32</v>
      </c>
      <c r="J574" s="37" t="s">
        <v>10</v>
      </c>
      <c r="K574" s="37" t="s">
        <v>159</v>
      </c>
      <c r="L574" s="8">
        <v>6</v>
      </c>
      <c r="M574" s="8">
        <v>14517</v>
      </c>
      <c r="N574" s="9"/>
      <c r="O574" s="8">
        <v>1769</v>
      </c>
      <c r="P574" s="9"/>
      <c r="Q574" s="8">
        <v>766</v>
      </c>
      <c r="R574" s="9"/>
      <c r="S574" s="8">
        <v>4453</v>
      </c>
      <c r="T574" s="9"/>
      <c r="U574" s="8">
        <v>0</v>
      </c>
      <c r="V574" s="9"/>
      <c r="W574" s="33">
        <v>21505</v>
      </c>
      <c r="X574" s="9"/>
      <c r="Y574" s="30">
        <v>13.5</v>
      </c>
      <c r="Z574" s="9"/>
      <c r="AA574" s="30">
        <v>0.84</v>
      </c>
      <c r="AB574" s="9"/>
      <c r="AC574" s="30">
        <v>0.44</v>
      </c>
      <c r="AD574" s="9"/>
      <c r="AE574" s="30">
        <v>2.99</v>
      </c>
      <c r="AF574" s="9"/>
      <c r="AG574" s="30">
        <v>0</v>
      </c>
      <c r="AH574" s="9"/>
      <c r="AI574" s="32">
        <v>17.77</v>
      </c>
      <c r="AJ574" s="12"/>
      <c r="AK574" s="22">
        <v>320681</v>
      </c>
      <c r="AM574" s="22">
        <v>42126</v>
      </c>
      <c r="AO574" s="22">
        <v>17355</v>
      </c>
      <c r="AQ574" s="22">
        <v>130303</v>
      </c>
      <c r="AS574" s="26">
        <v>510465</v>
      </c>
      <c r="AU574" s="23">
        <v>22.09</v>
      </c>
      <c r="AW574" s="23">
        <v>23.813500000000001</v>
      </c>
      <c r="AY574" s="23">
        <v>1.1955</v>
      </c>
      <c r="BA574" s="23">
        <v>29.261800000000001</v>
      </c>
      <c r="BC574" s="24">
        <v>23.736999999999998</v>
      </c>
      <c r="BE574" s="1" t="str">
        <f t="shared" si="8"/>
        <v>No</v>
      </c>
    </row>
    <row r="575" spans="1:57" ht="11.25" customHeight="1">
      <c r="A575" s="7" t="s">
        <v>1142</v>
      </c>
      <c r="B575" s="7" t="s">
        <v>1143</v>
      </c>
      <c r="C575" s="37" t="s">
        <v>17</v>
      </c>
      <c r="D575" s="296">
        <v>9229</v>
      </c>
      <c r="E575" s="297">
        <v>90229</v>
      </c>
      <c r="F575" s="27" t="s">
        <v>165</v>
      </c>
      <c r="G575" s="73" t="s">
        <v>158</v>
      </c>
      <c r="H575" s="35">
        <v>1723634</v>
      </c>
      <c r="I575" s="35">
        <v>32</v>
      </c>
      <c r="J575" s="37" t="s">
        <v>7</v>
      </c>
      <c r="K575" s="37" t="s">
        <v>159</v>
      </c>
      <c r="L575" s="8">
        <v>6</v>
      </c>
      <c r="M575" s="8">
        <v>25913</v>
      </c>
      <c r="N575" s="9"/>
      <c r="O575" s="8">
        <v>2352</v>
      </c>
      <c r="P575" s="9"/>
      <c r="Q575" s="8">
        <v>941</v>
      </c>
      <c r="R575" s="9"/>
      <c r="S575" s="8">
        <v>2822</v>
      </c>
      <c r="T575" s="9"/>
      <c r="U575" s="8">
        <v>941</v>
      </c>
      <c r="V575" s="9"/>
      <c r="W575" s="33">
        <v>32969</v>
      </c>
      <c r="X575" s="9"/>
      <c r="Y575" s="30">
        <v>16.739999999999998</v>
      </c>
      <c r="Z575" s="9"/>
      <c r="AA575" s="30">
        <v>1.35</v>
      </c>
      <c r="AB575" s="9"/>
      <c r="AC575" s="30">
        <v>0.54</v>
      </c>
      <c r="AD575" s="9"/>
      <c r="AE575" s="30">
        <v>1.62</v>
      </c>
      <c r="AF575" s="9"/>
      <c r="AG575" s="30">
        <v>0.54</v>
      </c>
      <c r="AH575" s="9"/>
      <c r="AI575" s="32">
        <v>20.79</v>
      </c>
      <c r="AJ575" s="12"/>
      <c r="AK575" s="22">
        <v>778456</v>
      </c>
      <c r="AM575" s="22">
        <v>83071</v>
      </c>
      <c r="AO575" s="22">
        <v>27523</v>
      </c>
      <c r="AQ575" s="22">
        <v>183660</v>
      </c>
      <c r="AS575" s="26">
        <v>1072710</v>
      </c>
      <c r="AU575" s="23">
        <v>30.0411</v>
      </c>
      <c r="AW575" s="23">
        <v>35.319299999999998</v>
      </c>
      <c r="AY575" s="23">
        <v>1.0621</v>
      </c>
      <c r="BA575" s="23">
        <v>65.081500000000005</v>
      </c>
      <c r="BC575" s="24">
        <v>32.536900000000003</v>
      </c>
      <c r="BE575" s="1" t="str">
        <f t="shared" si="8"/>
        <v>No</v>
      </c>
    </row>
    <row r="576" spans="1:57" ht="11.25" customHeight="1">
      <c r="A576" s="7" t="s">
        <v>579</v>
      </c>
      <c r="B576" s="7" t="s">
        <v>580</v>
      </c>
      <c r="C576" s="37" t="s">
        <v>52</v>
      </c>
      <c r="D576" s="296">
        <v>5039</v>
      </c>
      <c r="E576" s="297">
        <v>50039</v>
      </c>
      <c r="F576" s="27" t="s">
        <v>165</v>
      </c>
      <c r="G576" s="73" t="s">
        <v>158</v>
      </c>
      <c r="H576" s="35">
        <v>126265</v>
      </c>
      <c r="I576" s="35">
        <v>32</v>
      </c>
      <c r="J576" s="37" t="s">
        <v>10</v>
      </c>
      <c r="K576" s="37" t="s">
        <v>159</v>
      </c>
      <c r="L576" s="8">
        <v>4</v>
      </c>
      <c r="M576" s="8">
        <v>14176</v>
      </c>
      <c r="N576" s="9"/>
      <c r="O576" s="8">
        <v>3488</v>
      </c>
      <c r="P576" s="9"/>
      <c r="Q576" s="8">
        <v>1083</v>
      </c>
      <c r="R576" s="9"/>
      <c r="S576" s="8">
        <v>3509</v>
      </c>
      <c r="T576" s="9"/>
      <c r="U576" s="8">
        <v>0</v>
      </c>
      <c r="V576" s="9"/>
      <c r="W576" s="33">
        <v>22256</v>
      </c>
      <c r="X576" s="9"/>
      <c r="Y576" s="30">
        <v>7.4</v>
      </c>
      <c r="Z576" s="9"/>
      <c r="AA576" s="30">
        <v>1.8</v>
      </c>
      <c r="AB576" s="9"/>
      <c r="AC576" s="30">
        <v>1</v>
      </c>
      <c r="AD576" s="9"/>
      <c r="AE576" s="30">
        <v>2.6</v>
      </c>
      <c r="AF576" s="9"/>
      <c r="AG576" s="30">
        <v>0</v>
      </c>
      <c r="AH576" s="9"/>
      <c r="AI576" s="32">
        <v>12.8</v>
      </c>
      <c r="AJ576" s="12"/>
      <c r="AK576" s="22">
        <v>248393</v>
      </c>
      <c r="AM576" s="22">
        <v>55117</v>
      </c>
      <c r="AO576" s="22">
        <v>13984</v>
      </c>
      <c r="AQ576" s="22">
        <v>97504</v>
      </c>
      <c r="AS576" s="26">
        <v>414998</v>
      </c>
      <c r="AU576" s="23">
        <v>17.522099999999998</v>
      </c>
      <c r="AW576" s="23">
        <v>15.8019</v>
      </c>
      <c r="AY576" s="23">
        <v>0.98650000000000004</v>
      </c>
      <c r="BA576" s="23">
        <v>27.786799999999999</v>
      </c>
      <c r="BC576" s="24">
        <v>18.646599999999999</v>
      </c>
      <c r="BE576" s="1" t="str">
        <f t="shared" si="8"/>
        <v>No</v>
      </c>
    </row>
    <row r="577" spans="1:57" ht="11.25" customHeight="1">
      <c r="A577" s="7" t="s">
        <v>219</v>
      </c>
      <c r="B577" s="7" t="s">
        <v>220</v>
      </c>
      <c r="C577" s="37" t="s">
        <v>57</v>
      </c>
      <c r="D577" s="296">
        <v>8004</v>
      </c>
      <c r="E577" s="297">
        <v>80004</v>
      </c>
      <c r="F577" s="27" t="s">
        <v>162</v>
      </c>
      <c r="G577" s="73" t="s">
        <v>158</v>
      </c>
      <c r="H577" s="35">
        <v>114773</v>
      </c>
      <c r="I577" s="35">
        <v>31</v>
      </c>
      <c r="J577" s="37" t="s">
        <v>7</v>
      </c>
      <c r="K577" s="37" t="s">
        <v>159</v>
      </c>
      <c r="L577" s="8">
        <v>20</v>
      </c>
      <c r="M577" s="8">
        <v>54217</v>
      </c>
      <c r="N577" s="9"/>
      <c r="O577" s="8">
        <v>6660</v>
      </c>
      <c r="P577" s="9"/>
      <c r="Q577" s="8">
        <v>5064</v>
      </c>
      <c r="R577" s="9"/>
      <c r="S577" s="8">
        <v>5189</v>
      </c>
      <c r="T577" s="9"/>
      <c r="U577" s="8">
        <v>0</v>
      </c>
      <c r="V577" s="9"/>
      <c r="W577" s="33">
        <v>71130</v>
      </c>
      <c r="X577" s="9"/>
      <c r="Y577" s="30">
        <v>32</v>
      </c>
      <c r="Z577" s="9"/>
      <c r="AA577" s="30">
        <v>3.4</v>
      </c>
      <c r="AB577" s="9"/>
      <c r="AC577" s="30">
        <v>2.75</v>
      </c>
      <c r="AD577" s="9"/>
      <c r="AE577" s="30">
        <v>3</v>
      </c>
      <c r="AF577" s="9"/>
      <c r="AG577" s="30">
        <v>0</v>
      </c>
      <c r="AH577" s="9"/>
      <c r="AI577" s="32">
        <v>41.15</v>
      </c>
      <c r="AJ577" s="12"/>
      <c r="AK577" s="22">
        <v>1216261</v>
      </c>
      <c r="AM577" s="22">
        <v>139530</v>
      </c>
      <c r="AO577" s="22">
        <v>158957</v>
      </c>
      <c r="AQ577" s="22">
        <v>227534</v>
      </c>
      <c r="AS577" s="26">
        <v>1742282</v>
      </c>
      <c r="AU577" s="23">
        <v>22.433199999999999</v>
      </c>
      <c r="AW577" s="23">
        <v>20.950500000000002</v>
      </c>
      <c r="AY577" s="23">
        <v>2.9319000000000002</v>
      </c>
      <c r="BA577" s="23">
        <v>43.849299999999999</v>
      </c>
      <c r="BC577" s="24">
        <v>24.494299999999999</v>
      </c>
      <c r="BE577" s="1" t="str">
        <f t="shared" si="8"/>
        <v>No</v>
      </c>
    </row>
    <row r="578" spans="1:57" ht="11.25" customHeight="1">
      <c r="A578" s="7" t="s">
        <v>347</v>
      </c>
      <c r="B578" s="7" t="s">
        <v>348</v>
      </c>
      <c r="C578" s="37" t="s">
        <v>40</v>
      </c>
      <c r="D578" s="296">
        <v>5061</v>
      </c>
      <c r="E578" s="297">
        <v>50061</v>
      </c>
      <c r="F578" s="27" t="s">
        <v>162</v>
      </c>
      <c r="G578" s="73" t="s">
        <v>158</v>
      </c>
      <c r="H578" s="35">
        <v>93863</v>
      </c>
      <c r="I578" s="35">
        <v>31</v>
      </c>
      <c r="J578" s="37" t="s">
        <v>7</v>
      </c>
      <c r="K578" s="37" t="s">
        <v>159</v>
      </c>
      <c r="L578" s="8">
        <v>19</v>
      </c>
      <c r="M578" s="8">
        <v>91069</v>
      </c>
      <c r="N578" s="9"/>
      <c r="O578" s="8">
        <v>11571</v>
      </c>
      <c r="P578" s="9"/>
      <c r="Q578" s="8">
        <v>9473</v>
      </c>
      <c r="R578" s="9"/>
      <c r="S578" s="8">
        <v>4723</v>
      </c>
      <c r="T578" s="9"/>
      <c r="U578" s="8">
        <v>0</v>
      </c>
      <c r="V578" s="9"/>
      <c r="W578" s="33">
        <v>116836</v>
      </c>
      <c r="X578" s="9"/>
      <c r="Y578" s="30">
        <v>51.2</v>
      </c>
      <c r="Z578" s="9"/>
      <c r="AA578" s="30">
        <v>6.4</v>
      </c>
      <c r="AB578" s="9"/>
      <c r="AC578" s="30">
        <v>4.8</v>
      </c>
      <c r="AD578" s="9"/>
      <c r="AE578" s="30">
        <v>3</v>
      </c>
      <c r="AF578" s="9"/>
      <c r="AG578" s="30">
        <v>0</v>
      </c>
      <c r="AH578" s="9"/>
      <c r="AI578" s="32">
        <v>65.400000000000006</v>
      </c>
      <c r="AJ578" s="12"/>
      <c r="AK578" s="22">
        <v>1865042</v>
      </c>
      <c r="AM578" s="22">
        <v>211301</v>
      </c>
      <c r="AO578" s="22">
        <v>198804</v>
      </c>
      <c r="AQ578" s="22">
        <v>160284</v>
      </c>
      <c r="AS578" s="26">
        <v>2435431</v>
      </c>
      <c r="AU578" s="23">
        <v>20.479399999999998</v>
      </c>
      <c r="AW578" s="23">
        <v>18.261299999999999</v>
      </c>
      <c r="AY578" s="23">
        <v>2.1829999999999998</v>
      </c>
      <c r="BA578" s="23">
        <v>33.936900000000001</v>
      </c>
      <c r="BC578" s="24">
        <v>20.844899999999999</v>
      </c>
      <c r="BE578" s="1" t="str">
        <f t="shared" ref="BE578:BE641" si="9">IF(BD578&amp;BB578&amp;AZ578&amp;AX578&amp;AV578&amp;AT578&amp;AR578&amp;AP578&amp;AN578&amp;AL578&amp;AJ578&amp;AH578&amp;AF578&amp;AD578&amp;AB578&amp;Z578&amp;X578&amp;V578&amp;T578&amp;R578&amp;P578&amp;N578&lt;&gt;"","Yes","No")</f>
        <v>No</v>
      </c>
    </row>
    <row r="579" spans="1:57" ht="11.25" customHeight="1">
      <c r="A579" s="7" t="s">
        <v>219</v>
      </c>
      <c r="B579" s="7" t="s">
        <v>220</v>
      </c>
      <c r="C579" s="37" t="s">
        <v>57</v>
      </c>
      <c r="D579" s="296">
        <v>8004</v>
      </c>
      <c r="E579" s="297">
        <v>80004</v>
      </c>
      <c r="F579" s="27" t="s">
        <v>162</v>
      </c>
      <c r="G579" s="73" t="s">
        <v>158</v>
      </c>
      <c r="H579" s="35">
        <v>114773</v>
      </c>
      <c r="I579" s="35">
        <v>31</v>
      </c>
      <c r="J579" s="37" t="s">
        <v>10</v>
      </c>
      <c r="K579" s="37" t="s">
        <v>159</v>
      </c>
      <c r="L579" s="8">
        <v>11</v>
      </c>
      <c r="M579" s="8">
        <v>25319</v>
      </c>
      <c r="N579" s="9"/>
      <c r="O579" s="8">
        <v>2192</v>
      </c>
      <c r="P579" s="9"/>
      <c r="Q579" s="8">
        <v>189</v>
      </c>
      <c r="R579" s="9"/>
      <c r="S579" s="8">
        <v>698</v>
      </c>
      <c r="T579" s="9"/>
      <c r="U579" s="8">
        <v>0</v>
      </c>
      <c r="V579" s="9"/>
      <c r="W579" s="33">
        <v>28398</v>
      </c>
      <c r="X579" s="9"/>
      <c r="Y579" s="30">
        <v>13.1</v>
      </c>
      <c r="Z579" s="9"/>
      <c r="AA579" s="30">
        <v>1.25</v>
      </c>
      <c r="AB579" s="9"/>
      <c r="AC579" s="30">
        <v>0.1</v>
      </c>
      <c r="AD579" s="9"/>
      <c r="AE579" s="30">
        <v>0.4</v>
      </c>
      <c r="AF579" s="9"/>
      <c r="AG579" s="30">
        <v>0</v>
      </c>
      <c r="AH579" s="9"/>
      <c r="AI579" s="32">
        <v>14.85</v>
      </c>
      <c r="AJ579" s="12"/>
      <c r="AK579" s="22">
        <v>649767</v>
      </c>
      <c r="AM579" s="22">
        <v>61905</v>
      </c>
      <c r="AO579" s="22">
        <v>3949</v>
      </c>
      <c r="AQ579" s="22">
        <v>27396</v>
      </c>
      <c r="AS579" s="26">
        <v>743017</v>
      </c>
      <c r="AU579" s="23">
        <v>25.6632</v>
      </c>
      <c r="AW579" s="23">
        <v>28.241299999999999</v>
      </c>
      <c r="AY579" s="23">
        <v>0.156</v>
      </c>
      <c r="BA579" s="23">
        <v>39.249299999999998</v>
      </c>
      <c r="BC579" s="24">
        <v>26.164400000000001</v>
      </c>
      <c r="BE579" s="1" t="str">
        <f t="shared" si="9"/>
        <v>No</v>
      </c>
    </row>
    <row r="580" spans="1:57" ht="11.25" customHeight="1">
      <c r="A580" s="7" t="s">
        <v>347</v>
      </c>
      <c r="B580" s="7" t="s">
        <v>348</v>
      </c>
      <c r="C580" s="37" t="s">
        <v>40</v>
      </c>
      <c r="D580" s="296">
        <v>5061</v>
      </c>
      <c r="E580" s="297">
        <v>50061</v>
      </c>
      <c r="F580" s="27" t="s">
        <v>162</v>
      </c>
      <c r="G580" s="73" t="s">
        <v>158</v>
      </c>
      <c r="H580" s="35">
        <v>93863</v>
      </c>
      <c r="I580" s="35">
        <v>31</v>
      </c>
      <c r="J580" s="37" t="s">
        <v>10</v>
      </c>
      <c r="K580" s="37" t="s">
        <v>159</v>
      </c>
      <c r="L580" s="8">
        <v>6</v>
      </c>
      <c r="M580" s="8">
        <v>12251</v>
      </c>
      <c r="N580" s="9"/>
      <c r="O580" s="8">
        <v>2314</v>
      </c>
      <c r="P580" s="9"/>
      <c r="Q580" s="8">
        <v>1895</v>
      </c>
      <c r="R580" s="9"/>
      <c r="S580" s="8">
        <v>4723</v>
      </c>
      <c r="T580" s="9"/>
      <c r="U580" s="8">
        <v>0</v>
      </c>
      <c r="V580" s="9"/>
      <c r="W580" s="33">
        <v>21183</v>
      </c>
      <c r="X580" s="9"/>
      <c r="Y580" s="30">
        <v>6</v>
      </c>
      <c r="Z580" s="9"/>
      <c r="AA580" s="30">
        <v>1.2</v>
      </c>
      <c r="AB580" s="9"/>
      <c r="AC580" s="30">
        <v>1.2</v>
      </c>
      <c r="AD580" s="9"/>
      <c r="AE580" s="30">
        <v>2.25</v>
      </c>
      <c r="AF580" s="9"/>
      <c r="AG580" s="30">
        <v>0</v>
      </c>
      <c r="AH580" s="9"/>
      <c r="AI580" s="32">
        <v>10.65</v>
      </c>
      <c r="AJ580" s="12"/>
      <c r="AK580" s="22">
        <v>152469</v>
      </c>
      <c r="AM580" s="22">
        <v>52825</v>
      </c>
      <c r="AO580" s="22">
        <v>39761</v>
      </c>
      <c r="AQ580" s="22">
        <v>90953</v>
      </c>
      <c r="AS580" s="26">
        <v>336008</v>
      </c>
      <c r="AU580" s="23">
        <v>12.445399999999999</v>
      </c>
      <c r="AW580" s="23">
        <v>22.828399999999998</v>
      </c>
      <c r="AY580" s="23">
        <v>3.2454999999999998</v>
      </c>
      <c r="BA580" s="23">
        <v>19.2575</v>
      </c>
      <c r="BC580" s="24">
        <v>15.8622</v>
      </c>
      <c r="BE580" s="1" t="str">
        <f t="shared" si="9"/>
        <v>No</v>
      </c>
    </row>
    <row r="581" spans="1:57" ht="11.25" customHeight="1">
      <c r="A581" s="7" t="s">
        <v>301</v>
      </c>
      <c r="B581" s="7" t="s">
        <v>302</v>
      </c>
      <c r="C581" s="37" t="s">
        <v>42</v>
      </c>
      <c r="D581" s="296">
        <v>5145</v>
      </c>
      <c r="E581" s="297">
        <v>50145</v>
      </c>
      <c r="F581" s="27" t="s">
        <v>162</v>
      </c>
      <c r="G581" s="73" t="s">
        <v>158</v>
      </c>
      <c r="H581" s="35">
        <v>62182</v>
      </c>
      <c r="I581" s="35">
        <v>30</v>
      </c>
      <c r="J581" s="37" t="s">
        <v>10</v>
      </c>
      <c r="K581" s="37" t="s">
        <v>159</v>
      </c>
      <c r="L581" s="8">
        <v>25</v>
      </c>
      <c r="M581" s="8">
        <v>46033</v>
      </c>
      <c r="N581" s="9"/>
      <c r="O581" s="8">
        <v>711</v>
      </c>
      <c r="P581" s="9"/>
      <c r="Q581" s="8">
        <v>0</v>
      </c>
      <c r="R581" s="9"/>
      <c r="S581" s="8">
        <v>728</v>
      </c>
      <c r="T581" s="9"/>
      <c r="U581" s="8">
        <v>0</v>
      </c>
      <c r="V581" s="9"/>
      <c r="W581" s="33">
        <v>47472</v>
      </c>
      <c r="X581" s="9"/>
      <c r="Y581" s="30">
        <v>23.8</v>
      </c>
      <c r="Z581" s="9"/>
      <c r="AA581" s="30">
        <v>0.36</v>
      </c>
      <c r="AB581" s="9"/>
      <c r="AC581" s="30">
        <v>0</v>
      </c>
      <c r="AD581" s="9"/>
      <c r="AE581" s="30">
        <v>0.7</v>
      </c>
      <c r="AF581" s="9"/>
      <c r="AG581" s="30">
        <v>0</v>
      </c>
      <c r="AH581" s="9"/>
      <c r="AI581" s="32">
        <v>24.86</v>
      </c>
      <c r="AJ581" s="12"/>
      <c r="AK581" s="22">
        <v>626979</v>
      </c>
      <c r="AM581" s="22">
        <v>13859</v>
      </c>
      <c r="AO581" s="22">
        <v>0</v>
      </c>
      <c r="AQ581" s="22">
        <v>9099</v>
      </c>
      <c r="AS581" s="26">
        <v>649937</v>
      </c>
      <c r="AU581" s="23">
        <v>13.620200000000001</v>
      </c>
      <c r="AW581" s="23">
        <v>19.4923</v>
      </c>
      <c r="AY581" s="23">
        <v>0</v>
      </c>
      <c r="BA581" s="23">
        <v>12.4986</v>
      </c>
      <c r="BC581" s="24">
        <v>13.691000000000001</v>
      </c>
      <c r="BE581" s="1" t="str">
        <f t="shared" si="9"/>
        <v>No</v>
      </c>
    </row>
    <row r="582" spans="1:57" ht="11.25" customHeight="1">
      <c r="A582" s="7" t="s">
        <v>440</v>
      </c>
      <c r="B582" s="7" t="s">
        <v>441</v>
      </c>
      <c r="C582" s="37" t="s">
        <v>93</v>
      </c>
      <c r="D582" s="296">
        <v>5004</v>
      </c>
      <c r="E582" s="297">
        <v>50004</v>
      </c>
      <c r="F582" s="27" t="s">
        <v>162</v>
      </c>
      <c r="G582" s="73" t="s">
        <v>158</v>
      </c>
      <c r="H582" s="35">
        <v>100868</v>
      </c>
      <c r="I582" s="35">
        <v>30</v>
      </c>
      <c r="J582" s="37" t="s">
        <v>7</v>
      </c>
      <c r="K582" s="37" t="s">
        <v>159</v>
      </c>
      <c r="L582" s="8">
        <v>16</v>
      </c>
      <c r="M582" s="8">
        <v>61815</v>
      </c>
      <c r="N582" s="9"/>
      <c r="O582" s="8">
        <v>11003</v>
      </c>
      <c r="P582" s="9"/>
      <c r="Q582" s="8">
        <v>450</v>
      </c>
      <c r="R582" s="9"/>
      <c r="S582" s="8">
        <v>6051</v>
      </c>
      <c r="T582" s="9"/>
      <c r="U582" s="8">
        <v>150</v>
      </c>
      <c r="V582" s="9"/>
      <c r="W582" s="33">
        <v>79469</v>
      </c>
      <c r="X582" s="9"/>
      <c r="Y582" s="30">
        <v>44</v>
      </c>
      <c r="Z582" s="9"/>
      <c r="AA582" s="30">
        <v>6.3</v>
      </c>
      <c r="AB582" s="9"/>
      <c r="AC582" s="30">
        <v>0.3</v>
      </c>
      <c r="AD582" s="9"/>
      <c r="AE582" s="30">
        <v>3.5</v>
      </c>
      <c r="AF582" s="9"/>
      <c r="AG582" s="30">
        <v>0.1</v>
      </c>
      <c r="AH582" s="9"/>
      <c r="AI582" s="32">
        <v>54.2</v>
      </c>
      <c r="AJ582" s="12"/>
      <c r="AK582" s="22">
        <v>1659804</v>
      </c>
      <c r="AM582" s="22">
        <v>255313</v>
      </c>
      <c r="AO582" s="22">
        <v>10237</v>
      </c>
      <c r="AQ582" s="22">
        <v>260459</v>
      </c>
      <c r="AS582" s="26">
        <v>2185813</v>
      </c>
      <c r="AU582" s="23">
        <v>26.851199999999999</v>
      </c>
      <c r="AW582" s="23">
        <v>23.203900000000001</v>
      </c>
      <c r="AY582" s="23">
        <v>0.1656</v>
      </c>
      <c r="BA582" s="23">
        <v>43.043999999999997</v>
      </c>
      <c r="BC582" s="24">
        <v>27.505199999999999</v>
      </c>
      <c r="BE582" s="1" t="str">
        <f t="shared" si="9"/>
        <v>No</v>
      </c>
    </row>
    <row r="583" spans="1:57" ht="11.25" customHeight="1">
      <c r="A583" s="7" t="s">
        <v>94</v>
      </c>
      <c r="B583" s="7" t="s">
        <v>539</v>
      </c>
      <c r="C583" s="37" t="s">
        <v>93</v>
      </c>
      <c r="D583" s="296">
        <v>5009</v>
      </c>
      <c r="E583" s="297">
        <v>50009</v>
      </c>
      <c r="F583" s="27" t="s">
        <v>162</v>
      </c>
      <c r="G583" s="73" t="s">
        <v>158</v>
      </c>
      <c r="H583" s="35">
        <v>74495</v>
      </c>
      <c r="I583" s="35">
        <v>30</v>
      </c>
      <c r="J583" s="37" t="s">
        <v>7</v>
      </c>
      <c r="K583" s="37" t="s">
        <v>159</v>
      </c>
      <c r="L583" s="8">
        <v>9</v>
      </c>
      <c r="M583" s="8">
        <v>38337</v>
      </c>
      <c r="N583" s="9"/>
      <c r="O583" s="8">
        <v>6644</v>
      </c>
      <c r="P583" s="9"/>
      <c r="Q583" s="8">
        <v>1852</v>
      </c>
      <c r="R583" s="9"/>
      <c r="S583" s="8">
        <v>8023</v>
      </c>
      <c r="T583" s="9"/>
      <c r="U583" s="8">
        <v>0</v>
      </c>
      <c r="V583" s="9"/>
      <c r="W583" s="33">
        <v>54856</v>
      </c>
      <c r="X583" s="9"/>
      <c r="Y583" s="30">
        <v>22</v>
      </c>
      <c r="Z583" s="9"/>
      <c r="AA583" s="30">
        <v>4</v>
      </c>
      <c r="AB583" s="9"/>
      <c r="AC583" s="30">
        <v>1</v>
      </c>
      <c r="AD583" s="9"/>
      <c r="AE583" s="30">
        <v>4</v>
      </c>
      <c r="AF583" s="9"/>
      <c r="AG583" s="30">
        <v>0</v>
      </c>
      <c r="AH583" s="9"/>
      <c r="AI583" s="32">
        <v>31</v>
      </c>
      <c r="AJ583" s="12"/>
      <c r="AK583" s="22">
        <v>1041126</v>
      </c>
      <c r="AM583" s="22">
        <v>199220</v>
      </c>
      <c r="AO583" s="22">
        <v>44592</v>
      </c>
      <c r="AQ583" s="22">
        <v>225782</v>
      </c>
      <c r="AS583" s="26">
        <v>1510720</v>
      </c>
      <c r="AU583" s="23">
        <v>27.1572</v>
      </c>
      <c r="AW583" s="23">
        <v>29.9849</v>
      </c>
      <c r="AY583" s="23">
        <v>1.1632</v>
      </c>
      <c r="BA583" s="23">
        <v>28.1418</v>
      </c>
      <c r="BC583" s="24">
        <v>27.5397</v>
      </c>
      <c r="BE583" s="1" t="str">
        <f t="shared" si="9"/>
        <v>No</v>
      </c>
    </row>
    <row r="584" spans="1:57" ht="11.25" customHeight="1">
      <c r="A584" s="7" t="s">
        <v>709</v>
      </c>
      <c r="B584" s="7" t="s">
        <v>710</v>
      </c>
      <c r="C584" s="37" t="s">
        <v>93</v>
      </c>
      <c r="D584" s="296">
        <v>5161</v>
      </c>
      <c r="E584" s="297">
        <v>50161</v>
      </c>
      <c r="F584" s="27" t="s">
        <v>162</v>
      </c>
      <c r="G584" s="73" t="s">
        <v>158</v>
      </c>
      <c r="H584" s="35">
        <v>1376476</v>
      </c>
      <c r="I584" s="35">
        <v>30</v>
      </c>
      <c r="J584" s="37" t="s">
        <v>18</v>
      </c>
      <c r="K584" s="37" t="s">
        <v>159</v>
      </c>
      <c r="L584" s="8">
        <v>7</v>
      </c>
      <c r="M584" s="8">
        <v>13767</v>
      </c>
      <c r="N584" s="9"/>
      <c r="O584" s="8">
        <v>2102</v>
      </c>
      <c r="P584" s="9"/>
      <c r="Q584" s="8">
        <v>238</v>
      </c>
      <c r="R584" s="9"/>
      <c r="S584" s="8">
        <v>932</v>
      </c>
      <c r="T584" s="9"/>
      <c r="U584" s="8">
        <v>0</v>
      </c>
      <c r="V584" s="9"/>
      <c r="W584" s="33">
        <v>17039</v>
      </c>
      <c r="X584" s="9"/>
      <c r="Y584" s="30">
        <v>5.6</v>
      </c>
      <c r="Z584" s="9"/>
      <c r="AA584" s="30">
        <v>1.1000000000000001</v>
      </c>
      <c r="AB584" s="9"/>
      <c r="AC584" s="30">
        <v>0.1</v>
      </c>
      <c r="AD584" s="9"/>
      <c r="AE584" s="30">
        <v>0.6</v>
      </c>
      <c r="AF584" s="9"/>
      <c r="AG584" s="30">
        <v>0</v>
      </c>
      <c r="AH584" s="9"/>
      <c r="AI584" s="32">
        <v>7.4</v>
      </c>
      <c r="AJ584" s="12"/>
      <c r="AK584" s="22">
        <v>321285</v>
      </c>
      <c r="AM584" s="22">
        <v>52855</v>
      </c>
      <c r="AO584" s="22">
        <v>8353</v>
      </c>
      <c r="AQ584" s="22">
        <v>52967</v>
      </c>
      <c r="AS584" s="26">
        <v>435460</v>
      </c>
      <c r="AU584" s="23">
        <v>23.337299999999999</v>
      </c>
      <c r="AW584" s="23">
        <v>25.145099999999999</v>
      </c>
      <c r="AY584" s="23">
        <v>0.60670000000000002</v>
      </c>
      <c r="BA584" s="23">
        <v>56.831499999999998</v>
      </c>
      <c r="BC584" s="24">
        <v>25.556699999999999</v>
      </c>
      <c r="BE584" s="1" t="str">
        <f t="shared" si="9"/>
        <v>No</v>
      </c>
    </row>
    <row r="585" spans="1:57" ht="11.25" customHeight="1">
      <c r="A585" s="7" t="s">
        <v>301</v>
      </c>
      <c r="B585" s="7" t="s">
        <v>302</v>
      </c>
      <c r="C585" s="37" t="s">
        <v>42</v>
      </c>
      <c r="D585" s="296">
        <v>5145</v>
      </c>
      <c r="E585" s="297">
        <v>50145</v>
      </c>
      <c r="F585" s="27" t="s">
        <v>162</v>
      </c>
      <c r="G585" s="73" t="s">
        <v>158</v>
      </c>
      <c r="H585" s="35">
        <v>62182</v>
      </c>
      <c r="I585" s="35">
        <v>30</v>
      </c>
      <c r="J585" s="37" t="s">
        <v>7</v>
      </c>
      <c r="K585" s="37" t="s">
        <v>159</v>
      </c>
      <c r="L585" s="8">
        <v>5</v>
      </c>
      <c r="M585" s="8">
        <v>17309</v>
      </c>
      <c r="N585" s="9"/>
      <c r="O585" s="8">
        <v>282</v>
      </c>
      <c r="P585" s="9"/>
      <c r="Q585" s="8">
        <v>0</v>
      </c>
      <c r="R585" s="9"/>
      <c r="S585" s="8">
        <v>2300</v>
      </c>
      <c r="T585" s="9"/>
      <c r="U585" s="8">
        <v>0</v>
      </c>
      <c r="V585" s="9"/>
      <c r="W585" s="33">
        <v>19891</v>
      </c>
      <c r="X585" s="9"/>
      <c r="Y585" s="30">
        <v>9.6</v>
      </c>
      <c r="Z585" s="9"/>
      <c r="AA585" s="30">
        <v>0.18</v>
      </c>
      <c r="AB585" s="9"/>
      <c r="AC585" s="30">
        <v>0</v>
      </c>
      <c r="AD585" s="9"/>
      <c r="AE585" s="30">
        <v>1.1499999999999999</v>
      </c>
      <c r="AF585" s="9"/>
      <c r="AG585" s="30">
        <v>0</v>
      </c>
      <c r="AH585" s="9"/>
      <c r="AI585" s="32">
        <v>10.93</v>
      </c>
      <c r="AJ585" s="12"/>
      <c r="AK585" s="22">
        <v>158133</v>
      </c>
      <c r="AM585" s="22">
        <v>5502</v>
      </c>
      <c r="AO585" s="22">
        <v>0</v>
      </c>
      <c r="AQ585" s="22">
        <v>64975</v>
      </c>
      <c r="AS585" s="26">
        <v>228610</v>
      </c>
      <c r="AU585" s="23">
        <v>9.1358999999999995</v>
      </c>
      <c r="AW585" s="23">
        <v>19.5106</v>
      </c>
      <c r="AY585" s="23">
        <v>0</v>
      </c>
      <c r="BA585" s="23">
        <v>28.25</v>
      </c>
      <c r="BC585" s="24">
        <v>11.4931</v>
      </c>
      <c r="BE585" s="1" t="str">
        <f t="shared" si="9"/>
        <v>No</v>
      </c>
    </row>
    <row r="586" spans="1:57" ht="11.25" customHeight="1">
      <c r="A586" s="7" t="s">
        <v>370</v>
      </c>
      <c r="B586" s="7" t="s">
        <v>371</v>
      </c>
      <c r="C586" s="37" t="s">
        <v>38</v>
      </c>
      <c r="D586" s="296">
        <v>7008</v>
      </c>
      <c r="E586" s="297">
        <v>70008</v>
      </c>
      <c r="F586" s="27" t="s">
        <v>162</v>
      </c>
      <c r="G586" s="73" t="s">
        <v>158</v>
      </c>
      <c r="H586" s="35">
        <v>177844</v>
      </c>
      <c r="I586" s="35">
        <v>29</v>
      </c>
      <c r="J586" s="37" t="s">
        <v>7</v>
      </c>
      <c r="K586" s="37" t="s">
        <v>159</v>
      </c>
      <c r="L586" s="8">
        <v>22</v>
      </c>
      <c r="M586" s="8">
        <v>91397</v>
      </c>
      <c r="N586" s="9"/>
      <c r="O586" s="8">
        <v>7188</v>
      </c>
      <c r="P586" s="9"/>
      <c r="Q586" s="8">
        <v>1687</v>
      </c>
      <c r="R586" s="9"/>
      <c r="S586" s="8">
        <v>5165</v>
      </c>
      <c r="T586" s="9"/>
      <c r="U586" s="8">
        <v>0</v>
      </c>
      <c r="V586" s="9"/>
      <c r="W586" s="33">
        <v>105437</v>
      </c>
      <c r="X586" s="9"/>
      <c r="Y586" s="30">
        <v>48</v>
      </c>
      <c r="Z586" s="9"/>
      <c r="AA586" s="30">
        <v>4</v>
      </c>
      <c r="AB586" s="9"/>
      <c r="AC586" s="30">
        <v>1</v>
      </c>
      <c r="AD586" s="9"/>
      <c r="AE586" s="30">
        <v>4</v>
      </c>
      <c r="AF586" s="9"/>
      <c r="AG586" s="30">
        <v>0</v>
      </c>
      <c r="AH586" s="9"/>
      <c r="AI586" s="32">
        <v>57</v>
      </c>
      <c r="AJ586" s="12"/>
      <c r="AK586" s="22">
        <v>2445945</v>
      </c>
      <c r="AM586" s="22">
        <v>185733</v>
      </c>
      <c r="AO586" s="22">
        <v>45807</v>
      </c>
      <c r="AQ586" s="22">
        <v>206387</v>
      </c>
      <c r="AS586" s="26">
        <v>2883872</v>
      </c>
      <c r="AU586" s="23">
        <v>26.761800000000001</v>
      </c>
      <c r="AW586" s="23">
        <v>25.839300000000001</v>
      </c>
      <c r="AY586" s="23">
        <v>0.50119999999999998</v>
      </c>
      <c r="BA586" s="23">
        <v>39.958799999999997</v>
      </c>
      <c r="BC586" s="24">
        <v>27.351600000000001</v>
      </c>
      <c r="BE586" s="1" t="str">
        <f t="shared" si="9"/>
        <v>No</v>
      </c>
    </row>
    <row r="587" spans="1:57" ht="11.25" customHeight="1">
      <c r="A587" s="7" t="s">
        <v>517</v>
      </c>
      <c r="B587" s="7" t="s">
        <v>479</v>
      </c>
      <c r="C587" s="37" t="s">
        <v>70</v>
      </c>
      <c r="D587" s="296">
        <v>2082</v>
      </c>
      <c r="E587" s="297">
        <v>20082</v>
      </c>
      <c r="F587" s="27" t="s">
        <v>162</v>
      </c>
      <c r="G587" s="73" t="s">
        <v>158</v>
      </c>
      <c r="H587" s="35">
        <v>18351295</v>
      </c>
      <c r="I587" s="35">
        <v>29</v>
      </c>
      <c r="J587" s="37" t="s">
        <v>19</v>
      </c>
      <c r="K587" s="37" t="s">
        <v>159</v>
      </c>
      <c r="L587" s="8">
        <v>4</v>
      </c>
      <c r="M587" s="8">
        <v>947088</v>
      </c>
      <c r="N587" s="9"/>
      <c r="O587" s="8">
        <v>208368</v>
      </c>
      <c r="P587" s="9"/>
      <c r="Q587" s="8">
        <v>208369</v>
      </c>
      <c r="R587" s="9"/>
      <c r="S587" s="8">
        <v>53566</v>
      </c>
      <c r="T587" s="9"/>
      <c r="U587" s="8">
        <v>30074</v>
      </c>
      <c r="V587" s="9"/>
      <c r="W587" s="33">
        <v>1447465</v>
      </c>
      <c r="X587" s="9"/>
      <c r="Y587" s="30">
        <v>423</v>
      </c>
      <c r="Z587" s="9"/>
      <c r="AA587" s="30">
        <v>89</v>
      </c>
      <c r="AB587" s="9"/>
      <c r="AC587" s="30">
        <v>61</v>
      </c>
      <c r="AD587" s="9"/>
      <c r="AE587" s="30">
        <v>28</v>
      </c>
      <c r="AF587" s="9"/>
      <c r="AG587" s="30">
        <v>14</v>
      </c>
      <c r="AH587" s="9"/>
      <c r="AI587" s="32">
        <v>615</v>
      </c>
      <c r="AJ587" s="12"/>
      <c r="AK587" s="22">
        <v>48141356</v>
      </c>
      <c r="AM587" s="22">
        <v>8401617</v>
      </c>
      <c r="AO587" s="22">
        <v>5251011</v>
      </c>
      <c r="AQ587" s="22">
        <v>2275438</v>
      </c>
      <c r="AS587" s="26">
        <v>64069422</v>
      </c>
      <c r="AU587" s="23">
        <v>50.8309</v>
      </c>
      <c r="AW587" s="23">
        <v>40.321100000000001</v>
      </c>
      <c r="AY587" s="23">
        <v>5.5444000000000004</v>
      </c>
      <c r="BA587" s="23">
        <v>42.479100000000003</v>
      </c>
      <c r="BC587" s="24">
        <v>44.263199999999998</v>
      </c>
      <c r="BE587" s="1" t="str">
        <f t="shared" si="9"/>
        <v>No</v>
      </c>
    </row>
    <row r="588" spans="1:57" ht="11.25" customHeight="1">
      <c r="A588" s="7" t="s">
        <v>160</v>
      </c>
      <c r="B588" s="7" t="s">
        <v>161</v>
      </c>
      <c r="C588" s="37" t="s">
        <v>17</v>
      </c>
      <c r="D588" s="296">
        <v>9119</v>
      </c>
      <c r="E588" s="297">
        <v>90119</v>
      </c>
      <c r="F588" s="27" t="s">
        <v>162</v>
      </c>
      <c r="G588" s="73" t="s">
        <v>158</v>
      </c>
      <c r="H588" s="35">
        <v>583681</v>
      </c>
      <c r="I588" s="35">
        <v>28</v>
      </c>
      <c r="J588" s="37" t="s">
        <v>7</v>
      </c>
      <c r="K588" s="37" t="s">
        <v>159</v>
      </c>
      <c r="L588" s="8">
        <v>28</v>
      </c>
      <c r="M588" s="8">
        <v>50876</v>
      </c>
      <c r="N588" s="9"/>
      <c r="O588" s="8">
        <v>11846</v>
      </c>
      <c r="P588" s="9"/>
      <c r="Q588" s="8">
        <v>0</v>
      </c>
      <c r="R588" s="9"/>
      <c r="S588" s="8">
        <v>8269</v>
      </c>
      <c r="T588" s="9"/>
      <c r="U588" s="8">
        <v>0</v>
      </c>
      <c r="V588" s="9"/>
      <c r="W588" s="33">
        <v>70991</v>
      </c>
      <c r="X588" s="9"/>
      <c r="Y588" s="30">
        <v>112</v>
      </c>
      <c r="Z588" s="9"/>
      <c r="AA588" s="30">
        <v>10</v>
      </c>
      <c r="AB588" s="9"/>
      <c r="AC588" s="30">
        <v>0</v>
      </c>
      <c r="AD588" s="9"/>
      <c r="AE588" s="30">
        <v>31</v>
      </c>
      <c r="AF588" s="9"/>
      <c r="AG588" s="30">
        <v>0</v>
      </c>
      <c r="AH588" s="9"/>
      <c r="AI588" s="32">
        <v>153</v>
      </c>
      <c r="AJ588" s="12"/>
      <c r="AK588" s="22">
        <v>1289786</v>
      </c>
      <c r="AM588" s="22">
        <v>237387</v>
      </c>
      <c r="AO588" s="22">
        <v>0</v>
      </c>
      <c r="AQ588" s="22">
        <v>239805</v>
      </c>
      <c r="AS588" s="26">
        <v>1766978</v>
      </c>
      <c r="AU588" s="23">
        <v>25.351600000000001</v>
      </c>
      <c r="AW588" s="23">
        <v>20.039400000000001</v>
      </c>
      <c r="AY588" s="23">
        <v>0</v>
      </c>
      <c r="BA588" s="23">
        <v>29.000499999999999</v>
      </c>
      <c r="BC588" s="24">
        <v>24.8902</v>
      </c>
      <c r="BE588" s="1" t="str">
        <f t="shared" si="9"/>
        <v>No</v>
      </c>
    </row>
    <row r="589" spans="1:57" ht="11.25" customHeight="1">
      <c r="A589" s="7" t="s">
        <v>670</v>
      </c>
      <c r="B589" s="7" t="s">
        <v>422</v>
      </c>
      <c r="C589" s="37" t="s">
        <v>38</v>
      </c>
      <c r="D589" s="296">
        <v>7019</v>
      </c>
      <c r="E589" s="297">
        <v>70019</v>
      </c>
      <c r="F589" s="27" t="s">
        <v>114</v>
      </c>
      <c r="G589" s="73" t="s">
        <v>158</v>
      </c>
      <c r="H589" s="35">
        <v>106621</v>
      </c>
      <c r="I589" s="35">
        <v>28</v>
      </c>
      <c r="J589" s="37" t="s">
        <v>7</v>
      </c>
      <c r="K589" s="37" t="s">
        <v>159</v>
      </c>
      <c r="L589" s="8">
        <v>25</v>
      </c>
      <c r="M589" s="8">
        <v>99890</v>
      </c>
      <c r="N589" s="9"/>
      <c r="O589" s="8">
        <v>18704</v>
      </c>
      <c r="P589" s="9"/>
      <c r="Q589" s="8">
        <v>1585</v>
      </c>
      <c r="R589" s="9"/>
      <c r="S589" s="8">
        <v>2938</v>
      </c>
      <c r="T589" s="9"/>
      <c r="U589" s="8">
        <v>0</v>
      </c>
      <c r="V589" s="9"/>
      <c r="W589" s="33">
        <v>123117</v>
      </c>
      <c r="X589" s="9"/>
      <c r="Y589" s="30">
        <v>131.80000000000001</v>
      </c>
      <c r="Z589" s="9"/>
      <c r="AA589" s="30">
        <v>18.7</v>
      </c>
      <c r="AB589" s="9"/>
      <c r="AC589" s="30">
        <v>2.4</v>
      </c>
      <c r="AD589" s="9"/>
      <c r="AE589" s="30">
        <v>4.2</v>
      </c>
      <c r="AF589" s="9"/>
      <c r="AG589" s="30">
        <v>0</v>
      </c>
      <c r="AH589" s="9"/>
      <c r="AI589" s="32">
        <v>157.1</v>
      </c>
      <c r="AJ589" s="12"/>
      <c r="AK589" s="22">
        <v>1280186</v>
      </c>
      <c r="AM589" s="22">
        <v>345200</v>
      </c>
      <c r="AO589" s="22">
        <v>27927</v>
      </c>
      <c r="AQ589" s="22">
        <v>63790</v>
      </c>
      <c r="AS589" s="26">
        <v>1717103</v>
      </c>
      <c r="AU589" s="23">
        <v>12.816000000000001</v>
      </c>
      <c r="AW589" s="23">
        <v>18.4559</v>
      </c>
      <c r="AY589" s="23">
        <v>0.27960000000000002</v>
      </c>
      <c r="BA589" s="23">
        <v>21.712</v>
      </c>
      <c r="BC589" s="24">
        <v>13.946899999999999</v>
      </c>
      <c r="BE589" s="1" t="str">
        <f t="shared" si="9"/>
        <v>No</v>
      </c>
    </row>
    <row r="590" spans="1:57" ht="11.25" customHeight="1">
      <c r="A590" s="7" t="s">
        <v>324</v>
      </c>
      <c r="B590" s="7" t="s">
        <v>325</v>
      </c>
      <c r="C590" s="37" t="s">
        <v>6</v>
      </c>
      <c r="D590" s="296">
        <v>6072</v>
      </c>
      <c r="E590" s="297">
        <v>60072</v>
      </c>
      <c r="F590" s="27" t="s">
        <v>165</v>
      </c>
      <c r="G590" s="73" t="s">
        <v>158</v>
      </c>
      <c r="H590" s="35">
        <v>295083</v>
      </c>
      <c r="I590" s="35">
        <v>28</v>
      </c>
      <c r="J590" s="37" t="s">
        <v>7</v>
      </c>
      <c r="K590" s="37" t="s">
        <v>159</v>
      </c>
      <c r="L590" s="8">
        <v>16</v>
      </c>
      <c r="M590" s="8">
        <v>79913</v>
      </c>
      <c r="N590" s="9"/>
      <c r="O590" s="8">
        <v>10940</v>
      </c>
      <c r="P590" s="9"/>
      <c r="Q590" s="8">
        <v>3892</v>
      </c>
      <c r="R590" s="9"/>
      <c r="S590" s="8">
        <v>13195</v>
      </c>
      <c r="T590" s="9"/>
      <c r="U590" s="8">
        <v>0</v>
      </c>
      <c r="V590" s="9"/>
      <c r="W590" s="33">
        <v>107940</v>
      </c>
      <c r="X590" s="9"/>
      <c r="Y590" s="30">
        <v>43</v>
      </c>
      <c r="Z590" s="9"/>
      <c r="AA590" s="30">
        <v>6</v>
      </c>
      <c r="AB590" s="9"/>
      <c r="AC590" s="30">
        <v>3</v>
      </c>
      <c r="AD590" s="9"/>
      <c r="AE590" s="30">
        <v>7</v>
      </c>
      <c r="AF590" s="9"/>
      <c r="AG590" s="30">
        <v>0</v>
      </c>
      <c r="AH590" s="9"/>
      <c r="AI590" s="32">
        <v>59</v>
      </c>
      <c r="AJ590" s="12"/>
      <c r="AK590" s="22">
        <v>1100215</v>
      </c>
      <c r="AM590" s="22">
        <v>204487</v>
      </c>
      <c r="AO590" s="22">
        <v>47352</v>
      </c>
      <c r="AQ590" s="22">
        <v>370695</v>
      </c>
      <c r="AS590" s="26">
        <v>1722749</v>
      </c>
      <c r="AU590" s="23">
        <v>13.7677</v>
      </c>
      <c r="AW590" s="23">
        <v>18.691700000000001</v>
      </c>
      <c r="AY590" s="23">
        <v>0.59250000000000003</v>
      </c>
      <c r="BA590" s="23">
        <v>28.093599999999999</v>
      </c>
      <c r="BC590" s="24">
        <v>15.9602</v>
      </c>
      <c r="BE590" s="1" t="str">
        <f t="shared" si="9"/>
        <v>No</v>
      </c>
    </row>
    <row r="591" spans="1:57" ht="11.25" customHeight="1">
      <c r="A591" s="7" t="s">
        <v>643</v>
      </c>
      <c r="B591" s="7" t="s">
        <v>644</v>
      </c>
      <c r="C591" s="37" t="s">
        <v>84</v>
      </c>
      <c r="D591" s="296">
        <v>6082</v>
      </c>
      <c r="E591" s="297">
        <v>60082</v>
      </c>
      <c r="F591" s="27" t="s">
        <v>165</v>
      </c>
      <c r="G591" s="73" t="s">
        <v>158</v>
      </c>
      <c r="H591" s="35">
        <v>106383</v>
      </c>
      <c r="I591" s="35">
        <v>28</v>
      </c>
      <c r="J591" s="37" t="s">
        <v>7</v>
      </c>
      <c r="K591" s="37" t="s">
        <v>159</v>
      </c>
      <c r="L591" s="8">
        <v>12</v>
      </c>
      <c r="M591" s="8">
        <v>48530</v>
      </c>
      <c r="N591" s="9"/>
      <c r="O591" s="8">
        <v>1645</v>
      </c>
      <c r="P591" s="9"/>
      <c r="Q591" s="8">
        <v>0</v>
      </c>
      <c r="R591" s="9"/>
      <c r="S591" s="8">
        <v>5077</v>
      </c>
      <c r="T591" s="9"/>
      <c r="U591" s="8">
        <v>0</v>
      </c>
      <c r="V591" s="9"/>
      <c r="W591" s="33">
        <v>55252</v>
      </c>
      <c r="X591" s="9"/>
      <c r="Y591" s="30">
        <v>26</v>
      </c>
      <c r="Z591" s="9"/>
      <c r="AA591" s="30">
        <v>0.99</v>
      </c>
      <c r="AB591" s="9"/>
      <c r="AC591" s="30">
        <v>0</v>
      </c>
      <c r="AD591" s="9"/>
      <c r="AE591" s="30">
        <v>2.85</v>
      </c>
      <c r="AF591" s="9"/>
      <c r="AG591" s="30">
        <v>0</v>
      </c>
      <c r="AH591" s="9"/>
      <c r="AI591" s="32">
        <v>29.84</v>
      </c>
      <c r="AJ591" s="12"/>
      <c r="AK591" s="22">
        <v>701254</v>
      </c>
      <c r="AM591" s="22">
        <v>28805</v>
      </c>
      <c r="AO591" s="22">
        <v>0</v>
      </c>
      <c r="AQ591" s="22">
        <v>117229</v>
      </c>
      <c r="AS591" s="26">
        <v>847288</v>
      </c>
      <c r="AU591" s="23">
        <v>14.4499</v>
      </c>
      <c r="AW591" s="23">
        <v>17.5106</v>
      </c>
      <c r="AY591" s="23">
        <v>0</v>
      </c>
      <c r="BA591" s="23">
        <v>23.090199999999999</v>
      </c>
      <c r="BC591" s="24">
        <v>15.335000000000001</v>
      </c>
      <c r="BE591" s="1" t="str">
        <f t="shared" si="9"/>
        <v>No</v>
      </c>
    </row>
    <row r="592" spans="1:57" ht="11.25" customHeight="1">
      <c r="A592" s="7" t="s">
        <v>324</v>
      </c>
      <c r="B592" s="7" t="s">
        <v>325</v>
      </c>
      <c r="C592" s="37" t="s">
        <v>6</v>
      </c>
      <c r="D592" s="296">
        <v>6072</v>
      </c>
      <c r="E592" s="297">
        <v>60072</v>
      </c>
      <c r="F592" s="27" t="s">
        <v>165</v>
      </c>
      <c r="G592" s="73" t="s">
        <v>158</v>
      </c>
      <c r="H592" s="35">
        <v>295083</v>
      </c>
      <c r="I592" s="35">
        <v>28</v>
      </c>
      <c r="J592" s="37" t="s">
        <v>10</v>
      </c>
      <c r="K592" s="37" t="s">
        <v>159</v>
      </c>
      <c r="L592" s="8">
        <v>12</v>
      </c>
      <c r="M592" s="8">
        <v>31077</v>
      </c>
      <c r="N592" s="9"/>
      <c r="O592" s="8">
        <v>4255</v>
      </c>
      <c r="P592" s="9"/>
      <c r="Q592" s="8">
        <v>1514</v>
      </c>
      <c r="R592" s="9"/>
      <c r="S592" s="8">
        <v>5131</v>
      </c>
      <c r="T592" s="9"/>
      <c r="U592" s="8">
        <v>0</v>
      </c>
      <c r="V592" s="9"/>
      <c r="W592" s="33">
        <v>41977</v>
      </c>
      <c r="X592" s="9"/>
      <c r="Y592" s="30">
        <v>18</v>
      </c>
      <c r="Z592" s="9"/>
      <c r="AA592" s="30">
        <v>2</v>
      </c>
      <c r="AB592" s="9"/>
      <c r="AC592" s="30">
        <v>1</v>
      </c>
      <c r="AD592" s="9"/>
      <c r="AE592" s="30">
        <v>3</v>
      </c>
      <c r="AF592" s="9"/>
      <c r="AG592" s="30">
        <v>0</v>
      </c>
      <c r="AH592" s="9"/>
      <c r="AI592" s="32">
        <v>24</v>
      </c>
      <c r="AJ592" s="12"/>
      <c r="AK592" s="22">
        <v>430598</v>
      </c>
      <c r="AM592" s="22">
        <v>80032</v>
      </c>
      <c r="AO592" s="22">
        <v>18532</v>
      </c>
      <c r="AQ592" s="22">
        <v>145081</v>
      </c>
      <c r="AS592" s="26">
        <v>674243</v>
      </c>
      <c r="AU592" s="23">
        <v>13.8558</v>
      </c>
      <c r="AW592" s="23">
        <v>18.808900000000001</v>
      </c>
      <c r="AY592" s="23">
        <v>0.59630000000000005</v>
      </c>
      <c r="BA592" s="23">
        <v>28.275400000000001</v>
      </c>
      <c r="BC592" s="24">
        <v>16.062200000000001</v>
      </c>
      <c r="BE592" s="1" t="str">
        <f t="shared" si="9"/>
        <v>No</v>
      </c>
    </row>
    <row r="593" spans="1:57" ht="11.25" customHeight="1">
      <c r="A593" s="7" t="s">
        <v>33</v>
      </c>
      <c r="B593" s="7" t="s">
        <v>707</v>
      </c>
      <c r="C593" s="37" t="s">
        <v>32</v>
      </c>
      <c r="D593" s="296">
        <v>4129</v>
      </c>
      <c r="E593" s="297">
        <v>40129</v>
      </c>
      <c r="F593" s="27" t="s">
        <v>162</v>
      </c>
      <c r="G593" s="73" t="s">
        <v>158</v>
      </c>
      <c r="H593" s="35">
        <v>169541</v>
      </c>
      <c r="I593" s="35">
        <v>28</v>
      </c>
      <c r="J593" s="37" t="s">
        <v>8</v>
      </c>
      <c r="K593" s="37" t="s">
        <v>159</v>
      </c>
      <c r="L593" s="8">
        <v>6</v>
      </c>
      <c r="M593" s="8">
        <v>1822</v>
      </c>
      <c r="N593" s="9"/>
      <c r="O593" s="8">
        <v>132</v>
      </c>
      <c r="P593" s="9"/>
      <c r="Q593" s="8">
        <v>20</v>
      </c>
      <c r="R593" s="9"/>
      <c r="S593" s="8">
        <v>1218</v>
      </c>
      <c r="T593" s="9"/>
      <c r="U593" s="8">
        <v>0</v>
      </c>
      <c r="V593" s="9"/>
      <c r="W593" s="33">
        <v>3192</v>
      </c>
      <c r="X593" s="9"/>
      <c r="Y593" s="30">
        <v>1</v>
      </c>
      <c r="Z593" s="9"/>
      <c r="AA593" s="30">
        <v>0.15</v>
      </c>
      <c r="AB593" s="9"/>
      <c r="AC593" s="30">
        <v>0.05</v>
      </c>
      <c r="AD593" s="9"/>
      <c r="AE593" s="30">
        <v>0.8</v>
      </c>
      <c r="AF593" s="9"/>
      <c r="AG593" s="30">
        <v>0</v>
      </c>
      <c r="AH593" s="9"/>
      <c r="AI593" s="32">
        <v>2</v>
      </c>
      <c r="AJ593" s="12"/>
      <c r="AK593" s="22">
        <v>45225</v>
      </c>
      <c r="AM593" s="22">
        <v>4220</v>
      </c>
      <c r="AO593" s="22">
        <v>436</v>
      </c>
      <c r="AQ593" s="22">
        <v>16535</v>
      </c>
      <c r="AS593" s="26">
        <v>66416</v>
      </c>
      <c r="AU593" s="23">
        <v>24.8216</v>
      </c>
      <c r="AW593" s="23">
        <v>31.9697</v>
      </c>
      <c r="AY593" s="23">
        <v>0.23930000000000001</v>
      </c>
      <c r="BA593" s="23">
        <v>13.5755</v>
      </c>
      <c r="BC593" s="24">
        <v>20.806999999999999</v>
      </c>
      <c r="BE593" s="1" t="str">
        <f t="shared" si="9"/>
        <v>No</v>
      </c>
    </row>
    <row r="594" spans="1:57" ht="11.25" customHeight="1">
      <c r="A594" s="7" t="s">
        <v>643</v>
      </c>
      <c r="B594" s="7" t="s">
        <v>644</v>
      </c>
      <c r="C594" s="37" t="s">
        <v>84</v>
      </c>
      <c r="D594" s="296">
        <v>6082</v>
      </c>
      <c r="E594" s="297">
        <v>60082</v>
      </c>
      <c r="F594" s="27" t="s">
        <v>165</v>
      </c>
      <c r="G594" s="73" t="s">
        <v>158</v>
      </c>
      <c r="H594" s="35">
        <v>106383</v>
      </c>
      <c r="I594" s="35">
        <v>28</v>
      </c>
      <c r="J594" s="37" t="s">
        <v>10</v>
      </c>
      <c r="K594" s="37" t="s">
        <v>159</v>
      </c>
      <c r="L594" s="8">
        <v>4</v>
      </c>
      <c r="M594" s="8">
        <v>8448</v>
      </c>
      <c r="N594" s="9"/>
      <c r="O594" s="8">
        <v>680</v>
      </c>
      <c r="P594" s="9"/>
      <c r="Q594" s="8">
        <v>0</v>
      </c>
      <c r="R594" s="9"/>
      <c r="S594" s="8">
        <v>2051</v>
      </c>
      <c r="T594" s="9"/>
      <c r="U594" s="8">
        <v>0</v>
      </c>
      <c r="V594" s="9"/>
      <c r="W594" s="33">
        <v>11179</v>
      </c>
      <c r="X594" s="9"/>
      <c r="Y594" s="30">
        <v>5.7</v>
      </c>
      <c r="Z594" s="9"/>
      <c r="AA594" s="30">
        <v>0.41</v>
      </c>
      <c r="AB594" s="9"/>
      <c r="AC594" s="30">
        <v>0</v>
      </c>
      <c r="AD594" s="9"/>
      <c r="AE594" s="30">
        <v>1.1499999999999999</v>
      </c>
      <c r="AF594" s="9"/>
      <c r="AG594" s="30">
        <v>0</v>
      </c>
      <c r="AH594" s="9"/>
      <c r="AI594" s="32">
        <v>7.26</v>
      </c>
      <c r="AJ594" s="12"/>
      <c r="AK594" s="22">
        <v>78891</v>
      </c>
      <c r="AM594" s="22">
        <v>12820</v>
      </c>
      <c r="AO594" s="22">
        <v>0</v>
      </c>
      <c r="AQ594" s="22">
        <v>25249</v>
      </c>
      <c r="AS594" s="26">
        <v>116960</v>
      </c>
      <c r="AU594" s="23">
        <v>9.3384</v>
      </c>
      <c r="AW594" s="23">
        <v>18.852900000000002</v>
      </c>
      <c r="AY594" s="23">
        <v>0</v>
      </c>
      <c r="BA594" s="23">
        <v>12.310600000000001</v>
      </c>
      <c r="BC594" s="24">
        <v>10.4625</v>
      </c>
      <c r="BE594" s="1" t="str">
        <f t="shared" si="9"/>
        <v>No</v>
      </c>
    </row>
    <row r="595" spans="1:57" ht="11.25" customHeight="1">
      <c r="A595" s="7" t="s">
        <v>670</v>
      </c>
      <c r="B595" s="7" t="s">
        <v>422</v>
      </c>
      <c r="C595" s="37" t="s">
        <v>38</v>
      </c>
      <c r="D595" s="296">
        <v>7019</v>
      </c>
      <c r="E595" s="297">
        <v>70019</v>
      </c>
      <c r="F595" s="27" t="s">
        <v>114</v>
      </c>
      <c r="G595" s="73" t="s">
        <v>158</v>
      </c>
      <c r="H595" s="35">
        <v>106621</v>
      </c>
      <c r="I595" s="35">
        <v>28</v>
      </c>
      <c r="J595" s="37" t="s">
        <v>10</v>
      </c>
      <c r="K595" s="37" t="s">
        <v>159</v>
      </c>
      <c r="L595" s="8">
        <v>3</v>
      </c>
      <c r="M595" s="8">
        <v>13386</v>
      </c>
      <c r="N595" s="9"/>
      <c r="O595" s="8">
        <v>3255</v>
      </c>
      <c r="P595" s="9"/>
      <c r="Q595" s="8">
        <v>370</v>
      </c>
      <c r="R595" s="9"/>
      <c r="S595" s="8">
        <v>410</v>
      </c>
      <c r="T595" s="9"/>
      <c r="U595" s="8">
        <v>0</v>
      </c>
      <c r="V595" s="9"/>
      <c r="W595" s="33">
        <v>17421</v>
      </c>
      <c r="X595" s="9"/>
      <c r="Y595" s="30">
        <v>17.149999999999999</v>
      </c>
      <c r="Z595" s="9"/>
      <c r="AA595" s="30">
        <v>3.66</v>
      </c>
      <c r="AB595" s="9"/>
      <c r="AC595" s="30">
        <v>0.54</v>
      </c>
      <c r="AD595" s="9"/>
      <c r="AE595" s="30">
        <v>0.55000000000000004</v>
      </c>
      <c r="AF595" s="9"/>
      <c r="AG595" s="30">
        <v>0</v>
      </c>
      <c r="AH595" s="9"/>
      <c r="AI595" s="32">
        <v>21.9</v>
      </c>
      <c r="AJ595" s="12"/>
      <c r="AK595" s="22">
        <v>171269</v>
      </c>
      <c r="AM595" s="22">
        <v>60448</v>
      </c>
      <c r="AO595" s="22">
        <v>7435</v>
      </c>
      <c r="AQ595" s="22">
        <v>5919</v>
      </c>
      <c r="AS595" s="26">
        <v>245071</v>
      </c>
      <c r="AU595" s="23">
        <v>12.794600000000001</v>
      </c>
      <c r="AW595" s="23">
        <v>18.570799999999998</v>
      </c>
      <c r="AY595" s="23">
        <v>0.5554</v>
      </c>
      <c r="BA595" s="23">
        <v>14.4366</v>
      </c>
      <c r="BC595" s="24">
        <v>14.067600000000001</v>
      </c>
      <c r="BE595" s="1" t="str">
        <f t="shared" si="9"/>
        <v>No</v>
      </c>
    </row>
    <row r="596" spans="1:57" ht="11.25" customHeight="1">
      <c r="A596" s="7" t="s">
        <v>600</v>
      </c>
      <c r="B596" s="7" t="s">
        <v>601</v>
      </c>
      <c r="C596" s="37" t="s">
        <v>77</v>
      </c>
      <c r="D596" s="296">
        <v>3055</v>
      </c>
      <c r="E596" s="297">
        <v>30055</v>
      </c>
      <c r="F596" s="27" t="s">
        <v>162</v>
      </c>
      <c r="G596" s="73" t="s">
        <v>158</v>
      </c>
      <c r="H596" s="35">
        <v>387550</v>
      </c>
      <c r="I596" s="35">
        <v>27</v>
      </c>
      <c r="J596" s="37" t="s">
        <v>10</v>
      </c>
      <c r="K596" s="37" t="s">
        <v>159</v>
      </c>
      <c r="L596" s="8">
        <v>22</v>
      </c>
      <c r="M596" s="8">
        <v>51045</v>
      </c>
      <c r="N596" s="9"/>
      <c r="O596" s="8">
        <v>2239</v>
      </c>
      <c r="P596" s="9"/>
      <c r="Q596" s="8">
        <v>527</v>
      </c>
      <c r="R596" s="9"/>
      <c r="S596" s="8">
        <v>4452</v>
      </c>
      <c r="T596" s="9"/>
      <c r="U596" s="8">
        <v>0</v>
      </c>
      <c r="V596" s="9"/>
      <c r="W596" s="33">
        <v>58263</v>
      </c>
      <c r="X596" s="9"/>
      <c r="Y596" s="30">
        <v>46</v>
      </c>
      <c r="Z596" s="9"/>
      <c r="AA596" s="30">
        <v>1.25</v>
      </c>
      <c r="AB596" s="9"/>
      <c r="AC596" s="30">
        <v>0.25</v>
      </c>
      <c r="AD596" s="9"/>
      <c r="AE596" s="30">
        <v>2.5</v>
      </c>
      <c r="AF596" s="9"/>
      <c r="AG596" s="30">
        <v>0</v>
      </c>
      <c r="AH596" s="9"/>
      <c r="AI596" s="32">
        <v>50</v>
      </c>
      <c r="AJ596" s="12"/>
      <c r="AK596" s="22">
        <v>541456</v>
      </c>
      <c r="AM596" s="22">
        <v>47878</v>
      </c>
      <c r="AO596" s="22">
        <v>5500</v>
      </c>
      <c r="AQ596" s="22">
        <v>87149</v>
      </c>
      <c r="AS596" s="26">
        <v>681983</v>
      </c>
      <c r="AU596" s="23">
        <v>10.6074</v>
      </c>
      <c r="AW596" s="23">
        <v>21.383700000000001</v>
      </c>
      <c r="AY596" s="23">
        <v>0.1077</v>
      </c>
      <c r="BA596" s="23">
        <v>19.575199999999999</v>
      </c>
      <c r="BC596" s="24">
        <v>11.705299999999999</v>
      </c>
      <c r="BE596" s="1" t="str">
        <f t="shared" si="9"/>
        <v>No</v>
      </c>
    </row>
    <row r="597" spans="1:57" ht="11.25" customHeight="1">
      <c r="A597" s="7" t="s">
        <v>510</v>
      </c>
      <c r="B597" s="7" t="s">
        <v>511</v>
      </c>
      <c r="C597" s="37" t="s">
        <v>9</v>
      </c>
      <c r="D597" s="296">
        <v>4044</v>
      </c>
      <c r="E597" s="297">
        <v>40044</v>
      </c>
      <c r="F597" s="27" t="s">
        <v>162</v>
      </c>
      <c r="G597" s="73" t="s">
        <v>158</v>
      </c>
      <c r="H597" s="35">
        <v>263907</v>
      </c>
      <c r="I597" s="35">
        <v>27</v>
      </c>
      <c r="J597" s="37" t="s">
        <v>7</v>
      </c>
      <c r="K597" s="37" t="s">
        <v>159</v>
      </c>
      <c r="L597" s="8">
        <v>19</v>
      </c>
      <c r="M597" s="8">
        <v>112318</v>
      </c>
      <c r="N597" s="9"/>
      <c r="O597" s="8">
        <v>19774</v>
      </c>
      <c r="P597" s="9"/>
      <c r="Q597" s="8">
        <v>3303</v>
      </c>
      <c r="R597" s="9"/>
      <c r="S597" s="8">
        <v>14108</v>
      </c>
      <c r="T597" s="9"/>
      <c r="U597" s="8">
        <v>0</v>
      </c>
      <c r="V597" s="9"/>
      <c r="W597" s="33">
        <v>149503</v>
      </c>
      <c r="X597" s="9"/>
      <c r="Y597" s="30">
        <v>66</v>
      </c>
      <c r="Z597" s="9"/>
      <c r="AA597" s="30">
        <v>11.25</v>
      </c>
      <c r="AB597" s="9"/>
      <c r="AC597" s="30">
        <v>1.75</v>
      </c>
      <c r="AD597" s="9"/>
      <c r="AE597" s="30">
        <v>9</v>
      </c>
      <c r="AF597" s="9"/>
      <c r="AG597" s="30">
        <v>0</v>
      </c>
      <c r="AH597" s="9"/>
      <c r="AI597" s="32">
        <v>88</v>
      </c>
      <c r="AJ597" s="12"/>
      <c r="AK597" s="22">
        <v>2203399</v>
      </c>
      <c r="AM597" s="22">
        <v>394519</v>
      </c>
      <c r="AO597" s="22">
        <v>38211</v>
      </c>
      <c r="AQ597" s="22">
        <v>252071</v>
      </c>
      <c r="AS597" s="26">
        <v>2888200</v>
      </c>
      <c r="AU597" s="23">
        <v>19.6175</v>
      </c>
      <c r="AW597" s="23">
        <v>19.9514</v>
      </c>
      <c r="AY597" s="23">
        <v>0.3402</v>
      </c>
      <c r="BA597" s="23">
        <v>17.8672</v>
      </c>
      <c r="BC597" s="24">
        <v>19.3187</v>
      </c>
      <c r="BE597" s="1" t="str">
        <f t="shared" si="9"/>
        <v>No</v>
      </c>
    </row>
    <row r="598" spans="1:57" ht="11.25" customHeight="1">
      <c r="A598" s="7" t="s">
        <v>408</v>
      </c>
      <c r="B598" s="7" t="s">
        <v>409</v>
      </c>
      <c r="C598" s="37" t="s">
        <v>84</v>
      </c>
      <c r="D598" s="296">
        <v>6041</v>
      </c>
      <c r="E598" s="297">
        <v>60041</v>
      </c>
      <c r="F598" s="27" t="s">
        <v>162</v>
      </c>
      <c r="G598" s="73" t="s">
        <v>158</v>
      </c>
      <c r="H598" s="35">
        <v>5121892</v>
      </c>
      <c r="I598" s="35">
        <v>27</v>
      </c>
      <c r="J598" s="37" t="s">
        <v>10</v>
      </c>
      <c r="K598" s="37" t="s">
        <v>159</v>
      </c>
      <c r="L598" s="8">
        <v>16</v>
      </c>
      <c r="M598" s="8">
        <v>60626</v>
      </c>
      <c r="N598" s="9"/>
      <c r="O598" s="8">
        <v>0</v>
      </c>
      <c r="P598" s="9"/>
      <c r="Q598" s="8">
        <v>0</v>
      </c>
      <c r="R598" s="9"/>
      <c r="S598" s="8">
        <v>4290</v>
      </c>
      <c r="T598" s="9"/>
      <c r="U598" s="8">
        <v>0</v>
      </c>
      <c r="V598" s="9"/>
      <c r="W598" s="33">
        <v>64916</v>
      </c>
      <c r="X598" s="9"/>
      <c r="Y598" s="30">
        <v>36</v>
      </c>
      <c r="Z598" s="9"/>
      <c r="AA598" s="30">
        <v>0</v>
      </c>
      <c r="AB598" s="9"/>
      <c r="AC598" s="30">
        <v>0</v>
      </c>
      <c r="AD598" s="9"/>
      <c r="AE598" s="30">
        <v>2</v>
      </c>
      <c r="AF598" s="9"/>
      <c r="AG598" s="30">
        <v>0</v>
      </c>
      <c r="AH598" s="9"/>
      <c r="AI598" s="32">
        <v>38</v>
      </c>
      <c r="AJ598" s="12"/>
      <c r="AK598" s="22">
        <v>644571</v>
      </c>
      <c r="AM598" s="22">
        <v>0</v>
      </c>
      <c r="AO598" s="22">
        <v>0</v>
      </c>
      <c r="AQ598" s="22">
        <v>139224</v>
      </c>
      <c r="AS598" s="26">
        <v>783795</v>
      </c>
      <c r="AU598" s="23">
        <v>10.6319</v>
      </c>
      <c r="AY598" s="23">
        <v>0</v>
      </c>
      <c r="BA598" s="23">
        <v>32.453099999999999</v>
      </c>
      <c r="BC598" s="24">
        <v>12.074</v>
      </c>
      <c r="BE598" s="1" t="str">
        <f t="shared" si="9"/>
        <v>No</v>
      </c>
    </row>
    <row r="599" spans="1:57" ht="11.25" customHeight="1">
      <c r="A599" s="7" t="s">
        <v>510</v>
      </c>
      <c r="B599" s="7" t="s">
        <v>511</v>
      </c>
      <c r="C599" s="37" t="s">
        <v>9</v>
      </c>
      <c r="D599" s="296">
        <v>4044</v>
      </c>
      <c r="E599" s="297">
        <v>40044</v>
      </c>
      <c r="F599" s="27" t="s">
        <v>162</v>
      </c>
      <c r="G599" s="73" t="s">
        <v>158</v>
      </c>
      <c r="H599" s="35">
        <v>263907</v>
      </c>
      <c r="I599" s="35">
        <v>27</v>
      </c>
      <c r="J599" s="37" t="s">
        <v>10</v>
      </c>
      <c r="K599" s="37" t="s">
        <v>159</v>
      </c>
      <c r="L599" s="8">
        <v>8</v>
      </c>
      <c r="M599" s="8">
        <v>22910</v>
      </c>
      <c r="N599" s="9"/>
      <c r="O599" s="8">
        <v>6123</v>
      </c>
      <c r="P599" s="9"/>
      <c r="Q599" s="8">
        <v>460</v>
      </c>
      <c r="R599" s="9"/>
      <c r="S599" s="8">
        <v>4252</v>
      </c>
      <c r="T599" s="9"/>
      <c r="U599" s="8">
        <v>0</v>
      </c>
      <c r="V599" s="9"/>
      <c r="W599" s="33">
        <v>33745</v>
      </c>
      <c r="X599" s="9"/>
      <c r="Y599" s="30">
        <v>14.8</v>
      </c>
      <c r="Z599" s="9"/>
      <c r="AA599" s="30">
        <v>3.6</v>
      </c>
      <c r="AB599" s="9"/>
      <c r="AC599" s="30">
        <v>0.25</v>
      </c>
      <c r="AD599" s="9"/>
      <c r="AE599" s="30">
        <v>2.5</v>
      </c>
      <c r="AF599" s="9"/>
      <c r="AG599" s="30">
        <v>0</v>
      </c>
      <c r="AH599" s="9"/>
      <c r="AI599" s="32">
        <v>21.15</v>
      </c>
      <c r="AJ599" s="12"/>
      <c r="AK599" s="22">
        <v>489079</v>
      </c>
      <c r="AM599" s="22">
        <v>131506</v>
      </c>
      <c r="AO599" s="22">
        <v>5575</v>
      </c>
      <c r="AQ599" s="22">
        <v>67303</v>
      </c>
      <c r="AS599" s="26">
        <v>693463</v>
      </c>
      <c r="AU599" s="23">
        <v>21.347799999999999</v>
      </c>
      <c r="AW599" s="23">
        <v>21.477399999999999</v>
      </c>
      <c r="AY599" s="23">
        <v>0.24329999999999999</v>
      </c>
      <c r="BA599" s="23">
        <v>15.8286</v>
      </c>
      <c r="BC599" s="24">
        <v>20.5501</v>
      </c>
      <c r="BE599" s="1" t="str">
        <f t="shared" si="9"/>
        <v>No</v>
      </c>
    </row>
    <row r="600" spans="1:57" ht="11.25" customHeight="1">
      <c r="A600" s="7" t="s">
        <v>600</v>
      </c>
      <c r="B600" s="7" t="s">
        <v>601</v>
      </c>
      <c r="C600" s="37" t="s">
        <v>77</v>
      </c>
      <c r="D600" s="296">
        <v>3055</v>
      </c>
      <c r="E600" s="297">
        <v>30055</v>
      </c>
      <c r="F600" s="27" t="s">
        <v>162</v>
      </c>
      <c r="G600" s="73" t="s">
        <v>158</v>
      </c>
      <c r="H600" s="35">
        <v>387550</v>
      </c>
      <c r="I600" s="35">
        <v>27</v>
      </c>
      <c r="J600" s="37" t="s">
        <v>7</v>
      </c>
      <c r="K600" s="37" t="s">
        <v>159</v>
      </c>
      <c r="L600" s="8">
        <v>5</v>
      </c>
      <c r="M600" s="8">
        <v>14110</v>
      </c>
      <c r="N600" s="9"/>
      <c r="O600" s="8">
        <v>9118</v>
      </c>
      <c r="P600" s="9"/>
      <c r="Q600" s="8">
        <v>527</v>
      </c>
      <c r="R600" s="9"/>
      <c r="S600" s="8">
        <v>2644</v>
      </c>
      <c r="T600" s="9"/>
      <c r="U600" s="8">
        <v>0</v>
      </c>
      <c r="V600" s="9"/>
      <c r="W600" s="33">
        <v>26399</v>
      </c>
      <c r="X600" s="9"/>
      <c r="Y600" s="30">
        <v>9</v>
      </c>
      <c r="Z600" s="9"/>
      <c r="AA600" s="30">
        <v>5.75</v>
      </c>
      <c r="AB600" s="9"/>
      <c r="AC600" s="30">
        <v>0.25</v>
      </c>
      <c r="AD600" s="9"/>
      <c r="AE600" s="30">
        <v>1.5</v>
      </c>
      <c r="AF600" s="9"/>
      <c r="AG600" s="30">
        <v>0</v>
      </c>
      <c r="AH600" s="9"/>
      <c r="AI600" s="32">
        <v>16.5</v>
      </c>
      <c r="AJ600" s="12"/>
      <c r="AK600" s="22">
        <v>155505</v>
      </c>
      <c r="AM600" s="22">
        <v>130359</v>
      </c>
      <c r="AO600" s="22">
        <v>5500</v>
      </c>
      <c r="AQ600" s="22">
        <v>67260</v>
      </c>
      <c r="AS600" s="26">
        <v>358624</v>
      </c>
      <c r="AU600" s="23">
        <v>11.020899999999999</v>
      </c>
      <c r="AW600" s="23">
        <v>14.296900000000001</v>
      </c>
      <c r="AY600" s="23">
        <v>0.38979999999999998</v>
      </c>
      <c r="BA600" s="23">
        <v>25.438700000000001</v>
      </c>
      <c r="BC600" s="24">
        <v>13.5848</v>
      </c>
      <c r="BE600" s="1" t="str">
        <f t="shared" si="9"/>
        <v>No</v>
      </c>
    </row>
    <row r="601" spans="1:57" ht="11.25" customHeight="1">
      <c r="A601" s="7" t="s">
        <v>398</v>
      </c>
      <c r="B601" s="7" t="s">
        <v>254</v>
      </c>
      <c r="C601" s="37" t="s">
        <v>51</v>
      </c>
      <c r="D601" s="296">
        <v>1016</v>
      </c>
      <c r="E601" s="297">
        <v>10016</v>
      </c>
      <c r="F601" s="27" t="s">
        <v>165</v>
      </c>
      <c r="G601" s="73" t="s">
        <v>158</v>
      </c>
      <c r="H601" s="35">
        <v>203914</v>
      </c>
      <c r="I601" s="35">
        <v>26</v>
      </c>
      <c r="J601" s="37" t="s">
        <v>7</v>
      </c>
      <c r="K601" s="37" t="s">
        <v>159</v>
      </c>
      <c r="L601" s="8">
        <v>26</v>
      </c>
      <c r="M601" s="8">
        <v>118777</v>
      </c>
      <c r="N601" s="9"/>
      <c r="O601" s="8">
        <v>20118</v>
      </c>
      <c r="P601" s="9"/>
      <c r="Q601" s="8">
        <v>4120</v>
      </c>
      <c r="R601" s="9"/>
      <c r="S601" s="8">
        <v>21625</v>
      </c>
      <c r="T601" s="9"/>
      <c r="U601" s="8">
        <v>0</v>
      </c>
      <c r="V601" s="9"/>
      <c r="W601" s="33">
        <v>164640</v>
      </c>
      <c r="X601" s="9"/>
      <c r="Y601" s="30">
        <v>56</v>
      </c>
      <c r="Z601" s="9"/>
      <c r="AA601" s="30">
        <v>9.85</v>
      </c>
      <c r="AB601" s="9"/>
      <c r="AC601" s="30">
        <v>2.15</v>
      </c>
      <c r="AD601" s="9"/>
      <c r="AE601" s="30">
        <v>12</v>
      </c>
      <c r="AF601" s="9"/>
      <c r="AG601" s="30">
        <v>0</v>
      </c>
      <c r="AH601" s="9"/>
      <c r="AI601" s="32">
        <v>80</v>
      </c>
      <c r="AJ601" s="12"/>
      <c r="AK601" s="22">
        <v>2498336</v>
      </c>
      <c r="AM601" s="22">
        <v>494930</v>
      </c>
      <c r="AO601" s="22">
        <v>98780</v>
      </c>
      <c r="AQ601" s="22">
        <v>568628</v>
      </c>
      <c r="AS601" s="26">
        <v>3660674</v>
      </c>
      <c r="AU601" s="23">
        <v>21.033799999999999</v>
      </c>
      <c r="AW601" s="23">
        <v>24.601400000000002</v>
      </c>
      <c r="AY601" s="23">
        <v>0.83160000000000001</v>
      </c>
      <c r="BA601" s="23">
        <v>26.294899999999998</v>
      </c>
      <c r="BC601" s="24">
        <v>22.234400000000001</v>
      </c>
      <c r="BE601" s="1" t="str">
        <f t="shared" si="9"/>
        <v>No</v>
      </c>
    </row>
    <row r="602" spans="1:57" ht="11.25" customHeight="1">
      <c r="A602" s="7" t="s">
        <v>181</v>
      </c>
      <c r="B602" s="7" t="s">
        <v>182</v>
      </c>
      <c r="C602" s="37" t="s">
        <v>70</v>
      </c>
      <c r="D602" s="296">
        <v>2177</v>
      </c>
      <c r="E602" s="297">
        <v>20177</v>
      </c>
      <c r="F602" s="27" t="s">
        <v>173</v>
      </c>
      <c r="G602" s="73" t="s">
        <v>158</v>
      </c>
      <c r="H602" s="35">
        <v>18351295</v>
      </c>
      <c r="I602" s="35">
        <v>26</v>
      </c>
      <c r="J602" s="37" t="s">
        <v>18</v>
      </c>
      <c r="K602" s="37" t="s">
        <v>159</v>
      </c>
      <c r="L602" s="8">
        <v>26</v>
      </c>
      <c r="M602" s="8">
        <v>150134</v>
      </c>
      <c r="N602" s="9"/>
      <c r="O602" s="8">
        <v>75218</v>
      </c>
      <c r="P602" s="9"/>
      <c r="Q602" s="8">
        <v>0</v>
      </c>
      <c r="R602" s="9"/>
      <c r="S602" s="8">
        <v>42347</v>
      </c>
      <c r="T602" s="9"/>
      <c r="U602" s="8">
        <v>0</v>
      </c>
      <c r="V602" s="9"/>
      <c r="W602" s="33">
        <v>267699</v>
      </c>
      <c r="X602" s="9"/>
      <c r="Y602" s="30">
        <v>71</v>
      </c>
      <c r="Z602" s="9"/>
      <c r="AA602" s="30">
        <v>41</v>
      </c>
      <c r="AB602" s="9"/>
      <c r="AC602" s="30">
        <v>0</v>
      </c>
      <c r="AD602" s="9"/>
      <c r="AE602" s="30">
        <v>24</v>
      </c>
      <c r="AF602" s="9"/>
      <c r="AG602" s="30">
        <v>0</v>
      </c>
      <c r="AH602" s="9"/>
      <c r="AI602" s="32">
        <v>136</v>
      </c>
      <c r="AJ602" s="12"/>
      <c r="AK602" s="22">
        <v>3361882</v>
      </c>
      <c r="AM602" s="22">
        <v>1724746</v>
      </c>
      <c r="AO602" s="22">
        <v>0</v>
      </c>
      <c r="AQ602" s="22">
        <v>1570021</v>
      </c>
      <c r="AS602" s="26">
        <v>6656649</v>
      </c>
      <c r="AU602" s="23">
        <v>22.392499999999998</v>
      </c>
      <c r="AW602" s="23">
        <v>22.93</v>
      </c>
      <c r="AY602" s="23">
        <v>0</v>
      </c>
      <c r="BA602" s="23">
        <v>37.075099999999999</v>
      </c>
      <c r="BC602" s="24">
        <v>24.866199999999999</v>
      </c>
      <c r="BE602" s="1" t="str">
        <f t="shared" si="9"/>
        <v>No</v>
      </c>
    </row>
    <row r="603" spans="1:57" ht="11.25" customHeight="1">
      <c r="A603" s="7" t="s">
        <v>691</v>
      </c>
      <c r="B603" s="7" t="s">
        <v>692</v>
      </c>
      <c r="C603" s="37" t="s">
        <v>77</v>
      </c>
      <c r="D603" s="296">
        <v>3026</v>
      </c>
      <c r="E603" s="297">
        <v>30026</v>
      </c>
      <c r="F603" s="27" t="s">
        <v>162</v>
      </c>
      <c r="G603" s="73" t="s">
        <v>158</v>
      </c>
      <c r="H603" s="35">
        <v>56142</v>
      </c>
      <c r="I603" s="35">
        <v>26</v>
      </c>
      <c r="J603" s="37" t="s">
        <v>7</v>
      </c>
      <c r="K603" s="37" t="s">
        <v>159</v>
      </c>
      <c r="L603" s="8">
        <v>23</v>
      </c>
      <c r="M603" s="8">
        <v>79299</v>
      </c>
      <c r="N603" s="9"/>
      <c r="O603" s="8">
        <v>17274</v>
      </c>
      <c r="P603" s="9"/>
      <c r="Q603" s="8">
        <v>2590</v>
      </c>
      <c r="R603" s="9"/>
      <c r="S603" s="8">
        <v>8632</v>
      </c>
      <c r="T603" s="9"/>
      <c r="U603" s="8">
        <v>473</v>
      </c>
      <c r="V603" s="9"/>
      <c r="W603" s="33">
        <v>108268</v>
      </c>
      <c r="X603" s="9"/>
      <c r="Y603" s="30">
        <v>42</v>
      </c>
      <c r="Z603" s="9"/>
      <c r="AA603" s="30">
        <v>8</v>
      </c>
      <c r="AB603" s="9"/>
      <c r="AC603" s="30">
        <v>2</v>
      </c>
      <c r="AD603" s="9"/>
      <c r="AE603" s="30">
        <v>4.75</v>
      </c>
      <c r="AF603" s="9"/>
      <c r="AG603" s="30">
        <v>0.25</v>
      </c>
      <c r="AH603" s="9"/>
      <c r="AI603" s="32">
        <v>57</v>
      </c>
      <c r="AJ603" s="12"/>
      <c r="AK603" s="22">
        <v>2067313</v>
      </c>
      <c r="AM603" s="22">
        <v>436234</v>
      </c>
      <c r="AO603" s="22">
        <v>76982</v>
      </c>
      <c r="AQ603" s="22">
        <v>277176</v>
      </c>
      <c r="AS603" s="26">
        <v>2857705</v>
      </c>
      <c r="AU603" s="23">
        <v>26.069800000000001</v>
      </c>
      <c r="AW603" s="23">
        <v>25.253799999999998</v>
      </c>
      <c r="AY603" s="23">
        <v>0.9708</v>
      </c>
      <c r="BA603" s="23">
        <v>32.110300000000002</v>
      </c>
      <c r="BC603" s="24">
        <v>26.3947</v>
      </c>
      <c r="BE603" s="1" t="str">
        <f t="shared" si="9"/>
        <v>No</v>
      </c>
    </row>
    <row r="604" spans="1:57" ht="11.25" customHeight="1">
      <c r="A604" s="7" t="s">
        <v>604</v>
      </c>
      <c r="B604" s="7" t="s">
        <v>605</v>
      </c>
      <c r="C604" s="37" t="s">
        <v>38</v>
      </c>
      <c r="D604" s="296">
        <v>7012</v>
      </c>
      <c r="E604" s="297">
        <v>70012</v>
      </c>
      <c r="F604" s="27" t="s">
        <v>162</v>
      </c>
      <c r="G604" s="73" t="s">
        <v>158</v>
      </c>
      <c r="H604" s="35">
        <v>106494</v>
      </c>
      <c r="I604" s="35">
        <v>26</v>
      </c>
      <c r="J604" s="37" t="s">
        <v>7</v>
      </c>
      <c r="K604" s="37" t="s">
        <v>159</v>
      </c>
      <c r="L604" s="8">
        <v>21</v>
      </c>
      <c r="M604" s="8">
        <v>54004</v>
      </c>
      <c r="N604" s="9"/>
      <c r="O604" s="8">
        <v>5000</v>
      </c>
      <c r="P604" s="9"/>
      <c r="Q604" s="8">
        <v>1430</v>
      </c>
      <c r="R604" s="9"/>
      <c r="S604" s="8">
        <v>7149</v>
      </c>
      <c r="T604" s="9"/>
      <c r="U604" s="8">
        <v>0</v>
      </c>
      <c r="V604" s="9"/>
      <c r="W604" s="33">
        <v>67583</v>
      </c>
      <c r="X604" s="9"/>
      <c r="Y604" s="30">
        <v>40</v>
      </c>
      <c r="Z604" s="9"/>
      <c r="AA604" s="30">
        <v>2.6</v>
      </c>
      <c r="AB604" s="9"/>
      <c r="AC604" s="30">
        <v>1</v>
      </c>
      <c r="AD604" s="9"/>
      <c r="AE604" s="30">
        <v>4.3</v>
      </c>
      <c r="AF604" s="9"/>
      <c r="AG604" s="30">
        <v>0</v>
      </c>
      <c r="AH604" s="9"/>
      <c r="AI604" s="32">
        <v>47.9</v>
      </c>
      <c r="AJ604" s="12"/>
      <c r="AK604" s="22">
        <v>1164721</v>
      </c>
      <c r="AM604" s="22">
        <v>120011</v>
      </c>
      <c r="AO604" s="22">
        <v>25508</v>
      </c>
      <c r="AQ604" s="22">
        <v>218433</v>
      </c>
      <c r="AS604" s="26">
        <v>1528673</v>
      </c>
      <c r="AU604" s="23">
        <v>21.567299999999999</v>
      </c>
      <c r="AW604" s="23">
        <v>24.002199999999998</v>
      </c>
      <c r="AY604" s="23">
        <v>0.4723</v>
      </c>
      <c r="BA604" s="23">
        <v>30.554300000000001</v>
      </c>
      <c r="BC604" s="24">
        <v>22.619199999999999</v>
      </c>
      <c r="BE604" s="1" t="str">
        <f t="shared" si="9"/>
        <v>No</v>
      </c>
    </row>
    <row r="605" spans="1:57" ht="11.25" customHeight="1">
      <c r="A605" s="7" t="s">
        <v>691</v>
      </c>
      <c r="B605" s="7" t="s">
        <v>692</v>
      </c>
      <c r="C605" s="37" t="s">
        <v>77</v>
      </c>
      <c r="D605" s="296">
        <v>3026</v>
      </c>
      <c r="E605" s="297">
        <v>30026</v>
      </c>
      <c r="F605" s="27" t="s">
        <v>162</v>
      </c>
      <c r="G605" s="73" t="s">
        <v>158</v>
      </c>
      <c r="H605" s="35">
        <v>56142</v>
      </c>
      <c r="I605" s="35">
        <v>26</v>
      </c>
      <c r="J605" s="37" t="s">
        <v>10</v>
      </c>
      <c r="K605" s="37" t="s">
        <v>159</v>
      </c>
      <c r="L605" s="8">
        <v>1</v>
      </c>
      <c r="M605" s="8">
        <v>9</v>
      </c>
      <c r="N605" s="9"/>
      <c r="O605" s="8">
        <v>0</v>
      </c>
      <c r="P605" s="9"/>
      <c r="Q605" s="8">
        <v>0</v>
      </c>
      <c r="R605" s="9"/>
      <c r="S605" s="8">
        <v>0</v>
      </c>
      <c r="T605" s="9"/>
      <c r="U605" s="8">
        <v>0</v>
      </c>
      <c r="V605" s="9"/>
      <c r="W605" s="33">
        <v>9</v>
      </c>
      <c r="X605" s="9"/>
      <c r="Y605" s="30">
        <v>0.01</v>
      </c>
      <c r="Z605" s="9"/>
      <c r="AA605" s="30">
        <v>0</v>
      </c>
      <c r="AB605" s="9"/>
      <c r="AC605" s="30">
        <v>0</v>
      </c>
      <c r="AD605" s="9"/>
      <c r="AE605" s="30">
        <v>0</v>
      </c>
      <c r="AF605" s="9"/>
      <c r="AG605" s="30">
        <v>0</v>
      </c>
      <c r="AH605" s="9"/>
      <c r="AI605" s="32">
        <v>0.01</v>
      </c>
      <c r="AJ605" s="12"/>
      <c r="AK605" s="22">
        <v>157</v>
      </c>
      <c r="AM605" s="22">
        <v>0</v>
      </c>
      <c r="AO605" s="22">
        <v>0</v>
      </c>
      <c r="AQ605" s="22">
        <v>0</v>
      </c>
      <c r="AS605" s="26">
        <v>157</v>
      </c>
      <c r="AU605" s="23">
        <v>17.444400000000002</v>
      </c>
      <c r="AY605" s="23">
        <v>0</v>
      </c>
      <c r="BC605" s="24">
        <v>17.444400000000002</v>
      </c>
      <c r="BE605" s="1" t="str">
        <f t="shared" si="9"/>
        <v>No</v>
      </c>
    </row>
    <row r="606" spans="1:57" ht="11.25" customHeight="1">
      <c r="A606" s="7" t="s">
        <v>745</v>
      </c>
      <c r="B606" s="7" t="s">
        <v>746</v>
      </c>
      <c r="C606" s="37" t="s">
        <v>62</v>
      </c>
      <c r="D606" s="296">
        <v>1119</v>
      </c>
      <c r="E606" s="297">
        <v>10119</v>
      </c>
      <c r="F606" s="27" t="s">
        <v>114</v>
      </c>
      <c r="G606" s="73" t="s">
        <v>158</v>
      </c>
      <c r="H606" s="35">
        <v>88087</v>
      </c>
      <c r="I606" s="35">
        <v>25</v>
      </c>
      <c r="J606" s="37" t="s">
        <v>7</v>
      </c>
      <c r="K606" s="37" t="s">
        <v>159</v>
      </c>
      <c r="L606" s="8">
        <v>25</v>
      </c>
      <c r="M606" s="8">
        <v>69116</v>
      </c>
      <c r="N606" s="9"/>
      <c r="O606" s="8">
        <v>11111</v>
      </c>
      <c r="P606" s="9"/>
      <c r="Q606" s="8">
        <v>0</v>
      </c>
      <c r="R606" s="9"/>
      <c r="S606" s="8">
        <v>37320</v>
      </c>
      <c r="T606" s="9"/>
      <c r="U606" s="8">
        <v>0</v>
      </c>
      <c r="V606" s="9"/>
      <c r="W606" s="33">
        <v>117547</v>
      </c>
      <c r="X606" s="9"/>
      <c r="Y606" s="30">
        <v>121</v>
      </c>
      <c r="Z606" s="9"/>
      <c r="AA606" s="30">
        <v>8</v>
      </c>
      <c r="AB606" s="9"/>
      <c r="AC606" s="30">
        <v>0</v>
      </c>
      <c r="AD606" s="9"/>
      <c r="AE606" s="30">
        <v>32</v>
      </c>
      <c r="AF606" s="9"/>
      <c r="AG606" s="30">
        <v>0</v>
      </c>
      <c r="AH606" s="9"/>
      <c r="AI606" s="32">
        <v>161</v>
      </c>
      <c r="AJ606" s="12"/>
      <c r="AK606" s="22">
        <v>879564</v>
      </c>
      <c r="AM606" s="22">
        <v>265204</v>
      </c>
      <c r="AO606" s="22">
        <v>0</v>
      </c>
      <c r="AQ606" s="22">
        <v>581942</v>
      </c>
      <c r="AS606" s="26">
        <v>1726710</v>
      </c>
      <c r="AU606" s="23">
        <v>12.725899999999999</v>
      </c>
      <c r="AW606" s="23">
        <v>23.868600000000001</v>
      </c>
      <c r="AY606" s="23">
        <v>0</v>
      </c>
      <c r="BA606" s="23">
        <v>15.593299999999999</v>
      </c>
      <c r="BC606" s="24">
        <v>14.689500000000001</v>
      </c>
      <c r="BE606" s="1" t="str">
        <f t="shared" si="9"/>
        <v>No</v>
      </c>
    </row>
    <row r="607" spans="1:57" ht="11.25" customHeight="1">
      <c r="A607" s="7" t="s">
        <v>307</v>
      </c>
      <c r="B607" s="7" t="s">
        <v>308</v>
      </c>
      <c r="C607" s="37" t="s">
        <v>17</v>
      </c>
      <c r="D607" s="296">
        <v>9086</v>
      </c>
      <c r="E607" s="297">
        <v>90086</v>
      </c>
      <c r="F607" s="27" t="s">
        <v>162</v>
      </c>
      <c r="G607" s="73" t="s">
        <v>158</v>
      </c>
      <c r="H607" s="35">
        <v>1932666</v>
      </c>
      <c r="I607" s="35">
        <v>25</v>
      </c>
      <c r="J607" s="37" t="s">
        <v>10</v>
      </c>
      <c r="K607" s="37" t="s">
        <v>159</v>
      </c>
      <c r="L607" s="8">
        <v>25</v>
      </c>
      <c r="M607" s="8">
        <v>64769</v>
      </c>
      <c r="N607" s="9"/>
      <c r="O607" s="8">
        <v>0</v>
      </c>
      <c r="P607" s="9"/>
      <c r="Q607" s="8">
        <v>0</v>
      </c>
      <c r="R607" s="9"/>
      <c r="S607" s="8">
        <v>7262</v>
      </c>
      <c r="T607" s="9"/>
      <c r="U607" s="8">
        <v>0</v>
      </c>
      <c r="V607" s="9"/>
      <c r="W607" s="33">
        <v>72031</v>
      </c>
      <c r="X607" s="9"/>
      <c r="Y607" s="30">
        <v>41</v>
      </c>
      <c r="Z607" s="9"/>
      <c r="AA607" s="30">
        <v>0</v>
      </c>
      <c r="AB607" s="9"/>
      <c r="AC607" s="30">
        <v>0</v>
      </c>
      <c r="AD607" s="9"/>
      <c r="AE607" s="30">
        <v>4</v>
      </c>
      <c r="AF607" s="9"/>
      <c r="AG607" s="30">
        <v>0</v>
      </c>
      <c r="AH607" s="9"/>
      <c r="AI607" s="32">
        <v>45</v>
      </c>
      <c r="AJ607" s="12"/>
      <c r="AK607" s="22">
        <v>1339594</v>
      </c>
      <c r="AM607" s="22">
        <v>0</v>
      </c>
      <c r="AO607" s="22">
        <v>0</v>
      </c>
      <c r="AQ607" s="22">
        <v>619616</v>
      </c>
      <c r="AS607" s="26">
        <v>1959210</v>
      </c>
      <c r="AU607" s="23">
        <v>20.682600000000001</v>
      </c>
      <c r="AY607" s="23">
        <v>0</v>
      </c>
      <c r="BA607" s="23">
        <v>85.323099999999997</v>
      </c>
      <c r="BC607" s="24">
        <v>27.1995</v>
      </c>
      <c r="BE607" s="1" t="str">
        <f t="shared" si="9"/>
        <v>No</v>
      </c>
    </row>
    <row r="608" spans="1:57" ht="11.25" customHeight="1">
      <c r="A608" s="7" t="s">
        <v>205</v>
      </c>
      <c r="B608" s="7" t="s">
        <v>206</v>
      </c>
      <c r="C608" s="37" t="s">
        <v>36</v>
      </c>
      <c r="D608" s="296">
        <v>4047</v>
      </c>
      <c r="E608" s="297">
        <v>40047</v>
      </c>
      <c r="F608" s="27" t="s">
        <v>162</v>
      </c>
      <c r="G608" s="73" t="s">
        <v>158</v>
      </c>
      <c r="H608" s="35">
        <v>128754</v>
      </c>
      <c r="I608" s="35">
        <v>25</v>
      </c>
      <c r="J608" s="37" t="s">
        <v>7</v>
      </c>
      <c r="K608" s="37" t="s">
        <v>159</v>
      </c>
      <c r="L608" s="8">
        <v>22</v>
      </c>
      <c r="M608" s="8">
        <v>98233</v>
      </c>
      <c r="N608" s="9"/>
      <c r="O608" s="8">
        <v>16304</v>
      </c>
      <c r="P608" s="9"/>
      <c r="Q608" s="8">
        <v>7160</v>
      </c>
      <c r="R608" s="9"/>
      <c r="S608" s="8">
        <v>5674</v>
      </c>
      <c r="T608" s="9"/>
      <c r="U608" s="8">
        <v>0</v>
      </c>
      <c r="V608" s="9"/>
      <c r="W608" s="33">
        <v>127371</v>
      </c>
      <c r="X608" s="9"/>
      <c r="Y608" s="30">
        <v>58.8</v>
      </c>
      <c r="Z608" s="9"/>
      <c r="AA608" s="30">
        <v>8.1</v>
      </c>
      <c r="AB608" s="9"/>
      <c r="AC608" s="30">
        <v>4.5</v>
      </c>
      <c r="AD608" s="9"/>
      <c r="AE608" s="30">
        <v>2.7</v>
      </c>
      <c r="AF608" s="9"/>
      <c r="AG608" s="30">
        <v>0</v>
      </c>
      <c r="AH608" s="9"/>
      <c r="AI608" s="32">
        <v>74.099999999999994</v>
      </c>
      <c r="AJ608" s="12"/>
      <c r="AK608" s="22">
        <v>1956736</v>
      </c>
      <c r="AM608" s="22">
        <v>386464</v>
      </c>
      <c r="AO608" s="22">
        <v>93827</v>
      </c>
      <c r="AQ608" s="22">
        <v>148667</v>
      </c>
      <c r="AS608" s="26">
        <v>2585694</v>
      </c>
      <c r="AU608" s="23">
        <v>19.9193</v>
      </c>
      <c r="AW608" s="23">
        <v>23.703600000000002</v>
      </c>
      <c r="AY608" s="23">
        <v>0.95509999999999995</v>
      </c>
      <c r="BA608" s="23">
        <v>26.2014</v>
      </c>
      <c r="BC608" s="24">
        <v>20.3005</v>
      </c>
      <c r="BE608" s="1" t="str">
        <f t="shared" si="9"/>
        <v>No</v>
      </c>
    </row>
    <row r="609" spans="1:57" ht="11.25" customHeight="1">
      <c r="A609" s="7" t="s">
        <v>678</v>
      </c>
      <c r="B609" s="7" t="s">
        <v>679</v>
      </c>
      <c r="C609" s="37" t="s">
        <v>84</v>
      </c>
      <c r="D609" s="296">
        <v>6012</v>
      </c>
      <c r="E609" s="297">
        <v>60012</v>
      </c>
      <c r="F609" s="27" t="s">
        <v>162</v>
      </c>
      <c r="G609" s="73" t="s">
        <v>158</v>
      </c>
      <c r="H609" s="35">
        <v>172378</v>
      </c>
      <c r="I609" s="35">
        <v>25</v>
      </c>
      <c r="J609" s="37" t="s">
        <v>7</v>
      </c>
      <c r="K609" s="37" t="s">
        <v>159</v>
      </c>
      <c r="L609" s="8">
        <v>16</v>
      </c>
      <c r="M609" s="8">
        <v>121946</v>
      </c>
      <c r="N609" s="9"/>
      <c r="O609" s="8">
        <v>15336</v>
      </c>
      <c r="P609" s="9"/>
      <c r="Q609" s="8">
        <v>8387</v>
      </c>
      <c r="R609" s="9"/>
      <c r="S609" s="8">
        <v>14170</v>
      </c>
      <c r="T609" s="9"/>
      <c r="U609" s="8">
        <v>0</v>
      </c>
      <c r="V609" s="9"/>
      <c r="W609" s="33">
        <v>159839</v>
      </c>
      <c r="X609" s="9"/>
      <c r="Y609" s="30">
        <v>83.2</v>
      </c>
      <c r="Z609" s="9"/>
      <c r="AA609" s="30">
        <v>7</v>
      </c>
      <c r="AB609" s="9"/>
      <c r="AC609" s="30">
        <v>5.6</v>
      </c>
      <c r="AD609" s="9"/>
      <c r="AE609" s="30">
        <v>9.8000000000000007</v>
      </c>
      <c r="AF609" s="9"/>
      <c r="AG609" s="30">
        <v>0</v>
      </c>
      <c r="AH609" s="9"/>
      <c r="AI609" s="32">
        <v>105.6</v>
      </c>
      <c r="AJ609" s="12"/>
      <c r="AK609" s="22">
        <v>1640977</v>
      </c>
      <c r="AM609" s="22">
        <v>430963</v>
      </c>
      <c r="AO609" s="22">
        <v>132594</v>
      </c>
      <c r="AQ609" s="22">
        <v>178812</v>
      </c>
      <c r="AS609" s="26">
        <v>2383346</v>
      </c>
      <c r="AU609" s="23">
        <v>13.4566</v>
      </c>
      <c r="AW609" s="23">
        <v>28.101400000000002</v>
      </c>
      <c r="AY609" s="23">
        <v>1.0872999999999999</v>
      </c>
      <c r="BA609" s="23">
        <v>12.6191</v>
      </c>
      <c r="BC609" s="24">
        <v>14.9109</v>
      </c>
      <c r="BE609" s="1" t="str">
        <f t="shared" si="9"/>
        <v>No</v>
      </c>
    </row>
    <row r="610" spans="1:57" ht="11.25" customHeight="1">
      <c r="A610" s="7" t="s">
        <v>678</v>
      </c>
      <c r="B610" s="7" t="s">
        <v>679</v>
      </c>
      <c r="C610" s="37" t="s">
        <v>84</v>
      </c>
      <c r="D610" s="296">
        <v>6012</v>
      </c>
      <c r="E610" s="297">
        <v>60012</v>
      </c>
      <c r="F610" s="27" t="s">
        <v>162</v>
      </c>
      <c r="G610" s="73" t="s">
        <v>158</v>
      </c>
      <c r="H610" s="35">
        <v>172378</v>
      </c>
      <c r="I610" s="35">
        <v>25</v>
      </c>
      <c r="J610" s="37" t="s">
        <v>10</v>
      </c>
      <c r="K610" s="37" t="s">
        <v>159</v>
      </c>
      <c r="L610" s="8">
        <v>9</v>
      </c>
      <c r="M610" s="8">
        <v>30486</v>
      </c>
      <c r="N610" s="9"/>
      <c r="O610" s="8">
        <v>3834</v>
      </c>
      <c r="P610" s="9"/>
      <c r="Q610" s="8">
        <v>2355</v>
      </c>
      <c r="R610" s="9"/>
      <c r="S610" s="8">
        <v>3269</v>
      </c>
      <c r="T610" s="9"/>
      <c r="U610" s="8">
        <v>0</v>
      </c>
      <c r="V610" s="9"/>
      <c r="W610" s="33">
        <v>39944</v>
      </c>
      <c r="X610" s="9"/>
      <c r="Y610" s="30">
        <v>20.8</v>
      </c>
      <c r="Z610" s="9"/>
      <c r="AA610" s="30">
        <v>1.8</v>
      </c>
      <c r="AB610" s="9"/>
      <c r="AC610" s="30">
        <v>1.4</v>
      </c>
      <c r="AD610" s="9"/>
      <c r="AE610" s="30">
        <v>2.2000000000000002</v>
      </c>
      <c r="AF610" s="9"/>
      <c r="AG610" s="30">
        <v>0</v>
      </c>
      <c r="AH610" s="9"/>
      <c r="AI610" s="32">
        <v>26.2</v>
      </c>
      <c r="AJ610" s="12"/>
      <c r="AK610" s="22">
        <v>469068</v>
      </c>
      <c r="AM610" s="22">
        <v>64876</v>
      </c>
      <c r="AO610" s="22">
        <v>20223</v>
      </c>
      <c r="AQ610" s="22">
        <v>72718</v>
      </c>
      <c r="AS610" s="26">
        <v>626885</v>
      </c>
      <c r="AU610" s="23">
        <v>15.3863</v>
      </c>
      <c r="AW610" s="23">
        <v>16.921199999999999</v>
      </c>
      <c r="AY610" s="23">
        <v>0.66339999999999999</v>
      </c>
      <c r="BA610" s="23">
        <v>22.244700000000002</v>
      </c>
      <c r="BC610" s="24">
        <v>15.694100000000001</v>
      </c>
      <c r="BE610" s="1" t="str">
        <f t="shared" si="9"/>
        <v>No</v>
      </c>
    </row>
    <row r="611" spans="1:57" ht="11.25" customHeight="1">
      <c r="A611" s="7" t="s">
        <v>205</v>
      </c>
      <c r="B611" s="7" t="s">
        <v>206</v>
      </c>
      <c r="C611" s="37" t="s">
        <v>36</v>
      </c>
      <c r="D611" s="296">
        <v>4047</v>
      </c>
      <c r="E611" s="297">
        <v>40047</v>
      </c>
      <c r="F611" s="27" t="s">
        <v>162</v>
      </c>
      <c r="G611" s="73" t="s">
        <v>158</v>
      </c>
      <c r="H611" s="35">
        <v>128754</v>
      </c>
      <c r="I611" s="35">
        <v>25</v>
      </c>
      <c r="J611" s="37" t="s">
        <v>10</v>
      </c>
      <c r="K611" s="37" t="s">
        <v>159</v>
      </c>
      <c r="L611" s="8">
        <v>3</v>
      </c>
      <c r="M611" s="8">
        <v>10884</v>
      </c>
      <c r="N611" s="9"/>
      <c r="O611" s="8">
        <v>1812</v>
      </c>
      <c r="P611" s="9"/>
      <c r="Q611" s="8">
        <v>796</v>
      </c>
      <c r="R611" s="9"/>
      <c r="S611" s="8">
        <v>630</v>
      </c>
      <c r="T611" s="9"/>
      <c r="U611" s="8">
        <v>0</v>
      </c>
      <c r="V611" s="9"/>
      <c r="W611" s="33">
        <v>14122</v>
      </c>
      <c r="X611" s="9"/>
      <c r="Y611" s="30">
        <v>5.2</v>
      </c>
      <c r="Z611" s="9"/>
      <c r="AA611" s="30">
        <v>0.9</v>
      </c>
      <c r="AB611" s="9"/>
      <c r="AC611" s="30">
        <v>0.5</v>
      </c>
      <c r="AD611" s="9"/>
      <c r="AE611" s="30">
        <v>0.3</v>
      </c>
      <c r="AF611" s="9"/>
      <c r="AG611" s="30">
        <v>0</v>
      </c>
      <c r="AH611" s="9"/>
      <c r="AI611" s="32">
        <v>6.9</v>
      </c>
      <c r="AJ611" s="12"/>
      <c r="AK611" s="22">
        <v>202197</v>
      </c>
      <c r="AM611" s="22">
        <v>42940</v>
      </c>
      <c r="AO611" s="22">
        <v>10425</v>
      </c>
      <c r="AQ611" s="22">
        <v>16519</v>
      </c>
      <c r="AS611" s="26">
        <v>272081</v>
      </c>
      <c r="AU611" s="23">
        <v>18.577500000000001</v>
      </c>
      <c r="AW611" s="23">
        <v>23.697600000000001</v>
      </c>
      <c r="AY611" s="23">
        <v>0.95779999999999998</v>
      </c>
      <c r="BA611" s="23">
        <v>26.220600000000001</v>
      </c>
      <c r="BC611" s="24">
        <v>19.266500000000001</v>
      </c>
      <c r="BE611" s="1" t="str">
        <f t="shared" si="9"/>
        <v>No</v>
      </c>
    </row>
    <row r="612" spans="1:57" ht="11.25" customHeight="1">
      <c r="A612" s="7" t="s">
        <v>795</v>
      </c>
      <c r="B612" s="7" t="s">
        <v>791</v>
      </c>
      <c r="C612" s="37" t="s">
        <v>792</v>
      </c>
      <c r="D612" s="296">
        <v>9242</v>
      </c>
      <c r="E612" s="297">
        <v>90242</v>
      </c>
      <c r="F612" s="27" t="s">
        <v>187</v>
      </c>
      <c r="G612" s="73" t="s">
        <v>158</v>
      </c>
      <c r="H612" s="35">
        <v>1886011</v>
      </c>
      <c r="I612" s="35">
        <v>24</v>
      </c>
      <c r="J612" s="37" t="s">
        <v>34</v>
      </c>
      <c r="K612" s="37" t="s">
        <v>159</v>
      </c>
      <c r="L612" s="8">
        <v>24</v>
      </c>
      <c r="M612" s="8">
        <v>164800</v>
      </c>
      <c r="N612" s="9"/>
      <c r="O612" s="8">
        <v>41120</v>
      </c>
      <c r="P612" s="9"/>
      <c r="Q612" s="8">
        <v>5680</v>
      </c>
      <c r="R612" s="9"/>
      <c r="S612" s="8">
        <v>33750</v>
      </c>
      <c r="T612" s="9"/>
      <c r="U612" s="8">
        <v>0</v>
      </c>
      <c r="V612" s="9"/>
      <c r="W612" s="33">
        <v>245350</v>
      </c>
      <c r="X612" s="9"/>
      <c r="Y612" s="30">
        <v>88</v>
      </c>
      <c r="Z612" s="9"/>
      <c r="AA612" s="30">
        <v>24</v>
      </c>
      <c r="AB612" s="9"/>
      <c r="AC612" s="30">
        <v>3</v>
      </c>
      <c r="AD612" s="9"/>
      <c r="AE612" s="30">
        <v>19</v>
      </c>
      <c r="AF612" s="9"/>
      <c r="AG612" s="30">
        <v>0</v>
      </c>
      <c r="AH612" s="9"/>
      <c r="AI612" s="32">
        <v>134</v>
      </c>
      <c r="AJ612" s="12"/>
      <c r="AK612" s="22">
        <v>3797804</v>
      </c>
      <c r="AM612" s="22">
        <v>1204120</v>
      </c>
      <c r="AO612" s="22">
        <v>202128</v>
      </c>
      <c r="AQ612" s="22">
        <v>2246117</v>
      </c>
      <c r="AS612" s="26">
        <v>7450169</v>
      </c>
      <c r="AU612" s="23">
        <v>23.044899999999998</v>
      </c>
      <c r="AW612" s="23">
        <v>29.283100000000001</v>
      </c>
      <c r="AY612" s="23">
        <v>1.2264999999999999</v>
      </c>
      <c r="BA612" s="23">
        <v>66.551599999999993</v>
      </c>
      <c r="BC612" s="24">
        <v>30.365500000000001</v>
      </c>
      <c r="BE612" s="1" t="str">
        <f t="shared" si="9"/>
        <v>No</v>
      </c>
    </row>
    <row r="613" spans="1:57" ht="11.25" customHeight="1">
      <c r="A613" s="7" t="s">
        <v>1106</v>
      </c>
      <c r="B613" s="7" t="s">
        <v>1107</v>
      </c>
      <c r="C613" s="37" t="s">
        <v>32</v>
      </c>
      <c r="D613" s="296" t="s">
        <v>1108</v>
      </c>
      <c r="E613" s="297">
        <v>41068</v>
      </c>
      <c r="F613" s="27" t="s">
        <v>162</v>
      </c>
      <c r="G613" s="73" t="s">
        <v>158</v>
      </c>
      <c r="H613" s="35">
        <v>349064</v>
      </c>
      <c r="I613" s="35">
        <v>24</v>
      </c>
      <c r="J613" s="37" t="s">
        <v>10</v>
      </c>
      <c r="K613" s="37" t="s">
        <v>159</v>
      </c>
      <c r="L613" s="8">
        <v>24</v>
      </c>
      <c r="M613" s="8">
        <v>61152</v>
      </c>
      <c r="N613" s="9"/>
      <c r="O613" s="8">
        <v>0</v>
      </c>
      <c r="P613" s="9"/>
      <c r="Q613" s="8">
        <v>0</v>
      </c>
      <c r="R613" s="9"/>
      <c r="S613" s="8">
        <v>4160</v>
      </c>
      <c r="T613" s="9"/>
      <c r="U613" s="8">
        <v>0</v>
      </c>
      <c r="V613" s="9"/>
      <c r="W613" s="33">
        <v>65312</v>
      </c>
      <c r="X613" s="9"/>
      <c r="Y613" s="30">
        <v>30</v>
      </c>
      <c r="Z613" s="9"/>
      <c r="AA613" s="30">
        <v>0</v>
      </c>
      <c r="AB613" s="9"/>
      <c r="AC613" s="30">
        <v>0</v>
      </c>
      <c r="AD613" s="9"/>
      <c r="AE613" s="30">
        <v>2</v>
      </c>
      <c r="AF613" s="9"/>
      <c r="AG613" s="30">
        <v>0</v>
      </c>
      <c r="AH613" s="9"/>
      <c r="AI613" s="32">
        <v>32</v>
      </c>
      <c r="AJ613" s="12"/>
      <c r="AK613" s="22">
        <v>635474</v>
      </c>
      <c r="AM613" s="22">
        <v>0</v>
      </c>
      <c r="AO613" s="22">
        <v>0</v>
      </c>
      <c r="AQ613" s="22">
        <v>70325</v>
      </c>
      <c r="AS613" s="26">
        <v>705799</v>
      </c>
      <c r="AU613" s="23">
        <v>10.3917</v>
      </c>
      <c r="AY613" s="23">
        <v>0</v>
      </c>
      <c r="BA613" s="23">
        <v>16.905000000000001</v>
      </c>
      <c r="BC613" s="24">
        <v>10.8066</v>
      </c>
      <c r="BE613" s="1" t="str">
        <f t="shared" si="9"/>
        <v>No</v>
      </c>
    </row>
    <row r="614" spans="1:57" ht="11.25" customHeight="1">
      <c r="A614" s="7" t="s">
        <v>737</v>
      </c>
      <c r="B614" s="7" t="s">
        <v>422</v>
      </c>
      <c r="C614" s="37" t="s">
        <v>38</v>
      </c>
      <c r="D614" s="296">
        <v>7045</v>
      </c>
      <c r="E614" s="297">
        <v>70045</v>
      </c>
      <c r="F614" s="27" t="s">
        <v>162</v>
      </c>
      <c r="G614" s="73" t="s">
        <v>158</v>
      </c>
      <c r="H614" s="35">
        <v>106621</v>
      </c>
      <c r="I614" s="35">
        <v>24</v>
      </c>
      <c r="J614" s="37" t="s">
        <v>10</v>
      </c>
      <c r="K614" s="37" t="s">
        <v>159</v>
      </c>
      <c r="L614" s="8">
        <v>24</v>
      </c>
      <c r="M614" s="8">
        <v>62657</v>
      </c>
      <c r="N614" s="9"/>
      <c r="O614" s="8">
        <v>1253</v>
      </c>
      <c r="P614" s="9"/>
      <c r="Q614" s="8">
        <v>0</v>
      </c>
      <c r="R614" s="9"/>
      <c r="S614" s="8">
        <v>5805</v>
      </c>
      <c r="T614" s="9"/>
      <c r="U614" s="8">
        <v>0</v>
      </c>
      <c r="V614" s="9"/>
      <c r="W614" s="33">
        <v>69715</v>
      </c>
      <c r="X614" s="9"/>
      <c r="Y614" s="30">
        <v>54</v>
      </c>
      <c r="Z614" s="9"/>
      <c r="AA614" s="30">
        <v>3</v>
      </c>
      <c r="AB614" s="9"/>
      <c r="AC614" s="30">
        <v>0</v>
      </c>
      <c r="AD614" s="9"/>
      <c r="AE614" s="30">
        <v>4</v>
      </c>
      <c r="AF614" s="9"/>
      <c r="AG614" s="30">
        <v>0</v>
      </c>
      <c r="AH614" s="9"/>
      <c r="AI614" s="32">
        <v>61</v>
      </c>
      <c r="AJ614" s="12"/>
      <c r="AK614" s="22">
        <v>1397099</v>
      </c>
      <c r="AM614" s="22">
        <v>28426</v>
      </c>
      <c r="AO614" s="22">
        <v>0</v>
      </c>
      <c r="AQ614" s="22">
        <v>228077</v>
      </c>
      <c r="AS614" s="26">
        <v>1653602</v>
      </c>
      <c r="AU614" s="23">
        <v>22.297599999999999</v>
      </c>
      <c r="AW614" s="23">
        <v>22.686399999999999</v>
      </c>
      <c r="AY614" s="23">
        <v>0</v>
      </c>
      <c r="BA614" s="23">
        <v>39.2898</v>
      </c>
      <c r="BC614" s="24">
        <v>23.7195</v>
      </c>
      <c r="BE614" s="1" t="str">
        <f t="shared" si="9"/>
        <v>No</v>
      </c>
    </row>
    <row r="615" spans="1:57" ht="11.25" customHeight="1">
      <c r="A615" s="7" t="s">
        <v>1145</v>
      </c>
      <c r="B615" s="7" t="s">
        <v>284</v>
      </c>
      <c r="C615" s="37" t="s">
        <v>55</v>
      </c>
      <c r="D615" s="296">
        <v>7003</v>
      </c>
      <c r="E615" s="297">
        <v>70003</v>
      </c>
      <c r="F615" s="27" t="s">
        <v>162</v>
      </c>
      <c r="G615" s="73" t="s">
        <v>158</v>
      </c>
      <c r="H615" s="35">
        <v>273724</v>
      </c>
      <c r="I615" s="35">
        <v>24</v>
      </c>
      <c r="J615" s="37" t="s">
        <v>7</v>
      </c>
      <c r="K615" s="37" t="s">
        <v>159</v>
      </c>
      <c r="L615" s="8">
        <v>20</v>
      </c>
      <c r="M615" s="8">
        <v>103146</v>
      </c>
      <c r="N615" s="9"/>
      <c r="O615" s="8">
        <v>16875</v>
      </c>
      <c r="P615" s="9"/>
      <c r="Q615" s="8">
        <v>2275</v>
      </c>
      <c r="R615" s="9"/>
      <c r="S615" s="8">
        <v>11080</v>
      </c>
      <c r="T615" s="9"/>
      <c r="U615" s="8">
        <v>0</v>
      </c>
      <c r="V615" s="9"/>
      <c r="W615" s="33">
        <v>133376</v>
      </c>
      <c r="X615" s="9"/>
      <c r="Y615" s="30">
        <v>49.8</v>
      </c>
      <c r="Z615" s="9"/>
      <c r="AA615" s="30">
        <v>9.3000000000000007</v>
      </c>
      <c r="AB615" s="9"/>
      <c r="AC615" s="30">
        <v>1.2</v>
      </c>
      <c r="AD615" s="9"/>
      <c r="AE615" s="30">
        <v>6.1</v>
      </c>
      <c r="AF615" s="9"/>
      <c r="AG615" s="30">
        <v>0</v>
      </c>
      <c r="AH615" s="9"/>
      <c r="AI615" s="32">
        <v>66.400000000000006</v>
      </c>
      <c r="AJ615" s="12"/>
      <c r="AK615" s="22">
        <v>2440489</v>
      </c>
      <c r="AM615" s="22">
        <v>547541</v>
      </c>
      <c r="AO615" s="22">
        <v>42906</v>
      </c>
      <c r="AQ615" s="22">
        <v>460026</v>
      </c>
      <c r="AS615" s="26">
        <v>3490962</v>
      </c>
      <c r="AU615" s="23">
        <v>23.660499999999999</v>
      </c>
      <c r="AW615" s="23">
        <v>32.446899999999999</v>
      </c>
      <c r="AY615" s="23">
        <v>0.41599999999999998</v>
      </c>
      <c r="BA615" s="23">
        <v>41.518599999999999</v>
      </c>
      <c r="BC615" s="24">
        <v>26.1738</v>
      </c>
      <c r="BE615" s="1" t="str">
        <f t="shared" si="9"/>
        <v>No</v>
      </c>
    </row>
    <row r="616" spans="1:57" ht="11.25" customHeight="1">
      <c r="A616" s="7" t="s">
        <v>528</v>
      </c>
      <c r="B616" s="7" t="s">
        <v>527</v>
      </c>
      <c r="C616" s="37" t="s">
        <v>17</v>
      </c>
      <c r="D616" s="296">
        <v>9022</v>
      </c>
      <c r="E616" s="297">
        <v>90022</v>
      </c>
      <c r="F616" s="27" t="s">
        <v>162</v>
      </c>
      <c r="G616" s="73" t="s">
        <v>158</v>
      </c>
      <c r="H616" s="35">
        <v>12150996</v>
      </c>
      <c r="I616" s="35">
        <v>24</v>
      </c>
      <c r="J616" s="37" t="s">
        <v>7</v>
      </c>
      <c r="K616" s="37" t="s">
        <v>159</v>
      </c>
      <c r="L616" s="8">
        <v>19</v>
      </c>
      <c r="M616" s="8">
        <v>99642</v>
      </c>
      <c r="N616" s="9"/>
      <c r="O616" s="8">
        <v>28027</v>
      </c>
      <c r="P616" s="9"/>
      <c r="Q616" s="8">
        <v>3114</v>
      </c>
      <c r="R616" s="9"/>
      <c r="S616" s="8">
        <v>17865</v>
      </c>
      <c r="T616" s="9"/>
      <c r="U616" s="8">
        <v>0</v>
      </c>
      <c r="V616" s="9"/>
      <c r="W616" s="33">
        <v>148648</v>
      </c>
      <c r="X616" s="9"/>
      <c r="Y616" s="30">
        <v>69</v>
      </c>
      <c r="Z616" s="9"/>
      <c r="AA616" s="30">
        <v>18</v>
      </c>
      <c r="AB616" s="9"/>
      <c r="AC616" s="30">
        <v>2</v>
      </c>
      <c r="AD616" s="9"/>
      <c r="AE616" s="30">
        <v>11</v>
      </c>
      <c r="AF616" s="9"/>
      <c r="AG616" s="30">
        <v>0</v>
      </c>
      <c r="AH616" s="9"/>
      <c r="AI616" s="32">
        <v>100</v>
      </c>
      <c r="AJ616" s="12"/>
      <c r="AK616" s="22">
        <v>3185514</v>
      </c>
      <c r="AM616" s="22">
        <v>943157</v>
      </c>
      <c r="AO616" s="22">
        <v>42749</v>
      </c>
      <c r="AQ616" s="22">
        <v>549493</v>
      </c>
      <c r="AS616" s="26">
        <v>4720913</v>
      </c>
      <c r="AU616" s="23">
        <v>31.9696</v>
      </c>
      <c r="AW616" s="23">
        <v>33.651699999999998</v>
      </c>
      <c r="AY616" s="23">
        <v>0.42899999999999999</v>
      </c>
      <c r="BA616" s="23">
        <v>30.758099999999999</v>
      </c>
      <c r="BC616" s="24">
        <v>31.759</v>
      </c>
      <c r="BE616" s="1" t="str">
        <f t="shared" si="9"/>
        <v>No</v>
      </c>
    </row>
    <row r="617" spans="1:57" ht="11.25" customHeight="1">
      <c r="A617" s="7" t="s">
        <v>558</v>
      </c>
      <c r="B617" s="7" t="s">
        <v>559</v>
      </c>
      <c r="C617" s="37" t="s">
        <v>26</v>
      </c>
      <c r="D617" s="296">
        <v>8007</v>
      </c>
      <c r="E617" s="297">
        <v>80007</v>
      </c>
      <c r="F617" s="27" t="s">
        <v>162</v>
      </c>
      <c r="G617" s="73" t="s">
        <v>158</v>
      </c>
      <c r="H617" s="35">
        <v>136550</v>
      </c>
      <c r="I617" s="35">
        <v>24</v>
      </c>
      <c r="J617" s="37" t="s">
        <v>7</v>
      </c>
      <c r="K617" s="37" t="s">
        <v>159</v>
      </c>
      <c r="L617" s="8">
        <v>13</v>
      </c>
      <c r="M617" s="8">
        <v>55225</v>
      </c>
      <c r="N617" s="9"/>
      <c r="O617" s="8">
        <v>8728</v>
      </c>
      <c r="P617" s="9"/>
      <c r="Q617" s="8">
        <v>1473</v>
      </c>
      <c r="R617" s="9" t="s">
        <v>121</v>
      </c>
      <c r="S617" s="8">
        <v>5631</v>
      </c>
      <c r="T617" s="9"/>
      <c r="U617" s="8">
        <v>0</v>
      </c>
      <c r="V617" s="9"/>
      <c r="W617" s="33">
        <v>71057</v>
      </c>
      <c r="X617" s="9" t="s">
        <v>121</v>
      </c>
      <c r="Y617" s="30">
        <v>39</v>
      </c>
      <c r="Z617" s="9"/>
      <c r="AA617" s="30">
        <v>6</v>
      </c>
      <c r="AB617" s="9"/>
      <c r="AC617" s="30">
        <v>2</v>
      </c>
      <c r="AD617" s="9"/>
      <c r="AE617" s="30">
        <v>3</v>
      </c>
      <c r="AF617" s="9"/>
      <c r="AG617" s="30">
        <v>0</v>
      </c>
      <c r="AH617" s="9"/>
      <c r="AI617" s="32">
        <v>50</v>
      </c>
      <c r="AJ617" s="12"/>
      <c r="AK617" s="22">
        <v>1064217</v>
      </c>
      <c r="AM617" s="22">
        <v>247449</v>
      </c>
      <c r="AO617" s="22">
        <v>128841</v>
      </c>
      <c r="AP617" s="22" t="s">
        <v>121</v>
      </c>
      <c r="AQ617" s="22">
        <v>188202</v>
      </c>
      <c r="AS617" s="26">
        <v>1628709</v>
      </c>
      <c r="AT617" s="22" t="s">
        <v>121</v>
      </c>
      <c r="AU617" s="23">
        <v>19.270600000000002</v>
      </c>
      <c r="AW617" s="23">
        <v>28.351199999999999</v>
      </c>
      <c r="AY617" s="23">
        <v>2.3330000000000002</v>
      </c>
      <c r="AZ617" s="23" t="s">
        <v>121</v>
      </c>
      <c r="BA617" s="23">
        <v>33.422499999999999</v>
      </c>
      <c r="BC617" s="24">
        <v>22.921199999999999</v>
      </c>
      <c r="BD617" s="1" t="s">
        <v>121</v>
      </c>
      <c r="BE617" s="1" t="str">
        <f t="shared" si="9"/>
        <v>Yes</v>
      </c>
    </row>
    <row r="618" spans="1:57" ht="11.25" customHeight="1">
      <c r="A618" s="7" t="s">
        <v>715</v>
      </c>
      <c r="B618" s="7" t="s">
        <v>716</v>
      </c>
      <c r="C618" s="37" t="s">
        <v>77</v>
      </c>
      <c r="D618" s="296">
        <v>3095</v>
      </c>
      <c r="E618" s="297">
        <v>30095</v>
      </c>
      <c r="F618" s="27" t="s">
        <v>165</v>
      </c>
      <c r="G618" s="73" t="s">
        <v>158</v>
      </c>
      <c r="H618" s="35">
        <v>77086</v>
      </c>
      <c r="I618" s="35">
        <v>24</v>
      </c>
      <c r="J618" s="37" t="s">
        <v>10</v>
      </c>
      <c r="K618" s="37" t="s">
        <v>159</v>
      </c>
      <c r="L618" s="8">
        <v>12</v>
      </c>
      <c r="M618" s="8">
        <v>24766</v>
      </c>
      <c r="N618" s="9"/>
      <c r="O618" s="8">
        <v>4065</v>
      </c>
      <c r="P618" s="9"/>
      <c r="Q618" s="8">
        <v>0</v>
      </c>
      <c r="R618" s="9"/>
      <c r="S618" s="8">
        <v>1656</v>
      </c>
      <c r="T618" s="9"/>
      <c r="U618" s="8">
        <v>0</v>
      </c>
      <c r="V618" s="9"/>
      <c r="W618" s="33">
        <v>30487</v>
      </c>
      <c r="X618" s="9"/>
      <c r="Y618" s="30">
        <v>14.5</v>
      </c>
      <c r="Z618" s="9"/>
      <c r="AA618" s="30">
        <v>2.2000000000000002</v>
      </c>
      <c r="AB618" s="9"/>
      <c r="AC618" s="30">
        <v>0</v>
      </c>
      <c r="AD618" s="9"/>
      <c r="AE618" s="30">
        <v>1.1000000000000001</v>
      </c>
      <c r="AF618" s="9"/>
      <c r="AG618" s="30">
        <v>0</v>
      </c>
      <c r="AH618" s="9"/>
      <c r="AI618" s="32">
        <v>17.8</v>
      </c>
      <c r="AJ618" s="12"/>
      <c r="AK618" s="22">
        <v>374473</v>
      </c>
      <c r="AM618" s="22">
        <v>60651</v>
      </c>
      <c r="AO618" s="22">
        <v>0</v>
      </c>
      <c r="AQ618" s="22">
        <v>39810</v>
      </c>
      <c r="AS618" s="26">
        <v>474934</v>
      </c>
      <c r="AU618" s="23">
        <v>15.1204</v>
      </c>
      <c r="AW618" s="23">
        <v>14.920299999999999</v>
      </c>
      <c r="AY618" s="23">
        <v>0</v>
      </c>
      <c r="BA618" s="23">
        <v>24.039899999999999</v>
      </c>
      <c r="BC618" s="24">
        <v>15.578200000000001</v>
      </c>
      <c r="BE618" s="1" t="str">
        <f t="shared" si="9"/>
        <v>No</v>
      </c>
    </row>
    <row r="619" spans="1:57" ht="11.25" customHeight="1">
      <c r="A619" s="7" t="s">
        <v>715</v>
      </c>
      <c r="B619" s="7" t="s">
        <v>716</v>
      </c>
      <c r="C619" s="37" t="s">
        <v>77</v>
      </c>
      <c r="D619" s="296">
        <v>3095</v>
      </c>
      <c r="E619" s="297">
        <v>30095</v>
      </c>
      <c r="F619" s="27" t="s">
        <v>165</v>
      </c>
      <c r="G619" s="73" t="s">
        <v>158</v>
      </c>
      <c r="H619" s="35">
        <v>77086</v>
      </c>
      <c r="I619" s="35">
        <v>24</v>
      </c>
      <c r="J619" s="37" t="s">
        <v>7</v>
      </c>
      <c r="K619" s="37" t="s">
        <v>159</v>
      </c>
      <c r="L619" s="8">
        <v>8</v>
      </c>
      <c r="M619" s="8">
        <v>30068</v>
      </c>
      <c r="N619" s="9"/>
      <c r="O619" s="8">
        <v>6183</v>
      </c>
      <c r="P619" s="9"/>
      <c r="Q619" s="8">
        <v>1733</v>
      </c>
      <c r="R619" s="9"/>
      <c r="S619" s="8">
        <v>6671</v>
      </c>
      <c r="T619" s="9"/>
      <c r="U619" s="8">
        <v>0</v>
      </c>
      <c r="V619" s="9"/>
      <c r="W619" s="33">
        <v>44655</v>
      </c>
      <c r="X619" s="9"/>
      <c r="Y619" s="30">
        <v>14.44</v>
      </c>
      <c r="Z619" s="9"/>
      <c r="AA619" s="30">
        <v>3.46</v>
      </c>
      <c r="AB619" s="9"/>
      <c r="AC619" s="30">
        <v>0.96</v>
      </c>
      <c r="AD619" s="9"/>
      <c r="AE619" s="30">
        <v>4.4000000000000004</v>
      </c>
      <c r="AF619" s="9"/>
      <c r="AG619" s="30">
        <v>0</v>
      </c>
      <c r="AH619" s="9"/>
      <c r="AI619" s="32">
        <v>23.26</v>
      </c>
      <c r="AJ619" s="12"/>
      <c r="AK619" s="22">
        <v>509697</v>
      </c>
      <c r="AM619" s="22">
        <v>124193</v>
      </c>
      <c r="AO619" s="22">
        <v>46208</v>
      </c>
      <c r="AQ619" s="22">
        <v>204961</v>
      </c>
      <c r="AS619" s="26">
        <v>885059</v>
      </c>
      <c r="AU619" s="23">
        <v>16.951499999999999</v>
      </c>
      <c r="AW619" s="23">
        <v>20.086200000000002</v>
      </c>
      <c r="AY619" s="23">
        <v>1.5367999999999999</v>
      </c>
      <c r="BA619" s="23">
        <v>30.7242</v>
      </c>
      <c r="BC619" s="24">
        <v>19.819900000000001</v>
      </c>
      <c r="BE619" s="1" t="str">
        <f t="shared" si="9"/>
        <v>No</v>
      </c>
    </row>
    <row r="620" spans="1:57" ht="11.25" customHeight="1">
      <c r="A620" s="7" t="s">
        <v>715</v>
      </c>
      <c r="B620" s="7" t="s">
        <v>716</v>
      </c>
      <c r="C620" s="37" t="s">
        <v>77</v>
      </c>
      <c r="D620" s="296">
        <v>3095</v>
      </c>
      <c r="E620" s="297">
        <v>30095</v>
      </c>
      <c r="F620" s="27" t="s">
        <v>165</v>
      </c>
      <c r="G620" s="73" t="s">
        <v>158</v>
      </c>
      <c r="H620" s="35">
        <v>77086</v>
      </c>
      <c r="I620" s="35">
        <v>24</v>
      </c>
      <c r="J620" s="37" t="s">
        <v>18</v>
      </c>
      <c r="K620" s="37" t="s">
        <v>159</v>
      </c>
      <c r="L620" s="8">
        <v>4</v>
      </c>
      <c r="M620" s="8">
        <v>6908</v>
      </c>
      <c r="N620" s="9"/>
      <c r="O620" s="8">
        <v>1581</v>
      </c>
      <c r="P620" s="9"/>
      <c r="Q620" s="8">
        <v>433</v>
      </c>
      <c r="R620" s="9"/>
      <c r="S620" s="8">
        <v>2321</v>
      </c>
      <c r="T620" s="9"/>
      <c r="U620" s="8">
        <v>0</v>
      </c>
      <c r="V620" s="9"/>
      <c r="W620" s="33">
        <v>11243</v>
      </c>
      <c r="X620" s="9"/>
      <c r="Y620" s="30">
        <v>3.36</v>
      </c>
      <c r="Z620" s="9"/>
      <c r="AA620" s="30">
        <v>0.84</v>
      </c>
      <c r="AB620" s="9"/>
      <c r="AC620" s="30">
        <v>0.24</v>
      </c>
      <c r="AD620" s="9"/>
      <c r="AE620" s="30">
        <v>1.5</v>
      </c>
      <c r="AF620" s="9"/>
      <c r="AG620" s="30">
        <v>0</v>
      </c>
      <c r="AH620" s="9"/>
      <c r="AI620" s="32">
        <v>5.94</v>
      </c>
      <c r="AJ620" s="12"/>
      <c r="AK620" s="22">
        <v>142089</v>
      </c>
      <c r="AM620" s="22">
        <v>34621</v>
      </c>
      <c r="AO620" s="22">
        <v>12881</v>
      </c>
      <c r="AQ620" s="22">
        <v>57138</v>
      </c>
      <c r="AS620" s="26">
        <v>246729</v>
      </c>
      <c r="AU620" s="23">
        <v>20.5688</v>
      </c>
      <c r="AW620" s="23">
        <v>21.898199999999999</v>
      </c>
      <c r="AY620" s="23">
        <v>1.8646</v>
      </c>
      <c r="BA620" s="23">
        <v>24.617799999999999</v>
      </c>
      <c r="BC620" s="24">
        <v>21.9451</v>
      </c>
      <c r="BE620" s="1" t="str">
        <f t="shared" si="9"/>
        <v>No</v>
      </c>
    </row>
    <row r="621" spans="1:57" ht="11.25" customHeight="1">
      <c r="A621" s="7" t="s">
        <v>1145</v>
      </c>
      <c r="B621" s="7" t="s">
        <v>284</v>
      </c>
      <c r="C621" s="37" t="s">
        <v>55</v>
      </c>
      <c r="D621" s="296">
        <v>7003</v>
      </c>
      <c r="E621" s="297">
        <v>70003</v>
      </c>
      <c r="F621" s="27" t="s">
        <v>162</v>
      </c>
      <c r="G621" s="73" t="s">
        <v>158</v>
      </c>
      <c r="H621" s="35">
        <v>273724</v>
      </c>
      <c r="I621" s="35">
        <v>24</v>
      </c>
      <c r="J621" s="37" t="s">
        <v>10</v>
      </c>
      <c r="K621" s="37" t="s">
        <v>159</v>
      </c>
      <c r="L621" s="8">
        <v>4</v>
      </c>
      <c r="M621" s="8">
        <v>12748</v>
      </c>
      <c r="N621" s="9"/>
      <c r="O621" s="8">
        <v>2086</v>
      </c>
      <c r="P621" s="9"/>
      <c r="Q621" s="8">
        <v>281</v>
      </c>
      <c r="R621" s="9"/>
      <c r="S621" s="8">
        <v>1369</v>
      </c>
      <c r="T621" s="9"/>
      <c r="U621" s="8">
        <v>0</v>
      </c>
      <c r="V621" s="9"/>
      <c r="W621" s="33">
        <v>16484</v>
      </c>
      <c r="X621" s="9"/>
      <c r="Y621" s="30">
        <v>6.2</v>
      </c>
      <c r="Z621" s="9"/>
      <c r="AA621" s="30">
        <v>1.1000000000000001</v>
      </c>
      <c r="AB621" s="9"/>
      <c r="AC621" s="30">
        <v>0.15</v>
      </c>
      <c r="AD621" s="9"/>
      <c r="AE621" s="30">
        <v>0.8</v>
      </c>
      <c r="AF621" s="9"/>
      <c r="AG621" s="30">
        <v>0</v>
      </c>
      <c r="AH621" s="9"/>
      <c r="AI621" s="32">
        <v>8.25</v>
      </c>
      <c r="AJ621" s="12"/>
      <c r="AK621" s="22">
        <v>300088</v>
      </c>
      <c r="AM621" s="22">
        <v>67327</v>
      </c>
      <c r="AO621" s="22">
        <v>5276</v>
      </c>
      <c r="AQ621" s="22">
        <v>56566</v>
      </c>
      <c r="AS621" s="26">
        <v>429257</v>
      </c>
      <c r="AU621" s="23">
        <v>23.54</v>
      </c>
      <c r="AW621" s="23">
        <v>32.275599999999997</v>
      </c>
      <c r="AY621" s="23">
        <v>0.41389999999999999</v>
      </c>
      <c r="BA621" s="23">
        <v>41.319200000000002</v>
      </c>
      <c r="BC621" s="24">
        <v>26.040800000000001</v>
      </c>
      <c r="BE621" s="1" t="str">
        <f t="shared" si="9"/>
        <v>No</v>
      </c>
    </row>
    <row r="622" spans="1:57" ht="11.25" customHeight="1">
      <c r="A622" s="7" t="s">
        <v>1109</v>
      </c>
      <c r="B622" s="7" t="s">
        <v>477</v>
      </c>
      <c r="C622" s="37" t="s">
        <v>54</v>
      </c>
      <c r="D622" s="296">
        <v>5218</v>
      </c>
      <c r="E622" s="297">
        <v>50515</v>
      </c>
      <c r="F622" s="27" t="s">
        <v>114</v>
      </c>
      <c r="G622" s="73" t="s">
        <v>158</v>
      </c>
      <c r="H622" s="35">
        <v>2650890</v>
      </c>
      <c r="I622" s="35">
        <v>24</v>
      </c>
      <c r="J622" s="37" t="s">
        <v>10</v>
      </c>
      <c r="K622" s="37" t="s">
        <v>159</v>
      </c>
      <c r="L622" s="8">
        <v>3</v>
      </c>
      <c r="M622" s="8">
        <v>6079</v>
      </c>
      <c r="N622" s="9"/>
      <c r="O622" s="8">
        <v>0</v>
      </c>
      <c r="P622" s="9"/>
      <c r="Q622" s="8">
        <v>0</v>
      </c>
      <c r="R622" s="9"/>
      <c r="S622" s="8">
        <v>1664</v>
      </c>
      <c r="T622" s="9"/>
      <c r="U622" s="8">
        <v>0</v>
      </c>
      <c r="V622" s="9"/>
      <c r="W622" s="33">
        <v>7743</v>
      </c>
      <c r="X622" s="9"/>
      <c r="Y622" s="30">
        <v>7</v>
      </c>
      <c r="Z622" s="9"/>
      <c r="AA622" s="30">
        <v>0</v>
      </c>
      <c r="AB622" s="9"/>
      <c r="AC622" s="30">
        <v>0</v>
      </c>
      <c r="AD622" s="9"/>
      <c r="AE622" s="30">
        <v>2</v>
      </c>
      <c r="AF622" s="9"/>
      <c r="AG622" s="30">
        <v>0</v>
      </c>
      <c r="AH622" s="9"/>
      <c r="AI622" s="32">
        <v>9</v>
      </c>
      <c r="AJ622" s="12"/>
      <c r="AK622" s="22">
        <v>138336</v>
      </c>
      <c r="AM622" s="22">
        <v>0</v>
      </c>
      <c r="AO622" s="22">
        <v>0</v>
      </c>
      <c r="AQ622" s="22">
        <v>36581</v>
      </c>
      <c r="AS622" s="26">
        <v>174917</v>
      </c>
      <c r="AU622" s="23">
        <v>22.756399999999999</v>
      </c>
      <c r="AY622" s="23">
        <v>0</v>
      </c>
      <c r="BA622" s="23">
        <v>21.983799999999999</v>
      </c>
      <c r="BC622" s="24">
        <v>22.590299999999999</v>
      </c>
      <c r="BE622" s="1" t="str">
        <f t="shared" si="9"/>
        <v>No</v>
      </c>
    </row>
    <row r="623" spans="1:57" ht="11.25" customHeight="1">
      <c r="A623" s="7" t="s">
        <v>163</v>
      </c>
      <c r="B623" s="7" t="s">
        <v>164</v>
      </c>
      <c r="C623" s="37" t="s">
        <v>28</v>
      </c>
      <c r="D623" s="296">
        <v>1040</v>
      </c>
      <c r="E623" s="297">
        <v>10040</v>
      </c>
      <c r="F623" s="27" t="s">
        <v>165</v>
      </c>
      <c r="G623" s="73" t="s">
        <v>158</v>
      </c>
      <c r="H623" s="35">
        <v>209190</v>
      </c>
      <c r="I623" s="35">
        <v>23</v>
      </c>
      <c r="J623" s="37" t="s">
        <v>7</v>
      </c>
      <c r="K623" s="37" t="s">
        <v>159</v>
      </c>
      <c r="L623" s="8">
        <v>18</v>
      </c>
      <c r="M623" s="8">
        <v>87052</v>
      </c>
      <c r="N623" s="9"/>
      <c r="O623" s="8">
        <v>20995</v>
      </c>
      <c r="P623" s="9"/>
      <c r="Q623" s="8">
        <v>905</v>
      </c>
      <c r="R623" s="9"/>
      <c r="S623" s="8">
        <v>7655</v>
      </c>
      <c r="T623" s="9"/>
      <c r="U623" s="8">
        <v>245</v>
      </c>
      <c r="V623" s="9"/>
      <c r="W623" s="33">
        <v>116852</v>
      </c>
      <c r="X623" s="9"/>
      <c r="Y623" s="30">
        <v>49</v>
      </c>
      <c r="Z623" s="9"/>
      <c r="AA623" s="30">
        <v>13.5</v>
      </c>
      <c r="AB623" s="9"/>
      <c r="AC623" s="30">
        <v>0.5</v>
      </c>
      <c r="AD623" s="9"/>
      <c r="AE623" s="30">
        <v>6</v>
      </c>
      <c r="AF623" s="9"/>
      <c r="AG623" s="30">
        <v>0.13</v>
      </c>
      <c r="AH623" s="9"/>
      <c r="AI623" s="32">
        <v>69.13</v>
      </c>
      <c r="AJ623" s="12"/>
      <c r="AK623" s="22">
        <v>1965659</v>
      </c>
      <c r="AM623" s="22">
        <v>509373</v>
      </c>
      <c r="AO623" s="22">
        <v>23647</v>
      </c>
      <c r="AQ623" s="22">
        <v>156071</v>
      </c>
      <c r="AS623" s="26">
        <v>2654750</v>
      </c>
      <c r="AU623" s="23">
        <v>22.580300000000001</v>
      </c>
      <c r="AW623" s="23">
        <v>24.261600000000001</v>
      </c>
      <c r="AY623" s="23">
        <v>0.27160000000000001</v>
      </c>
      <c r="BA623" s="23">
        <v>20.388100000000001</v>
      </c>
      <c r="BC623" s="24">
        <v>22.718900000000001</v>
      </c>
      <c r="BE623" s="1" t="str">
        <f t="shared" si="9"/>
        <v>No</v>
      </c>
    </row>
    <row r="624" spans="1:57" ht="11.25" customHeight="1">
      <c r="A624" s="7" t="s">
        <v>95</v>
      </c>
      <c r="B624" s="7" t="s">
        <v>599</v>
      </c>
      <c r="C624" s="37" t="s">
        <v>93</v>
      </c>
      <c r="D624" s="296">
        <v>5088</v>
      </c>
      <c r="E624" s="297">
        <v>50088</v>
      </c>
      <c r="F624" s="27" t="s">
        <v>162</v>
      </c>
      <c r="G624" s="73" t="s">
        <v>158</v>
      </c>
      <c r="H624" s="35">
        <v>71313</v>
      </c>
      <c r="I624" s="35">
        <v>23</v>
      </c>
      <c r="J624" s="37" t="s">
        <v>7</v>
      </c>
      <c r="K624" s="37" t="s">
        <v>159</v>
      </c>
      <c r="L624" s="8">
        <v>17</v>
      </c>
      <c r="M624" s="8">
        <v>45265</v>
      </c>
      <c r="N624" s="9"/>
      <c r="O624" s="8">
        <v>4794</v>
      </c>
      <c r="P624" s="9"/>
      <c r="Q624" s="8">
        <v>4647</v>
      </c>
      <c r="R624" s="9"/>
      <c r="S624" s="8">
        <v>5581</v>
      </c>
      <c r="T624" s="9"/>
      <c r="U624" s="8">
        <v>0</v>
      </c>
      <c r="V624" s="9"/>
      <c r="W624" s="33">
        <v>60287</v>
      </c>
      <c r="X624" s="9"/>
      <c r="Y624" s="30">
        <v>33.4</v>
      </c>
      <c r="Z624" s="9"/>
      <c r="AA624" s="30">
        <v>2.8</v>
      </c>
      <c r="AB624" s="9"/>
      <c r="AC624" s="30">
        <v>3.5</v>
      </c>
      <c r="AD624" s="9"/>
      <c r="AE624" s="30">
        <v>3.2</v>
      </c>
      <c r="AF624" s="9"/>
      <c r="AG624" s="30">
        <v>0</v>
      </c>
      <c r="AH624" s="9"/>
      <c r="AI624" s="32">
        <v>42.9</v>
      </c>
      <c r="AJ624" s="12"/>
      <c r="AK624" s="22">
        <v>941988</v>
      </c>
      <c r="AM624" s="22">
        <v>123053</v>
      </c>
      <c r="AO624" s="22">
        <v>86109</v>
      </c>
      <c r="AQ624" s="22">
        <v>234181</v>
      </c>
      <c r="AS624" s="26">
        <v>1385331</v>
      </c>
      <c r="AU624" s="23">
        <v>20.810500000000001</v>
      </c>
      <c r="AW624" s="23">
        <v>25.668099999999999</v>
      </c>
      <c r="AY624" s="23">
        <v>1.9023000000000001</v>
      </c>
      <c r="BA624" s="23">
        <v>41.9604</v>
      </c>
      <c r="BC624" s="24">
        <v>22.978899999999999</v>
      </c>
      <c r="BE624" s="1" t="str">
        <f t="shared" si="9"/>
        <v>No</v>
      </c>
    </row>
    <row r="625" spans="1:57" ht="11.25" customHeight="1">
      <c r="A625" s="7" t="s">
        <v>326</v>
      </c>
      <c r="B625" s="7" t="s">
        <v>327</v>
      </c>
      <c r="C625" s="37" t="s">
        <v>89</v>
      </c>
      <c r="D625" s="296">
        <v>16</v>
      </c>
      <c r="E625" s="297">
        <v>16</v>
      </c>
      <c r="F625" s="27" t="s">
        <v>162</v>
      </c>
      <c r="G625" s="73" t="s">
        <v>158</v>
      </c>
      <c r="H625" s="35">
        <v>63952</v>
      </c>
      <c r="I625" s="35">
        <v>23</v>
      </c>
      <c r="J625" s="37" t="s">
        <v>7</v>
      </c>
      <c r="K625" s="37" t="s">
        <v>159</v>
      </c>
      <c r="L625" s="8">
        <v>9</v>
      </c>
      <c r="M625" s="8">
        <v>41290</v>
      </c>
      <c r="N625" s="9"/>
      <c r="O625" s="8">
        <v>1703</v>
      </c>
      <c r="P625" s="9"/>
      <c r="Q625" s="8">
        <v>1348</v>
      </c>
      <c r="R625" s="9"/>
      <c r="S625" s="8">
        <v>4270</v>
      </c>
      <c r="T625" s="9"/>
      <c r="U625" s="8">
        <v>0</v>
      </c>
      <c r="V625" s="9"/>
      <c r="W625" s="33">
        <v>48611</v>
      </c>
      <c r="X625" s="9"/>
      <c r="Y625" s="30">
        <v>22</v>
      </c>
      <c r="Z625" s="9"/>
      <c r="AA625" s="30">
        <v>0.81</v>
      </c>
      <c r="AB625" s="9"/>
      <c r="AC625" s="30">
        <v>1</v>
      </c>
      <c r="AD625" s="9"/>
      <c r="AE625" s="30">
        <v>2.2000000000000002</v>
      </c>
      <c r="AF625" s="9"/>
      <c r="AG625" s="30">
        <v>0</v>
      </c>
      <c r="AH625" s="9"/>
      <c r="AI625" s="32">
        <v>26.01</v>
      </c>
      <c r="AJ625" s="12"/>
      <c r="AK625" s="22">
        <v>937898</v>
      </c>
      <c r="AM625" s="22">
        <v>160717</v>
      </c>
      <c r="AO625" s="22">
        <v>36515</v>
      </c>
      <c r="AQ625" s="22">
        <v>129102</v>
      </c>
      <c r="AS625" s="26">
        <v>1264232</v>
      </c>
      <c r="AU625" s="23">
        <v>22.7149</v>
      </c>
      <c r="AW625" s="23">
        <v>94.372900000000001</v>
      </c>
      <c r="AY625" s="23">
        <v>0.88439999999999996</v>
      </c>
      <c r="BA625" s="23">
        <v>30.2347</v>
      </c>
      <c r="BC625" s="24">
        <v>26.007100000000001</v>
      </c>
      <c r="BE625" s="1" t="str">
        <f t="shared" si="9"/>
        <v>No</v>
      </c>
    </row>
    <row r="626" spans="1:57" ht="11.25" customHeight="1">
      <c r="A626" s="7" t="s">
        <v>95</v>
      </c>
      <c r="B626" s="7" t="s">
        <v>599</v>
      </c>
      <c r="C626" s="37" t="s">
        <v>93</v>
      </c>
      <c r="D626" s="296">
        <v>5088</v>
      </c>
      <c r="E626" s="297">
        <v>50088</v>
      </c>
      <c r="F626" s="27" t="s">
        <v>162</v>
      </c>
      <c r="G626" s="73" t="s">
        <v>158</v>
      </c>
      <c r="H626" s="35">
        <v>71313</v>
      </c>
      <c r="I626" s="35">
        <v>23</v>
      </c>
      <c r="J626" s="37" t="s">
        <v>10</v>
      </c>
      <c r="K626" s="37" t="s">
        <v>159</v>
      </c>
      <c r="L626" s="8">
        <v>6</v>
      </c>
      <c r="M626" s="8">
        <v>17689</v>
      </c>
      <c r="N626" s="9"/>
      <c r="O626" s="8">
        <v>2055</v>
      </c>
      <c r="P626" s="9"/>
      <c r="Q626" s="8">
        <v>1991</v>
      </c>
      <c r="R626" s="9"/>
      <c r="S626" s="8">
        <v>2505</v>
      </c>
      <c r="T626" s="9"/>
      <c r="U626" s="8">
        <v>0</v>
      </c>
      <c r="V626" s="9"/>
      <c r="W626" s="33">
        <v>24240</v>
      </c>
      <c r="X626" s="9"/>
      <c r="Y626" s="30">
        <v>17</v>
      </c>
      <c r="Z626" s="9"/>
      <c r="AA626" s="30">
        <v>1.2</v>
      </c>
      <c r="AB626" s="9"/>
      <c r="AC626" s="30">
        <v>1.5</v>
      </c>
      <c r="AD626" s="9"/>
      <c r="AE626" s="30">
        <v>1.4</v>
      </c>
      <c r="AF626" s="9"/>
      <c r="AG626" s="30">
        <v>0</v>
      </c>
      <c r="AH626" s="9"/>
      <c r="AI626" s="32">
        <v>21.1</v>
      </c>
      <c r="AJ626" s="12"/>
      <c r="AK626" s="22">
        <v>244094</v>
      </c>
      <c r="AM626" s="22">
        <v>52737</v>
      </c>
      <c r="AO626" s="22">
        <v>36904</v>
      </c>
      <c r="AQ626" s="22">
        <v>51406</v>
      </c>
      <c r="AS626" s="26">
        <v>385141</v>
      </c>
      <c r="AU626" s="23">
        <v>13.799200000000001</v>
      </c>
      <c r="AW626" s="23">
        <v>25.662800000000001</v>
      </c>
      <c r="AY626" s="23">
        <v>2.0863</v>
      </c>
      <c r="BA626" s="23">
        <v>20.5214</v>
      </c>
      <c r="BC626" s="24">
        <v>15.8887</v>
      </c>
      <c r="BE626" s="1" t="str">
        <f t="shared" si="9"/>
        <v>No</v>
      </c>
    </row>
    <row r="627" spans="1:57" ht="11.25" customHeight="1">
      <c r="A627" s="7" t="s">
        <v>326</v>
      </c>
      <c r="B627" s="7" t="s">
        <v>327</v>
      </c>
      <c r="C627" s="37" t="s">
        <v>89</v>
      </c>
      <c r="D627" s="296">
        <v>16</v>
      </c>
      <c r="E627" s="297">
        <v>16</v>
      </c>
      <c r="F627" s="27" t="s">
        <v>162</v>
      </c>
      <c r="G627" s="73" t="s">
        <v>158</v>
      </c>
      <c r="H627" s="35">
        <v>63952</v>
      </c>
      <c r="I627" s="35">
        <v>23</v>
      </c>
      <c r="J627" s="37" t="s">
        <v>8</v>
      </c>
      <c r="K627" s="37" t="s">
        <v>159</v>
      </c>
      <c r="L627" s="8">
        <v>1</v>
      </c>
      <c r="M627" s="8">
        <v>0</v>
      </c>
      <c r="N627" s="9"/>
      <c r="O627" s="8">
        <v>5</v>
      </c>
      <c r="P627" s="9"/>
      <c r="Q627" s="8">
        <v>0</v>
      </c>
      <c r="R627" s="9"/>
      <c r="S627" s="8">
        <v>81</v>
      </c>
      <c r="T627" s="9"/>
      <c r="U627" s="8">
        <v>0</v>
      </c>
      <c r="V627" s="9"/>
      <c r="W627" s="33">
        <v>86</v>
      </c>
      <c r="X627" s="9"/>
      <c r="Y627" s="30">
        <v>0</v>
      </c>
      <c r="Z627" s="9"/>
      <c r="AA627" s="30">
        <v>0.01</v>
      </c>
      <c r="AB627" s="9"/>
      <c r="AC627" s="30">
        <v>0</v>
      </c>
      <c r="AD627" s="9"/>
      <c r="AE627" s="30">
        <v>0.03</v>
      </c>
      <c r="AF627" s="9"/>
      <c r="AG627" s="30">
        <v>0</v>
      </c>
      <c r="AH627" s="9"/>
      <c r="AI627" s="32">
        <v>0.04</v>
      </c>
      <c r="AJ627" s="12"/>
      <c r="AK627" s="22">
        <v>0</v>
      </c>
      <c r="AM627" s="22">
        <v>605</v>
      </c>
      <c r="AO627" s="22">
        <v>0</v>
      </c>
      <c r="AQ627" s="22">
        <v>2100</v>
      </c>
      <c r="AS627" s="26">
        <v>2705</v>
      </c>
      <c r="AW627" s="23">
        <v>121</v>
      </c>
      <c r="BA627" s="23">
        <v>25.925899999999999</v>
      </c>
      <c r="BC627" s="24">
        <v>31.453499999999998</v>
      </c>
      <c r="BE627" s="1" t="str">
        <f t="shared" si="9"/>
        <v>No</v>
      </c>
    </row>
    <row r="628" spans="1:57" ht="11.25" customHeight="1">
      <c r="A628" s="7" t="s">
        <v>183</v>
      </c>
      <c r="B628" s="7" t="s">
        <v>184</v>
      </c>
      <c r="C628" s="37" t="s">
        <v>70</v>
      </c>
      <c r="D628" s="296">
        <v>2178</v>
      </c>
      <c r="E628" s="297">
        <v>20178</v>
      </c>
      <c r="F628" s="27" t="s">
        <v>162</v>
      </c>
      <c r="G628" s="73" t="s">
        <v>158</v>
      </c>
      <c r="H628" s="35">
        <v>423566</v>
      </c>
      <c r="I628" s="35">
        <v>22</v>
      </c>
      <c r="J628" s="37" t="s">
        <v>7</v>
      </c>
      <c r="K628" s="37" t="s">
        <v>159</v>
      </c>
      <c r="L628" s="8">
        <v>18</v>
      </c>
      <c r="M628" s="8">
        <v>71028</v>
      </c>
      <c r="N628" s="9"/>
      <c r="O628" s="8">
        <v>11784</v>
      </c>
      <c r="P628" s="9"/>
      <c r="Q628" s="8">
        <v>1385</v>
      </c>
      <c r="R628" s="9"/>
      <c r="S628" s="8">
        <v>10558</v>
      </c>
      <c r="T628" s="9"/>
      <c r="U628" s="8">
        <v>652</v>
      </c>
      <c r="V628" s="9"/>
      <c r="W628" s="33">
        <v>95407</v>
      </c>
      <c r="X628" s="9"/>
      <c r="Y628" s="30">
        <v>47</v>
      </c>
      <c r="Z628" s="9"/>
      <c r="AA628" s="30">
        <v>6.5</v>
      </c>
      <c r="AB628" s="9"/>
      <c r="AC628" s="30">
        <v>0.9</v>
      </c>
      <c r="AD628" s="9"/>
      <c r="AE628" s="30">
        <v>5.25</v>
      </c>
      <c r="AF628" s="9"/>
      <c r="AG628" s="30">
        <v>0.35</v>
      </c>
      <c r="AH628" s="9"/>
      <c r="AI628" s="32">
        <v>60</v>
      </c>
      <c r="AJ628" s="12"/>
      <c r="AK628" s="22">
        <v>1376280</v>
      </c>
      <c r="AM628" s="22">
        <v>274042</v>
      </c>
      <c r="AO628" s="22">
        <v>33623</v>
      </c>
      <c r="AQ628" s="22">
        <v>306078</v>
      </c>
      <c r="AS628" s="26">
        <v>1990023</v>
      </c>
      <c r="AU628" s="23">
        <v>19.3766</v>
      </c>
      <c r="AW628" s="23">
        <v>23.255400000000002</v>
      </c>
      <c r="AY628" s="23">
        <v>0.47339999999999999</v>
      </c>
      <c r="BA628" s="23">
        <v>28.990100000000002</v>
      </c>
      <c r="BC628" s="24">
        <v>20.8582</v>
      </c>
      <c r="BE628" s="1" t="str">
        <f t="shared" si="9"/>
        <v>No</v>
      </c>
    </row>
    <row r="629" spans="1:57" ht="11.25" customHeight="1">
      <c r="A629" s="7" t="s">
        <v>729</v>
      </c>
      <c r="B629" s="7" t="s">
        <v>730</v>
      </c>
      <c r="C629" s="37" t="s">
        <v>85</v>
      </c>
      <c r="D629" s="296">
        <v>8028</v>
      </c>
      <c r="E629" s="297">
        <v>80028</v>
      </c>
      <c r="F629" s="27" t="s">
        <v>165</v>
      </c>
      <c r="G629" s="73" t="s">
        <v>158</v>
      </c>
      <c r="H629" s="35">
        <v>94983</v>
      </c>
      <c r="I629" s="35">
        <v>22</v>
      </c>
      <c r="J629" s="37" t="s">
        <v>7</v>
      </c>
      <c r="K629" s="37" t="s">
        <v>159</v>
      </c>
      <c r="L629" s="8">
        <v>17</v>
      </c>
      <c r="M629" s="8">
        <v>80735</v>
      </c>
      <c r="N629" s="9"/>
      <c r="O629" s="8">
        <v>11021</v>
      </c>
      <c r="P629" s="9" t="s">
        <v>121</v>
      </c>
      <c r="Q629" s="8">
        <v>1511</v>
      </c>
      <c r="R629" s="9"/>
      <c r="S629" s="8">
        <v>11784</v>
      </c>
      <c r="T629" s="9" t="s">
        <v>121</v>
      </c>
      <c r="U629" s="8">
        <v>123</v>
      </c>
      <c r="V629" s="9"/>
      <c r="W629" s="33">
        <v>105174</v>
      </c>
      <c r="X629" s="9" t="s">
        <v>121</v>
      </c>
      <c r="Y629" s="30">
        <v>69.7</v>
      </c>
      <c r="Z629" s="9"/>
      <c r="AA629" s="30">
        <v>9.84</v>
      </c>
      <c r="AB629" s="9"/>
      <c r="AC629" s="30">
        <v>0.82</v>
      </c>
      <c r="AD629" s="9"/>
      <c r="AE629" s="30">
        <v>18.86</v>
      </c>
      <c r="AF629" s="9"/>
      <c r="AG629" s="30">
        <v>7.0000000000000007E-2</v>
      </c>
      <c r="AH629" s="9"/>
      <c r="AI629" s="32">
        <v>99.29</v>
      </c>
      <c r="AJ629" s="12"/>
      <c r="AK629" s="22">
        <v>1233508</v>
      </c>
      <c r="AM629" s="22">
        <v>237105</v>
      </c>
      <c r="AN629" s="22" t="s">
        <v>121</v>
      </c>
      <c r="AO629" s="22">
        <v>35208</v>
      </c>
      <c r="AQ629" s="22">
        <v>382611</v>
      </c>
      <c r="AR629" s="22" t="s">
        <v>121</v>
      </c>
      <c r="AS629" s="26">
        <v>1888432</v>
      </c>
      <c r="AT629" s="22" t="s">
        <v>121</v>
      </c>
      <c r="AU629" s="23">
        <v>15.278499999999999</v>
      </c>
      <c r="AW629" s="23">
        <v>21.5139</v>
      </c>
      <c r="AX629" s="23" t="s">
        <v>121</v>
      </c>
      <c r="AY629" s="23">
        <v>0.43609999999999999</v>
      </c>
      <c r="BA629" s="23">
        <v>32.468699999999998</v>
      </c>
      <c r="BB629" s="23" t="s">
        <v>121</v>
      </c>
      <c r="BC629" s="24">
        <v>17.955300000000001</v>
      </c>
      <c r="BD629" s="1" t="s">
        <v>121</v>
      </c>
      <c r="BE629" s="1" t="str">
        <f t="shared" si="9"/>
        <v>Yes</v>
      </c>
    </row>
    <row r="630" spans="1:57" ht="11.25" customHeight="1">
      <c r="A630" s="7" t="s">
        <v>415</v>
      </c>
      <c r="B630" s="7" t="s">
        <v>416</v>
      </c>
      <c r="C630" s="37" t="s">
        <v>70</v>
      </c>
      <c r="D630" s="296">
        <v>2071</v>
      </c>
      <c r="E630" s="297">
        <v>20071</v>
      </c>
      <c r="F630" s="27" t="s">
        <v>162</v>
      </c>
      <c r="G630" s="73" t="s">
        <v>158</v>
      </c>
      <c r="H630" s="35">
        <v>18351295</v>
      </c>
      <c r="I630" s="35">
        <v>22</v>
      </c>
      <c r="J630" s="37" t="s">
        <v>10</v>
      </c>
      <c r="K630" s="37" t="s">
        <v>159</v>
      </c>
      <c r="L630" s="8">
        <v>14</v>
      </c>
      <c r="M630" s="8">
        <v>26926</v>
      </c>
      <c r="N630" s="9"/>
      <c r="O630" s="8">
        <v>4012</v>
      </c>
      <c r="P630" s="9"/>
      <c r="Q630" s="8">
        <v>746</v>
      </c>
      <c r="R630" s="9"/>
      <c r="S630" s="8">
        <v>1846</v>
      </c>
      <c r="T630" s="9"/>
      <c r="U630" s="8">
        <v>0</v>
      </c>
      <c r="V630" s="9"/>
      <c r="W630" s="33">
        <v>33530</v>
      </c>
      <c r="X630" s="9"/>
      <c r="Y630" s="30">
        <v>16.84</v>
      </c>
      <c r="Z630" s="9"/>
      <c r="AA630" s="30">
        <v>2.4500000000000002</v>
      </c>
      <c r="AB630" s="9"/>
      <c r="AC630" s="30">
        <v>0.56999999999999995</v>
      </c>
      <c r="AD630" s="9"/>
      <c r="AE630" s="30">
        <v>1.1299999999999999</v>
      </c>
      <c r="AF630" s="9"/>
      <c r="AG630" s="30">
        <v>0</v>
      </c>
      <c r="AH630" s="9"/>
      <c r="AI630" s="32">
        <v>20.99</v>
      </c>
      <c r="AJ630" s="12"/>
      <c r="AK630" s="22">
        <v>845033</v>
      </c>
      <c r="AM630" s="22">
        <v>156675</v>
      </c>
      <c r="AO630" s="22">
        <v>24840</v>
      </c>
      <c r="AQ630" s="22">
        <v>96241</v>
      </c>
      <c r="AS630" s="26">
        <v>1122789</v>
      </c>
      <c r="AU630" s="23">
        <v>31.383500000000002</v>
      </c>
      <c r="AW630" s="23">
        <v>39.051600000000001</v>
      </c>
      <c r="AY630" s="23">
        <v>0.92249999999999999</v>
      </c>
      <c r="BA630" s="23">
        <v>52.134900000000002</v>
      </c>
      <c r="BC630" s="24">
        <v>33.4861</v>
      </c>
      <c r="BE630" s="1" t="str">
        <f t="shared" si="9"/>
        <v>No</v>
      </c>
    </row>
    <row r="631" spans="1:57" ht="11.25" customHeight="1">
      <c r="A631" s="7" t="s">
        <v>415</v>
      </c>
      <c r="B631" s="7" t="s">
        <v>416</v>
      </c>
      <c r="C631" s="37" t="s">
        <v>70</v>
      </c>
      <c r="D631" s="296">
        <v>2071</v>
      </c>
      <c r="E631" s="297">
        <v>20071</v>
      </c>
      <c r="F631" s="27" t="s">
        <v>162</v>
      </c>
      <c r="G631" s="73" t="s">
        <v>158</v>
      </c>
      <c r="H631" s="35">
        <v>18351295</v>
      </c>
      <c r="I631" s="35">
        <v>22</v>
      </c>
      <c r="J631" s="37" t="s">
        <v>7</v>
      </c>
      <c r="K631" s="37" t="s">
        <v>159</v>
      </c>
      <c r="L631" s="8">
        <v>8</v>
      </c>
      <c r="M631" s="8">
        <v>37394</v>
      </c>
      <c r="N631" s="9"/>
      <c r="O631" s="8">
        <v>3609</v>
      </c>
      <c r="P631" s="9"/>
      <c r="Q631" s="8">
        <v>859</v>
      </c>
      <c r="R631" s="9"/>
      <c r="S631" s="8">
        <v>1918</v>
      </c>
      <c r="T631" s="9"/>
      <c r="U631" s="8">
        <v>0</v>
      </c>
      <c r="V631" s="9"/>
      <c r="W631" s="33">
        <v>43780</v>
      </c>
      <c r="X631" s="9"/>
      <c r="Y631" s="30">
        <v>21.67</v>
      </c>
      <c r="Z631" s="9"/>
      <c r="AA631" s="30">
        <v>2.2599999999999998</v>
      </c>
      <c r="AB631" s="9"/>
      <c r="AC631" s="30">
        <v>0.69</v>
      </c>
      <c r="AD631" s="9"/>
      <c r="AE631" s="30">
        <v>1.17</v>
      </c>
      <c r="AF631" s="9"/>
      <c r="AG631" s="30">
        <v>0</v>
      </c>
      <c r="AH631" s="9"/>
      <c r="AI631" s="32">
        <v>25.79</v>
      </c>
      <c r="AJ631" s="12"/>
      <c r="AK631" s="22">
        <v>1215048</v>
      </c>
      <c r="AM631" s="22">
        <v>143659</v>
      </c>
      <c r="AO631" s="22">
        <v>28257</v>
      </c>
      <c r="AQ631" s="22">
        <v>98864</v>
      </c>
      <c r="AS631" s="26">
        <v>1485828</v>
      </c>
      <c r="AU631" s="23">
        <v>32.493099999999998</v>
      </c>
      <c r="AW631" s="23">
        <v>39.805799999999998</v>
      </c>
      <c r="AY631" s="23">
        <v>0.75570000000000004</v>
      </c>
      <c r="BA631" s="23">
        <v>51.545400000000001</v>
      </c>
      <c r="BC631" s="24">
        <v>33.938499999999998</v>
      </c>
      <c r="BE631" s="1" t="str">
        <f t="shared" si="9"/>
        <v>No</v>
      </c>
    </row>
    <row r="632" spans="1:57" ht="11.25" customHeight="1">
      <c r="A632" s="7" t="s">
        <v>729</v>
      </c>
      <c r="B632" s="7" t="s">
        <v>730</v>
      </c>
      <c r="C632" s="37" t="s">
        <v>85</v>
      </c>
      <c r="D632" s="296">
        <v>8028</v>
      </c>
      <c r="E632" s="297">
        <v>80028</v>
      </c>
      <c r="F632" s="27" t="s">
        <v>165</v>
      </c>
      <c r="G632" s="73" t="s">
        <v>158</v>
      </c>
      <c r="H632" s="35">
        <v>94983</v>
      </c>
      <c r="I632" s="35">
        <v>22</v>
      </c>
      <c r="J632" s="37" t="s">
        <v>10</v>
      </c>
      <c r="K632" s="37" t="s">
        <v>159</v>
      </c>
      <c r="L632" s="8">
        <v>5</v>
      </c>
      <c r="M632" s="8">
        <v>17721</v>
      </c>
      <c r="N632" s="9"/>
      <c r="O632" s="8">
        <v>2418</v>
      </c>
      <c r="P632" s="9" t="s">
        <v>121</v>
      </c>
      <c r="Q632" s="8">
        <v>331</v>
      </c>
      <c r="R632" s="9"/>
      <c r="S632" s="8">
        <v>2586</v>
      </c>
      <c r="T632" s="9" t="s">
        <v>121</v>
      </c>
      <c r="U632" s="8">
        <v>27</v>
      </c>
      <c r="V632" s="9"/>
      <c r="W632" s="33">
        <v>23083</v>
      </c>
      <c r="X632" s="9" t="s">
        <v>121</v>
      </c>
      <c r="Y632" s="30">
        <v>15.3</v>
      </c>
      <c r="Z632" s="9"/>
      <c r="AA632" s="30">
        <v>2.16</v>
      </c>
      <c r="AB632" s="9"/>
      <c r="AC632" s="30">
        <v>0.18</v>
      </c>
      <c r="AD632" s="9"/>
      <c r="AE632" s="30">
        <v>4.1399999999999997</v>
      </c>
      <c r="AF632" s="9"/>
      <c r="AG632" s="30">
        <v>0.02</v>
      </c>
      <c r="AH632" s="9"/>
      <c r="AI632" s="32">
        <v>21.8</v>
      </c>
      <c r="AJ632" s="12"/>
      <c r="AK632" s="22">
        <v>270770</v>
      </c>
      <c r="AM632" s="22">
        <v>52047</v>
      </c>
      <c r="AN632" s="22" t="s">
        <v>121</v>
      </c>
      <c r="AO632" s="22">
        <v>7728</v>
      </c>
      <c r="AQ632" s="22">
        <v>83988</v>
      </c>
      <c r="AR632" s="22" t="s">
        <v>121</v>
      </c>
      <c r="AS632" s="26">
        <v>414533</v>
      </c>
      <c r="AT632" s="22" t="s">
        <v>121</v>
      </c>
      <c r="AU632" s="23">
        <v>15.2796</v>
      </c>
      <c r="AW632" s="23">
        <v>21.524799999999999</v>
      </c>
      <c r="AX632" s="23" t="s">
        <v>121</v>
      </c>
      <c r="AY632" s="23">
        <v>0.43609999999999999</v>
      </c>
      <c r="BA632" s="23">
        <v>32.478000000000002</v>
      </c>
      <c r="BB632" s="23" t="s">
        <v>121</v>
      </c>
      <c r="BC632" s="24">
        <v>17.958400000000001</v>
      </c>
      <c r="BD632" s="1" t="s">
        <v>121</v>
      </c>
      <c r="BE632" s="1" t="str">
        <f t="shared" si="9"/>
        <v>Yes</v>
      </c>
    </row>
    <row r="633" spans="1:57" ht="11.25" customHeight="1">
      <c r="A633" s="7" t="s">
        <v>183</v>
      </c>
      <c r="B633" s="7" t="s">
        <v>184</v>
      </c>
      <c r="C633" s="37" t="s">
        <v>70</v>
      </c>
      <c r="D633" s="296">
        <v>2178</v>
      </c>
      <c r="E633" s="297">
        <v>20178</v>
      </c>
      <c r="F633" s="27" t="s">
        <v>162</v>
      </c>
      <c r="G633" s="73" t="s">
        <v>158</v>
      </c>
      <c r="H633" s="35">
        <v>423566</v>
      </c>
      <c r="I633" s="35">
        <v>22</v>
      </c>
      <c r="J633" s="37" t="s">
        <v>10</v>
      </c>
      <c r="K633" s="37" t="s">
        <v>159</v>
      </c>
      <c r="L633" s="8">
        <v>4</v>
      </c>
      <c r="M633" s="8">
        <v>9942</v>
      </c>
      <c r="N633" s="9"/>
      <c r="O633" s="8">
        <v>1025</v>
      </c>
      <c r="P633" s="9"/>
      <c r="Q633" s="8">
        <v>154</v>
      </c>
      <c r="R633" s="9"/>
      <c r="S633" s="8">
        <v>691</v>
      </c>
      <c r="T633" s="9"/>
      <c r="U633" s="8">
        <v>0</v>
      </c>
      <c r="V633" s="9"/>
      <c r="W633" s="33">
        <v>11812</v>
      </c>
      <c r="X633" s="9"/>
      <c r="Y633" s="30">
        <v>6</v>
      </c>
      <c r="Z633" s="9"/>
      <c r="AA633" s="30">
        <v>0.5</v>
      </c>
      <c r="AB633" s="9"/>
      <c r="AC633" s="30">
        <v>0.1</v>
      </c>
      <c r="AD633" s="9"/>
      <c r="AE633" s="30">
        <v>0.4</v>
      </c>
      <c r="AF633" s="9"/>
      <c r="AG633" s="30">
        <v>0</v>
      </c>
      <c r="AH633" s="9"/>
      <c r="AI633" s="32">
        <v>7</v>
      </c>
      <c r="AJ633" s="12"/>
      <c r="AK633" s="22">
        <v>243736</v>
      </c>
      <c r="AM633" s="22">
        <v>30449</v>
      </c>
      <c r="AO633" s="22">
        <v>3735</v>
      </c>
      <c r="AQ633" s="22">
        <v>17511</v>
      </c>
      <c r="AS633" s="26">
        <v>295431</v>
      </c>
      <c r="AU633" s="23">
        <v>24.515799999999999</v>
      </c>
      <c r="AW633" s="23">
        <v>29.706299999999999</v>
      </c>
      <c r="AY633" s="23">
        <v>0.37569999999999998</v>
      </c>
      <c r="BA633" s="23">
        <v>25.3415</v>
      </c>
      <c r="BC633" s="24">
        <v>25.011099999999999</v>
      </c>
      <c r="BE633" s="1" t="str">
        <f t="shared" si="9"/>
        <v>No</v>
      </c>
    </row>
    <row r="634" spans="1:57" ht="11.25" customHeight="1">
      <c r="A634" s="7" t="s">
        <v>421</v>
      </c>
      <c r="B634" s="7" t="s">
        <v>422</v>
      </c>
      <c r="C634" s="37" t="s">
        <v>38</v>
      </c>
      <c r="D634" s="296">
        <v>7018</v>
      </c>
      <c r="E634" s="297">
        <v>70018</v>
      </c>
      <c r="F634" s="27" t="s">
        <v>162</v>
      </c>
      <c r="G634" s="73" t="s">
        <v>158</v>
      </c>
      <c r="H634" s="35">
        <v>106621</v>
      </c>
      <c r="I634" s="35">
        <v>21</v>
      </c>
      <c r="J634" s="37" t="s">
        <v>7</v>
      </c>
      <c r="K634" s="37" t="s">
        <v>159</v>
      </c>
      <c r="L634" s="8">
        <v>21</v>
      </c>
      <c r="M634" s="8">
        <v>93404</v>
      </c>
      <c r="N634" s="9"/>
      <c r="O634" s="8">
        <v>8467</v>
      </c>
      <c r="P634" s="9"/>
      <c r="Q634" s="8">
        <v>3842</v>
      </c>
      <c r="R634" s="9"/>
      <c r="S634" s="8">
        <v>5752</v>
      </c>
      <c r="T634" s="9"/>
      <c r="U634" s="8">
        <v>0</v>
      </c>
      <c r="V634" s="9"/>
      <c r="W634" s="33">
        <v>111465</v>
      </c>
      <c r="X634" s="9"/>
      <c r="Y634" s="30">
        <v>52</v>
      </c>
      <c r="Z634" s="9"/>
      <c r="AA634" s="30">
        <v>4.5</v>
      </c>
      <c r="AB634" s="9"/>
      <c r="AC634" s="30">
        <v>2</v>
      </c>
      <c r="AD634" s="9"/>
      <c r="AE634" s="30">
        <v>3</v>
      </c>
      <c r="AF634" s="9"/>
      <c r="AG634" s="30">
        <v>0</v>
      </c>
      <c r="AH634" s="9"/>
      <c r="AI634" s="32">
        <v>61.5</v>
      </c>
      <c r="AJ634" s="12"/>
      <c r="AK634" s="22">
        <v>2295942</v>
      </c>
      <c r="AM634" s="22">
        <v>232881</v>
      </c>
      <c r="AO634" s="22">
        <v>55468</v>
      </c>
      <c r="AQ634" s="22">
        <v>188375</v>
      </c>
      <c r="AS634" s="26">
        <v>2772666</v>
      </c>
      <c r="AU634" s="23">
        <v>24.5808</v>
      </c>
      <c r="AW634" s="23">
        <v>27.5045</v>
      </c>
      <c r="AY634" s="23">
        <v>0.59389999999999998</v>
      </c>
      <c r="BA634" s="23">
        <v>32.749499999999998</v>
      </c>
      <c r="BC634" s="24">
        <v>24.8748</v>
      </c>
      <c r="BE634" s="1" t="str">
        <f t="shared" si="9"/>
        <v>No</v>
      </c>
    </row>
    <row r="635" spans="1:57" ht="11.25" customHeight="1">
      <c r="A635" s="7" t="s">
        <v>742</v>
      </c>
      <c r="B635" s="7" t="s">
        <v>743</v>
      </c>
      <c r="C635" s="37" t="s">
        <v>83</v>
      </c>
      <c r="D635" s="296">
        <v>4178</v>
      </c>
      <c r="E635" s="297">
        <v>40178</v>
      </c>
      <c r="F635" s="27" t="s">
        <v>243</v>
      </c>
      <c r="G635" s="73" t="s">
        <v>158</v>
      </c>
      <c r="H635" s="35">
        <v>969587</v>
      </c>
      <c r="I635" s="35">
        <v>21</v>
      </c>
      <c r="J635" s="37" t="s">
        <v>8</v>
      </c>
      <c r="K635" s="37" t="s">
        <v>159</v>
      </c>
      <c r="L635" s="8">
        <v>21</v>
      </c>
      <c r="M635" s="8">
        <v>508</v>
      </c>
      <c r="N635" s="9"/>
      <c r="O635" s="8">
        <v>258</v>
      </c>
      <c r="P635" s="9"/>
      <c r="Q635" s="8">
        <v>50</v>
      </c>
      <c r="R635" s="9"/>
      <c r="S635" s="8">
        <v>1199</v>
      </c>
      <c r="T635" s="9"/>
      <c r="U635" s="8">
        <v>0</v>
      </c>
      <c r="V635" s="9"/>
      <c r="W635" s="33">
        <v>2015</v>
      </c>
      <c r="X635" s="9"/>
      <c r="Y635" s="30">
        <v>0.28000000000000003</v>
      </c>
      <c r="Z635" s="9"/>
      <c r="AA635" s="30">
        <v>0.14000000000000001</v>
      </c>
      <c r="AB635" s="9"/>
      <c r="AC635" s="30">
        <v>0.03</v>
      </c>
      <c r="AD635" s="9"/>
      <c r="AE635" s="30">
        <v>0.65</v>
      </c>
      <c r="AF635" s="9"/>
      <c r="AG635" s="30">
        <v>0</v>
      </c>
      <c r="AH635" s="9"/>
      <c r="AI635" s="32">
        <v>1.1000000000000001</v>
      </c>
      <c r="AJ635" s="12"/>
      <c r="AK635" s="22">
        <v>22801</v>
      </c>
      <c r="AM635" s="22">
        <v>5785</v>
      </c>
      <c r="AO635" s="22">
        <v>2005</v>
      </c>
      <c r="AQ635" s="22">
        <v>36884</v>
      </c>
      <c r="AS635" s="26">
        <v>67475</v>
      </c>
      <c r="AU635" s="23">
        <v>44.883899999999997</v>
      </c>
      <c r="AW635" s="23">
        <v>22.422499999999999</v>
      </c>
      <c r="AY635" s="23">
        <v>3.9468999999999999</v>
      </c>
      <c r="BA635" s="23">
        <v>30.7623</v>
      </c>
      <c r="BC635" s="24">
        <v>33.486400000000003</v>
      </c>
      <c r="BE635" s="1" t="str">
        <f t="shared" si="9"/>
        <v>No</v>
      </c>
    </row>
    <row r="636" spans="1:57" ht="11.25" customHeight="1">
      <c r="A636" s="7" t="s">
        <v>733</v>
      </c>
      <c r="B636" s="7" t="s">
        <v>734</v>
      </c>
      <c r="C636" s="37" t="s">
        <v>52</v>
      </c>
      <c r="D636" s="296">
        <v>5184</v>
      </c>
      <c r="E636" s="297">
        <v>50184</v>
      </c>
      <c r="F636" s="27" t="s">
        <v>165</v>
      </c>
      <c r="G636" s="73" t="s">
        <v>158</v>
      </c>
      <c r="H636" s="35">
        <v>99941</v>
      </c>
      <c r="I636" s="35">
        <v>21</v>
      </c>
      <c r="J636" s="37" t="s">
        <v>10</v>
      </c>
      <c r="K636" s="37" t="s">
        <v>159</v>
      </c>
      <c r="L636" s="8">
        <v>13</v>
      </c>
      <c r="M636" s="8">
        <v>46873</v>
      </c>
      <c r="N636" s="9"/>
      <c r="O636" s="8">
        <v>1387</v>
      </c>
      <c r="P636" s="9"/>
      <c r="Q636" s="8">
        <v>1387</v>
      </c>
      <c r="R636" s="9"/>
      <c r="S636" s="8">
        <v>8346</v>
      </c>
      <c r="T636" s="9"/>
      <c r="U636" s="8">
        <v>0</v>
      </c>
      <c r="V636" s="9"/>
      <c r="W636" s="33">
        <v>57993</v>
      </c>
      <c r="X636" s="9"/>
      <c r="Y636" s="30">
        <v>31</v>
      </c>
      <c r="Z636" s="9"/>
      <c r="AA636" s="30">
        <v>0.75</v>
      </c>
      <c r="AB636" s="9"/>
      <c r="AC636" s="30">
        <v>0.75</v>
      </c>
      <c r="AD636" s="9"/>
      <c r="AE636" s="30">
        <v>4.5</v>
      </c>
      <c r="AF636" s="9"/>
      <c r="AG636" s="30">
        <v>0</v>
      </c>
      <c r="AH636" s="9"/>
      <c r="AI636" s="32">
        <v>37</v>
      </c>
      <c r="AJ636" s="12"/>
      <c r="AK636" s="22">
        <v>637509</v>
      </c>
      <c r="AM636" s="22">
        <v>17777</v>
      </c>
      <c r="AO636" s="22">
        <v>17777</v>
      </c>
      <c r="AQ636" s="22">
        <v>148648</v>
      </c>
      <c r="AS636" s="26">
        <v>821711</v>
      </c>
      <c r="AU636" s="23">
        <v>13.6008</v>
      </c>
      <c r="AW636" s="23">
        <v>12.8169</v>
      </c>
      <c r="AY636" s="23">
        <v>0.37930000000000003</v>
      </c>
      <c r="BA636" s="23">
        <v>17.810700000000001</v>
      </c>
      <c r="BC636" s="24">
        <v>14.1691</v>
      </c>
      <c r="BE636" s="1" t="str">
        <f t="shared" si="9"/>
        <v>No</v>
      </c>
    </row>
    <row r="637" spans="1:57" ht="11.25" customHeight="1">
      <c r="A637" s="7" t="s">
        <v>733</v>
      </c>
      <c r="B637" s="7" t="s">
        <v>734</v>
      </c>
      <c r="C637" s="37" t="s">
        <v>52</v>
      </c>
      <c r="D637" s="296">
        <v>5184</v>
      </c>
      <c r="E637" s="297">
        <v>50184</v>
      </c>
      <c r="F637" s="27" t="s">
        <v>165</v>
      </c>
      <c r="G637" s="73" t="s">
        <v>158</v>
      </c>
      <c r="H637" s="35">
        <v>99941</v>
      </c>
      <c r="I637" s="35">
        <v>21</v>
      </c>
      <c r="J637" s="37" t="s">
        <v>7</v>
      </c>
      <c r="K637" s="37" t="s">
        <v>159</v>
      </c>
      <c r="L637" s="8">
        <v>8</v>
      </c>
      <c r="M637" s="8">
        <v>51330</v>
      </c>
      <c r="N637" s="9"/>
      <c r="O637" s="8">
        <v>1519</v>
      </c>
      <c r="P637" s="9"/>
      <c r="Q637" s="8">
        <v>1519</v>
      </c>
      <c r="R637" s="9"/>
      <c r="S637" s="8">
        <v>9140</v>
      </c>
      <c r="T637" s="9"/>
      <c r="U637" s="8">
        <v>0</v>
      </c>
      <c r="V637" s="9"/>
      <c r="W637" s="33">
        <v>63508</v>
      </c>
      <c r="X637" s="9"/>
      <c r="Y637" s="30">
        <v>34</v>
      </c>
      <c r="Z637" s="9"/>
      <c r="AA637" s="30">
        <v>0.75</v>
      </c>
      <c r="AB637" s="9"/>
      <c r="AC637" s="30">
        <v>0.75</v>
      </c>
      <c r="AD637" s="9"/>
      <c r="AE637" s="30">
        <v>5.5</v>
      </c>
      <c r="AF637" s="9"/>
      <c r="AG637" s="30">
        <v>0</v>
      </c>
      <c r="AH637" s="9"/>
      <c r="AI637" s="32">
        <v>41</v>
      </c>
      <c r="AJ637" s="12"/>
      <c r="AK637" s="22">
        <v>698147</v>
      </c>
      <c r="AM637" s="22">
        <v>19467</v>
      </c>
      <c r="AO637" s="22">
        <v>19467</v>
      </c>
      <c r="AQ637" s="22">
        <v>162787</v>
      </c>
      <c r="AS637" s="26">
        <v>899868</v>
      </c>
      <c r="AU637" s="23">
        <v>13.601100000000001</v>
      </c>
      <c r="AW637" s="23">
        <v>12.8157</v>
      </c>
      <c r="AY637" s="23">
        <v>0.37930000000000003</v>
      </c>
      <c r="BA637" s="23">
        <v>17.810400000000001</v>
      </c>
      <c r="BC637" s="24">
        <v>14.1694</v>
      </c>
      <c r="BE637" s="1" t="str">
        <f t="shared" si="9"/>
        <v>No</v>
      </c>
    </row>
    <row r="638" spans="1:57" ht="11.25" customHeight="1">
      <c r="A638" s="7" t="s">
        <v>758</v>
      </c>
      <c r="B638" s="7" t="s">
        <v>759</v>
      </c>
      <c r="C638" s="37" t="s">
        <v>63</v>
      </c>
      <c r="D638" s="296">
        <v>2193</v>
      </c>
      <c r="E638" s="297">
        <v>20193</v>
      </c>
      <c r="F638" s="27" t="s">
        <v>162</v>
      </c>
      <c r="G638" s="73" t="s">
        <v>158</v>
      </c>
      <c r="H638" s="35">
        <v>95259</v>
      </c>
      <c r="I638" s="35">
        <v>20</v>
      </c>
      <c r="J638" s="37" t="s">
        <v>10</v>
      </c>
      <c r="K638" s="37" t="s">
        <v>159</v>
      </c>
      <c r="L638" s="8">
        <v>20</v>
      </c>
      <c r="M638" s="8">
        <v>39329</v>
      </c>
      <c r="N638" s="9"/>
      <c r="O638" s="8">
        <v>2873</v>
      </c>
      <c r="P638" s="9"/>
      <c r="Q638" s="8">
        <v>0</v>
      </c>
      <c r="R638" s="9"/>
      <c r="S638" s="8">
        <v>4720</v>
      </c>
      <c r="T638" s="9"/>
      <c r="U638" s="8">
        <v>0</v>
      </c>
      <c r="V638" s="9"/>
      <c r="W638" s="33">
        <v>46922</v>
      </c>
      <c r="X638" s="9"/>
      <c r="Y638" s="30">
        <v>30</v>
      </c>
      <c r="Z638" s="9"/>
      <c r="AA638" s="30">
        <v>2</v>
      </c>
      <c r="AB638" s="9"/>
      <c r="AC638" s="30">
        <v>0</v>
      </c>
      <c r="AD638" s="9"/>
      <c r="AE638" s="30">
        <v>5</v>
      </c>
      <c r="AF638" s="9"/>
      <c r="AG638" s="30">
        <v>0</v>
      </c>
      <c r="AH638" s="9"/>
      <c r="AI638" s="32">
        <v>37</v>
      </c>
      <c r="AJ638" s="12"/>
      <c r="AK638" s="22">
        <v>1079735</v>
      </c>
      <c r="AM638" s="22">
        <v>84678</v>
      </c>
      <c r="AO638" s="22">
        <v>0</v>
      </c>
      <c r="AQ638" s="22">
        <v>174994</v>
      </c>
      <c r="AS638" s="26">
        <v>1339407</v>
      </c>
      <c r="AU638" s="23">
        <v>27.453900000000001</v>
      </c>
      <c r="AW638" s="23">
        <v>29.473700000000001</v>
      </c>
      <c r="AY638" s="23">
        <v>0</v>
      </c>
      <c r="BA638" s="23">
        <v>37.075000000000003</v>
      </c>
      <c r="BC638" s="24">
        <v>28.545400000000001</v>
      </c>
      <c r="BE638" s="1" t="str">
        <f t="shared" si="9"/>
        <v>No</v>
      </c>
    </row>
    <row r="639" spans="1:57" ht="11.25" customHeight="1">
      <c r="A639" s="7" t="s">
        <v>406</v>
      </c>
      <c r="B639" s="7" t="s">
        <v>407</v>
      </c>
      <c r="C639" s="37" t="s">
        <v>81</v>
      </c>
      <c r="D639" s="296">
        <v>4053</v>
      </c>
      <c r="E639" s="297">
        <v>40053</v>
      </c>
      <c r="F639" s="27" t="s">
        <v>165</v>
      </c>
      <c r="G639" s="73" t="s">
        <v>158</v>
      </c>
      <c r="H639" s="35">
        <v>400492</v>
      </c>
      <c r="I639" s="35">
        <v>20</v>
      </c>
      <c r="J639" s="37" t="s">
        <v>7</v>
      </c>
      <c r="K639" s="37" t="s">
        <v>159</v>
      </c>
      <c r="L639" s="8">
        <v>17</v>
      </c>
      <c r="M639" s="8">
        <v>75726</v>
      </c>
      <c r="N639" s="9"/>
      <c r="O639" s="8">
        <v>16861</v>
      </c>
      <c r="P639" s="9"/>
      <c r="Q639" s="8">
        <v>2025</v>
      </c>
      <c r="R639" s="9"/>
      <c r="S639" s="8">
        <v>25638</v>
      </c>
      <c r="T639" s="9"/>
      <c r="U639" s="8">
        <v>0</v>
      </c>
      <c r="V639" s="9"/>
      <c r="W639" s="33">
        <v>120250</v>
      </c>
      <c r="X639" s="9"/>
      <c r="Y639" s="30">
        <v>48</v>
      </c>
      <c r="Z639" s="9"/>
      <c r="AA639" s="30">
        <v>6.88</v>
      </c>
      <c r="AB639" s="9"/>
      <c r="AC639" s="30">
        <v>0.93</v>
      </c>
      <c r="AD639" s="9"/>
      <c r="AE639" s="30">
        <v>15</v>
      </c>
      <c r="AF639" s="9"/>
      <c r="AG639" s="30">
        <v>0</v>
      </c>
      <c r="AH639" s="9"/>
      <c r="AI639" s="32">
        <v>70.81</v>
      </c>
      <c r="AJ639" s="12"/>
      <c r="AK639" s="22">
        <v>1133367</v>
      </c>
      <c r="AM639" s="22">
        <v>342808</v>
      </c>
      <c r="AO639" s="22">
        <v>24460</v>
      </c>
      <c r="AQ639" s="22">
        <v>637637</v>
      </c>
      <c r="AS639" s="26">
        <v>2138272</v>
      </c>
      <c r="AU639" s="23">
        <v>14.966699999999999</v>
      </c>
      <c r="AW639" s="23">
        <v>20.331399999999999</v>
      </c>
      <c r="AY639" s="23">
        <v>0.32300000000000001</v>
      </c>
      <c r="BA639" s="23">
        <v>24.870799999999999</v>
      </c>
      <c r="BC639" s="24">
        <v>17.7819</v>
      </c>
      <c r="BE639" s="1" t="str">
        <f t="shared" si="9"/>
        <v>No</v>
      </c>
    </row>
    <row r="640" spans="1:57" ht="11.25" customHeight="1">
      <c r="A640" s="7" t="s">
        <v>381</v>
      </c>
      <c r="B640" s="7" t="s">
        <v>382</v>
      </c>
      <c r="C640" s="37" t="s">
        <v>42</v>
      </c>
      <c r="D640" s="296">
        <v>5045</v>
      </c>
      <c r="E640" s="297">
        <v>50045</v>
      </c>
      <c r="F640" s="27" t="s">
        <v>162</v>
      </c>
      <c r="G640" s="73" t="s">
        <v>158</v>
      </c>
      <c r="H640" s="35">
        <v>8608208</v>
      </c>
      <c r="I640" s="35">
        <v>20</v>
      </c>
      <c r="J640" s="37" t="s">
        <v>7</v>
      </c>
      <c r="K640" s="37" t="s">
        <v>159</v>
      </c>
      <c r="L640" s="8">
        <v>16</v>
      </c>
      <c r="M640" s="8">
        <v>71926</v>
      </c>
      <c r="N640" s="9"/>
      <c r="O640" s="8">
        <v>20872</v>
      </c>
      <c r="P640" s="9"/>
      <c r="Q640" s="8">
        <v>11492</v>
      </c>
      <c r="R640" s="9"/>
      <c r="S640" s="8">
        <v>18645</v>
      </c>
      <c r="T640" s="9"/>
      <c r="U640" s="8">
        <v>0</v>
      </c>
      <c r="V640" s="9"/>
      <c r="W640" s="33">
        <v>122935</v>
      </c>
      <c r="X640" s="9"/>
      <c r="Y640" s="30">
        <v>39</v>
      </c>
      <c r="Z640" s="9"/>
      <c r="AA640" s="30">
        <v>12.5</v>
      </c>
      <c r="AB640" s="9"/>
      <c r="AC640" s="30">
        <v>6</v>
      </c>
      <c r="AD640" s="9"/>
      <c r="AE640" s="30">
        <v>8.5</v>
      </c>
      <c r="AF640" s="9"/>
      <c r="AG640" s="30">
        <v>0</v>
      </c>
      <c r="AH640" s="9"/>
      <c r="AI640" s="32">
        <v>66</v>
      </c>
      <c r="AJ640" s="12"/>
      <c r="AK640" s="22">
        <v>1178908</v>
      </c>
      <c r="AM640" s="22">
        <v>314124</v>
      </c>
      <c r="AO640" s="22">
        <v>182436</v>
      </c>
      <c r="AQ640" s="22">
        <v>372714</v>
      </c>
      <c r="AS640" s="26">
        <v>2048182</v>
      </c>
      <c r="AU640" s="23">
        <v>16.390599999999999</v>
      </c>
      <c r="AW640" s="23">
        <v>15.05</v>
      </c>
      <c r="AY640" s="23">
        <v>2.5364</v>
      </c>
      <c r="BA640" s="23">
        <v>19.989999999999998</v>
      </c>
      <c r="BC640" s="24">
        <v>16.660699999999999</v>
      </c>
      <c r="BE640" s="1" t="str">
        <f t="shared" si="9"/>
        <v>No</v>
      </c>
    </row>
    <row r="641" spans="1:57" ht="11.25" customHeight="1">
      <c r="A641" s="7" t="s">
        <v>705</v>
      </c>
      <c r="B641" s="7" t="s">
        <v>706</v>
      </c>
      <c r="C641" s="37" t="s">
        <v>57</v>
      </c>
      <c r="D641" s="296">
        <v>8012</v>
      </c>
      <c r="E641" s="297">
        <v>80012</v>
      </c>
      <c r="F641" s="27" t="s">
        <v>165</v>
      </c>
      <c r="G641" s="73" t="s">
        <v>158</v>
      </c>
      <c r="H641" s="35">
        <v>65207</v>
      </c>
      <c r="I641" s="35">
        <v>20</v>
      </c>
      <c r="J641" s="37" t="s">
        <v>7</v>
      </c>
      <c r="K641" s="37" t="s">
        <v>159</v>
      </c>
      <c r="L641" s="8">
        <v>13</v>
      </c>
      <c r="M641" s="8">
        <v>47481</v>
      </c>
      <c r="N641" s="9"/>
      <c r="O641" s="8">
        <v>6836</v>
      </c>
      <c r="P641" s="9"/>
      <c r="Q641" s="8">
        <v>2365</v>
      </c>
      <c r="R641" s="9"/>
      <c r="S641" s="8">
        <v>5675</v>
      </c>
      <c r="T641" s="9"/>
      <c r="U641" s="8">
        <v>0</v>
      </c>
      <c r="V641" s="9"/>
      <c r="W641" s="33">
        <v>62357</v>
      </c>
      <c r="X641" s="9"/>
      <c r="Y641" s="30">
        <v>27</v>
      </c>
      <c r="Z641" s="9"/>
      <c r="AA641" s="30">
        <v>4.5</v>
      </c>
      <c r="AB641" s="9"/>
      <c r="AC641" s="30">
        <v>1.5</v>
      </c>
      <c r="AD641" s="9"/>
      <c r="AE641" s="30">
        <v>4</v>
      </c>
      <c r="AF641" s="9"/>
      <c r="AG641" s="30">
        <v>0</v>
      </c>
      <c r="AH641" s="9"/>
      <c r="AI641" s="32">
        <v>37</v>
      </c>
      <c r="AJ641" s="12"/>
      <c r="AK641" s="22">
        <v>826057</v>
      </c>
      <c r="AM641" s="22">
        <v>110655</v>
      </c>
      <c r="AO641" s="22">
        <v>36826</v>
      </c>
      <c r="AQ641" s="22">
        <v>133424</v>
      </c>
      <c r="AS641" s="26">
        <v>1106962</v>
      </c>
      <c r="AU641" s="23">
        <v>17.397600000000001</v>
      </c>
      <c r="AW641" s="23">
        <v>16.187100000000001</v>
      </c>
      <c r="AY641" s="23">
        <v>0.77559999999999996</v>
      </c>
      <c r="BA641" s="23">
        <v>23.5108</v>
      </c>
      <c r="BC641" s="24">
        <v>17.751999999999999</v>
      </c>
      <c r="BE641" s="1" t="str">
        <f t="shared" si="9"/>
        <v>No</v>
      </c>
    </row>
    <row r="642" spans="1:57" ht="11.25" customHeight="1">
      <c r="A642" s="7" t="s">
        <v>300</v>
      </c>
      <c r="B642" s="7" t="s">
        <v>299</v>
      </c>
      <c r="C642" s="37" t="s">
        <v>52</v>
      </c>
      <c r="D642" s="296">
        <v>5034</v>
      </c>
      <c r="E642" s="297">
        <v>50034</v>
      </c>
      <c r="F642" s="27" t="s">
        <v>165</v>
      </c>
      <c r="G642" s="73" t="s">
        <v>158</v>
      </c>
      <c r="H642" s="35">
        <v>90057</v>
      </c>
      <c r="I642" s="35">
        <v>20</v>
      </c>
      <c r="J642" s="37" t="s">
        <v>7</v>
      </c>
      <c r="K642" s="37" t="s">
        <v>159</v>
      </c>
      <c r="L642" s="8">
        <v>10</v>
      </c>
      <c r="M642" s="8">
        <v>40332</v>
      </c>
      <c r="N642" s="9"/>
      <c r="O642" s="8">
        <v>12932</v>
      </c>
      <c r="P642" s="9"/>
      <c r="Q642" s="8">
        <v>2549</v>
      </c>
      <c r="R642" s="9"/>
      <c r="S642" s="8">
        <v>6574</v>
      </c>
      <c r="T642" s="9"/>
      <c r="U642" s="8">
        <v>0</v>
      </c>
      <c r="V642" s="9"/>
      <c r="W642" s="33">
        <v>62387</v>
      </c>
      <c r="X642" s="9"/>
      <c r="Y642" s="30">
        <v>23</v>
      </c>
      <c r="Z642" s="9"/>
      <c r="AA642" s="30">
        <v>7</v>
      </c>
      <c r="AB642" s="9"/>
      <c r="AC642" s="30">
        <v>1</v>
      </c>
      <c r="AD642" s="9"/>
      <c r="AE642" s="30">
        <v>4</v>
      </c>
      <c r="AF642" s="9"/>
      <c r="AG642" s="30">
        <v>0</v>
      </c>
      <c r="AH642" s="9"/>
      <c r="AI642" s="32">
        <v>35</v>
      </c>
      <c r="AJ642" s="12"/>
      <c r="AK642" s="22">
        <v>810739</v>
      </c>
      <c r="AM642" s="22">
        <v>264749</v>
      </c>
      <c r="AO642" s="22">
        <v>39601</v>
      </c>
      <c r="AQ642" s="22">
        <v>185979</v>
      </c>
      <c r="AS642" s="26">
        <v>1301068</v>
      </c>
      <c r="AU642" s="23">
        <v>20.101600000000001</v>
      </c>
      <c r="AW642" s="23">
        <v>20.4724</v>
      </c>
      <c r="AY642" s="23">
        <v>0.9819</v>
      </c>
      <c r="BA642" s="23">
        <v>28.290099999999999</v>
      </c>
      <c r="BC642" s="24">
        <v>20.854800000000001</v>
      </c>
      <c r="BE642" s="1" t="str">
        <f t="shared" ref="BE642:BE705" si="10">IF(BD642&amp;BB642&amp;AZ642&amp;AX642&amp;AV642&amp;AT642&amp;AR642&amp;AP642&amp;AN642&amp;AL642&amp;AJ642&amp;AH642&amp;AF642&amp;AD642&amp;AB642&amp;Z642&amp;X642&amp;V642&amp;T642&amp;R642&amp;P642&amp;N642&lt;&gt;"","Yes","No")</f>
        <v>No</v>
      </c>
    </row>
    <row r="643" spans="1:57" ht="11.25" customHeight="1">
      <c r="A643" s="7" t="s">
        <v>300</v>
      </c>
      <c r="B643" s="7" t="s">
        <v>299</v>
      </c>
      <c r="C643" s="37" t="s">
        <v>52</v>
      </c>
      <c r="D643" s="296">
        <v>5034</v>
      </c>
      <c r="E643" s="297">
        <v>50034</v>
      </c>
      <c r="F643" s="27" t="s">
        <v>165</v>
      </c>
      <c r="G643" s="73" t="s">
        <v>158</v>
      </c>
      <c r="H643" s="35">
        <v>90057</v>
      </c>
      <c r="I643" s="35">
        <v>20</v>
      </c>
      <c r="J643" s="37" t="s">
        <v>10</v>
      </c>
      <c r="K643" s="37" t="s">
        <v>159</v>
      </c>
      <c r="L643" s="8">
        <v>10</v>
      </c>
      <c r="M643" s="8">
        <v>26058</v>
      </c>
      <c r="N643" s="9"/>
      <c r="O643" s="8">
        <v>8356</v>
      </c>
      <c r="P643" s="9"/>
      <c r="Q643" s="8">
        <v>1647</v>
      </c>
      <c r="R643" s="9"/>
      <c r="S643" s="8">
        <v>4248</v>
      </c>
      <c r="T643" s="9"/>
      <c r="U643" s="8">
        <v>0</v>
      </c>
      <c r="V643" s="9"/>
      <c r="W643" s="33">
        <v>40309</v>
      </c>
      <c r="X643" s="9"/>
      <c r="Y643" s="30">
        <v>15</v>
      </c>
      <c r="Z643" s="9"/>
      <c r="AA643" s="30">
        <v>5</v>
      </c>
      <c r="AB643" s="9"/>
      <c r="AC643" s="30">
        <v>1</v>
      </c>
      <c r="AD643" s="9"/>
      <c r="AE643" s="30">
        <v>2</v>
      </c>
      <c r="AF643" s="9"/>
      <c r="AG643" s="30">
        <v>0</v>
      </c>
      <c r="AH643" s="9"/>
      <c r="AI643" s="32">
        <v>23</v>
      </c>
      <c r="AJ643" s="12"/>
      <c r="AK643" s="22">
        <v>523811</v>
      </c>
      <c r="AM643" s="22">
        <v>171052</v>
      </c>
      <c r="AO643" s="22">
        <v>25586</v>
      </c>
      <c r="AQ643" s="22">
        <v>120160</v>
      </c>
      <c r="AS643" s="26">
        <v>840609</v>
      </c>
      <c r="AU643" s="23">
        <v>20.101700000000001</v>
      </c>
      <c r="AW643" s="23">
        <v>20.470600000000001</v>
      </c>
      <c r="AY643" s="23">
        <v>0.9819</v>
      </c>
      <c r="BA643" s="23">
        <v>28.286300000000001</v>
      </c>
      <c r="BC643" s="24">
        <v>20.854099999999999</v>
      </c>
      <c r="BE643" s="1" t="str">
        <f t="shared" si="10"/>
        <v>No</v>
      </c>
    </row>
    <row r="644" spans="1:57" ht="11.25" customHeight="1">
      <c r="A644" s="7" t="s">
        <v>705</v>
      </c>
      <c r="B644" s="7" t="s">
        <v>706</v>
      </c>
      <c r="C644" s="37" t="s">
        <v>57</v>
      </c>
      <c r="D644" s="296">
        <v>8012</v>
      </c>
      <c r="E644" s="297">
        <v>80012</v>
      </c>
      <c r="F644" s="27" t="s">
        <v>165</v>
      </c>
      <c r="G644" s="73" t="s">
        <v>158</v>
      </c>
      <c r="H644" s="35">
        <v>65207</v>
      </c>
      <c r="I644" s="35">
        <v>20</v>
      </c>
      <c r="J644" s="37" t="s">
        <v>10</v>
      </c>
      <c r="K644" s="37" t="s">
        <v>159</v>
      </c>
      <c r="L644" s="8">
        <v>7</v>
      </c>
      <c r="M644" s="8">
        <v>19868</v>
      </c>
      <c r="N644" s="9"/>
      <c r="O644" s="8">
        <v>184</v>
      </c>
      <c r="P644" s="9"/>
      <c r="Q644" s="8">
        <v>13</v>
      </c>
      <c r="R644" s="9"/>
      <c r="S644" s="8">
        <v>1915</v>
      </c>
      <c r="T644" s="9"/>
      <c r="U644" s="8">
        <v>0</v>
      </c>
      <c r="V644" s="9"/>
      <c r="W644" s="33">
        <v>21980</v>
      </c>
      <c r="X644" s="9"/>
      <c r="Y644" s="30">
        <v>12</v>
      </c>
      <c r="Z644" s="9"/>
      <c r="AA644" s="30">
        <v>0.1</v>
      </c>
      <c r="AB644" s="9"/>
      <c r="AC644" s="30">
        <v>0.01</v>
      </c>
      <c r="AD644" s="9"/>
      <c r="AE644" s="30">
        <v>1</v>
      </c>
      <c r="AF644" s="9"/>
      <c r="AG644" s="30">
        <v>0</v>
      </c>
      <c r="AH644" s="9"/>
      <c r="AI644" s="32">
        <v>13.11</v>
      </c>
      <c r="AJ644" s="12"/>
      <c r="AK644" s="22">
        <v>272480</v>
      </c>
      <c r="AM644" s="22">
        <v>2905</v>
      </c>
      <c r="AO644" s="22">
        <v>207</v>
      </c>
      <c r="AQ644" s="22">
        <v>27771</v>
      </c>
      <c r="AS644" s="26">
        <v>303363</v>
      </c>
      <c r="AU644" s="23">
        <v>13.714499999999999</v>
      </c>
      <c r="AW644" s="23">
        <v>15.788</v>
      </c>
      <c r="AY644" s="23">
        <v>1.04E-2</v>
      </c>
      <c r="BA644" s="23">
        <v>14.501799999999999</v>
      </c>
      <c r="BC644" s="24">
        <v>13.8018</v>
      </c>
      <c r="BE644" s="1" t="str">
        <f t="shared" si="10"/>
        <v>No</v>
      </c>
    </row>
    <row r="645" spans="1:57" ht="11.25" customHeight="1">
      <c r="A645" s="7" t="s">
        <v>381</v>
      </c>
      <c r="B645" s="7" t="s">
        <v>382</v>
      </c>
      <c r="C645" s="37" t="s">
        <v>42</v>
      </c>
      <c r="D645" s="296">
        <v>5045</v>
      </c>
      <c r="E645" s="297">
        <v>50045</v>
      </c>
      <c r="F645" s="27" t="s">
        <v>162</v>
      </c>
      <c r="G645" s="73" t="s">
        <v>158</v>
      </c>
      <c r="H645" s="35">
        <v>8608208</v>
      </c>
      <c r="I645" s="35">
        <v>20</v>
      </c>
      <c r="J645" s="37" t="s">
        <v>10</v>
      </c>
      <c r="K645" s="37" t="s">
        <v>159</v>
      </c>
      <c r="L645" s="8">
        <v>4</v>
      </c>
      <c r="M645" s="8">
        <v>15299</v>
      </c>
      <c r="N645" s="9"/>
      <c r="O645" s="8">
        <v>5309</v>
      </c>
      <c r="P645" s="9"/>
      <c r="Q645" s="8">
        <v>1048</v>
      </c>
      <c r="R645" s="9"/>
      <c r="S645" s="8">
        <v>5928</v>
      </c>
      <c r="T645" s="9"/>
      <c r="U645" s="8">
        <v>0</v>
      </c>
      <c r="V645" s="9"/>
      <c r="W645" s="33">
        <v>27584</v>
      </c>
      <c r="X645" s="9"/>
      <c r="Y645" s="30">
        <v>12</v>
      </c>
      <c r="Z645" s="9"/>
      <c r="AA645" s="30">
        <v>3</v>
      </c>
      <c r="AB645" s="9"/>
      <c r="AC645" s="30">
        <v>0.5</v>
      </c>
      <c r="AD645" s="9"/>
      <c r="AE645" s="30">
        <v>3</v>
      </c>
      <c r="AF645" s="9"/>
      <c r="AG645" s="30">
        <v>0</v>
      </c>
      <c r="AH645" s="9"/>
      <c r="AI645" s="32">
        <v>18.5</v>
      </c>
      <c r="AJ645" s="12"/>
      <c r="AK645" s="22">
        <v>227830</v>
      </c>
      <c r="AM645" s="22">
        <v>77936</v>
      </c>
      <c r="AO645" s="22">
        <v>10784</v>
      </c>
      <c r="AQ645" s="22">
        <v>73922</v>
      </c>
      <c r="AS645" s="26">
        <v>390472</v>
      </c>
      <c r="AU645" s="23">
        <v>14.8918</v>
      </c>
      <c r="AW645" s="23">
        <v>14.68</v>
      </c>
      <c r="AY645" s="23">
        <v>0.70489999999999997</v>
      </c>
      <c r="BA645" s="23">
        <v>12.47</v>
      </c>
      <c r="BC645" s="24">
        <v>14.1557</v>
      </c>
      <c r="BE645" s="1" t="str">
        <f t="shared" si="10"/>
        <v>No</v>
      </c>
    </row>
    <row r="646" spans="1:57" ht="11.25" customHeight="1">
      <c r="A646" s="7" t="s">
        <v>406</v>
      </c>
      <c r="B646" s="7" t="s">
        <v>407</v>
      </c>
      <c r="C646" s="37" t="s">
        <v>81</v>
      </c>
      <c r="D646" s="296">
        <v>4053</v>
      </c>
      <c r="E646" s="297">
        <v>40053</v>
      </c>
      <c r="F646" s="27" t="s">
        <v>165</v>
      </c>
      <c r="G646" s="73" t="s">
        <v>158</v>
      </c>
      <c r="H646" s="35">
        <v>400492</v>
      </c>
      <c r="I646" s="35">
        <v>20</v>
      </c>
      <c r="J646" s="37" t="s">
        <v>10</v>
      </c>
      <c r="K646" s="37" t="s">
        <v>159</v>
      </c>
      <c r="L646" s="8">
        <v>3</v>
      </c>
      <c r="M646" s="8">
        <v>9969</v>
      </c>
      <c r="N646" s="9"/>
      <c r="O646" s="8">
        <v>1269</v>
      </c>
      <c r="P646" s="9"/>
      <c r="Q646" s="8">
        <v>152</v>
      </c>
      <c r="R646" s="9"/>
      <c r="S646" s="8">
        <v>5215</v>
      </c>
      <c r="T646" s="9"/>
      <c r="U646" s="8">
        <v>0</v>
      </c>
      <c r="V646" s="9"/>
      <c r="W646" s="33">
        <v>16605</v>
      </c>
      <c r="X646" s="9"/>
      <c r="Y646" s="30">
        <v>9</v>
      </c>
      <c r="Z646" s="9"/>
      <c r="AA646" s="30">
        <v>0.62</v>
      </c>
      <c r="AB646" s="9"/>
      <c r="AC646" s="30">
        <v>7.0000000000000007E-2</v>
      </c>
      <c r="AD646" s="9"/>
      <c r="AE646" s="30">
        <v>3</v>
      </c>
      <c r="AF646" s="9"/>
      <c r="AG646" s="30">
        <v>0</v>
      </c>
      <c r="AH646" s="9"/>
      <c r="AI646" s="32">
        <v>12.69</v>
      </c>
      <c r="AJ646" s="12"/>
      <c r="AK646" s="22">
        <v>173386</v>
      </c>
      <c r="AM646" s="22">
        <v>25803</v>
      </c>
      <c r="AO646" s="22">
        <v>1841</v>
      </c>
      <c r="AQ646" s="22">
        <v>64571</v>
      </c>
      <c r="AS646" s="26">
        <v>265601</v>
      </c>
      <c r="AU646" s="23">
        <v>17.392499999999998</v>
      </c>
      <c r="AW646" s="23">
        <v>20.333300000000001</v>
      </c>
      <c r="AY646" s="23">
        <v>0.1847</v>
      </c>
      <c r="BA646" s="23">
        <v>12.3818</v>
      </c>
      <c r="BC646" s="24">
        <v>15.995200000000001</v>
      </c>
      <c r="BE646" s="1" t="str">
        <f t="shared" si="10"/>
        <v>No</v>
      </c>
    </row>
    <row r="647" spans="1:57" ht="11.25" customHeight="1">
      <c r="A647" s="7" t="s">
        <v>682</v>
      </c>
      <c r="B647" s="7" t="s">
        <v>266</v>
      </c>
      <c r="C647" s="37" t="s">
        <v>89</v>
      </c>
      <c r="D647" s="296">
        <v>35</v>
      </c>
      <c r="E647" s="297">
        <v>35</v>
      </c>
      <c r="F647" s="27" t="s">
        <v>157</v>
      </c>
      <c r="G647" s="73" t="s">
        <v>158</v>
      </c>
      <c r="H647" s="35">
        <v>3059393</v>
      </c>
      <c r="I647" s="35">
        <v>19</v>
      </c>
      <c r="J647" s="37" t="s">
        <v>19</v>
      </c>
      <c r="K647" s="37" t="s">
        <v>159</v>
      </c>
      <c r="L647" s="8">
        <v>19</v>
      </c>
      <c r="M647" s="8">
        <v>2954620</v>
      </c>
      <c r="N647" s="9"/>
      <c r="O647" s="8">
        <v>253881</v>
      </c>
      <c r="P647" s="9"/>
      <c r="Q647" s="8">
        <v>125411</v>
      </c>
      <c r="R647" s="9"/>
      <c r="S647" s="8">
        <v>125546</v>
      </c>
      <c r="T647" s="9"/>
      <c r="U647" s="8">
        <v>203352</v>
      </c>
      <c r="V647" s="9"/>
      <c r="W647" s="33">
        <v>3662810</v>
      </c>
      <c r="X647" s="9"/>
      <c r="Y647" s="30">
        <v>1586</v>
      </c>
      <c r="Z647" s="9"/>
      <c r="AA647" s="30">
        <v>119</v>
      </c>
      <c r="AB647" s="9"/>
      <c r="AC647" s="30">
        <v>67</v>
      </c>
      <c r="AD647" s="9"/>
      <c r="AE647" s="30">
        <v>97</v>
      </c>
      <c r="AF647" s="9"/>
      <c r="AG647" s="30">
        <v>104</v>
      </c>
      <c r="AH647" s="9"/>
      <c r="AI647" s="32">
        <v>1973</v>
      </c>
      <c r="AJ647" s="12"/>
      <c r="AK647" s="22">
        <v>100354688</v>
      </c>
      <c r="AM647" s="22">
        <v>11562983</v>
      </c>
      <c r="AO647" s="22">
        <v>5015951</v>
      </c>
      <c r="AQ647" s="22">
        <v>3923234</v>
      </c>
      <c r="AS647" s="26">
        <v>120856856</v>
      </c>
      <c r="AU647" s="23">
        <v>33.965299999999999</v>
      </c>
      <c r="AW647" s="23">
        <v>45.544899999999998</v>
      </c>
      <c r="AY647" s="23">
        <v>1.6977</v>
      </c>
      <c r="BA647" s="23">
        <v>31.249400000000001</v>
      </c>
      <c r="BC647" s="24">
        <v>32.995699999999999</v>
      </c>
      <c r="BE647" s="1" t="str">
        <f t="shared" si="10"/>
        <v>No</v>
      </c>
    </row>
    <row r="648" spans="1:57" ht="11.25" customHeight="1">
      <c r="A648" s="7" t="s">
        <v>303</v>
      </c>
      <c r="B648" s="7" t="s">
        <v>304</v>
      </c>
      <c r="C648" s="37" t="s">
        <v>46</v>
      </c>
      <c r="D648" s="296">
        <v>6038</v>
      </c>
      <c r="E648" s="297">
        <v>60038</v>
      </c>
      <c r="F648" s="27" t="s">
        <v>162</v>
      </c>
      <c r="G648" s="73" t="s">
        <v>158</v>
      </c>
      <c r="H648" s="35">
        <v>252720</v>
      </c>
      <c r="I648" s="35">
        <v>19</v>
      </c>
      <c r="J648" s="37" t="s">
        <v>7</v>
      </c>
      <c r="K648" s="37" t="s">
        <v>159</v>
      </c>
      <c r="L648" s="8">
        <v>13</v>
      </c>
      <c r="M648" s="8">
        <v>67813</v>
      </c>
      <c r="N648" s="9"/>
      <c r="O648" s="8">
        <v>1542</v>
      </c>
      <c r="P648" s="9"/>
      <c r="Q648" s="8">
        <v>3280</v>
      </c>
      <c r="R648" s="9"/>
      <c r="S648" s="8">
        <v>8414</v>
      </c>
      <c r="T648" s="9"/>
      <c r="U648" s="8">
        <v>0</v>
      </c>
      <c r="V648" s="9"/>
      <c r="W648" s="33">
        <v>81049</v>
      </c>
      <c r="X648" s="9"/>
      <c r="Y648" s="30">
        <v>58</v>
      </c>
      <c r="Z648" s="9"/>
      <c r="AA648" s="30">
        <v>9</v>
      </c>
      <c r="AB648" s="9"/>
      <c r="AC648" s="30">
        <v>3</v>
      </c>
      <c r="AD648" s="9"/>
      <c r="AE648" s="30">
        <v>6</v>
      </c>
      <c r="AF648" s="9"/>
      <c r="AG648" s="30">
        <v>0</v>
      </c>
      <c r="AH648" s="9"/>
      <c r="AI648" s="32">
        <v>76</v>
      </c>
      <c r="AJ648" s="12"/>
      <c r="AK648" s="22">
        <v>1227089</v>
      </c>
      <c r="AM648" s="22">
        <v>36113</v>
      </c>
      <c r="AO648" s="22">
        <v>96712</v>
      </c>
      <c r="AQ648" s="22">
        <v>96855</v>
      </c>
      <c r="AS648" s="26">
        <v>1456769</v>
      </c>
      <c r="AU648" s="23">
        <v>18.095199999999998</v>
      </c>
      <c r="AW648" s="23">
        <v>23.419599999999999</v>
      </c>
      <c r="AY648" s="23">
        <v>1.4261999999999999</v>
      </c>
      <c r="BA648" s="23">
        <v>11.511200000000001</v>
      </c>
      <c r="BC648" s="24">
        <v>17.9739</v>
      </c>
      <c r="BE648" s="1" t="str">
        <f t="shared" si="10"/>
        <v>No</v>
      </c>
    </row>
    <row r="649" spans="1:57" ht="11.25" customHeight="1">
      <c r="A649" s="7" t="s">
        <v>14</v>
      </c>
      <c r="B649" s="7" t="s">
        <v>297</v>
      </c>
      <c r="C649" s="37" t="s">
        <v>13</v>
      </c>
      <c r="D649" s="296">
        <v>9034</v>
      </c>
      <c r="E649" s="297">
        <v>90034</v>
      </c>
      <c r="F649" s="27" t="s">
        <v>162</v>
      </c>
      <c r="G649" s="73" t="s">
        <v>158</v>
      </c>
      <c r="H649" s="35">
        <v>3629114</v>
      </c>
      <c r="I649" s="35">
        <v>18</v>
      </c>
      <c r="J649" s="37" t="s">
        <v>10</v>
      </c>
      <c r="K649" s="37" t="s">
        <v>159</v>
      </c>
      <c r="L649" s="8">
        <v>15</v>
      </c>
      <c r="M649" s="8">
        <v>61507</v>
      </c>
      <c r="N649" s="9"/>
      <c r="O649" s="8">
        <v>1809</v>
      </c>
      <c r="P649" s="9"/>
      <c r="Q649" s="8">
        <v>441</v>
      </c>
      <c r="R649" s="9"/>
      <c r="S649" s="8">
        <v>10764</v>
      </c>
      <c r="T649" s="9"/>
      <c r="U649" s="8">
        <v>0</v>
      </c>
      <c r="V649" s="9"/>
      <c r="W649" s="33">
        <v>74521</v>
      </c>
      <c r="X649" s="9"/>
      <c r="Y649" s="30">
        <v>31.74</v>
      </c>
      <c r="Z649" s="9"/>
      <c r="AA649" s="30">
        <v>0.87</v>
      </c>
      <c r="AB649" s="9"/>
      <c r="AC649" s="30">
        <v>0.21</v>
      </c>
      <c r="AD649" s="9"/>
      <c r="AE649" s="30">
        <v>5.41</v>
      </c>
      <c r="AF649" s="9"/>
      <c r="AG649" s="30">
        <v>0</v>
      </c>
      <c r="AH649" s="9"/>
      <c r="AI649" s="32">
        <v>38.229999999999997</v>
      </c>
      <c r="AJ649" s="12"/>
      <c r="AK649" s="22">
        <v>930002</v>
      </c>
      <c r="AM649" s="22">
        <v>36585</v>
      </c>
      <c r="AO649" s="22">
        <v>8915</v>
      </c>
      <c r="AQ649" s="22">
        <v>291567</v>
      </c>
      <c r="AS649" s="26">
        <v>1267069</v>
      </c>
      <c r="AU649" s="23">
        <v>15.1203</v>
      </c>
      <c r="AW649" s="23">
        <v>20.2239</v>
      </c>
      <c r="AY649" s="23">
        <v>0.1449</v>
      </c>
      <c r="BA649" s="23">
        <v>27.087199999999999</v>
      </c>
      <c r="BC649" s="24">
        <v>17.002800000000001</v>
      </c>
      <c r="BE649" s="1" t="str">
        <f t="shared" si="10"/>
        <v>No</v>
      </c>
    </row>
    <row r="650" spans="1:57" ht="11.25" customHeight="1">
      <c r="A650" s="7" t="s">
        <v>1097</v>
      </c>
      <c r="B650" s="7" t="s">
        <v>350</v>
      </c>
      <c r="C650" s="37" t="s">
        <v>62</v>
      </c>
      <c r="D650" s="296">
        <v>1086</v>
      </c>
      <c r="E650" s="297">
        <v>10086</v>
      </c>
      <c r="F650" s="27" t="s">
        <v>165</v>
      </c>
      <c r="G650" s="73" t="s">
        <v>158</v>
      </c>
      <c r="H650" s="35">
        <v>88087</v>
      </c>
      <c r="I650" s="35">
        <v>18</v>
      </c>
      <c r="J650" s="37" t="s">
        <v>7</v>
      </c>
      <c r="K650" s="37" t="s">
        <v>159</v>
      </c>
      <c r="L650" s="8">
        <v>14</v>
      </c>
      <c r="M650" s="8">
        <v>73991</v>
      </c>
      <c r="N650" s="9"/>
      <c r="O650" s="8">
        <v>8521</v>
      </c>
      <c r="P650" s="9"/>
      <c r="Q650" s="8">
        <v>0</v>
      </c>
      <c r="R650" s="9"/>
      <c r="S650" s="8">
        <v>8546</v>
      </c>
      <c r="T650" s="9"/>
      <c r="U650" s="8">
        <v>0</v>
      </c>
      <c r="V650" s="9"/>
      <c r="W650" s="33">
        <v>91058</v>
      </c>
      <c r="X650" s="9"/>
      <c r="Y650" s="30">
        <v>45.1</v>
      </c>
      <c r="Z650" s="9"/>
      <c r="AA650" s="30">
        <v>9.3000000000000007</v>
      </c>
      <c r="AB650" s="9"/>
      <c r="AC650" s="30">
        <v>0</v>
      </c>
      <c r="AD650" s="9"/>
      <c r="AE650" s="30">
        <v>4.7</v>
      </c>
      <c r="AF650" s="9"/>
      <c r="AG650" s="30">
        <v>0</v>
      </c>
      <c r="AH650" s="9"/>
      <c r="AI650" s="32">
        <v>59.1</v>
      </c>
      <c r="AJ650" s="12"/>
      <c r="AK650" s="22">
        <v>1307397</v>
      </c>
      <c r="AM650" s="22">
        <v>185549</v>
      </c>
      <c r="AO650" s="22">
        <v>0</v>
      </c>
      <c r="AQ650" s="22">
        <v>275378</v>
      </c>
      <c r="AS650" s="26">
        <v>1768324</v>
      </c>
      <c r="AU650" s="23">
        <v>17.669699999999999</v>
      </c>
      <c r="AW650" s="23">
        <v>21.775500000000001</v>
      </c>
      <c r="AY650" s="23">
        <v>0</v>
      </c>
      <c r="BA650" s="23">
        <v>32.222999999999999</v>
      </c>
      <c r="BC650" s="24">
        <v>19.419799999999999</v>
      </c>
      <c r="BE650" s="1" t="str">
        <f t="shared" si="10"/>
        <v>No</v>
      </c>
    </row>
    <row r="651" spans="1:57" ht="11.25" customHeight="1">
      <c r="A651" s="7" t="s">
        <v>777</v>
      </c>
      <c r="B651" s="7" t="s">
        <v>778</v>
      </c>
      <c r="C651" s="37" t="s">
        <v>73</v>
      </c>
      <c r="D651" s="296">
        <v>5199</v>
      </c>
      <c r="E651" s="297">
        <v>50199</v>
      </c>
      <c r="F651" s="27" t="s">
        <v>165</v>
      </c>
      <c r="G651" s="73" t="s">
        <v>158</v>
      </c>
      <c r="H651" s="35">
        <v>1368035</v>
      </c>
      <c r="I651" s="35">
        <v>18</v>
      </c>
      <c r="J651" s="37" t="s">
        <v>7</v>
      </c>
      <c r="K651" s="37" t="s">
        <v>159</v>
      </c>
      <c r="L651" s="8">
        <v>12</v>
      </c>
      <c r="M651" s="8">
        <v>28590</v>
      </c>
      <c r="N651" s="9"/>
      <c r="O651" s="8">
        <v>2889</v>
      </c>
      <c r="P651" s="9"/>
      <c r="Q651" s="8">
        <v>0</v>
      </c>
      <c r="R651" s="9"/>
      <c r="S651" s="8">
        <v>7955</v>
      </c>
      <c r="T651" s="9"/>
      <c r="U651" s="8">
        <v>0</v>
      </c>
      <c r="V651" s="9"/>
      <c r="W651" s="33">
        <v>39434</v>
      </c>
      <c r="X651" s="9"/>
      <c r="Y651" s="30">
        <v>23</v>
      </c>
      <c r="Z651" s="9"/>
      <c r="AA651" s="30">
        <v>2.02</v>
      </c>
      <c r="AB651" s="9"/>
      <c r="AC651" s="30">
        <v>0</v>
      </c>
      <c r="AD651" s="9"/>
      <c r="AE651" s="30">
        <v>5</v>
      </c>
      <c r="AF651" s="9"/>
      <c r="AG651" s="30">
        <v>0</v>
      </c>
      <c r="AH651" s="9"/>
      <c r="AI651" s="32">
        <v>30.02</v>
      </c>
      <c r="AJ651" s="12"/>
      <c r="AK651" s="22">
        <v>411362</v>
      </c>
      <c r="AM651" s="22">
        <v>67134</v>
      </c>
      <c r="AO651" s="22">
        <v>0</v>
      </c>
      <c r="AQ651" s="22">
        <v>190073</v>
      </c>
      <c r="AS651" s="26">
        <v>668569</v>
      </c>
      <c r="AU651" s="23">
        <v>14.388299999999999</v>
      </c>
      <c r="AW651" s="23">
        <v>23.2378</v>
      </c>
      <c r="AY651" s="23">
        <v>0</v>
      </c>
      <c r="BA651" s="23">
        <v>23.8935</v>
      </c>
      <c r="BC651" s="24">
        <v>16.9541</v>
      </c>
      <c r="BE651" s="1" t="str">
        <f t="shared" si="10"/>
        <v>No</v>
      </c>
    </row>
    <row r="652" spans="1:57" ht="11.25" customHeight="1">
      <c r="A652" s="7" t="s">
        <v>387</v>
      </c>
      <c r="B652" s="7" t="s">
        <v>388</v>
      </c>
      <c r="C652" s="37" t="s">
        <v>59</v>
      </c>
      <c r="D652" s="296">
        <v>8008</v>
      </c>
      <c r="E652" s="297">
        <v>80008</v>
      </c>
      <c r="F652" s="27" t="s">
        <v>162</v>
      </c>
      <c r="G652" s="73" t="s">
        <v>158</v>
      </c>
      <c r="H652" s="35">
        <v>61270</v>
      </c>
      <c r="I652" s="35">
        <v>18</v>
      </c>
      <c r="J652" s="37" t="s">
        <v>7</v>
      </c>
      <c r="K652" s="37" t="s">
        <v>159</v>
      </c>
      <c r="L652" s="8">
        <v>8</v>
      </c>
      <c r="M652" s="8">
        <v>30495</v>
      </c>
      <c r="N652" s="9"/>
      <c r="O652" s="8">
        <v>4542</v>
      </c>
      <c r="P652" s="9"/>
      <c r="Q652" s="8">
        <v>606</v>
      </c>
      <c r="R652" s="9"/>
      <c r="S652" s="8">
        <v>6540</v>
      </c>
      <c r="T652" s="9"/>
      <c r="U652" s="8">
        <v>0</v>
      </c>
      <c r="V652" s="9"/>
      <c r="W652" s="33">
        <v>42183</v>
      </c>
      <c r="X652" s="9"/>
      <c r="Y652" s="30">
        <v>25</v>
      </c>
      <c r="Z652" s="9"/>
      <c r="AA652" s="30">
        <v>2.5</v>
      </c>
      <c r="AB652" s="9"/>
      <c r="AC652" s="30">
        <v>1</v>
      </c>
      <c r="AD652" s="9"/>
      <c r="AE652" s="30">
        <v>4.5</v>
      </c>
      <c r="AF652" s="9"/>
      <c r="AG652" s="30">
        <v>0</v>
      </c>
      <c r="AH652" s="9"/>
      <c r="AI652" s="32">
        <v>33</v>
      </c>
      <c r="AJ652" s="12"/>
      <c r="AK652" s="22">
        <v>765868</v>
      </c>
      <c r="AM652" s="22">
        <v>60146</v>
      </c>
      <c r="AO652" s="22">
        <v>9228</v>
      </c>
      <c r="AQ652" s="22">
        <v>117291</v>
      </c>
      <c r="AS652" s="26">
        <v>952533</v>
      </c>
      <c r="AU652" s="23">
        <v>25.1145</v>
      </c>
      <c r="AW652" s="23">
        <v>13.2422</v>
      </c>
      <c r="AY652" s="23">
        <v>0.30259999999999998</v>
      </c>
      <c r="BA652" s="23">
        <v>17.9344</v>
      </c>
      <c r="BC652" s="24">
        <v>22.581</v>
      </c>
      <c r="BE652" s="1" t="str">
        <f t="shared" si="10"/>
        <v>No</v>
      </c>
    </row>
    <row r="653" spans="1:57" ht="11.25" customHeight="1">
      <c r="A653" s="7" t="s">
        <v>777</v>
      </c>
      <c r="B653" s="7" t="s">
        <v>778</v>
      </c>
      <c r="C653" s="37" t="s">
        <v>73</v>
      </c>
      <c r="D653" s="296">
        <v>5199</v>
      </c>
      <c r="E653" s="297">
        <v>50199</v>
      </c>
      <c r="F653" s="27" t="s">
        <v>165</v>
      </c>
      <c r="G653" s="73" t="s">
        <v>158</v>
      </c>
      <c r="H653" s="35">
        <v>1368035</v>
      </c>
      <c r="I653" s="35">
        <v>18</v>
      </c>
      <c r="J653" s="37" t="s">
        <v>10</v>
      </c>
      <c r="K653" s="37" t="s">
        <v>159</v>
      </c>
      <c r="L653" s="8">
        <v>6</v>
      </c>
      <c r="M653" s="8">
        <v>14683</v>
      </c>
      <c r="N653" s="9"/>
      <c r="O653" s="8">
        <v>1483</v>
      </c>
      <c r="P653" s="9"/>
      <c r="Q653" s="8">
        <v>0</v>
      </c>
      <c r="R653" s="9"/>
      <c r="S653" s="8">
        <v>4085</v>
      </c>
      <c r="T653" s="9"/>
      <c r="U653" s="8">
        <v>0</v>
      </c>
      <c r="V653" s="9"/>
      <c r="W653" s="33">
        <v>20251</v>
      </c>
      <c r="X653" s="9"/>
      <c r="Y653" s="30">
        <v>11</v>
      </c>
      <c r="Z653" s="9"/>
      <c r="AA653" s="30">
        <v>0.98</v>
      </c>
      <c r="AB653" s="9"/>
      <c r="AC653" s="30">
        <v>0</v>
      </c>
      <c r="AD653" s="9"/>
      <c r="AE653" s="30">
        <v>2</v>
      </c>
      <c r="AF653" s="9"/>
      <c r="AG653" s="30">
        <v>0</v>
      </c>
      <c r="AH653" s="9"/>
      <c r="AI653" s="32">
        <v>13.98</v>
      </c>
      <c r="AJ653" s="12"/>
      <c r="AK653" s="22">
        <v>194443</v>
      </c>
      <c r="AM653" s="22">
        <v>31733</v>
      </c>
      <c r="AO653" s="22">
        <v>0</v>
      </c>
      <c r="AQ653" s="22">
        <v>89845</v>
      </c>
      <c r="AS653" s="26">
        <v>316021</v>
      </c>
      <c r="AU653" s="23">
        <v>13.242699999999999</v>
      </c>
      <c r="AW653" s="23">
        <v>21.3978</v>
      </c>
      <c r="AY653" s="23">
        <v>0</v>
      </c>
      <c r="BA653" s="23">
        <v>21.9939</v>
      </c>
      <c r="BC653" s="24">
        <v>15.6052</v>
      </c>
      <c r="BE653" s="1" t="str">
        <f t="shared" si="10"/>
        <v>No</v>
      </c>
    </row>
    <row r="654" spans="1:57" ht="11.25" customHeight="1">
      <c r="A654" s="7" t="s">
        <v>1097</v>
      </c>
      <c r="B654" s="7" t="s">
        <v>350</v>
      </c>
      <c r="C654" s="37" t="s">
        <v>62</v>
      </c>
      <c r="D654" s="296">
        <v>1086</v>
      </c>
      <c r="E654" s="297">
        <v>10086</v>
      </c>
      <c r="F654" s="27" t="s">
        <v>165</v>
      </c>
      <c r="G654" s="73" t="s">
        <v>158</v>
      </c>
      <c r="H654" s="35">
        <v>88087</v>
      </c>
      <c r="I654" s="35">
        <v>18</v>
      </c>
      <c r="J654" s="37" t="s">
        <v>10</v>
      </c>
      <c r="K654" s="37" t="s">
        <v>159</v>
      </c>
      <c r="L654" s="8">
        <v>4</v>
      </c>
      <c r="M654" s="8">
        <v>26301</v>
      </c>
      <c r="N654" s="9"/>
      <c r="O654" s="8">
        <v>1890</v>
      </c>
      <c r="P654" s="9"/>
      <c r="Q654" s="8">
        <v>0</v>
      </c>
      <c r="R654" s="9"/>
      <c r="S654" s="8">
        <v>2447</v>
      </c>
      <c r="T654" s="9"/>
      <c r="U654" s="8">
        <v>0</v>
      </c>
      <c r="V654" s="9"/>
      <c r="W654" s="33">
        <v>30638</v>
      </c>
      <c r="X654" s="9"/>
      <c r="Y654" s="30">
        <v>18.899999999999999</v>
      </c>
      <c r="Z654" s="9"/>
      <c r="AA654" s="30">
        <v>1.7</v>
      </c>
      <c r="AB654" s="9"/>
      <c r="AC654" s="30">
        <v>0</v>
      </c>
      <c r="AD654" s="9"/>
      <c r="AE654" s="30">
        <v>1.3</v>
      </c>
      <c r="AF654" s="9"/>
      <c r="AG654" s="30">
        <v>0</v>
      </c>
      <c r="AH654" s="9"/>
      <c r="AI654" s="32">
        <v>21.9</v>
      </c>
      <c r="AJ654" s="12"/>
      <c r="AK654" s="22">
        <v>464735</v>
      </c>
      <c r="AM654" s="22">
        <v>54991</v>
      </c>
      <c r="AO654" s="22">
        <v>0</v>
      </c>
      <c r="AQ654" s="22">
        <v>78679</v>
      </c>
      <c r="AS654" s="26">
        <v>598405</v>
      </c>
      <c r="AU654" s="23">
        <v>17.669899999999998</v>
      </c>
      <c r="AW654" s="23">
        <v>29.095800000000001</v>
      </c>
      <c r="AY654" s="23">
        <v>0</v>
      </c>
      <c r="BA654" s="23">
        <v>32.153199999999998</v>
      </c>
      <c r="BC654" s="24">
        <v>19.531500000000001</v>
      </c>
      <c r="BE654" s="1" t="str">
        <f t="shared" si="10"/>
        <v>No</v>
      </c>
    </row>
    <row r="655" spans="1:57" ht="11.25" customHeight="1">
      <c r="A655" s="7" t="s">
        <v>14</v>
      </c>
      <c r="B655" s="7" t="s">
        <v>297</v>
      </c>
      <c r="C655" s="37" t="s">
        <v>13</v>
      </c>
      <c r="D655" s="296">
        <v>9034</v>
      </c>
      <c r="E655" s="297">
        <v>90034</v>
      </c>
      <c r="F655" s="27" t="s">
        <v>162</v>
      </c>
      <c r="G655" s="73" t="s">
        <v>158</v>
      </c>
      <c r="H655" s="35">
        <v>3629114</v>
      </c>
      <c r="I655" s="35">
        <v>18</v>
      </c>
      <c r="J655" s="37" t="s">
        <v>7</v>
      </c>
      <c r="K655" s="37" t="s">
        <v>159</v>
      </c>
      <c r="L655" s="8">
        <v>3</v>
      </c>
      <c r="M655" s="8">
        <v>10972</v>
      </c>
      <c r="N655" s="9"/>
      <c r="O655" s="8">
        <v>561</v>
      </c>
      <c r="P655" s="9"/>
      <c r="Q655" s="8">
        <v>161</v>
      </c>
      <c r="R655" s="9"/>
      <c r="S655" s="8">
        <v>3941</v>
      </c>
      <c r="T655" s="9"/>
      <c r="U655" s="8">
        <v>0</v>
      </c>
      <c r="V655" s="9"/>
      <c r="W655" s="33">
        <v>15635</v>
      </c>
      <c r="X655" s="9"/>
      <c r="Y655" s="30">
        <v>6.25</v>
      </c>
      <c r="Z655" s="9"/>
      <c r="AA655" s="30">
        <v>0.27</v>
      </c>
      <c r="AB655" s="9"/>
      <c r="AC655" s="30">
        <v>0.08</v>
      </c>
      <c r="AD655" s="9"/>
      <c r="AE655" s="30">
        <v>1.91</v>
      </c>
      <c r="AF655" s="9"/>
      <c r="AG655" s="30">
        <v>0</v>
      </c>
      <c r="AH655" s="9"/>
      <c r="AI655" s="32">
        <v>8.51</v>
      </c>
      <c r="AJ655" s="12"/>
      <c r="AK655" s="22">
        <v>157429</v>
      </c>
      <c r="AM655" s="22">
        <v>11336</v>
      </c>
      <c r="AO655" s="22">
        <v>3259</v>
      </c>
      <c r="AQ655" s="22">
        <v>126036</v>
      </c>
      <c r="AS655" s="26">
        <v>298060</v>
      </c>
      <c r="AU655" s="23">
        <v>14.3483</v>
      </c>
      <c r="AW655" s="23">
        <v>20.206800000000001</v>
      </c>
      <c r="AY655" s="23">
        <v>0.29699999999999999</v>
      </c>
      <c r="BA655" s="23">
        <v>31.980699999999999</v>
      </c>
      <c r="BC655" s="24">
        <v>19.063600000000001</v>
      </c>
      <c r="BE655" s="1" t="str">
        <f t="shared" si="10"/>
        <v>No</v>
      </c>
    </row>
    <row r="656" spans="1:57" ht="11.25" customHeight="1">
      <c r="A656" s="7" t="s">
        <v>773</v>
      </c>
      <c r="B656" s="7" t="s">
        <v>774</v>
      </c>
      <c r="C656" s="37" t="s">
        <v>73</v>
      </c>
      <c r="D656" s="296">
        <v>5198</v>
      </c>
      <c r="E656" s="297">
        <v>50198</v>
      </c>
      <c r="F656" s="27" t="s">
        <v>162</v>
      </c>
      <c r="G656" s="73" t="s">
        <v>158</v>
      </c>
      <c r="H656" s="35">
        <v>1780673</v>
      </c>
      <c r="I656" s="35">
        <v>17</v>
      </c>
      <c r="J656" s="37" t="s">
        <v>10</v>
      </c>
      <c r="K656" s="37" t="s">
        <v>159</v>
      </c>
      <c r="L656" s="8">
        <v>11</v>
      </c>
      <c r="M656" s="8">
        <v>32873</v>
      </c>
      <c r="N656" s="9"/>
      <c r="O656" s="8">
        <v>0</v>
      </c>
      <c r="P656" s="9"/>
      <c r="Q656" s="8">
        <v>0</v>
      </c>
      <c r="R656" s="9"/>
      <c r="S656" s="8">
        <v>2073</v>
      </c>
      <c r="T656" s="9"/>
      <c r="U656" s="8">
        <v>0</v>
      </c>
      <c r="V656" s="9"/>
      <c r="W656" s="33">
        <v>34946</v>
      </c>
      <c r="X656" s="9"/>
      <c r="Y656" s="30">
        <v>28.45</v>
      </c>
      <c r="Z656" s="9"/>
      <c r="AA656" s="30">
        <v>0</v>
      </c>
      <c r="AB656" s="9"/>
      <c r="AC656" s="30">
        <v>0</v>
      </c>
      <c r="AD656" s="9"/>
      <c r="AE656" s="30">
        <v>1.28</v>
      </c>
      <c r="AF656" s="9"/>
      <c r="AG656" s="30">
        <v>0</v>
      </c>
      <c r="AH656" s="9"/>
      <c r="AI656" s="32">
        <v>29.73</v>
      </c>
      <c r="AJ656" s="12"/>
      <c r="AK656" s="22">
        <v>488118</v>
      </c>
      <c r="AM656" s="22">
        <v>0</v>
      </c>
      <c r="AO656" s="22">
        <v>0</v>
      </c>
      <c r="AQ656" s="22">
        <v>55119</v>
      </c>
      <c r="AS656" s="26">
        <v>543237</v>
      </c>
      <c r="AU656" s="23">
        <v>14.848599999999999</v>
      </c>
      <c r="AY656" s="23">
        <v>0</v>
      </c>
      <c r="BA656" s="23">
        <v>26.588999999999999</v>
      </c>
      <c r="BC656" s="24">
        <v>15.545</v>
      </c>
      <c r="BE656" s="1" t="str">
        <f t="shared" si="10"/>
        <v>No</v>
      </c>
    </row>
    <row r="657" spans="1:57" ht="11.25" customHeight="1">
      <c r="A657" s="7" t="s">
        <v>773</v>
      </c>
      <c r="B657" s="7" t="s">
        <v>774</v>
      </c>
      <c r="C657" s="37" t="s">
        <v>73</v>
      </c>
      <c r="D657" s="296">
        <v>5198</v>
      </c>
      <c r="E657" s="297">
        <v>50198</v>
      </c>
      <c r="F657" s="27" t="s">
        <v>162</v>
      </c>
      <c r="G657" s="73" t="s">
        <v>158</v>
      </c>
      <c r="H657" s="35">
        <v>1780673</v>
      </c>
      <c r="I657" s="35">
        <v>17</v>
      </c>
      <c r="J657" s="37" t="s">
        <v>7</v>
      </c>
      <c r="K657" s="37" t="s">
        <v>159</v>
      </c>
      <c r="L657" s="8">
        <v>5</v>
      </c>
      <c r="M657" s="8">
        <v>15317</v>
      </c>
      <c r="N657" s="9"/>
      <c r="O657" s="8">
        <v>0</v>
      </c>
      <c r="P657" s="9"/>
      <c r="Q657" s="8">
        <v>0</v>
      </c>
      <c r="R657" s="9"/>
      <c r="S657" s="8">
        <v>931</v>
      </c>
      <c r="T657" s="9"/>
      <c r="U657" s="8">
        <v>0</v>
      </c>
      <c r="V657" s="9"/>
      <c r="W657" s="33">
        <v>16248</v>
      </c>
      <c r="X657" s="9"/>
      <c r="Y657" s="30">
        <v>11.55</v>
      </c>
      <c r="Z657" s="9"/>
      <c r="AA657" s="30">
        <v>0</v>
      </c>
      <c r="AB657" s="9"/>
      <c r="AC657" s="30">
        <v>0</v>
      </c>
      <c r="AD657" s="9"/>
      <c r="AE657" s="30">
        <v>0.56999999999999995</v>
      </c>
      <c r="AF657" s="9"/>
      <c r="AG657" s="30">
        <v>0</v>
      </c>
      <c r="AH657" s="9"/>
      <c r="AI657" s="32">
        <v>12.12</v>
      </c>
      <c r="AJ657" s="12"/>
      <c r="AK657" s="22">
        <v>222316</v>
      </c>
      <c r="AM657" s="22">
        <v>0</v>
      </c>
      <c r="AO657" s="22">
        <v>0</v>
      </c>
      <c r="AQ657" s="22">
        <v>25026</v>
      </c>
      <c r="AS657" s="26">
        <v>247342</v>
      </c>
      <c r="AU657" s="23">
        <v>14.5143</v>
      </c>
      <c r="AY657" s="23">
        <v>0</v>
      </c>
      <c r="BA657" s="23">
        <v>26.880800000000001</v>
      </c>
      <c r="BC657" s="24">
        <v>15.222899999999999</v>
      </c>
      <c r="BE657" s="1" t="str">
        <f t="shared" si="10"/>
        <v>No</v>
      </c>
    </row>
    <row r="658" spans="1:57" ht="11.25" customHeight="1">
      <c r="A658" s="7" t="s">
        <v>1146</v>
      </c>
      <c r="B658" s="7" t="s">
        <v>1147</v>
      </c>
      <c r="C658" s="37" t="s">
        <v>81</v>
      </c>
      <c r="D658" s="296">
        <v>4208</v>
      </c>
      <c r="E658" s="297">
        <v>40208</v>
      </c>
      <c r="F658" s="27" t="s">
        <v>162</v>
      </c>
      <c r="G658" s="73" t="s">
        <v>158</v>
      </c>
      <c r="H658" s="35">
        <v>400492</v>
      </c>
      <c r="I658" s="35">
        <v>16</v>
      </c>
      <c r="J658" s="37" t="s">
        <v>7</v>
      </c>
      <c r="K658" s="37" t="s">
        <v>159</v>
      </c>
      <c r="L658" s="8">
        <v>16</v>
      </c>
      <c r="M658" s="8">
        <v>61108</v>
      </c>
      <c r="N658" s="9"/>
      <c r="O658" s="8">
        <v>8198</v>
      </c>
      <c r="P658" s="9"/>
      <c r="Q658" s="8">
        <v>0</v>
      </c>
      <c r="R658" s="9"/>
      <c r="S658" s="8">
        <v>11650</v>
      </c>
      <c r="T658" s="9"/>
      <c r="U658" s="8">
        <v>0</v>
      </c>
      <c r="V658" s="9"/>
      <c r="W658" s="33">
        <v>80956</v>
      </c>
      <c r="X658" s="9"/>
      <c r="Y658" s="30">
        <v>63</v>
      </c>
      <c r="Z658" s="9"/>
      <c r="AA658" s="30">
        <v>4</v>
      </c>
      <c r="AB658" s="9"/>
      <c r="AC658" s="30">
        <v>0</v>
      </c>
      <c r="AD658" s="9"/>
      <c r="AE658" s="30">
        <v>8</v>
      </c>
      <c r="AF658" s="9"/>
      <c r="AG658" s="30">
        <v>0</v>
      </c>
      <c r="AH658" s="9"/>
      <c r="AI658" s="32">
        <v>75</v>
      </c>
      <c r="AJ658" s="12"/>
      <c r="AK658" s="22">
        <v>826055</v>
      </c>
      <c r="AM658" s="22">
        <v>195122</v>
      </c>
      <c r="AO658" s="22">
        <v>0</v>
      </c>
      <c r="AQ658" s="22">
        <v>227828</v>
      </c>
      <c r="AS658" s="26">
        <v>1249005</v>
      </c>
      <c r="AU658" s="23">
        <v>13.518000000000001</v>
      </c>
      <c r="AW658" s="23">
        <v>23.801200000000001</v>
      </c>
      <c r="AY658" s="23">
        <v>0</v>
      </c>
      <c r="BA658" s="23">
        <v>19.556100000000001</v>
      </c>
      <c r="BC658" s="24">
        <v>15.4282</v>
      </c>
      <c r="BE658" s="1" t="str">
        <f t="shared" si="10"/>
        <v>No</v>
      </c>
    </row>
    <row r="659" spans="1:57" ht="11.25" customHeight="1">
      <c r="A659" s="7" t="s">
        <v>203</v>
      </c>
      <c r="B659" s="7" t="s">
        <v>204</v>
      </c>
      <c r="C659" s="37" t="s">
        <v>58</v>
      </c>
      <c r="D659" s="296">
        <v>4005</v>
      </c>
      <c r="E659" s="297">
        <v>40005</v>
      </c>
      <c r="F659" s="27" t="s">
        <v>162</v>
      </c>
      <c r="G659" s="73" t="s">
        <v>158</v>
      </c>
      <c r="H659" s="35">
        <v>280648</v>
      </c>
      <c r="I659" s="35">
        <v>16</v>
      </c>
      <c r="J659" s="37" t="s">
        <v>7</v>
      </c>
      <c r="K659" s="37" t="s">
        <v>159</v>
      </c>
      <c r="L659" s="8">
        <v>16</v>
      </c>
      <c r="M659" s="8">
        <v>100875</v>
      </c>
      <c r="N659" s="9"/>
      <c r="O659" s="8">
        <v>16151</v>
      </c>
      <c r="P659" s="9"/>
      <c r="Q659" s="8">
        <v>4294</v>
      </c>
      <c r="R659" s="9"/>
      <c r="S659" s="8">
        <v>6850</v>
      </c>
      <c r="T659" s="9"/>
      <c r="U659" s="8">
        <v>0</v>
      </c>
      <c r="V659" s="9"/>
      <c r="W659" s="33">
        <v>128170</v>
      </c>
      <c r="X659" s="9"/>
      <c r="Y659" s="30">
        <v>53</v>
      </c>
      <c r="Z659" s="9"/>
      <c r="AA659" s="30">
        <v>8</v>
      </c>
      <c r="AB659" s="9"/>
      <c r="AC659" s="30">
        <v>2</v>
      </c>
      <c r="AD659" s="9"/>
      <c r="AE659" s="30">
        <v>5</v>
      </c>
      <c r="AF659" s="9"/>
      <c r="AG659" s="30">
        <v>0</v>
      </c>
      <c r="AH659" s="9"/>
      <c r="AI659" s="32">
        <v>68</v>
      </c>
      <c r="AJ659" s="12"/>
      <c r="AK659" s="22">
        <v>2010651</v>
      </c>
      <c r="AM659" s="22">
        <v>324237</v>
      </c>
      <c r="AO659" s="22">
        <v>71153</v>
      </c>
      <c r="AQ659" s="22">
        <v>214057</v>
      </c>
      <c r="AS659" s="26">
        <v>2620098</v>
      </c>
      <c r="AU659" s="23">
        <v>19.932099999999998</v>
      </c>
      <c r="AW659" s="23">
        <v>20.075399999999998</v>
      </c>
      <c r="AY659" s="23">
        <v>0.70540000000000003</v>
      </c>
      <c r="BA659" s="23">
        <v>31.249199999999998</v>
      </c>
      <c r="BC659" s="24">
        <v>20.442399999999999</v>
      </c>
      <c r="BE659" s="1" t="str">
        <f t="shared" si="10"/>
        <v>No</v>
      </c>
    </row>
    <row r="660" spans="1:57" ht="11.25" customHeight="1">
      <c r="A660" s="7" t="s">
        <v>531</v>
      </c>
      <c r="B660" s="7" t="s">
        <v>532</v>
      </c>
      <c r="C660" s="37" t="s">
        <v>96</v>
      </c>
      <c r="D660" s="296">
        <v>3035</v>
      </c>
      <c r="E660" s="297">
        <v>30035</v>
      </c>
      <c r="F660" s="27" t="s">
        <v>165</v>
      </c>
      <c r="G660" s="73" t="s">
        <v>158</v>
      </c>
      <c r="H660" s="35">
        <v>81249</v>
      </c>
      <c r="I660" s="35">
        <v>16</v>
      </c>
      <c r="J660" s="37" t="s">
        <v>7</v>
      </c>
      <c r="K660" s="37" t="s">
        <v>159</v>
      </c>
      <c r="L660" s="8">
        <v>14</v>
      </c>
      <c r="M660" s="8">
        <v>56732</v>
      </c>
      <c r="N660" s="9"/>
      <c r="O660" s="8">
        <v>13989</v>
      </c>
      <c r="P660" s="9"/>
      <c r="Q660" s="8">
        <v>1554</v>
      </c>
      <c r="R660" s="9"/>
      <c r="S660" s="8">
        <v>7684</v>
      </c>
      <c r="T660" s="9"/>
      <c r="U660" s="8">
        <v>0</v>
      </c>
      <c r="V660" s="9"/>
      <c r="W660" s="33">
        <v>79959</v>
      </c>
      <c r="X660" s="9"/>
      <c r="Y660" s="30">
        <v>29</v>
      </c>
      <c r="Z660" s="9"/>
      <c r="AA660" s="30">
        <v>6.8</v>
      </c>
      <c r="AB660" s="9"/>
      <c r="AC660" s="30">
        <v>0.8</v>
      </c>
      <c r="AD660" s="9"/>
      <c r="AE660" s="30">
        <v>4.2</v>
      </c>
      <c r="AF660" s="9"/>
      <c r="AG660" s="30">
        <v>0</v>
      </c>
      <c r="AH660" s="9"/>
      <c r="AI660" s="32">
        <v>40.799999999999997</v>
      </c>
      <c r="AJ660" s="12"/>
      <c r="AK660" s="22">
        <v>1167449</v>
      </c>
      <c r="AM660" s="22">
        <v>287184</v>
      </c>
      <c r="AO660" s="22">
        <v>31909</v>
      </c>
      <c r="AQ660" s="22">
        <v>238199</v>
      </c>
      <c r="AS660" s="26">
        <v>1724741</v>
      </c>
      <c r="AU660" s="23">
        <v>20.578299999999999</v>
      </c>
      <c r="AW660" s="23">
        <v>20.529299999999999</v>
      </c>
      <c r="AY660" s="23">
        <v>0.5625</v>
      </c>
      <c r="BA660" s="23">
        <v>30.999300000000002</v>
      </c>
      <c r="BC660" s="24">
        <v>21.5703</v>
      </c>
      <c r="BE660" s="1" t="str">
        <f t="shared" si="10"/>
        <v>No</v>
      </c>
    </row>
    <row r="661" spans="1:57" ht="11.25" customHeight="1">
      <c r="A661" s="7" t="s">
        <v>495</v>
      </c>
      <c r="B661" s="7" t="s">
        <v>496</v>
      </c>
      <c r="C661" s="37" t="s">
        <v>28</v>
      </c>
      <c r="D661" s="296">
        <v>1063</v>
      </c>
      <c r="E661" s="297">
        <v>10063</v>
      </c>
      <c r="F661" s="27" t="s">
        <v>165</v>
      </c>
      <c r="G661" s="73" t="s">
        <v>158</v>
      </c>
      <c r="H661" s="35">
        <v>924859</v>
      </c>
      <c r="I661" s="35">
        <v>16</v>
      </c>
      <c r="J661" s="37" t="s">
        <v>7</v>
      </c>
      <c r="K661" s="37" t="s">
        <v>159</v>
      </c>
      <c r="L661" s="8">
        <v>9</v>
      </c>
      <c r="M661" s="8">
        <v>33853</v>
      </c>
      <c r="N661" s="9"/>
      <c r="O661" s="8">
        <v>4563</v>
      </c>
      <c r="P661" s="9"/>
      <c r="Q661" s="8">
        <v>4197</v>
      </c>
      <c r="R661" s="9"/>
      <c r="S661" s="8">
        <v>15514</v>
      </c>
      <c r="T661" s="9"/>
      <c r="U661" s="8">
        <v>0</v>
      </c>
      <c r="V661" s="9"/>
      <c r="W661" s="33">
        <v>58127</v>
      </c>
      <c r="X661" s="9"/>
      <c r="Y661" s="30">
        <v>20</v>
      </c>
      <c r="Z661" s="9"/>
      <c r="AA661" s="30">
        <v>2</v>
      </c>
      <c r="AB661" s="9"/>
      <c r="AC661" s="30">
        <v>3</v>
      </c>
      <c r="AD661" s="9"/>
      <c r="AE661" s="30">
        <v>8</v>
      </c>
      <c r="AF661" s="9"/>
      <c r="AG661" s="30">
        <v>0</v>
      </c>
      <c r="AH661" s="9"/>
      <c r="AI661" s="32">
        <v>33</v>
      </c>
      <c r="AJ661" s="12"/>
      <c r="AK661" s="22">
        <v>699043</v>
      </c>
      <c r="AM661" s="22">
        <v>63351</v>
      </c>
      <c r="AO661" s="22">
        <v>45008</v>
      </c>
      <c r="AQ661" s="22">
        <v>280571</v>
      </c>
      <c r="AS661" s="26">
        <v>1087973</v>
      </c>
      <c r="AU661" s="23">
        <v>20.6494</v>
      </c>
      <c r="AW661" s="23">
        <v>13.883599999999999</v>
      </c>
      <c r="AY661" s="23">
        <v>1.3294999999999999</v>
      </c>
      <c r="BA661" s="23">
        <v>18.085000000000001</v>
      </c>
      <c r="BC661" s="24">
        <v>18.717199999999998</v>
      </c>
      <c r="BE661" s="1" t="str">
        <f t="shared" si="10"/>
        <v>No</v>
      </c>
    </row>
    <row r="662" spans="1:57" ht="11.25" customHeight="1">
      <c r="A662" s="7" t="s">
        <v>495</v>
      </c>
      <c r="B662" s="7" t="s">
        <v>496</v>
      </c>
      <c r="C662" s="37" t="s">
        <v>28</v>
      </c>
      <c r="D662" s="296">
        <v>1063</v>
      </c>
      <c r="E662" s="297">
        <v>10063</v>
      </c>
      <c r="F662" s="27" t="s">
        <v>165</v>
      </c>
      <c r="G662" s="73" t="s">
        <v>158</v>
      </c>
      <c r="H662" s="35">
        <v>924859</v>
      </c>
      <c r="I662" s="35">
        <v>16</v>
      </c>
      <c r="J662" s="37" t="s">
        <v>10</v>
      </c>
      <c r="K662" s="37" t="s">
        <v>159</v>
      </c>
      <c r="L662" s="8">
        <v>7</v>
      </c>
      <c r="M662" s="8">
        <v>19347</v>
      </c>
      <c r="N662" s="9"/>
      <c r="O662" s="8">
        <v>415</v>
      </c>
      <c r="P662" s="9"/>
      <c r="Q662" s="8">
        <v>260</v>
      </c>
      <c r="R662" s="9"/>
      <c r="S662" s="8">
        <v>3334</v>
      </c>
      <c r="T662" s="9"/>
      <c r="U662" s="8">
        <v>0</v>
      </c>
      <c r="V662" s="9"/>
      <c r="W662" s="33">
        <v>23356</v>
      </c>
      <c r="X662" s="9"/>
      <c r="Y662" s="30">
        <v>11</v>
      </c>
      <c r="Z662" s="9"/>
      <c r="AA662" s="30">
        <v>1.5</v>
      </c>
      <c r="AB662" s="9"/>
      <c r="AC662" s="30">
        <v>0.8</v>
      </c>
      <c r="AD662" s="9"/>
      <c r="AE662" s="30">
        <v>2.7</v>
      </c>
      <c r="AF662" s="9"/>
      <c r="AG662" s="30">
        <v>0</v>
      </c>
      <c r="AH662" s="9"/>
      <c r="AI662" s="32">
        <v>16</v>
      </c>
      <c r="AJ662" s="12"/>
      <c r="AK662" s="22">
        <v>304847</v>
      </c>
      <c r="AM662" s="22">
        <v>8925</v>
      </c>
      <c r="AO662" s="22">
        <v>5792</v>
      </c>
      <c r="AQ662" s="22">
        <v>51853</v>
      </c>
      <c r="AS662" s="26">
        <v>371417</v>
      </c>
      <c r="AU662" s="23">
        <v>15.7568</v>
      </c>
      <c r="AW662" s="23">
        <v>21.506</v>
      </c>
      <c r="AY662" s="23">
        <v>0.2994</v>
      </c>
      <c r="BA662" s="23">
        <v>15.5528</v>
      </c>
      <c r="BC662" s="24">
        <v>15.9024</v>
      </c>
      <c r="BE662" s="1" t="str">
        <f t="shared" si="10"/>
        <v>No</v>
      </c>
    </row>
    <row r="663" spans="1:57" ht="11.25" customHeight="1">
      <c r="A663" s="7" t="s">
        <v>531</v>
      </c>
      <c r="B663" s="7" t="s">
        <v>532</v>
      </c>
      <c r="C663" s="37" t="s">
        <v>96</v>
      </c>
      <c r="D663" s="296">
        <v>3035</v>
      </c>
      <c r="E663" s="297">
        <v>30035</v>
      </c>
      <c r="F663" s="27" t="s">
        <v>165</v>
      </c>
      <c r="G663" s="73" t="s">
        <v>158</v>
      </c>
      <c r="H663" s="35">
        <v>81249</v>
      </c>
      <c r="I663" s="35">
        <v>16</v>
      </c>
      <c r="J663" s="37" t="s">
        <v>10</v>
      </c>
      <c r="K663" s="37" t="s">
        <v>159</v>
      </c>
      <c r="L663" s="8">
        <v>2</v>
      </c>
      <c r="M663" s="8">
        <v>3741</v>
      </c>
      <c r="N663" s="9"/>
      <c r="O663" s="8">
        <v>1908</v>
      </c>
      <c r="P663" s="9"/>
      <c r="Q663" s="8">
        <v>207</v>
      </c>
      <c r="R663" s="9"/>
      <c r="S663" s="8">
        <v>1356</v>
      </c>
      <c r="T663" s="9"/>
      <c r="U663" s="8">
        <v>0</v>
      </c>
      <c r="V663" s="9"/>
      <c r="W663" s="33">
        <v>7212</v>
      </c>
      <c r="X663" s="9"/>
      <c r="Y663" s="30">
        <v>2</v>
      </c>
      <c r="Z663" s="9"/>
      <c r="AA663" s="30">
        <v>1.27</v>
      </c>
      <c r="AB663" s="9"/>
      <c r="AC663" s="30">
        <v>0.13</v>
      </c>
      <c r="AD663" s="9"/>
      <c r="AE663" s="30">
        <v>0.8</v>
      </c>
      <c r="AF663" s="9"/>
      <c r="AG663" s="30">
        <v>0</v>
      </c>
      <c r="AH663" s="9"/>
      <c r="AI663" s="32">
        <v>4.2</v>
      </c>
      <c r="AJ663" s="12"/>
      <c r="AK663" s="22">
        <v>81365</v>
      </c>
      <c r="AM663" s="22">
        <v>50679</v>
      </c>
      <c r="AO663" s="22">
        <v>5631</v>
      </c>
      <c r="AQ663" s="22">
        <v>42035</v>
      </c>
      <c r="AS663" s="26">
        <v>179710</v>
      </c>
      <c r="AU663" s="23">
        <v>21.749500000000001</v>
      </c>
      <c r="AW663" s="23">
        <v>26.561299999999999</v>
      </c>
      <c r="AY663" s="23">
        <v>1.5052000000000001</v>
      </c>
      <c r="BA663" s="23">
        <v>30.999300000000002</v>
      </c>
      <c r="BC663" s="24">
        <v>24.918199999999999</v>
      </c>
      <c r="BE663" s="1" t="str">
        <f t="shared" si="10"/>
        <v>No</v>
      </c>
    </row>
    <row r="664" spans="1:57" ht="11.25" customHeight="1">
      <c r="A664" s="7" t="s">
        <v>534</v>
      </c>
      <c r="B664" s="7" t="s">
        <v>535</v>
      </c>
      <c r="C664" s="37" t="s">
        <v>42</v>
      </c>
      <c r="D664" s="296">
        <v>5131</v>
      </c>
      <c r="E664" s="297">
        <v>50131</v>
      </c>
      <c r="F664" s="27" t="s">
        <v>187</v>
      </c>
      <c r="G664" s="73" t="s">
        <v>158</v>
      </c>
      <c r="H664" s="35">
        <v>8608208</v>
      </c>
      <c r="I664" s="35">
        <v>15</v>
      </c>
      <c r="J664" s="37" t="s">
        <v>10</v>
      </c>
      <c r="K664" s="37" t="s">
        <v>159</v>
      </c>
      <c r="L664" s="8">
        <v>15</v>
      </c>
      <c r="M664" s="8">
        <v>31103</v>
      </c>
      <c r="N664" s="9"/>
      <c r="O664" s="8">
        <v>0</v>
      </c>
      <c r="P664" s="9"/>
      <c r="Q664" s="8">
        <v>52</v>
      </c>
      <c r="R664" s="9"/>
      <c r="S664" s="8">
        <v>3061</v>
      </c>
      <c r="T664" s="9"/>
      <c r="U664" s="8">
        <v>0</v>
      </c>
      <c r="V664" s="9"/>
      <c r="W664" s="33">
        <v>34216</v>
      </c>
      <c r="X664" s="9"/>
      <c r="Y664" s="30">
        <v>16</v>
      </c>
      <c r="Z664" s="9"/>
      <c r="AA664" s="30">
        <v>0</v>
      </c>
      <c r="AB664" s="9"/>
      <c r="AC664" s="30">
        <v>0.03</v>
      </c>
      <c r="AD664" s="9"/>
      <c r="AE664" s="30">
        <v>3</v>
      </c>
      <c r="AF664" s="9"/>
      <c r="AG664" s="30">
        <v>0</v>
      </c>
      <c r="AH664" s="9"/>
      <c r="AI664" s="32">
        <v>19.03</v>
      </c>
      <c r="AJ664" s="12"/>
      <c r="AK664" s="22">
        <v>317042</v>
      </c>
      <c r="AM664" s="22">
        <v>0</v>
      </c>
      <c r="AO664" s="22">
        <v>806</v>
      </c>
      <c r="AQ664" s="22">
        <v>64599</v>
      </c>
      <c r="AS664" s="26">
        <v>382447</v>
      </c>
      <c r="AU664" s="23">
        <v>10.193300000000001</v>
      </c>
      <c r="AY664" s="23">
        <v>2.5899999999999999E-2</v>
      </c>
      <c r="BA664" s="23">
        <v>21.103899999999999</v>
      </c>
      <c r="BC664" s="24">
        <v>11.1774</v>
      </c>
      <c r="BE664" s="1" t="str">
        <f t="shared" si="10"/>
        <v>No</v>
      </c>
    </row>
    <row r="665" spans="1:57" ht="11.25" customHeight="1">
      <c r="A665" s="7" t="s">
        <v>423</v>
      </c>
      <c r="B665" s="7" t="s">
        <v>299</v>
      </c>
      <c r="C665" s="37" t="s">
        <v>83</v>
      </c>
      <c r="D665" s="296">
        <v>4057</v>
      </c>
      <c r="E665" s="297">
        <v>40057</v>
      </c>
      <c r="F665" s="27" t="s">
        <v>165</v>
      </c>
      <c r="G665" s="73" t="s">
        <v>158</v>
      </c>
      <c r="H665" s="35">
        <v>71880</v>
      </c>
      <c r="I665" s="35">
        <v>15</v>
      </c>
      <c r="J665" s="37" t="s">
        <v>7</v>
      </c>
      <c r="K665" s="37" t="s">
        <v>159</v>
      </c>
      <c r="L665" s="8">
        <v>9</v>
      </c>
      <c r="M665" s="8">
        <v>41396</v>
      </c>
      <c r="N665" s="9"/>
      <c r="O665" s="8">
        <v>8925</v>
      </c>
      <c r="P665" s="9"/>
      <c r="Q665" s="8">
        <v>0</v>
      </c>
      <c r="R665" s="9"/>
      <c r="S665" s="8">
        <v>4060</v>
      </c>
      <c r="T665" s="9"/>
      <c r="U665" s="8">
        <v>0</v>
      </c>
      <c r="V665" s="9"/>
      <c r="W665" s="33">
        <v>54381</v>
      </c>
      <c r="X665" s="9"/>
      <c r="Y665" s="30">
        <v>22.45</v>
      </c>
      <c r="Z665" s="9"/>
      <c r="AA665" s="30">
        <v>4.9000000000000004</v>
      </c>
      <c r="AB665" s="9"/>
      <c r="AC665" s="30">
        <v>0</v>
      </c>
      <c r="AD665" s="9"/>
      <c r="AE665" s="30">
        <v>2.1</v>
      </c>
      <c r="AF665" s="9"/>
      <c r="AG665" s="30">
        <v>0</v>
      </c>
      <c r="AH665" s="9"/>
      <c r="AI665" s="32">
        <v>29.45</v>
      </c>
      <c r="AJ665" s="12"/>
      <c r="AK665" s="22">
        <v>776354</v>
      </c>
      <c r="AM665" s="22">
        <v>170024</v>
      </c>
      <c r="AO665" s="22">
        <v>0</v>
      </c>
      <c r="AQ665" s="22">
        <v>87346</v>
      </c>
      <c r="AS665" s="26">
        <v>1033724</v>
      </c>
      <c r="AU665" s="23">
        <v>18.754300000000001</v>
      </c>
      <c r="AW665" s="23">
        <v>19.0503</v>
      </c>
      <c r="AY665" s="23">
        <v>0</v>
      </c>
      <c r="BA665" s="23">
        <v>21.5138</v>
      </c>
      <c r="BC665" s="24">
        <v>19.008900000000001</v>
      </c>
      <c r="BE665" s="1" t="str">
        <f t="shared" si="10"/>
        <v>No</v>
      </c>
    </row>
    <row r="666" spans="1:57" ht="11.25" customHeight="1">
      <c r="A666" s="7" t="s">
        <v>423</v>
      </c>
      <c r="B666" s="7" t="s">
        <v>299</v>
      </c>
      <c r="C666" s="37" t="s">
        <v>83</v>
      </c>
      <c r="D666" s="296">
        <v>4057</v>
      </c>
      <c r="E666" s="297">
        <v>40057</v>
      </c>
      <c r="F666" s="27" t="s">
        <v>165</v>
      </c>
      <c r="G666" s="73" t="s">
        <v>158</v>
      </c>
      <c r="H666" s="35">
        <v>71880</v>
      </c>
      <c r="I666" s="35">
        <v>15</v>
      </c>
      <c r="J666" s="37" t="s">
        <v>10</v>
      </c>
      <c r="K666" s="37" t="s">
        <v>159</v>
      </c>
      <c r="L666" s="8">
        <v>6</v>
      </c>
      <c r="M666" s="8">
        <v>16178</v>
      </c>
      <c r="N666" s="9"/>
      <c r="O666" s="8">
        <v>3826</v>
      </c>
      <c r="P666" s="9"/>
      <c r="Q666" s="8">
        <v>0</v>
      </c>
      <c r="R666" s="9"/>
      <c r="S666" s="8">
        <v>1740</v>
      </c>
      <c r="T666" s="9"/>
      <c r="U666" s="8">
        <v>0</v>
      </c>
      <c r="V666" s="9"/>
      <c r="W666" s="33">
        <v>21744</v>
      </c>
      <c r="X666" s="9"/>
      <c r="Y666" s="30">
        <v>7.55</v>
      </c>
      <c r="Z666" s="9"/>
      <c r="AA666" s="30">
        <v>2.1</v>
      </c>
      <c r="AB666" s="9"/>
      <c r="AC666" s="30">
        <v>0</v>
      </c>
      <c r="AD666" s="9"/>
      <c r="AE666" s="30">
        <v>0.9</v>
      </c>
      <c r="AF666" s="9"/>
      <c r="AG666" s="30">
        <v>0</v>
      </c>
      <c r="AH666" s="9"/>
      <c r="AI666" s="32">
        <v>10.55</v>
      </c>
      <c r="AJ666" s="12"/>
      <c r="AK666" s="22">
        <v>325120</v>
      </c>
      <c r="AM666" s="22">
        <v>91551</v>
      </c>
      <c r="AO666" s="22">
        <v>0</v>
      </c>
      <c r="AQ666" s="22">
        <v>47033</v>
      </c>
      <c r="AS666" s="26">
        <v>463704</v>
      </c>
      <c r="AU666" s="23">
        <v>20.096399999999999</v>
      </c>
      <c r="AW666" s="23">
        <v>23.928599999999999</v>
      </c>
      <c r="AY666" s="23">
        <v>0</v>
      </c>
      <c r="BA666" s="23">
        <v>27.0305</v>
      </c>
      <c r="BC666" s="24">
        <v>21.325600000000001</v>
      </c>
      <c r="BE666" s="1" t="str">
        <f t="shared" si="10"/>
        <v>No</v>
      </c>
    </row>
    <row r="667" spans="1:57" ht="11.25" customHeight="1">
      <c r="A667" s="7" t="s">
        <v>185</v>
      </c>
      <c r="B667" s="7" t="s">
        <v>186</v>
      </c>
      <c r="C667" s="37" t="s">
        <v>42</v>
      </c>
      <c r="D667" s="296">
        <v>5167</v>
      </c>
      <c r="E667" s="297">
        <v>50167</v>
      </c>
      <c r="F667" s="27" t="s">
        <v>187</v>
      </c>
      <c r="G667" s="73" t="s">
        <v>158</v>
      </c>
      <c r="H667" s="35">
        <v>8608208</v>
      </c>
      <c r="I667" s="35">
        <v>14</v>
      </c>
      <c r="J667" s="37" t="s">
        <v>10</v>
      </c>
      <c r="K667" s="37" t="s">
        <v>159</v>
      </c>
      <c r="L667" s="8">
        <v>14</v>
      </c>
      <c r="M667" s="8">
        <v>34024</v>
      </c>
      <c r="N667" s="9"/>
      <c r="O667" s="8">
        <v>0</v>
      </c>
      <c r="P667" s="9"/>
      <c r="Q667" s="8">
        <v>0</v>
      </c>
      <c r="R667" s="9"/>
      <c r="S667" s="8">
        <v>2427</v>
      </c>
      <c r="T667" s="9"/>
      <c r="U667" s="8">
        <v>0</v>
      </c>
      <c r="V667" s="9"/>
      <c r="W667" s="33">
        <v>36451</v>
      </c>
      <c r="X667" s="9"/>
      <c r="Y667" s="30">
        <v>18</v>
      </c>
      <c r="Z667" s="9"/>
      <c r="AA667" s="30">
        <v>0</v>
      </c>
      <c r="AB667" s="9"/>
      <c r="AC667" s="30">
        <v>0</v>
      </c>
      <c r="AD667" s="9"/>
      <c r="AE667" s="30">
        <v>1.75</v>
      </c>
      <c r="AF667" s="9"/>
      <c r="AG667" s="30">
        <v>0</v>
      </c>
      <c r="AH667" s="9"/>
      <c r="AI667" s="32">
        <v>19.75</v>
      </c>
      <c r="AJ667" s="12"/>
      <c r="AK667" s="22">
        <v>358248</v>
      </c>
      <c r="AM667" s="22">
        <v>0</v>
      </c>
      <c r="AO667" s="22">
        <v>0</v>
      </c>
      <c r="AQ667" s="22">
        <v>39000</v>
      </c>
      <c r="AS667" s="26">
        <v>397248</v>
      </c>
      <c r="AU667" s="23">
        <v>10.529299999999999</v>
      </c>
      <c r="AY667" s="23">
        <v>0</v>
      </c>
      <c r="BA667" s="23">
        <v>16.069199999999999</v>
      </c>
      <c r="BC667" s="24">
        <v>10.898099999999999</v>
      </c>
      <c r="BE667" s="1" t="str">
        <f t="shared" si="10"/>
        <v>No</v>
      </c>
    </row>
    <row r="668" spans="1:57" ht="11.25" customHeight="1">
      <c r="A668" s="7" t="s">
        <v>289</v>
      </c>
      <c r="B668" s="7" t="s">
        <v>290</v>
      </c>
      <c r="C668" s="37" t="s">
        <v>17</v>
      </c>
      <c r="D668" s="296">
        <v>9043</v>
      </c>
      <c r="E668" s="297">
        <v>90043</v>
      </c>
      <c r="F668" s="27" t="s">
        <v>162</v>
      </c>
      <c r="G668" s="73" t="s">
        <v>158</v>
      </c>
      <c r="H668" s="35">
        <v>12150996</v>
      </c>
      <c r="I668" s="35">
        <v>14</v>
      </c>
      <c r="J668" s="37" t="s">
        <v>7</v>
      </c>
      <c r="K668" s="37" t="s">
        <v>159</v>
      </c>
      <c r="L668" s="8">
        <v>10</v>
      </c>
      <c r="M668" s="8">
        <v>48875</v>
      </c>
      <c r="N668" s="9"/>
      <c r="O668" s="8">
        <v>3369</v>
      </c>
      <c r="P668" s="9"/>
      <c r="Q668" s="8">
        <v>1226</v>
      </c>
      <c r="R668" s="9"/>
      <c r="S668" s="8">
        <v>408</v>
      </c>
      <c r="T668" s="9"/>
      <c r="U668" s="8">
        <v>0</v>
      </c>
      <c r="V668" s="9"/>
      <c r="W668" s="33">
        <v>53878</v>
      </c>
      <c r="X668" s="9"/>
      <c r="Y668" s="30">
        <v>27.7</v>
      </c>
      <c r="Z668" s="9"/>
      <c r="AA668" s="30">
        <v>3.1</v>
      </c>
      <c r="AB668" s="9"/>
      <c r="AC668" s="30">
        <v>5.0999999999999996</v>
      </c>
      <c r="AD668" s="9"/>
      <c r="AE668" s="30">
        <v>0.22</v>
      </c>
      <c r="AF668" s="9"/>
      <c r="AG668" s="30">
        <v>0</v>
      </c>
      <c r="AH668" s="9"/>
      <c r="AI668" s="32">
        <v>36.119999999999997</v>
      </c>
      <c r="AJ668" s="12"/>
      <c r="AK668" s="22">
        <v>1208647</v>
      </c>
      <c r="AM668" s="22">
        <v>120271</v>
      </c>
      <c r="AO668" s="22">
        <v>34879</v>
      </c>
      <c r="AQ668" s="22">
        <v>26159</v>
      </c>
      <c r="AS668" s="26">
        <v>1389956</v>
      </c>
      <c r="AU668" s="23">
        <v>24.729399999999998</v>
      </c>
      <c r="AW668" s="23">
        <v>35.699300000000001</v>
      </c>
      <c r="AY668" s="23">
        <v>0.71360000000000001</v>
      </c>
      <c r="BA668" s="23">
        <v>64.115200000000002</v>
      </c>
      <c r="BC668" s="24">
        <v>25.798200000000001</v>
      </c>
      <c r="BE668" s="1" t="str">
        <f t="shared" si="10"/>
        <v>No</v>
      </c>
    </row>
    <row r="669" spans="1:57" ht="11.25" customHeight="1">
      <c r="A669" s="7" t="s">
        <v>198</v>
      </c>
      <c r="B669" s="7" t="s">
        <v>199</v>
      </c>
      <c r="C669" s="37" t="s">
        <v>36</v>
      </c>
      <c r="D669" s="296">
        <v>4021</v>
      </c>
      <c r="E669" s="297">
        <v>40021</v>
      </c>
      <c r="F669" s="27" t="s">
        <v>162</v>
      </c>
      <c r="G669" s="73" t="s">
        <v>158</v>
      </c>
      <c r="H669" s="35">
        <v>95779</v>
      </c>
      <c r="I669" s="35">
        <v>14</v>
      </c>
      <c r="J669" s="37" t="s">
        <v>7</v>
      </c>
      <c r="K669" s="37" t="s">
        <v>159</v>
      </c>
      <c r="L669" s="8">
        <v>8</v>
      </c>
      <c r="M669" s="8">
        <v>70735</v>
      </c>
      <c r="N669" s="9"/>
      <c r="O669" s="8">
        <v>9854</v>
      </c>
      <c r="P669" s="9"/>
      <c r="Q669" s="8">
        <v>2603</v>
      </c>
      <c r="R669" s="9"/>
      <c r="S669" s="8">
        <v>5592</v>
      </c>
      <c r="T669" s="9"/>
      <c r="U669" s="8">
        <v>0</v>
      </c>
      <c r="V669" s="9"/>
      <c r="W669" s="33">
        <v>88784</v>
      </c>
      <c r="X669" s="9"/>
      <c r="Y669" s="30">
        <v>40</v>
      </c>
      <c r="Z669" s="9"/>
      <c r="AA669" s="30">
        <v>5</v>
      </c>
      <c r="AB669" s="9"/>
      <c r="AC669" s="30">
        <v>1.7</v>
      </c>
      <c r="AD669" s="9"/>
      <c r="AE669" s="30">
        <v>3</v>
      </c>
      <c r="AF669" s="9"/>
      <c r="AG669" s="30">
        <v>0</v>
      </c>
      <c r="AH669" s="9"/>
      <c r="AI669" s="32">
        <v>49.7</v>
      </c>
      <c r="AJ669" s="12"/>
      <c r="AK669" s="22">
        <v>969477</v>
      </c>
      <c r="AM669" s="22">
        <v>163824</v>
      </c>
      <c r="AO669" s="22">
        <v>37802</v>
      </c>
      <c r="AQ669" s="22">
        <v>145774</v>
      </c>
      <c r="AS669" s="26">
        <v>1316877</v>
      </c>
      <c r="AU669" s="23">
        <v>13.7058</v>
      </c>
      <c r="AW669" s="23">
        <v>16.6251</v>
      </c>
      <c r="AY669" s="23">
        <v>0.53439999999999999</v>
      </c>
      <c r="BA669" s="23">
        <v>26.068300000000001</v>
      </c>
      <c r="BC669" s="24">
        <v>14.8324</v>
      </c>
      <c r="BE669" s="1" t="str">
        <f t="shared" si="10"/>
        <v>No</v>
      </c>
    </row>
    <row r="670" spans="1:57" ht="11.25" customHeight="1">
      <c r="A670" s="7" t="s">
        <v>497</v>
      </c>
      <c r="B670" s="7" t="s">
        <v>498</v>
      </c>
      <c r="C670" s="37" t="s">
        <v>28</v>
      </c>
      <c r="D670" s="296">
        <v>1107</v>
      </c>
      <c r="E670" s="297">
        <v>10107</v>
      </c>
      <c r="F670" s="27" t="s">
        <v>165</v>
      </c>
      <c r="G670" s="73" t="s">
        <v>158</v>
      </c>
      <c r="H670" s="35">
        <v>923311</v>
      </c>
      <c r="I670" s="35">
        <v>14</v>
      </c>
      <c r="J670" s="37" t="s">
        <v>10</v>
      </c>
      <c r="K670" s="37" t="s">
        <v>159</v>
      </c>
      <c r="L670" s="8">
        <v>8</v>
      </c>
      <c r="M670" s="8">
        <v>18586</v>
      </c>
      <c r="N670" s="9"/>
      <c r="O670" s="8">
        <v>3125</v>
      </c>
      <c r="P670" s="9"/>
      <c r="Q670" s="8">
        <v>141</v>
      </c>
      <c r="R670" s="9"/>
      <c r="S670" s="8">
        <v>5232</v>
      </c>
      <c r="T670" s="9"/>
      <c r="U670" s="8">
        <v>0</v>
      </c>
      <c r="V670" s="9"/>
      <c r="W670" s="33">
        <v>27084</v>
      </c>
      <c r="X670" s="9"/>
      <c r="Y670" s="30">
        <v>10</v>
      </c>
      <c r="Z670" s="9"/>
      <c r="AA670" s="30">
        <v>2</v>
      </c>
      <c r="AB670" s="9"/>
      <c r="AC670" s="30">
        <v>0.5</v>
      </c>
      <c r="AD670" s="9"/>
      <c r="AE670" s="30">
        <v>3</v>
      </c>
      <c r="AF670" s="9"/>
      <c r="AG670" s="30">
        <v>0</v>
      </c>
      <c r="AH670" s="9"/>
      <c r="AI670" s="32">
        <v>15.5</v>
      </c>
      <c r="AJ670" s="12"/>
      <c r="AK670" s="22">
        <v>364810</v>
      </c>
      <c r="AM670" s="22">
        <v>59424</v>
      </c>
      <c r="AO670" s="22">
        <v>1445</v>
      </c>
      <c r="AQ670" s="22">
        <v>84957</v>
      </c>
      <c r="AS670" s="26">
        <v>510636</v>
      </c>
      <c r="AU670" s="23">
        <v>19.6282</v>
      </c>
      <c r="AW670" s="23">
        <v>19.015699999999999</v>
      </c>
      <c r="AY670" s="23">
        <v>7.7700000000000005E-2</v>
      </c>
      <c r="BA670" s="23">
        <v>16.238</v>
      </c>
      <c r="BC670" s="24">
        <v>18.8538</v>
      </c>
      <c r="BE670" s="1" t="str">
        <f t="shared" si="10"/>
        <v>No</v>
      </c>
    </row>
    <row r="671" spans="1:57" ht="11.25" customHeight="1">
      <c r="A671" s="7" t="s">
        <v>198</v>
      </c>
      <c r="B671" s="7" t="s">
        <v>199</v>
      </c>
      <c r="C671" s="37" t="s">
        <v>36</v>
      </c>
      <c r="D671" s="296">
        <v>4021</v>
      </c>
      <c r="E671" s="297">
        <v>40021</v>
      </c>
      <c r="F671" s="27" t="s">
        <v>162</v>
      </c>
      <c r="G671" s="73" t="s">
        <v>158</v>
      </c>
      <c r="H671" s="35">
        <v>95779</v>
      </c>
      <c r="I671" s="35">
        <v>14</v>
      </c>
      <c r="J671" s="37" t="s">
        <v>10</v>
      </c>
      <c r="K671" s="37" t="s">
        <v>159</v>
      </c>
      <c r="L671" s="8">
        <v>6</v>
      </c>
      <c r="M671" s="8">
        <v>14362</v>
      </c>
      <c r="N671" s="9"/>
      <c r="O671" s="8">
        <v>4377</v>
      </c>
      <c r="P671" s="9"/>
      <c r="Q671" s="8">
        <v>566</v>
      </c>
      <c r="R671" s="9"/>
      <c r="S671" s="8">
        <v>1554</v>
      </c>
      <c r="T671" s="9"/>
      <c r="U671" s="8">
        <v>0</v>
      </c>
      <c r="V671" s="9"/>
      <c r="W671" s="33">
        <v>20859</v>
      </c>
      <c r="X671" s="9"/>
      <c r="Y671" s="30">
        <v>11</v>
      </c>
      <c r="Z671" s="9"/>
      <c r="AA671" s="30">
        <v>3</v>
      </c>
      <c r="AB671" s="9"/>
      <c r="AC671" s="30">
        <v>0.3</v>
      </c>
      <c r="AD671" s="9"/>
      <c r="AE671" s="30">
        <v>1</v>
      </c>
      <c r="AF671" s="9"/>
      <c r="AG671" s="30">
        <v>0</v>
      </c>
      <c r="AH671" s="9"/>
      <c r="AI671" s="32">
        <v>15.3</v>
      </c>
      <c r="AJ671" s="12"/>
      <c r="AK671" s="22">
        <v>193283</v>
      </c>
      <c r="AM671" s="22">
        <v>31063</v>
      </c>
      <c r="AO671" s="22">
        <v>8225</v>
      </c>
      <c r="AQ671" s="22">
        <v>35559</v>
      </c>
      <c r="AS671" s="26">
        <v>268130</v>
      </c>
      <c r="AU671" s="23">
        <v>13.4579</v>
      </c>
      <c r="AW671" s="23">
        <v>7.0968999999999998</v>
      </c>
      <c r="AY671" s="23">
        <v>0.57269999999999999</v>
      </c>
      <c r="BA671" s="23">
        <v>22.882200000000001</v>
      </c>
      <c r="BC671" s="24">
        <v>12.8544</v>
      </c>
      <c r="BE671" s="1" t="str">
        <f t="shared" si="10"/>
        <v>No</v>
      </c>
    </row>
    <row r="672" spans="1:57" ht="11.25" customHeight="1">
      <c r="A672" s="7" t="s">
        <v>497</v>
      </c>
      <c r="B672" s="7" t="s">
        <v>498</v>
      </c>
      <c r="C672" s="37" t="s">
        <v>28</v>
      </c>
      <c r="D672" s="296">
        <v>1107</v>
      </c>
      <c r="E672" s="297">
        <v>10107</v>
      </c>
      <c r="F672" s="27" t="s">
        <v>165</v>
      </c>
      <c r="G672" s="73" t="s">
        <v>158</v>
      </c>
      <c r="H672" s="35">
        <v>923311</v>
      </c>
      <c r="I672" s="35">
        <v>14</v>
      </c>
      <c r="J672" s="37" t="s">
        <v>7</v>
      </c>
      <c r="K672" s="37" t="s">
        <v>159</v>
      </c>
      <c r="L672" s="8">
        <v>6</v>
      </c>
      <c r="M672" s="8">
        <v>22900</v>
      </c>
      <c r="N672" s="9"/>
      <c r="O672" s="8">
        <v>5273</v>
      </c>
      <c r="P672" s="9"/>
      <c r="Q672" s="8">
        <v>420</v>
      </c>
      <c r="R672" s="9"/>
      <c r="S672" s="8">
        <v>6948</v>
      </c>
      <c r="T672" s="9"/>
      <c r="U672" s="8">
        <v>0</v>
      </c>
      <c r="V672" s="9"/>
      <c r="W672" s="33">
        <v>35541</v>
      </c>
      <c r="X672" s="9"/>
      <c r="Y672" s="30">
        <v>11</v>
      </c>
      <c r="Z672" s="9"/>
      <c r="AA672" s="30">
        <v>3</v>
      </c>
      <c r="AB672" s="9"/>
      <c r="AC672" s="30">
        <v>1</v>
      </c>
      <c r="AD672" s="9"/>
      <c r="AE672" s="30">
        <v>4</v>
      </c>
      <c r="AF672" s="9"/>
      <c r="AG672" s="30">
        <v>0</v>
      </c>
      <c r="AH672" s="9"/>
      <c r="AI672" s="32">
        <v>19</v>
      </c>
      <c r="AJ672" s="12"/>
      <c r="AK672" s="22">
        <v>589508</v>
      </c>
      <c r="AM672" s="22">
        <v>114873</v>
      </c>
      <c r="AO672" s="22">
        <v>4409</v>
      </c>
      <c r="AQ672" s="22">
        <v>146554</v>
      </c>
      <c r="AS672" s="26">
        <v>855344</v>
      </c>
      <c r="AU672" s="23">
        <v>25.742699999999999</v>
      </c>
      <c r="AW672" s="23">
        <v>21.7851</v>
      </c>
      <c r="AY672" s="23">
        <v>0.1925</v>
      </c>
      <c r="BA672" s="23">
        <v>21.093</v>
      </c>
      <c r="BC672" s="24">
        <v>24.066400000000002</v>
      </c>
      <c r="BE672" s="1" t="str">
        <f t="shared" si="10"/>
        <v>No</v>
      </c>
    </row>
    <row r="673" spans="1:57" ht="11.25" customHeight="1">
      <c r="A673" s="7" t="s">
        <v>289</v>
      </c>
      <c r="B673" s="7" t="s">
        <v>290</v>
      </c>
      <c r="C673" s="37" t="s">
        <v>17</v>
      </c>
      <c r="D673" s="296">
        <v>9043</v>
      </c>
      <c r="E673" s="297">
        <v>90043</v>
      </c>
      <c r="F673" s="27" t="s">
        <v>162</v>
      </c>
      <c r="G673" s="73" t="s">
        <v>158</v>
      </c>
      <c r="H673" s="35">
        <v>12150996</v>
      </c>
      <c r="I673" s="35">
        <v>14</v>
      </c>
      <c r="J673" s="37" t="s">
        <v>10</v>
      </c>
      <c r="K673" s="37" t="s">
        <v>159</v>
      </c>
      <c r="L673" s="8">
        <v>4</v>
      </c>
      <c r="M673" s="8">
        <v>8887</v>
      </c>
      <c r="N673" s="9"/>
      <c r="O673" s="8">
        <v>2018</v>
      </c>
      <c r="P673" s="9"/>
      <c r="Q673" s="8">
        <v>993</v>
      </c>
      <c r="R673" s="9"/>
      <c r="S673" s="8">
        <v>535</v>
      </c>
      <c r="T673" s="9"/>
      <c r="U673" s="8">
        <v>0</v>
      </c>
      <c r="V673" s="9"/>
      <c r="W673" s="33">
        <v>12433</v>
      </c>
      <c r="X673" s="9"/>
      <c r="Y673" s="30">
        <v>5.0999999999999996</v>
      </c>
      <c r="Z673" s="9"/>
      <c r="AA673" s="30">
        <v>1.3</v>
      </c>
      <c r="AB673" s="9"/>
      <c r="AC673" s="30">
        <v>1.5</v>
      </c>
      <c r="AD673" s="9"/>
      <c r="AE673" s="30">
        <v>0.5</v>
      </c>
      <c r="AF673" s="9"/>
      <c r="AG673" s="30">
        <v>0</v>
      </c>
      <c r="AH673" s="9"/>
      <c r="AI673" s="32">
        <v>8.4</v>
      </c>
      <c r="AJ673" s="12"/>
      <c r="AK673" s="22">
        <v>343543</v>
      </c>
      <c r="AM673" s="22">
        <v>26829</v>
      </c>
      <c r="AO673" s="22">
        <v>13087</v>
      </c>
      <c r="AQ673" s="22">
        <v>25520</v>
      </c>
      <c r="AS673" s="26">
        <v>408979</v>
      </c>
      <c r="AU673" s="23">
        <v>38.656799999999997</v>
      </c>
      <c r="AW673" s="23">
        <v>13.2948</v>
      </c>
      <c r="AY673" s="23">
        <v>1.4725999999999999</v>
      </c>
      <c r="BA673" s="23">
        <v>47.700899999999997</v>
      </c>
      <c r="BC673" s="24">
        <v>32.894599999999997</v>
      </c>
      <c r="BE673" s="1" t="str">
        <f t="shared" si="10"/>
        <v>No</v>
      </c>
    </row>
    <row r="674" spans="1:57" ht="11.25" customHeight="1">
      <c r="A674" s="7" t="s">
        <v>676</v>
      </c>
      <c r="B674" s="7" t="s">
        <v>677</v>
      </c>
      <c r="C674" s="37" t="s">
        <v>28</v>
      </c>
      <c r="D674" s="296">
        <v>1042</v>
      </c>
      <c r="E674" s="297">
        <v>10042</v>
      </c>
      <c r="F674" s="27" t="s">
        <v>165</v>
      </c>
      <c r="G674" s="73" t="s">
        <v>158</v>
      </c>
      <c r="H674" s="35">
        <v>923311</v>
      </c>
      <c r="I674" s="35">
        <v>12</v>
      </c>
      <c r="J674" s="37" t="s">
        <v>10</v>
      </c>
      <c r="K674" s="37" t="s">
        <v>159</v>
      </c>
      <c r="L674" s="8">
        <v>12</v>
      </c>
      <c r="M674" s="8">
        <v>25091</v>
      </c>
      <c r="N674" s="9"/>
      <c r="O674" s="8">
        <v>2093</v>
      </c>
      <c r="P674" s="9"/>
      <c r="Q674" s="8">
        <v>0</v>
      </c>
      <c r="R674" s="9"/>
      <c r="S674" s="8">
        <v>5783</v>
      </c>
      <c r="T674" s="9"/>
      <c r="U674" s="8">
        <v>0</v>
      </c>
      <c r="V674" s="9"/>
      <c r="W674" s="33">
        <v>32967</v>
      </c>
      <c r="X674" s="9"/>
      <c r="Y674" s="30">
        <v>18</v>
      </c>
      <c r="Z674" s="9"/>
      <c r="AA674" s="30">
        <v>1</v>
      </c>
      <c r="AB674" s="9"/>
      <c r="AC674" s="30">
        <v>0</v>
      </c>
      <c r="AD674" s="9"/>
      <c r="AE674" s="30">
        <v>5</v>
      </c>
      <c r="AF674" s="9"/>
      <c r="AG674" s="30">
        <v>0</v>
      </c>
      <c r="AH674" s="9"/>
      <c r="AI674" s="32">
        <v>24</v>
      </c>
      <c r="AJ674" s="12"/>
      <c r="AK674" s="22">
        <v>537696</v>
      </c>
      <c r="AM674" s="22">
        <v>51589</v>
      </c>
      <c r="AO674" s="22">
        <v>0</v>
      </c>
      <c r="AQ674" s="22">
        <v>160216</v>
      </c>
      <c r="AS674" s="26">
        <v>749501</v>
      </c>
      <c r="AU674" s="23">
        <v>21.4298</v>
      </c>
      <c r="AW674" s="23">
        <v>24.648399999999999</v>
      </c>
      <c r="AY674" s="23">
        <v>0</v>
      </c>
      <c r="BA674" s="23">
        <v>27.704699999999999</v>
      </c>
      <c r="BC674" s="24">
        <v>22.7349</v>
      </c>
      <c r="BE674" s="1" t="str">
        <f t="shared" si="10"/>
        <v>No</v>
      </c>
    </row>
    <row r="675" spans="1:57" ht="11.25" customHeight="1">
      <c r="A675" s="7" t="s">
        <v>71</v>
      </c>
      <c r="B675" s="7" t="s">
        <v>190</v>
      </c>
      <c r="C675" s="37" t="s">
        <v>70</v>
      </c>
      <c r="D675" s="296">
        <v>2137</v>
      </c>
      <c r="E675" s="297">
        <v>20137</v>
      </c>
      <c r="F675" s="27" t="s">
        <v>173</v>
      </c>
      <c r="G675" s="73" t="s">
        <v>158</v>
      </c>
      <c r="H675" s="35">
        <v>423566</v>
      </c>
      <c r="I675" s="35">
        <v>12</v>
      </c>
      <c r="J675" s="37" t="s">
        <v>18</v>
      </c>
      <c r="K675" s="37" t="s">
        <v>159</v>
      </c>
      <c r="L675" s="8">
        <v>12</v>
      </c>
      <c r="M675" s="8">
        <v>30543</v>
      </c>
      <c r="N675" s="9"/>
      <c r="O675" s="8">
        <v>12326</v>
      </c>
      <c r="P675" s="9"/>
      <c r="Q675" s="8">
        <v>661</v>
      </c>
      <c r="R675" s="9"/>
      <c r="S675" s="8">
        <v>8306</v>
      </c>
      <c r="T675" s="9"/>
      <c r="U675" s="8">
        <v>0</v>
      </c>
      <c r="V675" s="9"/>
      <c r="W675" s="33">
        <v>51836</v>
      </c>
      <c r="X675" s="9"/>
      <c r="Y675" s="30">
        <v>25</v>
      </c>
      <c r="Z675" s="9"/>
      <c r="AA675" s="30">
        <v>8</v>
      </c>
      <c r="AB675" s="9"/>
      <c r="AC675" s="30">
        <v>1</v>
      </c>
      <c r="AD675" s="9"/>
      <c r="AE675" s="30">
        <v>6</v>
      </c>
      <c r="AF675" s="9"/>
      <c r="AG675" s="30">
        <v>0</v>
      </c>
      <c r="AH675" s="9"/>
      <c r="AI675" s="32">
        <v>40</v>
      </c>
      <c r="AJ675" s="12"/>
      <c r="AK675" s="22">
        <v>667464</v>
      </c>
      <c r="AM675" s="22">
        <v>310959</v>
      </c>
      <c r="AO675" s="22">
        <v>7268</v>
      </c>
      <c r="AQ675" s="22">
        <v>177727</v>
      </c>
      <c r="AS675" s="26">
        <v>1163418</v>
      </c>
      <c r="AU675" s="23">
        <v>21.853300000000001</v>
      </c>
      <c r="AW675" s="23">
        <v>25.227900000000002</v>
      </c>
      <c r="AY675" s="23">
        <v>0.23799999999999999</v>
      </c>
      <c r="BA675" s="23">
        <v>21.397400000000001</v>
      </c>
      <c r="BC675" s="24">
        <v>22.444199999999999</v>
      </c>
      <c r="BE675" s="1" t="str">
        <f t="shared" si="10"/>
        <v>No</v>
      </c>
    </row>
    <row r="676" spans="1:57" ht="11.25" customHeight="1">
      <c r="A676" s="7" t="s">
        <v>305</v>
      </c>
      <c r="B676" s="7" t="s">
        <v>306</v>
      </c>
      <c r="C676" s="37" t="s">
        <v>70</v>
      </c>
      <c r="D676" s="296">
        <v>2006</v>
      </c>
      <c r="E676" s="297">
        <v>20006</v>
      </c>
      <c r="F676" s="27" t="s">
        <v>162</v>
      </c>
      <c r="G676" s="73" t="s">
        <v>158</v>
      </c>
      <c r="H676" s="35">
        <v>18351295</v>
      </c>
      <c r="I676" s="35">
        <v>11</v>
      </c>
      <c r="J676" s="37" t="s">
        <v>7</v>
      </c>
      <c r="K676" s="37" t="s">
        <v>159</v>
      </c>
      <c r="L676" s="8">
        <v>8</v>
      </c>
      <c r="M676" s="8">
        <v>32923</v>
      </c>
      <c r="N676" s="9"/>
      <c r="O676" s="8">
        <v>5824</v>
      </c>
      <c r="P676" s="9"/>
      <c r="Q676" s="8">
        <v>573</v>
      </c>
      <c r="R676" s="9"/>
      <c r="S676" s="8">
        <v>3104</v>
      </c>
      <c r="T676" s="9"/>
      <c r="U676" s="8">
        <v>0</v>
      </c>
      <c r="V676" s="9"/>
      <c r="W676" s="33">
        <v>42424</v>
      </c>
      <c r="X676" s="9"/>
      <c r="Y676" s="30">
        <v>33</v>
      </c>
      <c r="Z676" s="9"/>
      <c r="AA676" s="30">
        <v>3</v>
      </c>
      <c r="AB676" s="9"/>
      <c r="AC676" s="30">
        <v>1</v>
      </c>
      <c r="AD676" s="9"/>
      <c r="AE676" s="30">
        <v>1.7</v>
      </c>
      <c r="AF676" s="9"/>
      <c r="AG676" s="30">
        <v>0</v>
      </c>
      <c r="AH676" s="9"/>
      <c r="AI676" s="32">
        <v>38.700000000000003</v>
      </c>
      <c r="AJ676" s="12"/>
      <c r="AK676" s="22">
        <v>761544</v>
      </c>
      <c r="AM676" s="22">
        <v>150123</v>
      </c>
      <c r="AO676" s="22">
        <v>37290</v>
      </c>
      <c r="AQ676" s="22">
        <v>195748</v>
      </c>
      <c r="AS676" s="26">
        <v>1144705</v>
      </c>
      <c r="AU676" s="23">
        <v>23.1311</v>
      </c>
      <c r="AW676" s="23">
        <v>25.776599999999998</v>
      </c>
      <c r="AY676" s="23">
        <v>1.1326000000000001</v>
      </c>
      <c r="BA676" s="23">
        <v>63.063099999999999</v>
      </c>
      <c r="BC676" s="24">
        <v>26.982500000000002</v>
      </c>
      <c r="BE676" s="1" t="str">
        <f t="shared" si="10"/>
        <v>No</v>
      </c>
    </row>
    <row r="677" spans="1:57" ht="11.25" customHeight="1">
      <c r="A677" s="7" t="s">
        <v>637</v>
      </c>
      <c r="B677" s="7" t="s">
        <v>638</v>
      </c>
      <c r="C677" s="37" t="s">
        <v>42</v>
      </c>
      <c r="D677" s="296">
        <v>5053</v>
      </c>
      <c r="E677" s="297">
        <v>50053</v>
      </c>
      <c r="F677" s="27" t="s">
        <v>162</v>
      </c>
      <c r="G677" s="73" t="s">
        <v>158</v>
      </c>
      <c r="H677" s="35">
        <v>92742</v>
      </c>
      <c r="I677" s="35">
        <v>11</v>
      </c>
      <c r="J677" s="37" t="s">
        <v>7</v>
      </c>
      <c r="K677" s="37" t="s">
        <v>159</v>
      </c>
      <c r="L677" s="8">
        <v>8</v>
      </c>
      <c r="M677" s="8">
        <v>39550</v>
      </c>
      <c r="N677" s="9"/>
      <c r="O677" s="8">
        <v>3035</v>
      </c>
      <c r="P677" s="9"/>
      <c r="Q677" s="8">
        <v>3028</v>
      </c>
      <c r="R677" s="9"/>
      <c r="S677" s="8">
        <v>13075</v>
      </c>
      <c r="T677" s="9"/>
      <c r="U677" s="8">
        <v>0</v>
      </c>
      <c r="V677" s="9"/>
      <c r="W677" s="33">
        <v>58688</v>
      </c>
      <c r="X677" s="9"/>
      <c r="Y677" s="30">
        <v>23</v>
      </c>
      <c r="Z677" s="9"/>
      <c r="AA677" s="30">
        <v>2</v>
      </c>
      <c r="AB677" s="9"/>
      <c r="AC677" s="30">
        <v>2</v>
      </c>
      <c r="AD677" s="9"/>
      <c r="AE677" s="30">
        <v>7.7</v>
      </c>
      <c r="AF677" s="9"/>
      <c r="AG677" s="30">
        <v>0</v>
      </c>
      <c r="AH677" s="9"/>
      <c r="AI677" s="32">
        <v>34.700000000000003</v>
      </c>
      <c r="AJ677" s="12"/>
      <c r="AK677" s="22">
        <v>895160</v>
      </c>
      <c r="AM677" s="22">
        <v>77010</v>
      </c>
      <c r="AO677" s="22">
        <v>70506</v>
      </c>
      <c r="AQ677" s="22">
        <v>179785</v>
      </c>
      <c r="AS677" s="26">
        <v>1222461</v>
      </c>
      <c r="AU677" s="23">
        <v>22.633600000000001</v>
      </c>
      <c r="AW677" s="23">
        <v>25.373999999999999</v>
      </c>
      <c r="AY677" s="23">
        <v>1.7827</v>
      </c>
      <c r="BA677" s="23">
        <v>13.750299999999999</v>
      </c>
      <c r="BC677" s="24">
        <v>20.829799999999999</v>
      </c>
      <c r="BE677" s="1" t="str">
        <f t="shared" si="10"/>
        <v>No</v>
      </c>
    </row>
    <row r="678" spans="1:57" ht="11.25" customHeight="1">
      <c r="A678" s="7" t="s">
        <v>637</v>
      </c>
      <c r="B678" s="7" t="s">
        <v>638</v>
      </c>
      <c r="C678" s="37" t="s">
        <v>42</v>
      </c>
      <c r="D678" s="296">
        <v>5053</v>
      </c>
      <c r="E678" s="297">
        <v>50053</v>
      </c>
      <c r="F678" s="27" t="s">
        <v>162</v>
      </c>
      <c r="G678" s="73" t="s">
        <v>158</v>
      </c>
      <c r="H678" s="35">
        <v>92742</v>
      </c>
      <c r="I678" s="35">
        <v>11</v>
      </c>
      <c r="J678" s="37" t="s">
        <v>10</v>
      </c>
      <c r="K678" s="37" t="s">
        <v>159</v>
      </c>
      <c r="L678" s="8">
        <v>3</v>
      </c>
      <c r="M678" s="8">
        <v>12755</v>
      </c>
      <c r="N678" s="9"/>
      <c r="O678" s="8">
        <v>3020</v>
      </c>
      <c r="P678" s="9"/>
      <c r="Q678" s="8">
        <v>2012</v>
      </c>
      <c r="R678" s="9"/>
      <c r="S678" s="8">
        <v>1950</v>
      </c>
      <c r="T678" s="9"/>
      <c r="U678" s="8">
        <v>0</v>
      </c>
      <c r="V678" s="9"/>
      <c r="W678" s="33">
        <v>19737</v>
      </c>
      <c r="X678" s="9"/>
      <c r="Y678" s="30">
        <v>6</v>
      </c>
      <c r="Z678" s="9"/>
      <c r="AA678" s="30">
        <v>2</v>
      </c>
      <c r="AB678" s="9"/>
      <c r="AC678" s="30">
        <v>1</v>
      </c>
      <c r="AD678" s="9"/>
      <c r="AE678" s="30">
        <v>1.3</v>
      </c>
      <c r="AF678" s="9"/>
      <c r="AG678" s="30">
        <v>0</v>
      </c>
      <c r="AH678" s="9"/>
      <c r="AI678" s="32">
        <v>10.3</v>
      </c>
      <c r="AJ678" s="12"/>
      <c r="AK678" s="22">
        <v>147770</v>
      </c>
      <c r="AM678" s="22">
        <v>46007</v>
      </c>
      <c r="AO678" s="22">
        <v>33423</v>
      </c>
      <c r="AQ678" s="22">
        <v>29765</v>
      </c>
      <c r="AS678" s="26">
        <v>256965</v>
      </c>
      <c r="AU678" s="23">
        <v>11.5853</v>
      </c>
      <c r="AW678" s="23">
        <v>15.2341</v>
      </c>
      <c r="AY678" s="23">
        <v>2.6204000000000001</v>
      </c>
      <c r="BA678" s="23">
        <v>15.264099999999999</v>
      </c>
      <c r="BC678" s="24">
        <v>13.019500000000001</v>
      </c>
      <c r="BE678" s="1" t="str">
        <f t="shared" si="10"/>
        <v>No</v>
      </c>
    </row>
    <row r="679" spans="1:57" ht="11.25" customHeight="1">
      <c r="A679" s="7" t="s">
        <v>305</v>
      </c>
      <c r="B679" s="7" t="s">
        <v>306</v>
      </c>
      <c r="C679" s="37" t="s">
        <v>70</v>
      </c>
      <c r="D679" s="296">
        <v>2006</v>
      </c>
      <c r="E679" s="297">
        <v>20006</v>
      </c>
      <c r="F679" s="27" t="s">
        <v>162</v>
      </c>
      <c r="G679" s="73" t="s">
        <v>158</v>
      </c>
      <c r="H679" s="35">
        <v>18351295</v>
      </c>
      <c r="I679" s="35">
        <v>11</v>
      </c>
      <c r="J679" s="37" t="s">
        <v>10</v>
      </c>
      <c r="K679" s="37" t="s">
        <v>159</v>
      </c>
      <c r="L679" s="8">
        <v>3</v>
      </c>
      <c r="M679" s="8">
        <v>12324</v>
      </c>
      <c r="N679" s="9"/>
      <c r="O679" s="8">
        <v>1014</v>
      </c>
      <c r="P679" s="9"/>
      <c r="Q679" s="8">
        <v>1598</v>
      </c>
      <c r="R679" s="9"/>
      <c r="S679" s="8">
        <v>1027</v>
      </c>
      <c r="T679" s="9"/>
      <c r="U679" s="8">
        <v>0</v>
      </c>
      <c r="V679" s="9"/>
      <c r="W679" s="33">
        <v>15963</v>
      </c>
      <c r="X679" s="9"/>
      <c r="Y679" s="30">
        <v>7</v>
      </c>
      <c r="Z679" s="9"/>
      <c r="AA679" s="30">
        <v>0.5</v>
      </c>
      <c r="AB679" s="9"/>
      <c r="AC679" s="30">
        <v>1</v>
      </c>
      <c r="AD679" s="9"/>
      <c r="AE679" s="30">
        <v>0.5</v>
      </c>
      <c r="AF679" s="9"/>
      <c r="AG679" s="30">
        <v>0</v>
      </c>
      <c r="AH679" s="9"/>
      <c r="AI679" s="32">
        <v>9</v>
      </c>
      <c r="AJ679" s="12"/>
      <c r="AK679" s="22">
        <v>249009</v>
      </c>
      <c r="AM679" s="22">
        <v>53172</v>
      </c>
      <c r="AO679" s="22">
        <v>34835</v>
      </c>
      <c r="AQ679" s="22">
        <v>60125</v>
      </c>
      <c r="AS679" s="26">
        <v>397141</v>
      </c>
      <c r="AU679" s="23">
        <v>20.205200000000001</v>
      </c>
      <c r="AW679" s="23">
        <v>52.437899999999999</v>
      </c>
      <c r="AY679" s="23">
        <v>2.8266</v>
      </c>
      <c r="BA679" s="23">
        <v>58.5443</v>
      </c>
      <c r="BC679" s="24">
        <v>24.878799999999998</v>
      </c>
      <c r="BE679" s="1" t="str">
        <f t="shared" si="10"/>
        <v>No</v>
      </c>
    </row>
    <row r="680" spans="1:57" ht="11.25" customHeight="1">
      <c r="A680" s="7" t="s">
        <v>1148</v>
      </c>
      <c r="B680" s="7" t="s">
        <v>744</v>
      </c>
      <c r="C680" s="37" t="s">
        <v>79</v>
      </c>
      <c r="D680" s="296">
        <v>4175</v>
      </c>
      <c r="E680" s="297">
        <v>40175</v>
      </c>
      <c r="F680" s="27" t="s">
        <v>157</v>
      </c>
      <c r="G680" s="73" t="s">
        <v>158</v>
      </c>
      <c r="H680" s="35">
        <v>2148346</v>
      </c>
      <c r="I680" s="35">
        <v>10</v>
      </c>
      <c r="J680" s="37" t="s">
        <v>19</v>
      </c>
      <c r="K680" s="37" t="s">
        <v>159</v>
      </c>
      <c r="L680" s="8">
        <v>10</v>
      </c>
      <c r="M680" s="8">
        <v>190685</v>
      </c>
      <c r="N680" s="9"/>
      <c r="O680" s="8">
        <v>125368</v>
      </c>
      <c r="P680" s="9"/>
      <c r="Q680" s="8">
        <v>19370</v>
      </c>
      <c r="R680" s="9"/>
      <c r="S680" s="8">
        <v>72020</v>
      </c>
      <c r="T680" s="9"/>
      <c r="U680" s="8">
        <v>0</v>
      </c>
      <c r="V680" s="9"/>
      <c r="W680" s="33">
        <v>407443</v>
      </c>
      <c r="X680" s="9"/>
      <c r="Y680" s="30">
        <v>113</v>
      </c>
      <c r="Z680" s="9"/>
      <c r="AA680" s="30">
        <v>68</v>
      </c>
      <c r="AB680" s="9"/>
      <c r="AC680" s="30">
        <v>13</v>
      </c>
      <c r="AD680" s="9"/>
      <c r="AE680" s="30">
        <v>37</v>
      </c>
      <c r="AF680" s="9"/>
      <c r="AG680" s="30">
        <v>0</v>
      </c>
      <c r="AH680" s="9"/>
      <c r="AI680" s="32">
        <v>231</v>
      </c>
      <c r="AJ680" s="12"/>
      <c r="AK680" s="22">
        <v>7160337</v>
      </c>
      <c r="AM680" s="22">
        <v>3863619</v>
      </c>
      <c r="AO680" s="22">
        <v>454741</v>
      </c>
      <c r="AQ680" s="22">
        <v>1703550</v>
      </c>
      <c r="AS680" s="26">
        <v>13182247</v>
      </c>
      <c r="AU680" s="23">
        <v>37.550600000000003</v>
      </c>
      <c r="AW680" s="23">
        <v>30.818200000000001</v>
      </c>
      <c r="AY680" s="23">
        <v>2.3847999999999998</v>
      </c>
      <c r="BA680" s="23">
        <v>23.6538</v>
      </c>
      <c r="BC680" s="24">
        <v>32.3536</v>
      </c>
      <c r="BE680" s="1" t="str">
        <f t="shared" si="10"/>
        <v>No</v>
      </c>
    </row>
    <row r="681" spans="1:57" ht="11.25" customHeight="1">
      <c r="A681" s="7" t="s">
        <v>353</v>
      </c>
      <c r="B681" s="7" t="s">
        <v>292</v>
      </c>
      <c r="C681" s="37" t="s">
        <v>52</v>
      </c>
      <c r="D681" s="296">
        <v>5141</v>
      </c>
      <c r="E681" s="297">
        <v>50141</v>
      </c>
      <c r="F681" s="27" t="s">
        <v>165</v>
      </c>
      <c r="G681" s="73" t="s">
        <v>158</v>
      </c>
      <c r="H681" s="35">
        <v>3734090</v>
      </c>
      <c r="I681" s="35">
        <v>10</v>
      </c>
      <c r="J681" s="37" t="s">
        <v>34</v>
      </c>
      <c r="K681" s="37" t="s">
        <v>159</v>
      </c>
      <c r="L681" s="8">
        <v>10</v>
      </c>
      <c r="M681" s="8">
        <v>140607</v>
      </c>
      <c r="N681" s="9"/>
      <c r="O681" s="8">
        <v>61586</v>
      </c>
      <c r="P681" s="9"/>
      <c r="Q681" s="8">
        <v>0</v>
      </c>
      <c r="R681" s="9"/>
      <c r="S681" s="8">
        <v>36067</v>
      </c>
      <c r="T681" s="9"/>
      <c r="U681" s="8">
        <v>0</v>
      </c>
      <c r="V681" s="9"/>
      <c r="W681" s="33">
        <v>238260</v>
      </c>
      <c r="X681" s="9"/>
      <c r="Y681" s="30">
        <v>81</v>
      </c>
      <c r="Z681" s="9"/>
      <c r="AA681" s="30">
        <v>22</v>
      </c>
      <c r="AB681" s="9"/>
      <c r="AC681" s="30">
        <v>0</v>
      </c>
      <c r="AD681" s="9"/>
      <c r="AE681" s="30">
        <v>18</v>
      </c>
      <c r="AF681" s="9"/>
      <c r="AG681" s="30">
        <v>0</v>
      </c>
      <c r="AH681" s="9"/>
      <c r="AI681" s="32">
        <v>121</v>
      </c>
      <c r="AJ681" s="12"/>
      <c r="AK681" s="22">
        <v>3436264</v>
      </c>
      <c r="AM681" s="22">
        <v>1584229</v>
      </c>
      <c r="AO681" s="22">
        <v>0</v>
      </c>
      <c r="AQ681" s="22">
        <v>1050128</v>
      </c>
      <c r="AS681" s="26">
        <v>6070621</v>
      </c>
      <c r="AU681" s="23">
        <v>24.438800000000001</v>
      </c>
      <c r="AW681" s="23">
        <v>25.723800000000001</v>
      </c>
      <c r="AY681" s="23">
        <v>0</v>
      </c>
      <c r="BA681" s="23">
        <v>29.116</v>
      </c>
      <c r="BC681" s="24">
        <v>25.478999999999999</v>
      </c>
      <c r="BE681" s="1" t="str">
        <f t="shared" si="10"/>
        <v>No</v>
      </c>
    </row>
    <row r="682" spans="1:57" ht="11.25" customHeight="1">
      <c r="A682" s="7" t="s">
        <v>293</v>
      </c>
      <c r="B682" s="7" t="s">
        <v>294</v>
      </c>
      <c r="C682" s="37" t="s">
        <v>86</v>
      </c>
      <c r="D682" s="296">
        <v>3058</v>
      </c>
      <c r="E682" s="297">
        <v>30058</v>
      </c>
      <c r="F682" s="27" t="s">
        <v>162</v>
      </c>
      <c r="G682" s="73" t="s">
        <v>158</v>
      </c>
      <c r="H682" s="35">
        <v>4586770</v>
      </c>
      <c r="I682" s="35">
        <v>8</v>
      </c>
      <c r="J682" s="37" t="s">
        <v>7</v>
      </c>
      <c r="K682" s="37" t="s">
        <v>159</v>
      </c>
      <c r="L682" s="8">
        <v>8</v>
      </c>
      <c r="M682" s="8">
        <v>51819</v>
      </c>
      <c r="N682" s="9"/>
      <c r="O682" s="8">
        <v>4025</v>
      </c>
      <c r="P682" s="9"/>
      <c r="Q682" s="8">
        <v>0</v>
      </c>
      <c r="R682" s="9"/>
      <c r="S682" s="8">
        <v>6265</v>
      </c>
      <c r="T682" s="9"/>
      <c r="U682" s="8">
        <v>0</v>
      </c>
      <c r="V682" s="9"/>
      <c r="W682" s="33">
        <v>62109</v>
      </c>
      <c r="X682" s="9"/>
      <c r="Y682" s="30">
        <v>38.700000000000003</v>
      </c>
      <c r="Z682" s="9"/>
      <c r="AA682" s="30">
        <v>2.2400000000000002</v>
      </c>
      <c r="AB682" s="9"/>
      <c r="AC682" s="30">
        <v>0</v>
      </c>
      <c r="AD682" s="9"/>
      <c r="AE682" s="30">
        <v>43.9</v>
      </c>
      <c r="AF682" s="9"/>
      <c r="AG682" s="30">
        <v>0</v>
      </c>
      <c r="AH682" s="9"/>
      <c r="AI682" s="32">
        <v>84.84</v>
      </c>
      <c r="AJ682" s="12"/>
      <c r="AK682" s="22">
        <v>1264740</v>
      </c>
      <c r="AM682" s="22">
        <v>75852</v>
      </c>
      <c r="AO682" s="22">
        <v>0</v>
      </c>
      <c r="AQ682" s="22">
        <v>324009</v>
      </c>
      <c r="AS682" s="26">
        <v>1664601</v>
      </c>
      <c r="AU682" s="23">
        <v>24.4069</v>
      </c>
      <c r="AW682" s="23">
        <v>18.845199999999998</v>
      </c>
      <c r="AY682" s="23">
        <v>0</v>
      </c>
      <c r="BA682" s="23">
        <v>51.717300000000002</v>
      </c>
      <c r="BC682" s="24">
        <v>26.801300000000001</v>
      </c>
      <c r="BE682" s="1" t="str">
        <f t="shared" si="10"/>
        <v>No</v>
      </c>
    </row>
    <row r="683" spans="1:57" ht="11.25" customHeight="1">
      <c r="A683" s="7" t="s">
        <v>1149</v>
      </c>
      <c r="B683" s="7" t="s">
        <v>1150</v>
      </c>
      <c r="C683" s="37" t="s">
        <v>32</v>
      </c>
      <c r="D683" s="296"/>
      <c r="E683" s="297">
        <v>40259</v>
      </c>
      <c r="F683" s="27" t="s">
        <v>187</v>
      </c>
      <c r="G683" s="73" t="s">
        <v>158</v>
      </c>
      <c r="H683" s="35">
        <v>2441770</v>
      </c>
      <c r="I683" s="35">
        <v>8</v>
      </c>
      <c r="J683" s="37" t="s">
        <v>7</v>
      </c>
      <c r="K683" s="37" t="s">
        <v>159</v>
      </c>
      <c r="L683" s="8">
        <v>8</v>
      </c>
      <c r="M683" s="8">
        <v>10500</v>
      </c>
      <c r="N683" s="9"/>
      <c r="O683" s="8">
        <v>1800</v>
      </c>
      <c r="P683" s="9"/>
      <c r="Q683" s="8">
        <v>1880</v>
      </c>
      <c r="R683" s="9"/>
      <c r="S683" s="8">
        <v>4100</v>
      </c>
      <c r="T683" s="9"/>
      <c r="U683" s="8">
        <v>0</v>
      </c>
      <c r="V683" s="9"/>
      <c r="W683" s="33">
        <v>18280</v>
      </c>
      <c r="X683" s="9"/>
      <c r="Y683" s="30">
        <v>5</v>
      </c>
      <c r="Z683" s="9"/>
      <c r="AA683" s="30">
        <v>1</v>
      </c>
      <c r="AB683" s="9"/>
      <c r="AC683" s="30">
        <v>1</v>
      </c>
      <c r="AD683" s="9"/>
      <c r="AE683" s="30">
        <v>2</v>
      </c>
      <c r="AF683" s="9"/>
      <c r="AG683" s="30">
        <v>0</v>
      </c>
      <c r="AH683" s="9"/>
      <c r="AI683" s="32">
        <v>9</v>
      </c>
      <c r="AJ683" s="12"/>
      <c r="AK683" s="22">
        <v>245265</v>
      </c>
      <c r="AM683" s="22">
        <v>20500</v>
      </c>
      <c r="AO683" s="22">
        <v>21456</v>
      </c>
      <c r="AQ683" s="22">
        <v>84265</v>
      </c>
      <c r="AS683" s="26">
        <v>371486</v>
      </c>
      <c r="AU683" s="23">
        <v>23.358599999999999</v>
      </c>
      <c r="AW683" s="23">
        <v>11.3889</v>
      </c>
      <c r="AY683" s="23">
        <v>2.0434000000000001</v>
      </c>
      <c r="BA683" s="23">
        <v>20.552399999999999</v>
      </c>
      <c r="BC683" s="24">
        <v>20.321999999999999</v>
      </c>
      <c r="BE683" s="1" t="str">
        <f t="shared" si="10"/>
        <v>No</v>
      </c>
    </row>
    <row r="684" spans="1:57" ht="11.25" customHeight="1">
      <c r="A684" s="7" t="s">
        <v>332</v>
      </c>
      <c r="B684" s="7" t="s">
        <v>333</v>
      </c>
      <c r="C684" s="37" t="s">
        <v>38</v>
      </c>
      <c r="D684" s="296">
        <v>7030</v>
      </c>
      <c r="E684" s="297">
        <v>70030</v>
      </c>
      <c r="F684" s="27" t="s">
        <v>162</v>
      </c>
      <c r="G684" s="73" t="s">
        <v>158</v>
      </c>
      <c r="H684" s="35">
        <v>106621</v>
      </c>
      <c r="I684" s="35">
        <v>7</v>
      </c>
      <c r="J684" s="37" t="s">
        <v>7</v>
      </c>
      <c r="K684" s="37" t="s">
        <v>159</v>
      </c>
      <c r="L684" s="8">
        <v>7</v>
      </c>
      <c r="M684" s="8">
        <v>23268</v>
      </c>
      <c r="N684" s="9"/>
      <c r="O684" s="8">
        <v>4718</v>
      </c>
      <c r="P684" s="9"/>
      <c r="Q684" s="8">
        <v>0</v>
      </c>
      <c r="R684" s="9"/>
      <c r="S684" s="8">
        <v>1949</v>
      </c>
      <c r="T684" s="9"/>
      <c r="U684" s="8">
        <v>0</v>
      </c>
      <c r="V684" s="9"/>
      <c r="W684" s="33">
        <v>29935</v>
      </c>
      <c r="X684" s="9"/>
      <c r="Y684" s="30">
        <v>18</v>
      </c>
      <c r="Z684" s="9"/>
      <c r="AA684" s="30">
        <v>3</v>
      </c>
      <c r="AB684" s="9"/>
      <c r="AC684" s="30">
        <v>0</v>
      </c>
      <c r="AD684" s="9"/>
      <c r="AE684" s="30">
        <v>2</v>
      </c>
      <c r="AF684" s="9"/>
      <c r="AG684" s="30">
        <v>0</v>
      </c>
      <c r="AH684" s="9"/>
      <c r="AI684" s="32">
        <v>23</v>
      </c>
      <c r="AJ684" s="12"/>
      <c r="AK684" s="22">
        <v>521143</v>
      </c>
      <c r="AM684" s="22">
        <v>106024</v>
      </c>
      <c r="AO684" s="22">
        <v>0</v>
      </c>
      <c r="AQ684" s="22">
        <v>72969</v>
      </c>
      <c r="AS684" s="26">
        <v>700136</v>
      </c>
      <c r="AU684" s="23">
        <v>22.397400000000001</v>
      </c>
      <c r="AW684" s="23">
        <v>22.472200000000001</v>
      </c>
      <c r="AY684" s="23">
        <v>0</v>
      </c>
      <c r="BA684" s="23">
        <v>37.4392</v>
      </c>
      <c r="BC684" s="24">
        <v>23.388500000000001</v>
      </c>
      <c r="BE684" s="1" t="str">
        <f t="shared" si="10"/>
        <v>No</v>
      </c>
    </row>
    <row r="685" spans="1:57" ht="11.25" customHeight="1">
      <c r="A685" s="7" t="s">
        <v>1151</v>
      </c>
      <c r="B685" s="7" t="s">
        <v>1152</v>
      </c>
      <c r="C685" s="37" t="s">
        <v>86</v>
      </c>
      <c r="D685" s="296">
        <v>3103</v>
      </c>
      <c r="E685" s="297">
        <v>30103</v>
      </c>
      <c r="F685" s="27" t="s">
        <v>173</v>
      </c>
      <c r="G685" s="73" t="s">
        <v>158</v>
      </c>
      <c r="H685" s="35">
        <v>4586770</v>
      </c>
      <c r="I685" s="35">
        <v>7</v>
      </c>
      <c r="J685" s="37" t="s">
        <v>18</v>
      </c>
      <c r="K685" s="37" t="s">
        <v>159</v>
      </c>
      <c r="L685" s="8">
        <v>7</v>
      </c>
      <c r="M685" s="8">
        <v>14659</v>
      </c>
      <c r="N685" s="9"/>
      <c r="O685" s="8">
        <v>283</v>
      </c>
      <c r="P685" s="9" t="s">
        <v>121</v>
      </c>
      <c r="Q685" s="8">
        <v>1016</v>
      </c>
      <c r="R685" s="9"/>
      <c r="S685" s="8">
        <v>1058</v>
      </c>
      <c r="T685" s="9"/>
      <c r="U685" s="8">
        <v>0</v>
      </c>
      <c r="V685" s="9"/>
      <c r="W685" s="33">
        <v>17016</v>
      </c>
      <c r="X685" s="9" t="s">
        <v>121</v>
      </c>
      <c r="Y685" s="30">
        <v>6.8</v>
      </c>
      <c r="Z685" s="9"/>
      <c r="AA685" s="30">
        <v>0.34</v>
      </c>
      <c r="AB685" s="9" t="s">
        <v>121</v>
      </c>
      <c r="AC685" s="30">
        <v>0.68</v>
      </c>
      <c r="AD685" s="9"/>
      <c r="AE685" s="30">
        <v>0.51</v>
      </c>
      <c r="AF685" s="9"/>
      <c r="AG685" s="30">
        <v>0</v>
      </c>
      <c r="AH685" s="9"/>
      <c r="AI685" s="32">
        <v>8.33</v>
      </c>
      <c r="AJ685" s="12" t="s">
        <v>121</v>
      </c>
      <c r="AK685" s="22">
        <v>339223</v>
      </c>
      <c r="AM685" s="22">
        <v>4520</v>
      </c>
      <c r="AO685" s="22">
        <v>16228</v>
      </c>
      <c r="AQ685" s="22">
        <v>35949</v>
      </c>
      <c r="AS685" s="26">
        <v>395920</v>
      </c>
      <c r="AU685" s="23">
        <v>23.140899999999998</v>
      </c>
      <c r="AW685" s="23">
        <v>15.9717</v>
      </c>
      <c r="AX685" s="23" t="s">
        <v>121</v>
      </c>
      <c r="AY685" s="23">
        <v>1.107</v>
      </c>
      <c r="BA685" s="23">
        <v>33.978299999999997</v>
      </c>
      <c r="BC685" s="24">
        <v>23.267499999999998</v>
      </c>
      <c r="BE685" s="1" t="str">
        <f t="shared" si="10"/>
        <v>Yes</v>
      </c>
    </row>
    <row r="686" spans="1:57" ht="11.25" customHeight="1">
      <c r="A686" s="7" t="s">
        <v>724</v>
      </c>
      <c r="B686" s="7" t="s">
        <v>535</v>
      </c>
      <c r="C686" s="37" t="s">
        <v>42</v>
      </c>
      <c r="D686" s="296">
        <v>5179</v>
      </c>
      <c r="E686" s="297">
        <v>50179</v>
      </c>
      <c r="F686" s="27" t="s">
        <v>187</v>
      </c>
      <c r="G686" s="73" t="s">
        <v>158</v>
      </c>
      <c r="H686" s="35">
        <v>8608208</v>
      </c>
      <c r="I686" s="35">
        <v>7</v>
      </c>
      <c r="J686" s="37" t="s">
        <v>10</v>
      </c>
      <c r="K686" s="37" t="s">
        <v>159</v>
      </c>
      <c r="L686" s="8">
        <v>7</v>
      </c>
      <c r="M686" s="8">
        <v>18861</v>
      </c>
      <c r="N686" s="9"/>
      <c r="O686" s="8">
        <v>0</v>
      </c>
      <c r="P686" s="9"/>
      <c r="Q686" s="8">
        <v>0</v>
      </c>
      <c r="R686" s="9"/>
      <c r="S686" s="8">
        <v>4847</v>
      </c>
      <c r="T686" s="9"/>
      <c r="U686" s="8">
        <v>0</v>
      </c>
      <c r="V686" s="9"/>
      <c r="W686" s="33">
        <v>23708</v>
      </c>
      <c r="X686" s="9"/>
      <c r="Y686" s="30">
        <v>15</v>
      </c>
      <c r="Z686" s="9"/>
      <c r="AA686" s="30">
        <v>0</v>
      </c>
      <c r="AB686" s="9"/>
      <c r="AC686" s="30">
        <v>0</v>
      </c>
      <c r="AD686" s="9"/>
      <c r="AE686" s="30">
        <v>3</v>
      </c>
      <c r="AF686" s="9"/>
      <c r="AG686" s="30">
        <v>0</v>
      </c>
      <c r="AH686" s="9"/>
      <c r="AI686" s="32">
        <v>18</v>
      </c>
      <c r="AJ686" s="12"/>
      <c r="AK686" s="22">
        <v>270534</v>
      </c>
      <c r="AM686" s="22">
        <v>0</v>
      </c>
      <c r="AO686" s="22">
        <v>0</v>
      </c>
      <c r="AQ686" s="22">
        <v>92700</v>
      </c>
      <c r="AS686" s="26">
        <v>363234</v>
      </c>
      <c r="AU686" s="23">
        <v>14.3436</v>
      </c>
      <c r="AY686" s="23">
        <v>0</v>
      </c>
      <c r="BA686" s="23">
        <v>19.1252</v>
      </c>
      <c r="BC686" s="24">
        <v>15.321199999999999</v>
      </c>
      <c r="BE686" s="1" t="str">
        <f t="shared" si="10"/>
        <v>No</v>
      </c>
    </row>
    <row r="687" spans="1:57" ht="11.25" customHeight="1">
      <c r="A687" s="7" t="s">
        <v>124</v>
      </c>
      <c r="B687" s="7" t="s">
        <v>479</v>
      </c>
      <c r="C687" s="37" t="s">
        <v>70</v>
      </c>
      <c r="D687" s="296">
        <v>2189</v>
      </c>
      <c r="E687" s="297">
        <v>20189</v>
      </c>
      <c r="F687" s="27" t="s">
        <v>173</v>
      </c>
      <c r="G687" s="73" t="s">
        <v>158</v>
      </c>
      <c r="H687" s="35">
        <v>18351295</v>
      </c>
      <c r="I687" s="35">
        <v>6</v>
      </c>
      <c r="J687" s="37" t="s">
        <v>19</v>
      </c>
      <c r="K687" s="37" t="s">
        <v>159</v>
      </c>
      <c r="L687" s="8">
        <v>6</v>
      </c>
      <c r="M687" s="8">
        <v>45677</v>
      </c>
      <c r="N687" s="9"/>
      <c r="O687" s="8">
        <v>7488</v>
      </c>
      <c r="P687" s="9"/>
      <c r="Q687" s="8">
        <v>3744</v>
      </c>
      <c r="R687" s="9"/>
      <c r="S687" s="8">
        <v>25459</v>
      </c>
      <c r="T687" s="9"/>
      <c r="U687" s="8">
        <v>0</v>
      </c>
      <c r="V687" s="9"/>
      <c r="W687" s="33">
        <v>82368</v>
      </c>
      <c r="X687" s="9"/>
      <c r="Y687" s="30">
        <v>23</v>
      </c>
      <c r="Z687" s="9"/>
      <c r="AA687" s="30">
        <v>4</v>
      </c>
      <c r="AB687" s="9"/>
      <c r="AC687" s="30">
        <v>2</v>
      </c>
      <c r="AD687" s="9"/>
      <c r="AE687" s="30">
        <v>13</v>
      </c>
      <c r="AF687" s="9"/>
      <c r="AG687" s="30">
        <v>0</v>
      </c>
      <c r="AH687" s="9"/>
      <c r="AI687" s="32">
        <v>42</v>
      </c>
      <c r="AJ687" s="12"/>
      <c r="AK687" s="22">
        <v>1585539</v>
      </c>
      <c r="AM687" s="22">
        <v>201630</v>
      </c>
      <c r="AO687" s="22">
        <v>46008</v>
      </c>
      <c r="AQ687" s="22">
        <v>363511</v>
      </c>
      <c r="AS687" s="26">
        <v>2196688</v>
      </c>
      <c r="AU687" s="23">
        <v>34.712000000000003</v>
      </c>
      <c r="AW687" s="23">
        <v>26.927099999999999</v>
      </c>
      <c r="AY687" s="23">
        <v>1.0072000000000001</v>
      </c>
      <c r="BA687" s="23">
        <v>14.2783</v>
      </c>
      <c r="BC687" s="24">
        <v>26.6692</v>
      </c>
      <c r="BE687" s="1" t="str">
        <f t="shared" si="10"/>
        <v>No</v>
      </c>
    </row>
    <row r="688" spans="1:57" ht="11.25" customHeight="1">
      <c r="A688" s="7" t="s">
        <v>775</v>
      </c>
      <c r="B688" s="7" t="s">
        <v>776</v>
      </c>
      <c r="C688" s="37" t="s">
        <v>46</v>
      </c>
      <c r="D688" s="296">
        <v>6127</v>
      </c>
      <c r="E688" s="297">
        <v>60127</v>
      </c>
      <c r="F688" s="27" t="s">
        <v>162</v>
      </c>
      <c r="G688" s="73" t="s">
        <v>158</v>
      </c>
      <c r="H688" s="35">
        <v>899703</v>
      </c>
      <c r="I688" s="35">
        <v>6</v>
      </c>
      <c r="J688" s="37" t="s">
        <v>10</v>
      </c>
      <c r="K688" s="37" t="s">
        <v>159</v>
      </c>
      <c r="L688" s="8">
        <v>4</v>
      </c>
      <c r="M688" s="8">
        <v>8702</v>
      </c>
      <c r="N688" s="9"/>
      <c r="O688" s="8">
        <v>0</v>
      </c>
      <c r="P688" s="9"/>
      <c r="Q688" s="8">
        <v>418</v>
      </c>
      <c r="R688" s="9"/>
      <c r="S688" s="8">
        <v>5282</v>
      </c>
      <c r="T688" s="9"/>
      <c r="U688" s="8">
        <v>0</v>
      </c>
      <c r="V688" s="9"/>
      <c r="W688" s="33">
        <v>14402</v>
      </c>
      <c r="X688" s="9"/>
      <c r="Y688" s="30">
        <v>5</v>
      </c>
      <c r="Z688" s="9"/>
      <c r="AA688" s="30">
        <v>0</v>
      </c>
      <c r="AB688" s="9"/>
      <c r="AC688" s="30">
        <v>0.2</v>
      </c>
      <c r="AD688" s="9"/>
      <c r="AE688" s="30">
        <v>3</v>
      </c>
      <c r="AF688" s="9"/>
      <c r="AG688" s="30">
        <v>0</v>
      </c>
      <c r="AH688" s="9"/>
      <c r="AI688" s="32">
        <v>8.1999999999999993</v>
      </c>
      <c r="AJ688" s="12"/>
      <c r="AK688" s="22">
        <v>179581</v>
      </c>
      <c r="AM688" s="22">
        <v>0</v>
      </c>
      <c r="AO688" s="22">
        <v>4941</v>
      </c>
      <c r="AQ688" s="22">
        <v>125774</v>
      </c>
      <c r="AS688" s="26">
        <v>310296</v>
      </c>
      <c r="AU688" s="23">
        <v>20.636800000000001</v>
      </c>
      <c r="AY688" s="23">
        <v>0.56779999999999997</v>
      </c>
      <c r="BA688" s="23">
        <v>23.811800000000002</v>
      </c>
      <c r="BC688" s="24">
        <v>21.545300000000001</v>
      </c>
      <c r="BE688" s="1" t="str">
        <f t="shared" si="10"/>
        <v>No</v>
      </c>
    </row>
    <row r="689" spans="1:57" ht="11.25" customHeight="1">
      <c r="A689" s="7" t="s">
        <v>775</v>
      </c>
      <c r="B689" s="7" t="s">
        <v>776</v>
      </c>
      <c r="C689" s="37" t="s">
        <v>46</v>
      </c>
      <c r="D689" s="296">
        <v>6127</v>
      </c>
      <c r="E689" s="297">
        <v>60127</v>
      </c>
      <c r="F689" s="27" t="s">
        <v>162</v>
      </c>
      <c r="G689" s="73" t="s">
        <v>158</v>
      </c>
      <c r="H689" s="35">
        <v>899703</v>
      </c>
      <c r="I689" s="35">
        <v>6</v>
      </c>
      <c r="J689" s="37" t="s">
        <v>19</v>
      </c>
      <c r="K689" s="37" t="s">
        <v>159</v>
      </c>
      <c r="L689" s="8">
        <v>2</v>
      </c>
      <c r="M689" s="8">
        <v>62272</v>
      </c>
      <c r="N689" s="9"/>
      <c r="O689" s="8">
        <v>6387</v>
      </c>
      <c r="P689" s="9"/>
      <c r="Q689" s="8">
        <v>418</v>
      </c>
      <c r="R689" s="9"/>
      <c r="S689" s="8">
        <v>8897</v>
      </c>
      <c r="T689" s="9"/>
      <c r="U689" s="8">
        <v>0</v>
      </c>
      <c r="V689" s="9"/>
      <c r="W689" s="33">
        <v>77974</v>
      </c>
      <c r="X689" s="9"/>
      <c r="Y689" s="30">
        <v>28</v>
      </c>
      <c r="Z689" s="9"/>
      <c r="AA689" s="30">
        <v>2</v>
      </c>
      <c r="AB689" s="9"/>
      <c r="AC689" s="30">
        <v>0.2</v>
      </c>
      <c r="AD689" s="9"/>
      <c r="AE689" s="30">
        <v>3.8</v>
      </c>
      <c r="AF689" s="9"/>
      <c r="AG689" s="30">
        <v>0</v>
      </c>
      <c r="AH689" s="9"/>
      <c r="AI689" s="32">
        <v>34</v>
      </c>
      <c r="AJ689" s="12"/>
      <c r="AK689" s="22">
        <v>1663605</v>
      </c>
      <c r="AM689" s="22">
        <v>101908</v>
      </c>
      <c r="AO689" s="22">
        <v>4821</v>
      </c>
      <c r="AQ689" s="22">
        <v>167761</v>
      </c>
      <c r="AS689" s="26">
        <v>1938095</v>
      </c>
      <c r="AU689" s="23">
        <v>26.7151</v>
      </c>
      <c r="AW689" s="23">
        <v>15.955500000000001</v>
      </c>
      <c r="AY689" s="23">
        <v>7.7399999999999997E-2</v>
      </c>
      <c r="BA689" s="23">
        <v>18.855899999999998</v>
      </c>
      <c r="BC689" s="24">
        <v>24.855699999999999</v>
      </c>
      <c r="BE689" s="1" t="str">
        <f t="shared" si="10"/>
        <v>No</v>
      </c>
    </row>
    <row r="690" spans="1:57" ht="11.25" customHeight="1">
      <c r="A690" s="7" t="s">
        <v>15</v>
      </c>
      <c r="B690" s="7" t="s">
        <v>397</v>
      </c>
      <c r="C690" s="37" t="s">
        <v>13</v>
      </c>
      <c r="D690" s="296">
        <v>9140</v>
      </c>
      <c r="E690" s="297">
        <v>90140</v>
      </c>
      <c r="F690" s="27" t="s">
        <v>162</v>
      </c>
      <c r="G690" s="73" t="s">
        <v>158</v>
      </c>
      <c r="H690" s="35">
        <v>3629114</v>
      </c>
      <c r="I690" s="35">
        <v>5</v>
      </c>
      <c r="J690" s="37" t="s">
        <v>10</v>
      </c>
      <c r="K690" s="37" t="s">
        <v>159</v>
      </c>
      <c r="L690" s="8">
        <v>5</v>
      </c>
      <c r="M690" s="8">
        <v>11465</v>
      </c>
      <c r="N690" s="9"/>
      <c r="O690" s="8">
        <v>649</v>
      </c>
      <c r="P690" s="9"/>
      <c r="Q690" s="8">
        <v>468</v>
      </c>
      <c r="R690" s="9"/>
      <c r="S690" s="8">
        <v>1710</v>
      </c>
      <c r="T690" s="9"/>
      <c r="U690" s="8">
        <v>0</v>
      </c>
      <c r="V690" s="9"/>
      <c r="W690" s="33">
        <v>14292</v>
      </c>
      <c r="X690" s="9"/>
      <c r="Y690" s="30">
        <v>7</v>
      </c>
      <c r="Z690" s="9"/>
      <c r="AA690" s="30">
        <v>0.4</v>
      </c>
      <c r="AB690" s="9"/>
      <c r="AC690" s="30">
        <v>0.3</v>
      </c>
      <c r="AD690" s="9"/>
      <c r="AE690" s="30">
        <v>1</v>
      </c>
      <c r="AF690" s="9"/>
      <c r="AG690" s="30">
        <v>0</v>
      </c>
      <c r="AH690" s="9"/>
      <c r="AI690" s="32">
        <v>8.6999999999999993</v>
      </c>
      <c r="AJ690" s="12"/>
      <c r="AK690" s="22">
        <v>289687</v>
      </c>
      <c r="AM690" s="22">
        <v>13974</v>
      </c>
      <c r="AO690" s="22">
        <v>6401</v>
      </c>
      <c r="AQ690" s="22">
        <v>76831</v>
      </c>
      <c r="AS690" s="26">
        <v>386893</v>
      </c>
      <c r="AU690" s="23">
        <v>25.267099999999999</v>
      </c>
      <c r="AW690" s="23">
        <v>21.531600000000001</v>
      </c>
      <c r="AY690" s="23">
        <v>0.55830000000000002</v>
      </c>
      <c r="BA690" s="23">
        <v>44.930399999999999</v>
      </c>
      <c r="BC690" s="24">
        <v>27.070599999999999</v>
      </c>
      <c r="BE690" s="1" t="str">
        <f t="shared" si="10"/>
        <v>No</v>
      </c>
    </row>
    <row r="691" spans="1:57" ht="11.25" customHeight="1">
      <c r="A691" s="7" t="s">
        <v>749</v>
      </c>
      <c r="B691" s="7" t="s">
        <v>504</v>
      </c>
      <c r="C691" s="37" t="s">
        <v>57</v>
      </c>
      <c r="D691" s="296">
        <v>8107</v>
      </c>
      <c r="E691" s="297">
        <v>80107</v>
      </c>
      <c r="F691" s="27" t="s">
        <v>114</v>
      </c>
      <c r="G691" s="73" t="s">
        <v>158</v>
      </c>
      <c r="H691" s="35">
        <v>82157</v>
      </c>
      <c r="I691" s="35">
        <v>5</v>
      </c>
      <c r="J691" s="37" t="s">
        <v>7</v>
      </c>
      <c r="K691" s="37" t="s">
        <v>159</v>
      </c>
      <c r="L691" s="8">
        <v>5</v>
      </c>
      <c r="M691" s="8">
        <v>17113</v>
      </c>
      <c r="N691" s="9"/>
      <c r="O691" s="8">
        <v>1212</v>
      </c>
      <c r="P691" s="9"/>
      <c r="Q691" s="8">
        <v>158</v>
      </c>
      <c r="R691" s="9"/>
      <c r="S691" s="8">
        <v>2308</v>
      </c>
      <c r="T691" s="9"/>
      <c r="U691" s="8">
        <v>880</v>
      </c>
      <c r="V691" s="9"/>
      <c r="W691" s="33">
        <v>21671</v>
      </c>
      <c r="X691" s="9"/>
      <c r="Y691" s="30">
        <v>39.700000000000003</v>
      </c>
      <c r="Z691" s="9"/>
      <c r="AA691" s="30">
        <v>2</v>
      </c>
      <c r="AB691" s="9"/>
      <c r="AC691" s="30">
        <v>0.1</v>
      </c>
      <c r="AD691" s="9"/>
      <c r="AE691" s="30">
        <v>1.1000000000000001</v>
      </c>
      <c r="AF691" s="9"/>
      <c r="AG691" s="30">
        <v>0.4</v>
      </c>
      <c r="AH691" s="9"/>
      <c r="AI691" s="32">
        <v>43.3</v>
      </c>
      <c r="AJ691" s="12"/>
      <c r="AK691" s="22">
        <v>206428</v>
      </c>
      <c r="AM691" s="22">
        <v>20871</v>
      </c>
      <c r="AO691" s="22">
        <v>2764</v>
      </c>
      <c r="AQ691" s="22">
        <v>52715</v>
      </c>
      <c r="AS691" s="26">
        <v>282778</v>
      </c>
      <c r="AU691" s="23">
        <v>12.0626</v>
      </c>
      <c r="AW691" s="23">
        <v>17.220300000000002</v>
      </c>
      <c r="AY691" s="23">
        <v>0.1615</v>
      </c>
      <c r="BA691" s="23">
        <v>22.8401</v>
      </c>
      <c r="BC691" s="24">
        <v>13.0487</v>
      </c>
      <c r="BE691" s="1" t="str">
        <f t="shared" si="10"/>
        <v>No</v>
      </c>
    </row>
    <row r="692" spans="1:57" ht="11.25" customHeight="1">
      <c r="A692" s="7" t="s">
        <v>191</v>
      </c>
      <c r="B692" s="7" t="s">
        <v>192</v>
      </c>
      <c r="C692" s="37" t="s">
        <v>26</v>
      </c>
      <c r="D692" s="296">
        <v>8025</v>
      </c>
      <c r="E692" s="297">
        <v>80025</v>
      </c>
      <c r="F692" s="27" t="s">
        <v>162</v>
      </c>
      <c r="G692" s="73" t="s">
        <v>158</v>
      </c>
      <c r="H692" s="35">
        <v>264465</v>
      </c>
      <c r="I692" s="35">
        <v>5</v>
      </c>
      <c r="J692" s="37" t="s">
        <v>7</v>
      </c>
      <c r="K692" s="37" t="s">
        <v>159</v>
      </c>
      <c r="L692" s="8">
        <v>3</v>
      </c>
      <c r="M692" s="8">
        <v>28848</v>
      </c>
      <c r="N692" s="9"/>
      <c r="O692" s="8">
        <v>0</v>
      </c>
      <c r="P692" s="9"/>
      <c r="Q692" s="8">
        <v>0</v>
      </c>
      <c r="R692" s="9"/>
      <c r="S692" s="8">
        <v>3670</v>
      </c>
      <c r="T692" s="9"/>
      <c r="U692" s="8">
        <v>0</v>
      </c>
      <c r="V692" s="9"/>
      <c r="W692" s="33">
        <v>32518</v>
      </c>
      <c r="X692" s="9"/>
      <c r="Y692" s="30">
        <v>12</v>
      </c>
      <c r="Z692" s="9"/>
      <c r="AA692" s="30">
        <v>0</v>
      </c>
      <c r="AB692" s="9"/>
      <c r="AC692" s="30">
        <v>0</v>
      </c>
      <c r="AD692" s="9"/>
      <c r="AE692" s="30">
        <v>2</v>
      </c>
      <c r="AF692" s="9"/>
      <c r="AG692" s="30">
        <v>0</v>
      </c>
      <c r="AH692" s="9"/>
      <c r="AI692" s="32">
        <v>14</v>
      </c>
      <c r="AJ692" s="12"/>
      <c r="AK692" s="22">
        <v>320152</v>
      </c>
      <c r="AM692" s="22">
        <v>0</v>
      </c>
      <c r="AO692" s="22">
        <v>0</v>
      </c>
      <c r="AQ692" s="22">
        <v>96373</v>
      </c>
      <c r="AS692" s="26">
        <v>416525</v>
      </c>
      <c r="AU692" s="23">
        <v>11.097899999999999</v>
      </c>
      <c r="AY692" s="23">
        <v>0</v>
      </c>
      <c r="BA692" s="23">
        <v>26.259699999999999</v>
      </c>
      <c r="BC692" s="24">
        <v>12.809100000000001</v>
      </c>
      <c r="BE692" s="1" t="str">
        <f t="shared" si="10"/>
        <v>No</v>
      </c>
    </row>
    <row r="693" spans="1:57" ht="11.25" customHeight="1">
      <c r="A693" s="7" t="s">
        <v>191</v>
      </c>
      <c r="B693" s="7" t="s">
        <v>192</v>
      </c>
      <c r="C693" s="37" t="s">
        <v>26</v>
      </c>
      <c r="D693" s="296">
        <v>8025</v>
      </c>
      <c r="E693" s="297">
        <v>80025</v>
      </c>
      <c r="F693" s="27" t="s">
        <v>162</v>
      </c>
      <c r="G693" s="73" t="s">
        <v>158</v>
      </c>
      <c r="H693" s="35">
        <v>264465</v>
      </c>
      <c r="I693" s="35">
        <v>5</v>
      </c>
      <c r="J693" s="37" t="s">
        <v>10</v>
      </c>
      <c r="K693" s="37" t="s">
        <v>159</v>
      </c>
      <c r="L693" s="8">
        <v>2</v>
      </c>
      <c r="M693" s="8">
        <v>6025</v>
      </c>
      <c r="N693" s="9"/>
      <c r="O693" s="8">
        <v>0</v>
      </c>
      <c r="P693" s="9"/>
      <c r="Q693" s="8">
        <v>0</v>
      </c>
      <c r="R693" s="9"/>
      <c r="S693" s="8">
        <v>3238</v>
      </c>
      <c r="T693" s="9"/>
      <c r="U693" s="8">
        <v>0</v>
      </c>
      <c r="V693" s="9"/>
      <c r="W693" s="33">
        <v>9263</v>
      </c>
      <c r="X693" s="9"/>
      <c r="Y693" s="30">
        <v>13</v>
      </c>
      <c r="Z693" s="9"/>
      <c r="AA693" s="30">
        <v>0</v>
      </c>
      <c r="AB693" s="9"/>
      <c r="AC693" s="30">
        <v>0</v>
      </c>
      <c r="AD693" s="9"/>
      <c r="AE693" s="30">
        <v>2</v>
      </c>
      <c r="AF693" s="9"/>
      <c r="AG693" s="30">
        <v>0</v>
      </c>
      <c r="AH693" s="9"/>
      <c r="AI693" s="32">
        <v>15</v>
      </c>
      <c r="AJ693" s="12"/>
      <c r="AK693" s="22">
        <v>138547</v>
      </c>
      <c r="AM693" s="22">
        <v>0</v>
      </c>
      <c r="AO693" s="22">
        <v>0</v>
      </c>
      <c r="AQ693" s="22">
        <v>43298</v>
      </c>
      <c r="AS693" s="26">
        <v>181845</v>
      </c>
      <c r="AU693" s="23">
        <v>22.9954</v>
      </c>
      <c r="AY693" s="23">
        <v>0</v>
      </c>
      <c r="BA693" s="23">
        <v>13.3718</v>
      </c>
      <c r="BC693" s="24">
        <v>19.6313</v>
      </c>
      <c r="BE693" s="1" t="str">
        <f t="shared" si="10"/>
        <v>No</v>
      </c>
    </row>
    <row r="694" spans="1:57" ht="11.25" customHeight="1">
      <c r="A694" s="7" t="s">
        <v>253</v>
      </c>
      <c r="B694" s="7" t="s">
        <v>254</v>
      </c>
      <c r="C694" s="37" t="s">
        <v>51</v>
      </c>
      <c r="D694" s="296">
        <v>1088</v>
      </c>
      <c r="E694" s="297">
        <v>10088</v>
      </c>
      <c r="F694" s="27" t="s">
        <v>165</v>
      </c>
      <c r="G694" s="73" t="s">
        <v>158</v>
      </c>
      <c r="H694" s="35">
        <v>203914</v>
      </c>
      <c r="I694" s="35">
        <v>4</v>
      </c>
      <c r="J694" s="37" t="s">
        <v>19</v>
      </c>
      <c r="K694" s="37" t="s">
        <v>159</v>
      </c>
      <c r="L694" s="8">
        <v>4</v>
      </c>
      <c r="M694" s="8">
        <v>107402</v>
      </c>
      <c r="N694" s="9"/>
      <c r="O694" s="8">
        <v>6292</v>
      </c>
      <c r="P694" s="9"/>
      <c r="Q694" s="8">
        <v>699</v>
      </c>
      <c r="R694" s="9"/>
      <c r="S694" s="8">
        <v>11892</v>
      </c>
      <c r="T694" s="9"/>
      <c r="U694" s="8">
        <v>0</v>
      </c>
      <c r="V694" s="9"/>
      <c r="W694" s="33">
        <v>126285</v>
      </c>
      <c r="X694" s="9"/>
      <c r="Y694" s="30">
        <v>76</v>
      </c>
      <c r="Z694" s="9"/>
      <c r="AA694" s="30">
        <v>2.7</v>
      </c>
      <c r="AB694" s="9"/>
      <c r="AC694" s="30">
        <v>0.3</v>
      </c>
      <c r="AD694" s="9"/>
      <c r="AE694" s="30">
        <v>7</v>
      </c>
      <c r="AF694" s="9"/>
      <c r="AG694" s="30">
        <v>0</v>
      </c>
      <c r="AH694" s="9"/>
      <c r="AI694" s="32">
        <v>86</v>
      </c>
      <c r="AJ694" s="12"/>
      <c r="AK694" s="22">
        <v>2025589</v>
      </c>
      <c r="AM694" s="22">
        <v>147618</v>
      </c>
      <c r="AO694" s="22">
        <v>16402</v>
      </c>
      <c r="AQ694" s="22">
        <v>342768</v>
      </c>
      <c r="AS694" s="26">
        <v>2532377</v>
      </c>
      <c r="AU694" s="23">
        <v>18.8599</v>
      </c>
      <c r="AW694" s="23">
        <v>23.461200000000002</v>
      </c>
      <c r="AY694" s="23">
        <v>0.1527</v>
      </c>
      <c r="BA694" s="23">
        <v>28.823399999999999</v>
      </c>
      <c r="BC694" s="24">
        <v>20.052900000000001</v>
      </c>
      <c r="BE694" s="1" t="str">
        <f t="shared" si="10"/>
        <v>No</v>
      </c>
    </row>
    <row r="695" spans="1:57" ht="11.25" customHeight="1">
      <c r="A695" s="7" t="s">
        <v>360</v>
      </c>
      <c r="B695" s="7" t="s">
        <v>361</v>
      </c>
      <c r="C695" s="37" t="s">
        <v>42</v>
      </c>
      <c r="D695" s="296">
        <v>5042</v>
      </c>
      <c r="E695" s="297">
        <v>50042</v>
      </c>
      <c r="F695" s="27" t="s">
        <v>162</v>
      </c>
      <c r="G695" s="73" t="s">
        <v>158</v>
      </c>
      <c r="H695" s="35">
        <v>8608208</v>
      </c>
      <c r="I695" s="35">
        <v>4</v>
      </c>
      <c r="J695" s="37" t="s">
        <v>7</v>
      </c>
      <c r="K695" s="37" t="s">
        <v>159</v>
      </c>
      <c r="L695" s="8">
        <v>3</v>
      </c>
      <c r="M695" s="8">
        <v>13187</v>
      </c>
      <c r="N695" s="9"/>
      <c r="O695" s="8">
        <v>1542</v>
      </c>
      <c r="P695" s="9"/>
      <c r="Q695" s="8">
        <v>3338</v>
      </c>
      <c r="R695" s="9"/>
      <c r="S695" s="8">
        <v>3960</v>
      </c>
      <c r="T695" s="9"/>
      <c r="U695" s="8">
        <v>0</v>
      </c>
      <c r="V695" s="9"/>
      <c r="W695" s="33">
        <v>22027</v>
      </c>
      <c r="X695" s="9"/>
      <c r="Y695" s="30">
        <v>7</v>
      </c>
      <c r="Z695" s="9"/>
      <c r="AA695" s="30">
        <v>0.8</v>
      </c>
      <c r="AB695" s="9"/>
      <c r="AC695" s="30">
        <v>2</v>
      </c>
      <c r="AD695" s="9"/>
      <c r="AE695" s="30">
        <v>2</v>
      </c>
      <c r="AF695" s="9"/>
      <c r="AG695" s="30">
        <v>0</v>
      </c>
      <c r="AH695" s="9"/>
      <c r="AI695" s="32">
        <v>11.8</v>
      </c>
      <c r="AJ695" s="12"/>
      <c r="AK695" s="22">
        <v>188176</v>
      </c>
      <c r="AM695" s="22">
        <v>27116</v>
      </c>
      <c r="AO695" s="22">
        <v>74950</v>
      </c>
      <c r="AQ695" s="22">
        <v>89788</v>
      </c>
      <c r="AS695" s="26">
        <v>380030</v>
      </c>
      <c r="AU695" s="23">
        <v>14.2698</v>
      </c>
      <c r="AW695" s="23">
        <v>17.585000000000001</v>
      </c>
      <c r="AY695" s="23">
        <v>5.6836000000000002</v>
      </c>
      <c r="BA695" s="23">
        <v>22.6737</v>
      </c>
      <c r="BC695" s="24">
        <v>17.2529</v>
      </c>
      <c r="BE695" s="1" t="str">
        <f t="shared" si="10"/>
        <v>No</v>
      </c>
    </row>
    <row r="696" spans="1:57" ht="11.25" customHeight="1">
      <c r="A696" s="7" t="s">
        <v>360</v>
      </c>
      <c r="B696" s="7" t="s">
        <v>361</v>
      </c>
      <c r="C696" s="37" t="s">
        <v>42</v>
      </c>
      <c r="D696" s="296">
        <v>5042</v>
      </c>
      <c r="E696" s="297">
        <v>50042</v>
      </c>
      <c r="F696" s="27" t="s">
        <v>162</v>
      </c>
      <c r="G696" s="73" t="s">
        <v>158</v>
      </c>
      <c r="H696" s="35">
        <v>8608208</v>
      </c>
      <c r="I696" s="35">
        <v>4</v>
      </c>
      <c r="J696" s="37" t="s">
        <v>10</v>
      </c>
      <c r="K696" s="37" t="s">
        <v>159</v>
      </c>
      <c r="L696" s="8">
        <v>1</v>
      </c>
      <c r="M696" s="8">
        <v>6239</v>
      </c>
      <c r="N696" s="9"/>
      <c r="O696" s="8">
        <v>461</v>
      </c>
      <c r="P696" s="9"/>
      <c r="Q696" s="8">
        <v>391</v>
      </c>
      <c r="R696" s="9"/>
      <c r="S696" s="8">
        <v>1530</v>
      </c>
      <c r="T696" s="9"/>
      <c r="U696" s="8">
        <v>0</v>
      </c>
      <c r="V696" s="9"/>
      <c r="W696" s="33">
        <v>8621</v>
      </c>
      <c r="X696" s="9"/>
      <c r="Y696" s="30">
        <v>3</v>
      </c>
      <c r="Z696" s="9"/>
      <c r="AA696" s="30">
        <v>0.3</v>
      </c>
      <c r="AB696" s="9"/>
      <c r="AC696" s="30">
        <v>0.2</v>
      </c>
      <c r="AD696" s="9"/>
      <c r="AE696" s="30">
        <v>1</v>
      </c>
      <c r="AF696" s="9"/>
      <c r="AG696" s="30">
        <v>0</v>
      </c>
      <c r="AH696" s="9"/>
      <c r="AI696" s="32">
        <v>4.5</v>
      </c>
      <c r="AJ696" s="12"/>
      <c r="AK696" s="22">
        <v>96734</v>
      </c>
      <c r="AM696" s="22">
        <v>9456</v>
      </c>
      <c r="AO696" s="22">
        <v>7367</v>
      </c>
      <c r="AQ696" s="22">
        <v>36359</v>
      </c>
      <c r="AS696" s="26">
        <v>149916</v>
      </c>
      <c r="AU696" s="23">
        <v>15.5047</v>
      </c>
      <c r="AW696" s="23">
        <v>20.511900000000001</v>
      </c>
      <c r="AY696" s="23">
        <v>1.1808000000000001</v>
      </c>
      <c r="BA696" s="23">
        <v>23.764099999999999</v>
      </c>
      <c r="BC696" s="24">
        <v>17.389600000000002</v>
      </c>
      <c r="BE696" s="1" t="str">
        <f t="shared" si="10"/>
        <v>No</v>
      </c>
    </row>
    <row r="697" spans="1:57" ht="11.25" customHeight="1">
      <c r="A697" s="7" t="s">
        <v>780</v>
      </c>
      <c r="B697" s="7" t="s">
        <v>345</v>
      </c>
      <c r="C697" s="37" t="s">
        <v>84</v>
      </c>
      <c r="D697" s="296">
        <v>6133</v>
      </c>
      <c r="E697" s="297">
        <v>60133</v>
      </c>
      <c r="F697" s="27" t="s">
        <v>187</v>
      </c>
      <c r="G697" s="73" t="s">
        <v>158</v>
      </c>
      <c r="H697" s="35">
        <v>5121892</v>
      </c>
      <c r="I697" s="35">
        <v>3</v>
      </c>
      <c r="J697" s="37" t="s">
        <v>12</v>
      </c>
      <c r="K697" s="37" t="s">
        <v>159</v>
      </c>
      <c r="L697" s="8">
        <v>3</v>
      </c>
      <c r="M697" s="8">
        <v>23373</v>
      </c>
      <c r="N697" s="9"/>
      <c r="O697" s="8">
        <v>4477</v>
      </c>
      <c r="P697" s="9"/>
      <c r="Q697" s="8">
        <v>236</v>
      </c>
      <c r="R697" s="9"/>
      <c r="S697" s="8">
        <v>1349</v>
      </c>
      <c r="T697" s="9"/>
      <c r="U697" s="8">
        <v>3353</v>
      </c>
      <c r="V697" s="9"/>
      <c r="W697" s="33">
        <v>32788</v>
      </c>
      <c r="X697" s="9"/>
      <c r="Y697" s="30">
        <v>19</v>
      </c>
      <c r="Z697" s="9"/>
      <c r="AA697" s="30">
        <v>3.9</v>
      </c>
      <c r="AB697" s="9"/>
      <c r="AC697" s="30">
        <v>0.2</v>
      </c>
      <c r="AD697" s="9"/>
      <c r="AE697" s="30">
        <v>1</v>
      </c>
      <c r="AF697" s="9"/>
      <c r="AG697" s="30">
        <v>2.9</v>
      </c>
      <c r="AH697" s="9"/>
      <c r="AI697" s="32">
        <v>27</v>
      </c>
      <c r="AJ697" s="12"/>
      <c r="AK697" s="22">
        <v>280275</v>
      </c>
      <c r="AM697" s="22">
        <v>85301</v>
      </c>
      <c r="AO697" s="22">
        <v>4490</v>
      </c>
      <c r="AQ697" s="22">
        <v>36861</v>
      </c>
      <c r="AS697" s="26">
        <v>406927</v>
      </c>
      <c r="AU697" s="23">
        <v>11.991400000000001</v>
      </c>
      <c r="AW697" s="23">
        <v>19.0532</v>
      </c>
      <c r="AY697" s="23">
        <v>0.19209999999999999</v>
      </c>
      <c r="BA697" s="23">
        <v>27.3247</v>
      </c>
      <c r="BC697" s="24">
        <v>12.4109</v>
      </c>
      <c r="BE697" s="1" t="str">
        <f t="shared" si="10"/>
        <v>No</v>
      </c>
    </row>
    <row r="698" spans="1:57" ht="11.25" customHeight="1">
      <c r="A698" s="7" t="s">
        <v>1102</v>
      </c>
      <c r="B698" s="7" t="s">
        <v>481</v>
      </c>
      <c r="C698" s="37" t="s">
        <v>36</v>
      </c>
      <c r="D698" s="296">
        <v>4230</v>
      </c>
      <c r="E698" s="297">
        <v>40230</v>
      </c>
      <c r="F698" s="27" t="s">
        <v>162</v>
      </c>
      <c r="G698" s="73" t="s">
        <v>158</v>
      </c>
      <c r="H698" s="35">
        <v>4515419</v>
      </c>
      <c r="I698" s="35">
        <v>3</v>
      </c>
      <c r="J698" s="37" t="s">
        <v>12</v>
      </c>
      <c r="K698" s="37" t="s">
        <v>159</v>
      </c>
      <c r="L698" s="8">
        <v>3</v>
      </c>
      <c r="M698" s="8">
        <v>26082</v>
      </c>
      <c r="N698" s="9"/>
      <c r="O698" s="8">
        <v>8966</v>
      </c>
      <c r="P698" s="9"/>
      <c r="Q698" s="8">
        <v>3984</v>
      </c>
      <c r="R698" s="9"/>
      <c r="S698" s="8">
        <v>14286</v>
      </c>
      <c r="T698" s="9"/>
      <c r="U698" s="8">
        <v>0</v>
      </c>
      <c r="V698" s="9"/>
      <c r="W698" s="33">
        <v>53318</v>
      </c>
      <c r="X698" s="9"/>
      <c r="Y698" s="30">
        <v>18</v>
      </c>
      <c r="Z698" s="9"/>
      <c r="AA698" s="30">
        <v>7</v>
      </c>
      <c r="AB698" s="9"/>
      <c r="AC698" s="30">
        <v>2</v>
      </c>
      <c r="AD698" s="9"/>
      <c r="AE698" s="30">
        <v>9</v>
      </c>
      <c r="AF698" s="9"/>
      <c r="AG698" s="30">
        <v>0</v>
      </c>
      <c r="AH698" s="9"/>
      <c r="AI698" s="32">
        <v>36</v>
      </c>
      <c r="AJ698" s="12"/>
      <c r="AK698" s="22">
        <v>743305</v>
      </c>
      <c r="AM698" s="22">
        <v>290633</v>
      </c>
      <c r="AO698" s="22">
        <v>79112</v>
      </c>
      <c r="AQ698" s="22">
        <v>603310</v>
      </c>
      <c r="AS698" s="26">
        <v>1716360</v>
      </c>
      <c r="AU698" s="23">
        <v>28.498799999999999</v>
      </c>
      <c r="AW698" s="23">
        <v>32.414999999999999</v>
      </c>
      <c r="AY698" s="23">
        <v>3.0331999999999999</v>
      </c>
      <c r="BA698" s="23">
        <v>42.230899999999998</v>
      </c>
      <c r="BC698" s="24">
        <v>32.191000000000003</v>
      </c>
      <c r="BE698" s="1" t="str">
        <f t="shared" si="10"/>
        <v>No</v>
      </c>
    </row>
    <row r="699" spans="1:57" ht="11.25" customHeight="1">
      <c r="A699" s="7" t="s">
        <v>237</v>
      </c>
      <c r="B699" s="7" t="s">
        <v>238</v>
      </c>
      <c r="C699" s="37" t="s">
        <v>73</v>
      </c>
      <c r="D699" s="296">
        <v>5143</v>
      </c>
      <c r="E699" s="297">
        <v>50143</v>
      </c>
      <c r="F699" s="27" t="s">
        <v>162</v>
      </c>
      <c r="G699" s="73" t="s">
        <v>158</v>
      </c>
      <c r="H699" s="35">
        <v>1780673</v>
      </c>
      <c r="I699" s="35">
        <v>2</v>
      </c>
      <c r="J699" s="37" t="s">
        <v>7</v>
      </c>
      <c r="K699" s="37" t="s">
        <v>159</v>
      </c>
      <c r="L699" s="8">
        <v>2</v>
      </c>
      <c r="M699" s="8">
        <v>9037</v>
      </c>
      <c r="N699" s="9"/>
      <c r="O699" s="8">
        <v>0</v>
      </c>
      <c r="P699" s="9"/>
      <c r="Q699" s="8">
        <v>0</v>
      </c>
      <c r="R699" s="9"/>
      <c r="S699" s="8">
        <v>1138</v>
      </c>
      <c r="T699" s="9"/>
      <c r="U699" s="8">
        <v>0</v>
      </c>
      <c r="V699" s="9"/>
      <c r="W699" s="33">
        <v>10175</v>
      </c>
      <c r="X699" s="9"/>
      <c r="Y699" s="30">
        <v>7.5</v>
      </c>
      <c r="Z699" s="9"/>
      <c r="AA699" s="30">
        <v>0</v>
      </c>
      <c r="AB699" s="9"/>
      <c r="AC699" s="30">
        <v>0</v>
      </c>
      <c r="AD699" s="9"/>
      <c r="AE699" s="30">
        <v>2.2999999999999998</v>
      </c>
      <c r="AF699" s="9"/>
      <c r="AG699" s="30">
        <v>0</v>
      </c>
      <c r="AH699" s="9"/>
      <c r="AI699" s="32">
        <v>9.8000000000000007</v>
      </c>
      <c r="AJ699" s="12"/>
      <c r="AK699" s="22">
        <v>129067</v>
      </c>
      <c r="AM699" s="22">
        <v>0</v>
      </c>
      <c r="AO699" s="22">
        <v>0</v>
      </c>
      <c r="AQ699" s="22">
        <v>37587</v>
      </c>
      <c r="AS699" s="26">
        <v>166654</v>
      </c>
      <c r="AU699" s="23">
        <v>14.2821</v>
      </c>
      <c r="AY699" s="23">
        <v>0</v>
      </c>
      <c r="BA699" s="23">
        <v>33.029000000000003</v>
      </c>
      <c r="BC699" s="24">
        <v>16.378799999999998</v>
      </c>
      <c r="BE699" s="1" t="str">
        <f t="shared" si="10"/>
        <v>No</v>
      </c>
    </row>
    <row r="700" spans="1:57" ht="11.25" customHeight="1">
      <c r="A700" s="7" t="s">
        <v>1153</v>
      </c>
      <c r="B700" s="7" t="s">
        <v>549</v>
      </c>
      <c r="C700" s="37" t="s">
        <v>32</v>
      </c>
      <c r="D700" s="296"/>
      <c r="E700" s="297">
        <v>40258</v>
      </c>
      <c r="F700" s="27" t="s">
        <v>187</v>
      </c>
      <c r="G700" s="73" t="s">
        <v>158</v>
      </c>
      <c r="H700" s="35">
        <v>2441770</v>
      </c>
      <c r="I700" s="35">
        <v>2</v>
      </c>
      <c r="J700" s="37" t="s">
        <v>7</v>
      </c>
      <c r="K700" s="37" t="s">
        <v>159</v>
      </c>
      <c r="L700" s="8">
        <v>2</v>
      </c>
      <c r="M700" s="8">
        <v>7239</v>
      </c>
      <c r="N700" s="9"/>
      <c r="O700" s="8">
        <v>0</v>
      </c>
      <c r="P700" s="9"/>
      <c r="Q700" s="8">
        <v>804</v>
      </c>
      <c r="R700" s="9"/>
      <c r="S700" s="8">
        <v>2822</v>
      </c>
      <c r="T700" s="9"/>
      <c r="U700" s="8">
        <v>0</v>
      </c>
      <c r="V700" s="9"/>
      <c r="W700" s="33">
        <v>10865</v>
      </c>
      <c r="X700" s="9"/>
      <c r="Y700" s="30">
        <v>8.25</v>
      </c>
      <c r="Z700" s="9"/>
      <c r="AA700" s="30">
        <v>0</v>
      </c>
      <c r="AB700" s="9"/>
      <c r="AC700" s="30">
        <v>2.25</v>
      </c>
      <c r="AD700" s="9"/>
      <c r="AE700" s="30">
        <v>1.5</v>
      </c>
      <c r="AF700" s="9"/>
      <c r="AG700" s="30">
        <v>0</v>
      </c>
      <c r="AH700" s="9"/>
      <c r="AI700" s="32">
        <v>12</v>
      </c>
      <c r="AJ700" s="12"/>
      <c r="AK700" s="22">
        <v>166814</v>
      </c>
      <c r="AM700" s="22">
        <v>0</v>
      </c>
      <c r="AO700" s="22">
        <v>16478</v>
      </c>
      <c r="AQ700" s="22">
        <v>33823</v>
      </c>
      <c r="AS700" s="26">
        <v>217115</v>
      </c>
      <c r="AU700" s="23">
        <v>23.043800000000001</v>
      </c>
      <c r="AY700" s="23">
        <v>2.2763</v>
      </c>
      <c r="BA700" s="23">
        <v>11.9855</v>
      </c>
      <c r="BC700" s="24">
        <v>19.983000000000001</v>
      </c>
      <c r="BE700" s="1" t="str">
        <f t="shared" si="10"/>
        <v>No</v>
      </c>
    </row>
  </sheetData>
  <autoFilter ref="A1:BE700">
    <sortState ref="A2:BE700">
      <sortCondition descending="1" ref="I1:I700"/>
    </sortState>
  </autoFilter>
  <conditionalFormatting sqref="A1:BE700">
    <cfRule type="expression" dxfId="146" priority="1">
      <formula>MOD(ROW(),2)=0</formula>
    </cfRule>
  </conditionalFormatting>
  <pageMargins left="0" right="0" top="0" bottom="0" header="0" footer="0"/>
  <pageSetup paperSize="9" firstPageNumber="0" fitToWidth="0" fitToHeight="0" orientation="landscape"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81" r:id="rId3" name="Drop Down 57">
              <controlPr defaultSize="0" autoLine="0" autoPict="0" macro="[0]!DropDown57_Change" altText="This drop-down menu shows or hides columns indicating the presence of &quot;questionable&quot; data.">
                <anchor moveWithCells="1">
                  <from>
                    <xdr:col>57</xdr:col>
                    <xdr:colOff>38100</xdr:colOff>
                    <xdr:row>0</xdr:row>
                    <xdr:rowOff>276225</xdr:rowOff>
                  </from>
                  <to>
                    <xdr:col>60</xdr:col>
                    <xdr:colOff>200025</xdr:colOff>
                    <xdr:row>0</xdr:row>
                    <xdr:rowOff>533400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700"/>
  <sheetViews>
    <sheetView workbookViewId="0">
      <pane xSplit="3" ySplit="1" topLeftCell="D2" activePane="bottomRight" state="frozen"/>
      <selection activeCell="I1" sqref="I1:L1048576"/>
      <selection pane="topRight" activeCell="I1" sqref="I1:L1048576"/>
      <selection pane="bottomLeft" activeCell="I1" sqref="I1:L1048576"/>
      <selection pane="bottomRight"/>
    </sheetView>
  </sheetViews>
  <sheetFormatPr defaultColWidth="9.140625" defaultRowHeight="11.25"/>
  <cols>
    <col min="1" max="1" width="34" style="3" customWidth="1"/>
    <col min="2" max="2" width="15.42578125" style="3" customWidth="1"/>
    <col min="3" max="3" width="7.28515625" style="11" customWidth="1"/>
    <col min="4" max="4" width="8.85546875" style="298" customWidth="1"/>
    <col min="5" max="5" width="8.85546875" style="299" customWidth="1"/>
    <col min="6" max="6" width="19.85546875" style="28" customWidth="1"/>
    <col min="7" max="7" width="14.7109375" style="11" customWidth="1"/>
    <col min="8" max="8" width="13" style="29" customWidth="1"/>
    <col min="9" max="9" width="9.28515625" style="29" customWidth="1"/>
    <col min="10" max="10" width="9.28515625" style="1" customWidth="1"/>
    <col min="11" max="11" width="9.28515625" style="2" customWidth="1"/>
    <col min="12" max="12" width="9.28515625" style="6" customWidth="1"/>
    <col min="13" max="13" width="10.140625" style="14" customWidth="1"/>
    <col min="14" max="14" width="11.28515625" style="1" hidden="1" customWidth="1"/>
    <col min="15" max="15" width="12.28515625" style="14" bestFit="1" customWidth="1"/>
    <col min="16" max="16" width="12.7109375" style="1" hidden="1" customWidth="1"/>
    <col min="17" max="17" width="12.28515625" style="14" bestFit="1" customWidth="1"/>
    <col min="18" max="18" width="13.28515625" style="1" hidden="1" customWidth="1"/>
    <col min="19" max="19" width="15" style="14" bestFit="1" customWidth="1"/>
    <col min="20" max="20" width="12.7109375" style="1" hidden="1" customWidth="1"/>
    <col min="21" max="21" width="8.5703125" style="14" bestFit="1" customWidth="1"/>
    <col min="22" max="22" width="11.28515625" style="4" hidden="1" customWidth="1"/>
    <col min="23" max="23" width="8.7109375" style="10" bestFit="1" customWidth="1"/>
    <col min="24" max="24" width="12.7109375" style="4" hidden="1" customWidth="1"/>
    <col min="25" max="25" width="12" style="31" bestFit="1" customWidth="1"/>
    <col min="26" max="26" width="12.7109375" style="4" hidden="1" customWidth="1"/>
    <col min="27" max="27" width="13.28515625" style="31" bestFit="1" customWidth="1"/>
    <col min="28" max="28" width="11.42578125" style="4" hidden="1" customWidth="1"/>
    <col min="29" max="29" width="13.28515625" style="31" bestFit="1" customWidth="1"/>
    <col min="30" max="30" width="11.42578125" style="4" hidden="1" customWidth="1"/>
    <col min="31" max="31" width="15" style="20" bestFit="1" customWidth="1"/>
    <col min="32" max="32" width="13" style="4" hidden="1" customWidth="1"/>
    <col min="33" max="33" width="8.5703125" style="205" bestFit="1" customWidth="1"/>
    <col min="34" max="34" width="11.28515625" style="34" hidden="1" customWidth="1"/>
    <col min="35" max="35" width="11" style="32" bestFit="1" customWidth="1"/>
    <col min="36" max="36" width="11.28515625" style="7" hidden="1" customWidth="1"/>
    <col min="37" max="37" width="12.5703125" style="7" hidden="1" customWidth="1"/>
    <col min="38" max="41" width="9.140625" style="7"/>
    <col min="42" max="42" width="9.140625" style="7" hidden="1" customWidth="1"/>
    <col min="43" max="16384" width="9.140625" style="7"/>
  </cols>
  <sheetData>
    <row r="1" spans="1:42" s="65" customFormat="1" ht="56.25">
      <c r="A1" s="65" t="s">
        <v>1</v>
      </c>
      <c r="B1" s="65" t="s">
        <v>113</v>
      </c>
      <c r="C1" s="72" t="s">
        <v>0</v>
      </c>
      <c r="D1" s="300" t="s">
        <v>1115</v>
      </c>
      <c r="E1" s="301" t="s">
        <v>1116</v>
      </c>
      <c r="F1" s="65" t="s">
        <v>822</v>
      </c>
      <c r="G1" s="72" t="s">
        <v>118</v>
      </c>
      <c r="H1" s="75" t="s">
        <v>127</v>
      </c>
      <c r="I1" s="75" t="s">
        <v>132</v>
      </c>
      <c r="J1" s="72" t="s">
        <v>3</v>
      </c>
      <c r="K1" s="72" t="s">
        <v>154</v>
      </c>
      <c r="L1" s="75" t="s">
        <v>133</v>
      </c>
      <c r="M1" s="289" t="s">
        <v>134</v>
      </c>
      <c r="N1" s="289" t="s">
        <v>907</v>
      </c>
      <c r="O1" s="289" t="s">
        <v>135</v>
      </c>
      <c r="P1" s="289" t="s">
        <v>908</v>
      </c>
      <c r="Q1" s="289" t="s">
        <v>136</v>
      </c>
      <c r="R1" s="289" t="s">
        <v>909</v>
      </c>
      <c r="S1" s="289" t="s">
        <v>137</v>
      </c>
      <c r="T1" s="289" t="s">
        <v>930</v>
      </c>
      <c r="U1" s="289" t="s">
        <v>138</v>
      </c>
      <c r="V1" s="289" t="s">
        <v>911</v>
      </c>
      <c r="W1" s="289" t="s">
        <v>116</v>
      </c>
      <c r="X1" s="75" t="s">
        <v>912</v>
      </c>
      <c r="Y1" s="290" t="s">
        <v>139</v>
      </c>
      <c r="Z1" s="76" t="s">
        <v>931</v>
      </c>
      <c r="AA1" s="290" t="s">
        <v>140</v>
      </c>
      <c r="AB1" s="76" t="s">
        <v>932</v>
      </c>
      <c r="AC1" s="290" t="s">
        <v>141</v>
      </c>
      <c r="AD1" s="76" t="s">
        <v>933</v>
      </c>
      <c r="AE1" s="290" t="s">
        <v>142</v>
      </c>
      <c r="AF1" s="76" t="s">
        <v>934</v>
      </c>
      <c r="AG1" s="290" t="s">
        <v>143</v>
      </c>
      <c r="AH1" s="76" t="s">
        <v>935</v>
      </c>
      <c r="AI1" s="290" t="s">
        <v>117</v>
      </c>
      <c r="AJ1" s="76" t="s">
        <v>918</v>
      </c>
      <c r="AK1" s="76" t="s">
        <v>936</v>
      </c>
      <c r="AP1" s="65">
        <f>IF(AP4=1,1,0)</f>
        <v>1</v>
      </c>
    </row>
    <row r="2" spans="1:42">
      <c r="A2" s="7" t="s">
        <v>518</v>
      </c>
      <c r="B2" s="7" t="s">
        <v>479</v>
      </c>
      <c r="C2" s="7" t="s">
        <v>70</v>
      </c>
      <c r="D2" s="302">
        <v>2008</v>
      </c>
      <c r="E2" s="297">
        <v>20008</v>
      </c>
      <c r="F2" s="7" t="s">
        <v>240</v>
      </c>
      <c r="G2" s="7" t="s">
        <v>158</v>
      </c>
      <c r="H2" s="8">
        <v>18351295</v>
      </c>
      <c r="I2" s="8">
        <v>11004</v>
      </c>
      <c r="J2" s="7" t="s">
        <v>20</v>
      </c>
      <c r="K2" s="7" t="s">
        <v>159</v>
      </c>
      <c r="L2" s="8">
        <v>5324</v>
      </c>
      <c r="M2" s="8">
        <v>21620715</v>
      </c>
      <c r="N2" s="7"/>
      <c r="O2" s="8">
        <v>8801541</v>
      </c>
      <c r="P2" s="7"/>
      <c r="Q2" s="8">
        <v>18291750</v>
      </c>
      <c r="R2" s="7"/>
      <c r="S2" s="8">
        <v>4330941</v>
      </c>
      <c r="T2" s="7"/>
      <c r="U2" s="8">
        <v>7417948</v>
      </c>
      <c r="V2" s="7"/>
      <c r="W2" s="33">
        <v>60462895</v>
      </c>
      <c r="X2" s="7"/>
      <c r="Y2" s="30">
        <v>10276</v>
      </c>
      <c r="Z2" s="7"/>
      <c r="AA2" s="30">
        <v>5309</v>
      </c>
      <c r="AB2" s="7"/>
      <c r="AC2" s="30">
        <v>9901</v>
      </c>
      <c r="AD2" s="7"/>
      <c r="AE2" s="30">
        <v>2350</v>
      </c>
      <c r="AF2" s="7"/>
      <c r="AG2" s="30">
        <v>3551</v>
      </c>
      <c r="AI2" s="32">
        <v>31387</v>
      </c>
      <c r="AK2" s="7" t="str">
        <f t="shared" ref="AK2:AK65" si="0">IF(AJ2&amp;AH2&amp;AF2&amp;AD2&amp;AB2&amp;Z2&amp;X2&amp;V2&amp;T2&amp;R2&amp;P2&amp;N2&lt;&gt;"","Yes","No")</f>
        <v>No</v>
      </c>
      <c r="AP2" s="7" t="s">
        <v>1011</v>
      </c>
    </row>
    <row r="3" spans="1:42">
      <c r="A3" s="7" t="s">
        <v>518</v>
      </c>
      <c r="B3" s="7" t="s">
        <v>479</v>
      </c>
      <c r="C3" s="7" t="s">
        <v>70</v>
      </c>
      <c r="D3" s="302">
        <v>2008</v>
      </c>
      <c r="E3" s="297">
        <v>20008</v>
      </c>
      <c r="F3" s="7" t="s">
        <v>240</v>
      </c>
      <c r="G3" s="7" t="s">
        <v>158</v>
      </c>
      <c r="H3" s="8">
        <v>18351295</v>
      </c>
      <c r="I3" s="8">
        <v>11004</v>
      </c>
      <c r="J3" s="7" t="s">
        <v>7</v>
      </c>
      <c r="K3" s="7" t="s">
        <v>159</v>
      </c>
      <c r="L3" s="8">
        <v>3286</v>
      </c>
      <c r="M3" s="8">
        <v>18979830</v>
      </c>
      <c r="N3" s="7"/>
      <c r="O3" s="8">
        <v>6673757</v>
      </c>
      <c r="P3" s="7"/>
      <c r="Q3" s="8">
        <v>1539082</v>
      </c>
      <c r="R3" s="7"/>
      <c r="S3" s="8">
        <v>1612925</v>
      </c>
      <c r="T3" s="7"/>
      <c r="U3" s="8">
        <v>720256</v>
      </c>
      <c r="V3" s="7"/>
      <c r="W3" s="33">
        <v>29525850</v>
      </c>
      <c r="X3" s="7"/>
      <c r="Y3" s="30">
        <v>9254.2999999999993</v>
      </c>
      <c r="Z3" s="7"/>
      <c r="AA3" s="30">
        <v>3329.4</v>
      </c>
      <c r="AB3" s="7"/>
      <c r="AC3" s="30">
        <v>789.4</v>
      </c>
      <c r="AD3" s="7"/>
      <c r="AE3" s="30">
        <v>863.7</v>
      </c>
      <c r="AF3" s="7"/>
      <c r="AG3" s="30">
        <v>439.4</v>
      </c>
      <c r="AI3" s="32">
        <v>14676.2</v>
      </c>
      <c r="AK3" s="7" t="str">
        <f t="shared" si="0"/>
        <v>No</v>
      </c>
      <c r="AP3" s="7" t="s">
        <v>1012</v>
      </c>
    </row>
    <row r="4" spans="1:42">
      <c r="A4" s="7" t="s">
        <v>518</v>
      </c>
      <c r="B4" s="7" t="s">
        <v>479</v>
      </c>
      <c r="C4" s="7" t="s">
        <v>70</v>
      </c>
      <c r="D4" s="302">
        <v>2008</v>
      </c>
      <c r="E4" s="297">
        <v>20008</v>
      </c>
      <c r="F4" s="7" t="s">
        <v>240</v>
      </c>
      <c r="G4" s="7" t="s">
        <v>158</v>
      </c>
      <c r="H4" s="8">
        <v>18351295</v>
      </c>
      <c r="I4" s="8">
        <v>11004</v>
      </c>
      <c r="J4" s="7" t="s">
        <v>18</v>
      </c>
      <c r="K4" s="7" t="s">
        <v>159</v>
      </c>
      <c r="L4" s="8">
        <v>455</v>
      </c>
      <c r="M4" s="8">
        <v>1675315</v>
      </c>
      <c r="N4" s="7"/>
      <c r="O4" s="8">
        <v>589080</v>
      </c>
      <c r="P4" s="7"/>
      <c r="Q4" s="8">
        <v>135852</v>
      </c>
      <c r="R4" s="7"/>
      <c r="S4" s="8">
        <v>142370</v>
      </c>
      <c r="T4" s="7"/>
      <c r="U4" s="8">
        <v>63576</v>
      </c>
      <c r="V4" s="7"/>
      <c r="W4" s="33">
        <v>2606193</v>
      </c>
      <c r="X4" s="7"/>
      <c r="Y4" s="30">
        <v>816.9</v>
      </c>
      <c r="Z4" s="7"/>
      <c r="AA4" s="30">
        <v>293.89999999999998</v>
      </c>
      <c r="AB4" s="7"/>
      <c r="AC4" s="30">
        <v>69.7</v>
      </c>
      <c r="AD4" s="7"/>
      <c r="AE4" s="30">
        <v>76.2</v>
      </c>
      <c r="AF4" s="7"/>
      <c r="AG4" s="30">
        <v>38.799999999999997</v>
      </c>
      <c r="AI4" s="32">
        <v>1295.5</v>
      </c>
      <c r="AK4" s="7" t="str">
        <f t="shared" si="0"/>
        <v>No</v>
      </c>
      <c r="AP4" s="7">
        <v>1</v>
      </c>
    </row>
    <row r="5" spans="1:42">
      <c r="A5" s="7" t="s">
        <v>518</v>
      </c>
      <c r="B5" s="7" t="s">
        <v>479</v>
      </c>
      <c r="C5" s="7" t="s">
        <v>70</v>
      </c>
      <c r="D5" s="302">
        <v>2008</v>
      </c>
      <c r="E5" s="297">
        <v>20008</v>
      </c>
      <c r="F5" s="7" t="s">
        <v>240</v>
      </c>
      <c r="G5" s="7" t="s">
        <v>158</v>
      </c>
      <c r="H5" s="8">
        <v>18351295</v>
      </c>
      <c r="I5" s="8">
        <v>11004</v>
      </c>
      <c r="J5" s="7" t="s">
        <v>22</v>
      </c>
      <c r="K5" s="7" t="s">
        <v>159</v>
      </c>
      <c r="L5" s="8">
        <v>145</v>
      </c>
      <c r="M5" s="8">
        <v>551369</v>
      </c>
      <c r="N5" s="7"/>
      <c r="O5" s="8">
        <v>193875</v>
      </c>
      <c r="P5" s="7"/>
      <c r="Q5" s="8">
        <v>44711</v>
      </c>
      <c r="R5" s="7"/>
      <c r="S5" s="8">
        <v>46856</v>
      </c>
      <c r="T5" s="7"/>
      <c r="U5" s="8">
        <v>20924</v>
      </c>
      <c r="V5" s="7"/>
      <c r="W5" s="33">
        <v>857735</v>
      </c>
      <c r="X5" s="7"/>
      <c r="Y5" s="30">
        <v>268.8</v>
      </c>
      <c r="Z5" s="7"/>
      <c r="AA5" s="30">
        <v>96.7</v>
      </c>
      <c r="AB5" s="7"/>
      <c r="AC5" s="30">
        <v>22.9</v>
      </c>
      <c r="AD5" s="7"/>
      <c r="AE5" s="30">
        <v>25.1</v>
      </c>
      <c r="AF5" s="7"/>
      <c r="AG5" s="30">
        <v>12.8</v>
      </c>
      <c r="AI5" s="32">
        <v>426.3</v>
      </c>
      <c r="AK5" s="7" t="str">
        <f t="shared" si="0"/>
        <v>No</v>
      </c>
    </row>
    <row r="6" spans="1:42">
      <c r="A6" s="7" t="s">
        <v>516</v>
      </c>
      <c r="B6" s="7" t="s">
        <v>515</v>
      </c>
      <c r="C6" s="7" t="s">
        <v>63</v>
      </c>
      <c r="D6" s="302">
        <v>2080</v>
      </c>
      <c r="E6" s="297">
        <v>20080</v>
      </c>
      <c r="F6" s="7" t="s">
        <v>401</v>
      </c>
      <c r="G6" s="7" t="s">
        <v>158</v>
      </c>
      <c r="H6" s="8">
        <v>18351295</v>
      </c>
      <c r="I6" s="8">
        <v>4056</v>
      </c>
      <c r="J6" s="7" t="s">
        <v>7</v>
      </c>
      <c r="K6" s="7" t="s">
        <v>159</v>
      </c>
      <c r="L6" s="8">
        <v>1857</v>
      </c>
      <c r="M6" s="8">
        <v>5896925</v>
      </c>
      <c r="N6" s="7"/>
      <c r="O6" s="8">
        <v>1966292</v>
      </c>
      <c r="P6" s="7"/>
      <c r="Q6" s="8">
        <v>163513</v>
      </c>
      <c r="R6" s="7"/>
      <c r="S6" s="8">
        <v>1646345</v>
      </c>
      <c r="T6" s="7"/>
      <c r="U6" s="8">
        <v>96216</v>
      </c>
      <c r="V6" s="7"/>
      <c r="W6" s="33">
        <v>9769291</v>
      </c>
      <c r="X6" s="7"/>
      <c r="Y6" s="30">
        <v>3453</v>
      </c>
      <c r="Z6" s="7"/>
      <c r="AA6" s="30">
        <v>1191</v>
      </c>
      <c r="AB6" s="7"/>
      <c r="AC6" s="30">
        <v>91</v>
      </c>
      <c r="AD6" s="7"/>
      <c r="AE6" s="30">
        <v>978</v>
      </c>
      <c r="AF6" s="7"/>
      <c r="AG6" s="30">
        <v>53</v>
      </c>
      <c r="AI6" s="32">
        <v>5766</v>
      </c>
      <c r="AK6" s="7" t="str">
        <f t="shared" si="0"/>
        <v>No</v>
      </c>
    </row>
    <row r="7" spans="1:42">
      <c r="A7" s="7" t="s">
        <v>516</v>
      </c>
      <c r="B7" s="7" t="s">
        <v>515</v>
      </c>
      <c r="C7" s="7" t="s">
        <v>63</v>
      </c>
      <c r="D7" s="302">
        <v>2080</v>
      </c>
      <c r="E7" s="297">
        <v>20080</v>
      </c>
      <c r="F7" s="7" t="s">
        <v>401</v>
      </c>
      <c r="G7" s="7" t="s">
        <v>158</v>
      </c>
      <c r="H7" s="8">
        <v>18351295</v>
      </c>
      <c r="I7" s="8">
        <v>4056</v>
      </c>
      <c r="J7" s="7" t="s">
        <v>41</v>
      </c>
      <c r="K7" s="7" t="s">
        <v>159</v>
      </c>
      <c r="L7" s="8">
        <v>1267</v>
      </c>
      <c r="M7" s="8">
        <v>3934211</v>
      </c>
      <c r="N7" s="7"/>
      <c r="O7" s="8">
        <v>2382062</v>
      </c>
      <c r="P7" s="7"/>
      <c r="Q7" s="8">
        <v>1223819</v>
      </c>
      <c r="R7" s="7"/>
      <c r="S7" s="8">
        <v>1004044</v>
      </c>
      <c r="T7" s="7"/>
      <c r="U7" s="8">
        <v>674347</v>
      </c>
      <c r="V7" s="7"/>
      <c r="W7" s="33">
        <v>9218483</v>
      </c>
      <c r="X7" s="7"/>
      <c r="Y7" s="30">
        <v>1875</v>
      </c>
      <c r="Z7" s="7"/>
      <c r="AA7" s="30">
        <v>1318</v>
      </c>
      <c r="AB7" s="7"/>
      <c r="AC7" s="30">
        <v>616</v>
      </c>
      <c r="AD7" s="7"/>
      <c r="AE7" s="30">
        <v>567</v>
      </c>
      <c r="AF7" s="7"/>
      <c r="AG7" s="30">
        <v>443</v>
      </c>
      <c r="AI7" s="32">
        <v>4819</v>
      </c>
      <c r="AK7" s="7" t="str">
        <f t="shared" si="0"/>
        <v>No</v>
      </c>
    </row>
    <row r="8" spans="1:42">
      <c r="A8" s="7" t="s">
        <v>516</v>
      </c>
      <c r="B8" s="7" t="s">
        <v>515</v>
      </c>
      <c r="C8" s="7" t="s">
        <v>63</v>
      </c>
      <c r="D8" s="302">
        <v>2080</v>
      </c>
      <c r="E8" s="297">
        <v>20080</v>
      </c>
      <c r="F8" s="7" t="s">
        <v>401</v>
      </c>
      <c r="G8" s="7" t="s">
        <v>158</v>
      </c>
      <c r="H8" s="8">
        <v>18351295</v>
      </c>
      <c r="I8" s="8">
        <v>4056</v>
      </c>
      <c r="J8" s="7" t="s">
        <v>21</v>
      </c>
      <c r="K8" s="7" t="s">
        <v>159</v>
      </c>
      <c r="L8" s="8">
        <v>14</v>
      </c>
      <c r="M8" s="8">
        <v>85403</v>
      </c>
      <c r="N8" s="7"/>
      <c r="O8" s="8">
        <v>30102</v>
      </c>
      <c r="P8" s="7"/>
      <c r="Q8" s="8">
        <v>73072</v>
      </c>
      <c r="R8" s="7"/>
      <c r="S8" s="8">
        <v>36357</v>
      </c>
      <c r="T8" s="7"/>
      <c r="U8" s="8">
        <v>1800</v>
      </c>
      <c r="V8" s="7"/>
      <c r="W8" s="33">
        <v>226734</v>
      </c>
      <c r="X8" s="7"/>
      <c r="Y8" s="30">
        <v>47</v>
      </c>
      <c r="Z8" s="7"/>
      <c r="AA8" s="30">
        <v>16</v>
      </c>
      <c r="AB8" s="7"/>
      <c r="AC8" s="30">
        <v>36</v>
      </c>
      <c r="AD8" s="7"/>
      <c r="AE8" s="30">
        <v>25</v>
      </c>
      <c r="AF8" s="7"/>
      <c r="AG8" s="30">
        <v>1</v>
      </c>
      <c r="AI8" s="32">
        <v>125</v>
      </c>
      <c r="AK8" s="7" t="str">
        <f t="shared" si="0"/>
        <v>No</v>
      </c>
    </row>
    <row r="9" spans="1:42">
      <c r="A9" s="7" t="s">
        <v>454</v>
      </c>
      <c r="B9" s="7" t="s">
        <v>455</v>
      </c>
      <c r="C9" s="7" t="s">
        <v>17</v>
      </c>
      <c r="D9" s="302">
        <v>9154</v>
      </c>
      <c r="E9" s="297">
        <v>90154</v>
      </c>
      <c r="F9" s="7" t="s">
        <v>165</v>
      </c>
      <c r="G9" s="7" t="s">
        <v>158</v>
      </c>
      <c r="H9" s="8">
        <v>12150996</v>
      </c>
      <c r="I9" s="8">
        <v>3544</v>
      </c>
      <c r="J9" s="7" t="s">
        <v>7</v>
      </c>
      <c r="K9" s="7" t="s">
        <v>159</v>
      </c>
      <c r="L9" s="8">
        <v>1777</v>
      </c>
      <c r="M9" s="8">
        <v>8160197</v>
      </c>
      <c r="N9" s="7"/>
      <c r="O9" s="8">
        <v>3080194</v>
      </c>
      <c r="P9" s="7"/>
      <c r="Q9" s="8">
        <v>367484</v>
      </c>
      <c r="R9" s="7"/>
      <c r="S9" s="8">
        <v>1224022</v>
      </c>
      <c r="T9" s="7"/>
      <c r="U9" s="8">
        <v>0</v>
      </c>
      <c r="V9" s="7"/>
      <c r="W9" s="33">
        <v>12831897</v>
      </c>
      <c r="X9" s="7"/>
      <c r="Y9" s="30">
        <v>3718</v>
      </c>
      <c r="Z9" s="7"/>
      <c r="AA9" s="30">
        <v>1503</v>
      </c>
      <c r="AB9" s="7"/>
      <c r="AC9" s="30">
        <v>195</v>
      </c>
      <c r="AD9" s="7"/>
      <c r="AE9" s="30">
        <v>649</v>
      </c>
      <c r="AF9" s="7"/>
      <c r="AG9" s="30">
        <v>0</v>
      </c>
      <c r="AI9" s="32">
        <v>6065</v>
      </c>
      <c r="AK9" s="7" t="str">
        <f t="shared" si="0"/>
        <v>No</v>
      </c>
    </row>
    <row r="10" spans="1:42">
      <c r="A10" s="7" t="s">
        <v>454</v>
      </c>
      <c r="B10" s="7" t="s">
        <v>455</v>
      </c>
      <c r="C10" s="7" t="s">
        <v>17</v>
      </c>
      <c r="D10" s="302">
        <v>9154</v>
      </c>
      <c r="E10" s="297">
        <v>90154</v>
      </c>
      <c r="F10" s="7" t="s">
        <v>165</v>
      </c>
      <c r="G10" s="7" t="s">
        <v>158</v>
      </c>
      <c r="H10" s="8">
        <v>12150996</v>
      </c>
      <c r="I10" s="8">
        <v>3544</v>
      </c>
      <c r="J10" s="7" t="s">
        <v>21</v>
      </c>
      <c r="K10" s="7" t="s">
        <v>159</v>
      </c>
      <c r="L10" s="8">
        <v>161</v>
      </c>
      <c r="M10" s="8">
        <v>1177029</v>
      </c>
      <c r="N10" s="7"/>
      <c r="O10" s="8">
        <v>747180</v>
      </c>
      <c r="P10" s="7"/>
      <c r="Q10" s="8">
        <v>405608</v>
      </c>
      <c r="R10" s="7"/>
      <c r="S10" s="8">
        <v>434428</v>
      </c>
      <c r="T10" s="7"/>
      <c r="U10" s="8">
        <v>0</v>
      </c>
      <c r="V10" s="7"/>
      <c r="W10" s="33">
        <v>2764245</v>
      </c>
      <c r="X10" s="7"/>
      <c r="Y10" s="30">
        <v>570</v>
      </c>
      <c r="Z10" s="7"/>
      <c r="AA10" s="30">
        <v>348</v>
      </c>
      <c r="AB10" s="7"/>
      <c r="AC10" s="30">
        <v>213</v>
      </c>
      <c r="AD10" s="7"/>
      <c r="AE10" s="30">
        <v>208</v>
      </c>
      <c r="AF10" s="7"/>
      <c r="AG10" s="30">
        <v>0</v>
      </c>
      <c r="AI10" s="32">
        <v>1339</v>
      </c>
      <c r="AK10" s="7" t="str">
        <f t="shared" si="0"/>
        <v>No</v>
      </c>
    </row>
    <row r="11" spans="1:42">
      <c r="A11" s="7" t="s">
        <v>454</v>
      </c>
      <c r="B11" s="7" t="s">
        <v>455</v>
      </c>
      <c r="C11" s="7" t="s">
        <v>17</v>
      </c>
      <c r="D11" s="302">
        <v>9154</v>
      </c>
      <c r="E11" s="297">
        <v>90154</v>
      </c>
      <c r="F11" s="7" t="s">
        <v>165</v>
      </c>
      <c r="G11" s="7" t="s">
        <v>158</v>
      </c>
      <c r="H11" s="8">
        <v>12150996</v>
      </c>
      <c r="I11" s="8">
        <v>3544</v>
      </c>
      <c r="J11" s="7" t="s">
        <v>20</v>
      </c>
      <c r="K11" s="7" t="s">
        <v>159</v>
      </c>
      <c r="L11" s="8">
        <v>70</v>
      </c>
      <c r="M11" s="8">
        <v>435491</v>
      </c>
      <c r="N11" s="7"/>
      <c r="O11" s="8">
        <v>385805</v>
      </c>
      <c r="P11" s="7"/>
      <c r="Q11" s="8">
        <v>278506</v>
      </c>
      <c r="R11" s="7"/>
      <c r="S11" s="8">
        <v>177088</v>
      </c>
      <c r="T11" s="7"/>
      <c r="U11" s="8">
        <v>0</v>
      </c>
      <c r="V11" s="7"/>
      <c r="W11" s="33">
        <v>1276890</v>
      </c>
      <c r="X11" s="7"/>
      <c r="Y11" s="30">
        <v>206</v>
      </c>
      <c r="Z11" s="7"/>
      <c r="AA11" s="30">
        <v>197</v>
      </c>
      <c r="AB11" s="7"/>
      <c r="AC11" s="30">
        <v>146</v>
      </c>
      <c r="AD11" s="7"/>
      <c r="AE11" s="30">
        <v>94</v>
      </c>
      <c r="AF11" s="7"/>
      <c r="AG11" s="30">
        <v>0</v>
      </c>
      <c r="AI11" s="32">
        <v>643</v>
      </c>
      <c r="AK11" s="7" t="str">
        <f t="shared" si="0"/>
        <v>No</v>
      </c>
    </row>
    <row r="12" spans="1:42">
      <c r="A12" s="7" t="s">
        <v>454</v>
      </c>
      <c r="B12" s="7" t="s">
        <v>455</v>
      </c>
      <c r="C12" s="7" t="s">
        <v>17</v>
      </c>
      <c r="D12" s="302">
        <v>9154</v>
      </c>
      <c r="E12" s="297">
        <v>90154</v>
      </c>
      <c r="F12" s="7" t="s">
        <v>165</v>
      </c>
      <c r="G12" s="7" t="s">
        <v>158</v>
      </c>
      <c r="H12" s="8">
        <v>12150996</v>
      </c>
      <c r="I12" s="8">
        <v>3544</v>
      </c>
      <c r="J12" s="7" t="s">
        <v>22</v>
      </c>
      <c r="K12" s="7" t="s">
        <v>159</v>
      </c>
      <c r="L12" s="8">
        <v>33</v>
      </c>
      <c r="M12" s="8">
        <v>184963</v>
      </c>
      <c r="N12" s="7"/>
      <c r="O12" s="8">
        <v>20689</v>
      </c>
      <c r="P12" s="7"/>
      <c r="Q12" s="8">
        <v>12111</v>
      </c>
      <c r="R12" s="7"/>
      <c r="S12" s="8">
        <v>25103</v>
      </c>
      <c r="T12" s="7"/>
      <c r="U12" s="8">
        <v>0</v>
      </c>
      <c r="V12" s="7"/>
      <c r="W12" s="33">
        <v>242866</v>
      </c>
      <c r="X12" s="7"/>
      <c r="Y12" s="30">
        <v>89</v>
      </c>
      <c r="Z12" s="7"/>
      <c r="AA12" s="30">
        <v>11</v>
      </c>
      <c r="AB12" s="7"/>
      <c r="AC12" s="30">
        <v>6</v>
      </c>
      <c r="AD12" s="7"/>
      <c r="AE12" s="30">
        <v>13</v>
      </c>
      <c r="AF12" s="7"/>
      <c r="AG12" s="30">
        <v>0</v>
      </c>
      <c r="AI12" s="32">
        <v>119</v>
      </c>
      <c r="AK12" s="7" t="str">
        <f t="shared" si="0"/>
        <v>No</v>
      </c>
    </row>
    <row r="13" spans="1:42">
      <c r="A13" s="7" t="s">
        <v>680</v>
      </c>
      <c r="B13" s="7" t="s">
        <v>681</v>
      </c>
      <c r="C13" s="7" t="s">
        <v>30</v>
      </c>
      <c r="D13" s="302">
        <v>3030</v>
      </c>
      <c r="E13" s="297">
        <v>30030</v>
      </c>
      <c r="F13" s="7" t="s">
        <v>165</v>
      </c>
      <c r="G13" s="7" t="s">
        <v>158</v>
      </c>
      <c r="H13" s="8">
        <v>4586770</v>
      </c>
      <c r="I13" s="8">
        <v>3172</v>
      </c>
      <c r="J13" s="7" t="s">
        <v>7</v>
      </c>
      <c r="K13" s="7" t="s">
        <v>159</v>
      </c>
      <c r="L13" s="8">
        <v>1301</v>
      </c>
      <c r="M13" s="8">
        <v>6840441</v>
      </c>
      <c r="N13" s="7"/>
      <c r="O13" s="8">
        <v>1852002</v>
      </c>
      <c r="P13" s="7"/>
      <c r="Q13" s="8">
        <v>198198</v>
      </c>
      <c r="R13" s="7"/>
      <c r="S13" s="8">
        <v>367062</v>
      </c>
      <c r="T13" s="7"/>
      <c r="U13" s="8">
        <v>926008</v>
      </c>
      <c r="V13" s="7"/>
      <c r="W13" s="33">
        <v>10183711</v>
      </c>
      <c r="X13" s="7"/>
      <c r="Y13" s="30">
        <v>4447</v>
      </c>
      <c r="Z13" s="7"/>
      <c r="AA13" s="30">
        <v>1116</v>
      </c>
      <c r="AB13" s="7"/>
      <c r="AC13" s="30">
        <v>101</v>
      </c>
      <c r="AD13" s="7"/>
      <c r="AE13" s="30">
        <v>212</v>
      </c>
      <c r="AF13" s="7"/>
      <c r="AG13" s="30">
        <v>545</v>
      </c>
      <c r="AI13" s="32">
        <v>6421</v>
      </c>
      <c r="AK13" s="7" t="str">
        <f t="shared" si="0"/>
        <v>No</v>
      </c>
    </row>
    <row r="14" spans="1:42">
      <c r="A14" s="7" t="s">
        <v>680</v>
      </c>
      <c r="B14" s="7" t="s">
        <v>681</v>
      </c>
      <c r="C14" s="7" t="s">
        <v>30</v>
      </c>
      <c r="D14" s="302">
        <v>3030</v>
      </c>
      <c r="E14" s="297">
        <v>30030</v>
      </c>
      <c r="F14" s="7" t="s">
        <v>165</v>
      </c>
      <c r="G14" s="7" t="s">
        <v>158</v>
      </c>
      <c r="H14" s="8">
        <v>4586770</v>
      </c>
      <c r="I14" s="8">
        <v>3172</v>
      </c>
      <c r="J14" s="7" t="s">
        <v>20</v>
      </c>
      <c r="K14" s="7" t="s">
        <v>159</v>
      </c>
      <c r="L14" s="8">
        <v>954</v>
      </c>
      <c r="M14" s="8">
        <v>4266575</v>
      </c>
      <c r="N14" s="7"/>
      <c r="O14" s="8">
        <v>2255693</v>
      </c>
      <c r="P14" s="7"/>
      <c r="Q14" s="8">
        <v>4983745</v>
      </c>
      <c r="R14" s="7"/>
      <c r="S14" s="8">
        <v>2127322</v>
      </c>
      <c r="T14" s="7"/>
      <c r="U14" s="8">
        <v>1360431</v>
      </c>
      <c r="V14" s="7"/>
      <c r="W14" s="33">
        <v>14993766</v>
      </c>
      <c r="X14" s="7"/>
      <c r="Y14" s="30">
        <v>2329</v>
      </c>
      <c r="Z14" s="7"/>
      <c r="AA14" s="30">
        <v>1228</v>
      </c>
      <c r="AB14" s="7"/>
      <c r="AC14" s="30">
        <v>3198</v>
      </c>
      <c r="AD14" s="7"/>
      <c r="AE14" s="30">
        <v>1354</v>
      </c>
      <c r="AF14" s="7"/>
      <c r="AG14" s="30">
        <v>800</v>
      </c>
      <c r="AI14" s="32">
        <v>8909</v>
      </c>
      <c r="AK14" s="7" t="str">
        <f t="shared" si="0"/>
        <v>No</v>
      </c>
    </row>
    <row r="15" spans="1:42">
      <c r="A15" s="7" t="s">
        <v>1117</v>
      </c>
      <c r="B15" s="7" t="s">
        <v>266</v>
      </c>
      <c r="C15" s="7" t="s">
        <v>89</v>
      </c>
      <c r="D15" s="302">
        <v>1</v>
      </c>
      <c r="E15" s="297">
        <v>1</v>
      </c>
      <c r="F15" s="7" t="s">
        <v>162</v>
      </c>
      <c r="G15" s="7" t="s">
        <v>158</v>
      </c>
      <c r="H15" s="8">
        <v>3059393</v>
      </c>
      <c r="I15" s="8">
        <v>2818</v>
      </c>
      <c r="J15" s="7" t="s">
        <v>8</v>
      </c>
      <c r="K15" s="7" t="s">
        <v>159</v>
      </c>
      <c r="L15" s="8">
        <v>1469</v>
      </c>
      <c r="M15" s="8">
        <v>0</v>
      </c>
      <c r="N15" s="7"/>
      <c r="O15" s="8">
        <v>0</v>
      </c>
      <c r="P15" s="7"/>
      <c r="Q15" s="8">
        <v>921</v>
      </c>
      <c r="R15" s="7"/>
      <c r="S15" s="8">
        <v>47085</v>
      </c>
      <c r="T15" s="7"/>
      <c r="U15" s="8">
        <v>1491</v>
      </c>
      <c r="V15" s="7"/>
      <c r="W15" s="33">
        <v>49497</v>
      </c>
      <c r="X15" s="7"/>
      <c r="Y15" s="30">
        <v>0</v>
      </c>
      <c r="Z15" s="7"/>
      <c r="AA15" s="30">
        <v>0</v>
      </c>
      <c r="AB15" s="7"/>
      <c r="AC15" s="30">
        <v>0.55000000000000004</v>
      </c>
      <c r="AD15" s="7"/>
      <c r="AE15" s="30">
        <v>29.43</v>
      </c>
      <c r="AF15" s="7"/>
      <c r="AG15" s="30">
        <v>0.97</v>
      </c>
      <c r="AI15" s="32">
        <v>30.95</v>
      </c>
      <c r="AK15" s="7" t="str">
        <f t="shared" si="0"/>
        <v>No</v>
      </c>
    </row>
    <row r="16" spans="1:42">
      <c r="A16" s="7" t="s">
        <v>1117</v>
      </c>
      <c r="B16" s="7" t="s">
        <v>266</v>
      </c>
      <c r="C16" s="7" t="s">
        <v>89</v>
      </c>
      <c r="D16" s="302">
        <v>1</v>
      </c>
      <c r="E16" s="297">
        <v>1</v>
      </c>
      <c r="F16" s="7" t="s">
        <v>162</v>
      </c>
      <c r="G16" s="7" t="s">
        <v>158</v>
      </c>
      <c r="H16" s="8">
        <v>3059393</v>
      </c>
      <c r="I16" s="8">
        <v>2818</v>
      </c>
      <c r="J16" s="7" t="s">
        <v>7</v>
      </c>
      <c r="K16" s="7" t="s">
        <v>159</v>
      </c>
      <c r="L16" s="8">
        <v>949</v>
      </c>
      <c r="M16" s="8">
        <v>3032461</v>
      </c>
      <c r="N16" s="7"/>
      <c r="O16" s="8">
        <v>864855</v>
      </c>
      <c r="P16" s="7"/>
      <c r="Q16" s="8">
        <v>322510</v>
      </c>
      <c r="R16" s="7"/>
      <c r="S16" s="8">
        <v>294518</v>
      </c>
      <c r="T16" s="7"/>
      <c r="U16" s="8">
        <v>107429</v>
      </c>
      <c r="V16" s="7"/>
      <c r="W16" s="33">
        <v>4621773</v>
      </c>
      <c r="X16" s="7"/>
      <c r="Y16" s="30">
        <v>1929.55</v>
      </c>
      <c r="Z16" s="7"/>
      <c r="AA16" s="30">
        <v>529.13</v>
      </c>
      <c r="AB16" s="7"/>
      <c r="AC16" s="30">
        <v>192.51</v>
      </c>
      <c r="AD16" s="7"/>
      <c r="AE16" s="30">
        <v>176.67</v>
      </c>
      <c r="AF16" s="7"/>
      <c r="AG16" s="30">
        <v>65.36</v>
      </c>
      <c r="AI16" s="32">
        <v>2893.22</v>
      </c>
      <c r="AK16" s="7" t="str">
        <f t="shared" si="0"/>
        <v>No</v>
      </c>
    </row>
    <row r="17" spans="1:37">
      <c r="A17" s="7" t="s">
        <v>1117</v>
      </c>
      <c r="B17" s="7" t="s">
        <v>266</v>
      </c>
      <c r="C17" s="7" t="s">
        <v>89</v>
      </c>
      <c r="D17" s="302">
        <v>1</v>
      </c>
      <c r="E17" s="297">
        <v>1</v>
      </c>
      <c r="F17" s="7" t="s">
        <v>162</v>
      </c>
      <c r="G17" s="7" t="s">
        <v>158</v>
      </c>
      <c r="H17" s="8">
        <v>3059393</v>
      </c>
      <c r="I17" s="8">
        <v>2818</v>
      </c>
      <c r="J17" s="7" t="s">
        <v>25</v>
      </c>
      <c r="K17" s="7" t="s">
        <v>159</v>
      </c>
      <c r="L17" s="8">
        <v>138</v>
      </c>
      <c r="M17" s="8">
        <v>429336</v>
      </c>
      <c r="N17" s="7"/>
      <c r="O17" s="8">
        <v>93127</v>
      </c>
      <c r="P17" s="7"/>
      <c r="Q17" s="8">
        <v>93074</v>
      </c>
      <c r="R17" s="7"/>
      <c r="S17" s="8">
        <v>42438</v>
      </c>
      <c r="T17" s="7"/>
      <c r="U17" s="8">
        <v>19821</v>
      </c>
      <c r="V17" s="7"/>
      <c r="W17" s="33">
        <v>677796</v>
      </c>
      <c r="X17" s="7"/>
      <c r="Y17" s="30">
        <v>273.19</v>
      </c>
      <c r="Z17" s="7"/>
      <c r="AA17" s="30">
        <v>56.98</v>
      </c>
      <c r="AB17" s="7"/>
      <c r="AC17" s="30">
        <v>56.15</v>
      </c>
      <c r="AD17" s="7"/>
      <c r="AE17" s="30">
        <v>25.47</v>
      </c>
      <c r="AF17" s="7"/>
      <c r="AG17" s="30">
        <v>12.07</v>
      </c>
      <c r="AI17" s="32">
        <v>423.86</v>
      </c>
      <c r="AK17" s="7" t="str">
        <f t="shared" si="0"/>
        <v>No</v>
      </c>
    </row>
    <row r="18" spans="1:37">
      <c r="A18" s="7" t="s">
        <v>1117</v>
      </c>
      <c r="B18" s="7" t="s">
        <v>266</v>
      </c>
      <c r="C18" s="7" t="s">
        <v>89</v>
      </c>
      <c r="D18" s="302">
        <v>1</v>
      </c>
      <c r="E18" s="297">
        <v>1</v>
      </c>
      <c r="F18" s="7" t="s">
        <v>162</v>
      </c>
      <c r="G18" s="7" t="s">
        <v>158</v>
      </c>
      <c r="H18" s="8">
        <v>3059393</v>
      </c>
      <c r="I18" s="8">
        <v>2818</v>
      </c>
      <c r="J18" s="7" t="s">
        <v>12</v>
      </c>
      <c r="K18" s="7" t="s">
        <v>159</v>
      </c>
      <c r="L18" s="8">
        <v>8</v>
      </c>
      <c r="M18" s="8">
        <v>67567</v>
      </c>
      <c r="N18" s="7"/>
      <c r="O18" s="8">
        <v>12252</v>
      </c>
      <c r="P18" s="7"/>
      <c r="Q18" s="8">
        <v>5862</v>
      </c>
      <c r="R18" s="7"/>
      <c r="S18" s="8">
        <v>11663</v>
      </c>
      <c r="T18" s="7"/>
      <c r="U18" s="8">
        <v>1410</v>
      </c>
      <c r="V18" s="7"/>
      <c r="W18" s="33">
        <v>98754</v>
      </c>
      <c r="X18" s="7"/>
      <c r="Y18" s="30">
        <v>41.63</v>
      </c>
      <c r="Z18" s="7"/>
      <c r="AA18" s="30">
        <v>8</v>
      </c>
      <c r="AB18" s="7"/>
      <c r="AC18" s="30">
        <v>3.57</v>
      </c>
      <c r="AD18" s="7"/>
      <c r="AE18" s="30">
        <v>6.99</v>
      </c>
      <c r="AF18" s="7"/>
      <c r="AG18" s="30">
        <v>0.86</v>
      </c>
      <c r="AI18" s="32">
        <v>61.05</v>
      </c>
      <c r="AK18" s="7" t="str">
        <f t="shared" si="0"/>
        <v>No</v>
      </c>
    </row>
    <row r="19" spans="1:37">
      <c r="A19" s="7" t="s">
        <v>1117</v>
      </c>
      <c r="B19" s="7" t="s">
        <v>266</v>
      </c>
      <c r="C19" s="7" t="s">
        <v>89</v>
      </c>
      <c r="D19" s="302">
        <v>1</v>
      </c>
      <c r="E19" s="297">
        <v>1</v>
      </c>
      <c r="F19" s="7" t="s">
        <v>162</v>
      </c>
      <c r="G19" s="7" t="s">
        <v>158</v>
      </c>
      <c r="H19" s="8">
        <v>3059393</v>
      </c>
      <c r="I19" s="8">
        <v>2818</v>
      </c>
      <c r="J19" s="7" t="s">
        <v>19</v>
      </c>
      <c r="K19" s="7" t="s">
        <v>159</v>
      </c>
      <c r="L19" s="8">
        <v>2</v>
      </c>
      <c r="M19" s="8">
        <v>20867</v>
      </c>
      <c r="N19" s="7"/>
      <c r="O19" s="8">
        <v>7381</v>
      </c>
      <c r="P19" s="7"/>
      <c r="Q19" s="8">
        <v>179</v>
      </c>
      <c r="R19" s="7"/>
      <c r="S19" s="8">
        <v>10750</v>
      </c>
      <c r="T19" s="7"/>
      <c r="U19" s="8">
        <v>1337</v>
      </c>
      <c r="V19" s="7"/>
      <c r="W19" s="33">
        <v>40514</v>
      </c>
      <c r="X19" s="7"/>
      <c r="Y19" s="30">
        <v>11.7</v>
      </c>
      <c r="Z19" s="7"/>
      <c r="AA19" s="30">
        <v>4.25</v>
      </c>
      <c r="AB19" s="7"/>
      <c r="AC19" s="30">
        <v>0.1</v>
      </c>
      <c r="AD19" s="7"/>
      <c r="AE19" s="30">
        <v>6.15</v>
      </c>
      <c r="AF19" s="7"/>
      <c r="AG19" s="30">
        <v>1</v>
      </c>
      <c r="AI19" s="32">
        <v>23.2</v>
      </c>
      <c r="AK19" s="7" t="str">
        <f t="shared" si="0"/>
        <v>No</v>
      </c>
    </row>
    <row r="20" spans="1:37">
      <c r="A20" s="7" t="s">
        <v>279</v>
      </c>
      <c r="B20" s="7" t="s">
        <v>280</v>
      </c>
      <c r="C20" s="7" t="s">
        <v>40</v>
      </c>
      <c r="D20" s="302">
        <v>5066</v>
      </c>
      <c r="E20" s="297">
        <v>50066</v>
      </c>
      <c r="F20" s="7" t="s">
        <v>165</v>
      </c>
      <c r="G20" s="7" t="s">
        <v>158</v>
      </c>
      <c r="H20" s="8">
        <v>8608208</v>
      </c>
      <c r="I20" s="8">
        <v>2712</v>
      </c>
      <c r="J20" s="7" t="s">
        <v>7</v>
      </c>
      <c r="K20" s="7" t="s">
        <v>159</v>
      </c>
      <c r="L20" s="8">
        <v>1572</v>
      </c>
      <c r="M20" s="8">
        <v>6886642</v>
      </c>
      <c r="N20" s="7"/>
      <c r="O20" s="8">
        <v>1909971</v>
      </c>
      <c r="P20" s="7"/>
      <c r="Q20" s="8">
        <v>325346</v>
      </c>
      <c r="R20" s="7"/>
      <c r="S20" s="8">
        <v>519809</v>
      </c>
      <c r="T20" s="7"/>
      <c r="U20" s="8">
        <v>338220</v>
      </c>
      <c r="V20" s="7"/>
      <c r="W20" s="33">
        <v>9979988</v>
      </c>
      <c r="X20" s="7"/>
      <c r="Y20" s="30">
        <v>3732</v>
      </c>
      <c r="Z20" s="7"/>
      <c r="AA20" s="30">
        <v>1035</v>
      </c>
      <c r="AB20" s="7"/>
      <c r="AC20" s="30">
        <v>181</v>
      </c>
      <c r="AD20" s="7"/>
      <c r="AE20" s="30">
        <v>290</v>
      </c>
      <c r="AF20" s="7"/>
      <c r="AG20" s="30">
        <v>190</v>
      </c>
      <c r="AI20" s="32">
        <v>5428</v>
      </c>
      <c r="AK20" s="7" t="str">
        <f t="shared" si="0"/>
        <v>No</v>
      </c>
    </row>
    <row r="21" spans="1:37">
      <c r="A21" s="7" t="s">
        <v>279</v>
      </c>
      <c r="B21" s="7" t="s">
        <v>280</v>
      </c>
      <c r="C21" s="7" t="s">
        <v>40</v>
      </c>
      <c r="D21" s="302">
        <v>5066</v>
      </c>
      <c r="E21" s="297">
        <v>50066</v>
      </c>
      <c r="F21" s="7" t="s">
        <v>165</v>
      </c>
      <c r="G21" s="7" t="s">
        <v>158</v>
      </c>
      <c r="H21" s="8">
        <v>8608208</v>
      </c>
      <c r="I21" s="8">
        <v>2712</v>
      </c>
      <c r="J21" s="7" t="s">
        <v>20</v>
      </c>
      <c r="K21" s="7" t="s">
        <v>159</v>
      </c>
      <c r="L21" s="8">
        <v>1140</v>
      </c>
      <c r="M21" s="8">
        <v>2885344</v>
      </c>
      <c r="N21" s="7"/>
      <c r="O21" s="8">
        <v>1193179</v>
      </c>
      <c r="P21" s="7"/>
      <c r="Q21" s="8">
        <v>1888045</v>
      </c>
      <c r="R21" s="7"/>
      <c r="S21" s="8">
        <v>635719</v>
      </c>
      <c r="T21" s="7"/>
      <c r="U21" s="8">
        <v>555478</v>
      </c>
      <c r="V21" s="7"/>
      <c r="W21" s="33">
        <v>7157765</v>
      </c>
      <c r="X21" s="7"/>
      <c r="Y21" s="30">
        <v>1635</v>
      </c>
      <c r="Z21" s="7"/>
      <c r="AA21" s="30">
        <v>676</v>
      </c>
      <c r="AB21" s="7"/>
      <c r="AC21" s="30">
        <v>1069</v>
      </c>
      <c r="AD21" s="7"/>
      <c r="AE21" s="30">
        <v>357</v>
      </c>
      <c r="AF21" s="7"/>
      <c r="AG21" s="30">
        <v>313</v>
      </c>
      <c r="AI21" s="32">
        <v>4050</v>
      </c>
      <c r="AK21" s="7" t="str">
        <f t="shared" si="0"/>
        <v>No</v>
      </c>
    </row>
    <row r="22" spans="1:37">
      <c r="A22" s="7" t="s">
        <v>470</v>
      </c>
      <c r="B22" s="7" t="s">
        <v>471</v>
      </c>
      <c r="C22" s="7" t="s">
        <v>47</v>
      </c>
      <c r="D22" s="302">
        <v>1003</v>
      </c>
      <c r="E22" s="297">
        <v>10003</v>
      </c>
      <c r="F22" s="7" t="s">
        <v>165</v>
      </c>
      <c r="G22" s="7" t="s">
        <v>158</v>
      </c>
      <c r="H22" s="8">
        <v>4181019</v>
      </c>
      <c r="I22" s="8">
        <v>2374</v>
      </c>
      <c r="J22" s="7" t="s">
        <v>7</v>
      </c>
      <c r="K22" s="7" t="s">
        <v>159</v>
      </c>
      <c r="L22" s="8">
        <v>779</v>
      </c>
      <c r="M22" s="8">
        <v>2694556</v>
      </c>
      <c r="N22" s="7"/>
      <c r="O22" s="8">
        <v>947951</v>
      </c>
      <c r="P22" s="7"/>
      <c r="Q22" s="8">
        <v>101387</v>
      </c>
      <c r="R22" s="7"/>
      <c r="S22" s="8">
        <v>430895</v>
      </c>
      <c r="T22" s="7"/>
      <c r="U22" s="8">
        <v>14832</v>
      </c>
      <c r="V22" s="7"/>
      <c r="W22" s="33">
        <v>4189621</v>
      </c>
      <c r="X22" s="7"/>
      <c r="Y22" s="30">
        <v>1382</v>
      </c>
      <c r="Z22" s="7"/>
      <c r="AA22" s="30">
        <v>512</v>
      </c>
      <c r="AB22" s="7"/>
      <c r="AC22" s="30">
        <v>52</v>
      </c>
      <c r="AD22" s="7"/>
      <c r="AE22" s="30">
        <v>220</v>
      </c>
      <c r="AF22" s="7"/>
      <c r="AG22" s="30">
        <v>8</v>
      </c>
      <c r="AI22" s="32">
        <v>2174</v>
      </c>
      <c r="AK22" s="7" t="str">
        <f t="shared" si="0"/>
        <v>No</v>
      </c>
    </row>
    <row r="23" spans="1:37">
      <c r="A23" s="7" t="s">
        <v>470</v>
      </c>
      <c r="B23" s="7" t="s">
        <v>471</v>
      </c>
      <c r="C23" s="7" t="s">
        <v>47</v>
      </c>
      <c r="D23" s="302">
        <v>1003</v>
      </c>
      <c r="E23" s="297">
        <v>10003</v>
      </c>
      <c r="F23" s="7" t="s">
        <v>165</v>
      </c>
      <c r="G23" s="7" t="s">
        <v>158</v>
      </c>
      <c r="H23" s="8">
        <v>4181019</v>
      </c>
      <c r="I23" s="8">
        <v>2374</v>
      </c>
      <c r="J23" s="7" t="s">
        <v>20</v>
      </c>
      <c r="K23" s="7" t="s">
        <v>159</v>
      </c>
      <c r="L23" s="8">
        <v>336</v>
      </c>
      <c r="M23" s="8">
        <v>1794404</v>
      </c>
      <c r="N23" s="7"/>
      <c r="O23" s="8">
        <v>720998</v>
      </c>
      <c r="P23" s="7"/>
      <c r="Q23" s="8">
        <v>1102174</v>
      </c>
      <c r="R23" s="7"/>
      <c r="S23" s="8">
        <v>404550</v>
      </c>
      <c r="T23" s="7"/>
      <c r="U23" s="8">
        <v>55490</v>
      </c>
      <c r="V23" s="7"/>
      <c r="W23" s="33">
        <v>4077616</v>
      </c>
      <c r="X23" s="7"/>
      <c r="Y23" s="30">
        <v>998</v>
      </c>
      <c r="Z23" s="7"/>
      <c r="AA23" s="30">
        <v>401</v>
      </c>
      <c r="AB23" s="7"/>
      <c r="AC23" s="30">
        <v>613</v>
      </c>
      <c r="AD23" s="7"/>
      <c r="AE23" s="30">
        <v>225</v>
      </c>
      <c r="AF23" s="7"/>
      <c r="AG23" s="30">
        <v>31</v>
      </c>
      <c r="AI23" s="32">
        <v>2268</v>
      </c>
      <c r="AK23" s="7" t="str">
        <f t="shared" si="0"/>
        <v>No</v>
      </c>
    </row>
    <row r="24" spans="1:37">
      <c r="A24" s="7" t="s">
        <v>470</v>
      </c>
      <c r="B24" s="7" t="s">
        <v>471</v>
      </c>
      <c r="C24" s="7" t="s">
        <v>47</v>
      </c>
      <c r="D24" s="302">
        <v>1003</v>
      </c>
      <c r="E24" s="297">
        <v>10003</v>
      </c>
      <c r="F24" s="7" t="s">
        <v>165</v>
      </c>
      <c r="G24" s="7" t="s">
        <v>158</v>
      </c>
      <c r="H24" s="8">
        <v>4181019</v>
      </c>
      <c r="I24" s="8">
        <v>2374</v>
      </c>
      <c r="J24" s="7" t="s">
        <v>21</v>
      </c>
      <c r="K24" s="7" t="s">
        <v>159</v>
      </c>
      <c r="L24" s="8">
        <v>156</v>
      </c>
      <c r="M24" s="8">
        <v>1051830</v>
      </c>
      <c r="N24" s="7"/>
      <c r="O24" s="8">
        <v>380052</v>
      </c>
      <c r="P24" s="7"/>
      <c r="Q24" s="8">
        <v>508834</v>
      </c>
      <c r="R24" s="7"/>
      <c r="S24" s="8">
        <v>228346</v>
      </c>
      <c r="T24" s="7"/>
      <c r="U24" s="8">
        <v>8990</v>
      </c>
      <c r="V24" s="7"/>
      <c r="W24" s="33">
        <v>2178052</v>
      </c>
      <c r="X24" s="7"/>
      <c r="Y24" s="30">
        <v>585</v>
      </c>
      <c r="Z24" s="7"/>
      <c r="AA24" s="30">
        <v>207</v>
      </c>
      <c r="AB24" s="7"/>
      <c r="AC24" s="30">
        <v>283</v>
      </c>
      <c r="AD24" s="7"/>
      <c r="AE24" s="30">
        <v>127</v>
      </c>
      <c r="AF24" s="7"/>
      <c r="AG24" s="30">
        <v>5</v>
      </c>
      <c r="AI24" s="32">
        <v>1207</v>
      </c>
      <c r="AK24" s="7" t="str">
        <f t="shared" si="0"/>
        <v>No</v>
      </c>
    </row>
    <row r="25" spans="1:37">
      <c r="A25" s="7" t="s">
        <v>470</v>
      </c>
      <c r="B25" s="7" t="s">
        <v>471</v>
      </c>
      <c r="C25" s="7" t="s">
        <v>47</v>
      </c>
      <c r="D25" s="302">
        <v>1003</v>
      </c>
      <c r="E25" s="297">
        <v>10003</v>
      </c>
      <c r="F25" s="7" t="s">
        <v>165</v>
      </c>
      <c r="G25" s="7" t="s">
        <v>158</v>
      </c>
      <c r="H25" s="8">
        <v>4181019</v>
      </c>
      <c r="I25" s="8">
        <v>2374</v>
      </c>
      <c r="J25" s="7" t="s">
        <v>22</v>
      </c>
      <c r="K25" s="7" t="s">
        <v>159</v>
      </c>
      <c r="L25" s="8">
        <v>30</v>
      </c>
      <c r="M25" s="8">
        <v>161820</v>
      </c>
      <c r="N25" s="7"/>
      <c r="O25" s="8">
        <v>38906</v>
      </c>
      <c r="P25" s="7"/>
      <c r="Q25" s="8">
        <v>12586</v>
      </c>
      <c r="R25" s="7"/>
      <c r="S25" s="8">
        <v>39010</v>
      </c>
      <c r="T25" s="7"/>
      <c r="U25" s="8">
        <v>0</v>
      </c>
      <c r="V25" s="7"/>
      <c r="W25" s="33">
        <v>252322</v>
      </c>
      <c r="X25" s="7"/>
      <c r="Y25" s="30">
        <v>90</v>
      </c>
      <c r="Z25" s="7"/>
      <c r="AA25" s="30">
        <v>21</v>
      </c>
      <c r="AB25" s="7"/>
      <c r="AC25" s="30">
        <v>7</v>
      </c>
      <c r="AD25" s="7"/>
      <c r="AE25" s="30">
        <v>21</v>
      </c>
      <c r="AF25" s="7"/>
      <c r="AG25" s="30">
        <v>0</v>
      </c>
      <c r="AI25" s="32">
        <v>139</v>
      </c>
      <c r="AK25" s="7" t="str">
        <f t="shared" si="0"/>
        <v>No</v>
      </c>
    </row>
    <row r="26" spans="1:37">
      <c r="A26" s="7" t="s">
        <v>470</v>
      </c>
      <c r="B26" s="7" t="s">
        <v>471</v>
      </c>
      <c r="C26" s="7" t="s">
        <v>47</v>
      </c>
      <c r="D26" s="302">
        <v>1003</v>
      </c>
      <c r="E26" s="297">
        <v>10003</v>
      </c>
      <c r="F26" s="7" t="s">
        <v>165</v>
      </c>
      <c r="G26" s="7" t="s">
        <v>158</v>
      </c>
      <c r="H26" s="8">
        <v>4181019</v>
      </c>
      <c r="I26" s="8">
        <v>2374</v>
      </c>
      <c r="J26" s="7" t="s">
        <v>25</v>
      </c>
      <c r="K26" s="7" t="s">
        <v>159</v>
      </c>
      <c r="L26" s="8">
        <v>22</v>
      </c>
      <c r="M26" s="8">
        <v>51781</v>
      </c>
      <c r="N26" s="7"/>
      <c r="O26" s="8">
        <v>25950</v>
      </c>
      <c r="P26" s="7"/>
      <c r="Q26" s="8">
        <v>15505</v>
      </c>
      <c r="R26" s="7"/>
      <c r="S26" s="8">
        <v>10357</v>
      </c>
      <c r="T26" s="7"/>
      <c r="U26" s="8">
        <v>0</v>
      </c>
      <c r="V26" s="7"/>
      <c r="W26" s="33">
        <v>103593</v>
      </c>
      <c r="X26" s="7"/>
      <c r="Y26" s="30">
        <v>33</v>
      </c>
      <c r="Z26" s="7"/>
      <c r="AA26" s="30">
        <v>13</v>
      </c>
      <c r="AB26" s="7"/>
      <c r="AC26" s="30">
        <v>8</v>
      </c>
      <c r="AD26" s="7"/>
      <c r="AE26" s="30">
        <v>6</v>
      </c>
      <c r="AF26" s="7"/>
      <c r="AG26" s="30">
        <v>0</v>
      </c>
      <c r="AI26" s="32">
        <v>60</v>
      </c>
      <c r="AK26" s="7" t="str">
        <f t="shared" si="0"/>
        <v>No</v>
      </c>
    </row>
    <row r="27" spans="1:37">
      <c r="A27" s="7" t="s">
        <v>614</v>
      </c>
      <c r="B27" s="7" t="s">
        <v>615</v>
      </c>
      <c r="C27" s="7" t="s">
        <v>77</v>
      </c>
      <c r="D27" s="302">
        <v>3019</v>
      </c>
      <c r="E27" s="297">
        <v>30019</v>
      </c>
      <c r="F27" s="7" t="s">
        <v>165</v>
      </c>
      <c r="G27" s="7" t="s">
        <v>158</v>
      </c>
      <c r="H27" s="8">
        <v>5441567</v>
      </c>
      <c r="I27" s="8">
        <v>2339</v>
      </c>
      <c r="J27" s="7" t="s">
        <v>7</v>
      </c>
      <c r="K27" s="7" t="s">
        <v>159</v>
      </c>
      <c r="L27" s="8">
        <v>1174</v>
      </c>
      <c r="M27" s="8">
        <v>6206948</v>
      </c>
      <c r="N27" s="7"/>
      <c r="O27" s="8">
        <v>1533571</v>
      </c>
      <c r="P27" s="7"/>
      <c r="Q27" s="8">
        <v>1105397</v>
      </c>
      <c r="R27" s="7"/>
      <c r="S27" s="8">
        <v>870135</v>
      </c>
      <c r="T27" s="7"/>
      <c r="U27" s="8">
        <v>696604</v>
      </c>
      <c r="V27" s="7"/>
      <c r="W27" s="33">
        <v>10412655</v>
      </c>
      <c r="X27" s="7"/>
      <c r="Y27" s="30">
        <v>2922</v>
      </c>
      <c r="Z27" s="7"/>
      <c r="AA27" s="30">
        <v>799</v>
      </c>
      <c r="AB27" s="7"/>
      <c r="AC27" s="30">
        <v>537</v>
      </c>
      <c r="AD27" s="7"/>
      <c r="AE27" s="30">
        <v>467</v>
      </c>
      <c r="AF27" s="7"/>
      <c r="AG27" s="30">
        <v>325</v>
      </c>
      <c r="AI27" s="32">
        <v>5050</v>
      </c>
      <c r="AK27" s="7" t="str">
        <f t="shared" si="0"/>
        <v>No</v>
      </c>
    </row>
    <row r="28" spans="1:37">
      <c r="A28" s="7" t="s">
        <v>614</v>
      </c>
      <c r="B28" s="7" t="s">
        <v>615</v>
      </c>
      <c r="C28" s="7" t="s">
        <v>77</v>
      </c>
      <c r="D28" s="302">
        <v>3019</v>
      </c>
      <c r="E28" s="297">
        <v>30019</v>
      </c>
      <c r="F28" s="7" t="s">
        <v>165</v>
      </c>
      <c r="G28" s="7" t="s">
        <v>158</v>
      </c>
      <c r="H28" s="8">
        <v>5441567</v>
      </c>
      <c r="I28" s="8">
        <v>2339</v>
      </c>
      <c r="J28" s="7" t="s">
        <v>41</v>
      </c>
      <c r="K28" s="7" t="s">
        <v>159</v>
      </c>
      <c r="L28" s="8">
        <v>339</v>
      </c>
      <c r="M28" s="8">
        <v>1909945</v>
      </c>
      <c r="N28" s="7"/>
      <c r="O28" s="8">
        <v>766876</v>
      </c>
      <c r="P28" s="7"/>
      <c r="Q28" s="8">
        <v>688414</v>
      </c>
      <c r="R28" s="7"/>
      <c r="S28" s="8">
        <v>262543</v>
      </c>
      <c r="T28" s="7"/>
      <c r="U28" s="8">
        <v>538527</v>
      </c>
      <c r="V28" s="7"/>
      <c r="W28" s="33">
        <v>4166305</v>
      </c>
      <c r="X28" s="7"/>
      <c r="Y28" s="30">
        <v>787</v>
      </c>
      <c r="Z28" s="7"/>
      <c r="AA28" s="30">
        <v>369</v>
      </c>
      <c r="AB28" s="7"/>
      <c r="AC28" s="30">
        <v>319</v>
      </c>
      <c r="AD28" s="7"/>
      <c r="AE28" s="30">
        <v>142</v>
      </c>
      <c r="AF28" s="7"/>
      <c r="AG28" s="30">
        <v>247</v>
      </c>
      <c r="AI28" s="32">
        <v>1864</v>
      </c>
      <c r="AK28" s="7" t="str">
        <f t="shared" si="0"/>
        <v>No</v>
      </c>
    </row>
    <row r="29" spans="1:37">
      <c r="A29" s="7" t="s">
        <v>614</v>
      </c>
      <c r="B29" s="7" t="s">
        <v>615</v>
      </c>
      <c r="C29" s="7" t="s">
        <v>77</v>
      </c>
      <c r="D29" s="302">
        <v>3019</v>
      </c>
      <c r="E29" s="297">
        <v>30019</v>
      </c>
      <c r="F29" s="7" t="s">
        <v>165</v>
      </c>
      <c r="G29" s="7" t="s">
        <v>158</v>
      </c>
      <c r="H29" s="8">
        <v>5441567</v>
      </c>
      <c r="I29" s="8">
        <v>2339</v>
      </c>
      <c r="J29" s="7" t="s">
        <v>20</v>
      </c>
      <c r="K29" s="7" t="s">
        <v>159</v>
      </c>
      <c r="L29" s="8">
        <v>284</v>
      </c>
      <c r="M29" s="8">
        <v>1442210</v>
      </c>
      <c r="N29" s="7"/>
      <c r="O29" s="8">
        <v>586371</v>
      </c>
      <c r="P29" s="7"/>
      <c r="Q29" s="8">
        <v>638674</v>
      </c>
      <c r="R29" s="7"/>
      <c r="S29" s="8">
        <v>205528</v>
      </c>
      <c r="T29" s="7"/>
      <c r="U29" s="8">
        <v>331329</v>
      </c>
      <c r="V29" s="7"/>
      <c r="W29" s="33">
        <v>3204112</v>
      </c>
      <c r="X29" s="7"/>
      <c r="Y29" s="30">
        <v>690</v>
      </c>
      <c r="Z29" s="7"/>
      <c r="AA29" s="30">
        <v>276</v>
      </c>
      <c r="AB29" s="7"/>
      <c r="AC29" s="30">
        <v>310</v>
      </c>
      <c r="AD29" s="7"/>
      <c r="AE29" s="30">
        <v>110</v>
      </c>
      <c r="AF29" s="7"/>
      <c r="AG29" s="30">
        <v>159</v>
      </c>
      <c r="AI29" s="32">
        <v>1545</v>
      </c>
      <c r="AK29" s="7" t="str">
        <f t="shared" si="0"/>
        <v>No</v>
      </c>
    </row>
    <row r="30" spans="1:37">
      <c r="A30" s="7" t="s">
        <v>614</v>
      </c>
      <c r="B30" s="7" t="s">
        <v>615</v>
      </c>
      <c r="C30" s="7" t="s">
        <v>77</v>
      </c>
      <c r="D30" s="302">
        <v>3019</v>
      </c>
      <c r="E30" s="297">
        <v>30019</v>
      </c>
      <c r="F30" s="7" t="s">
        <v>165</v>
      </c>
      <c r="G30" s="7" t="s">
        <v>158</v>
      </c>
      <c r="H30" s="8">
        <v>5441567</v>
      </c>
      <c r="I30" s="8">
        <v>2339</v>
      </c>
      <c r="J30" s="7" t="s">
        <v>12</v>
      </c>
      <c r="K30" s="7" t="s">
        <v>159</v>
      </c>
      <c r="L30" s="8">
        <v>121</v>
      </c>
      <c r="M30" s="8">
        <v>652352</v>
      </c>
      <c r="N30" s="7"/>
      <c r="O30" s="8">
        <v>268870</v>
      </c>
      <c r="P30" s="7"/>
      <c r="Q30" s="8">
        <v>123982</v>
      </c>
      <c r="R30" s="7"/>
      <c r="S30" s="8">
        <v>85794</v>
      </c>
      <c r="T30" s="7"/>
      <c r="U30" s="8">
        <v>128546</v>
      </c>
      <c r="V30" s="7"/>
      <c r="W30" s="33">
        <v>1259544</v>
      </c>
      <c r="X30" s="7"/>
      <c r="Y30" s="30">
        <v>318</v>
      </c>
      <c r="Z30" s="7"/>
      <c r="AA30" s="30">
        <v>136</v>
      </c>
      <c r="AB30" s="7"/>
      <c r="AC30" s="30">
        <v>62</v>
      </c>
      <c r="AD30" s="7"/>
      <c r="AE30" s="30">
        <v>46</v>
      </c>
      <c r="AF30" s="7"/>
      <c r="AG30" s="30">
        <v>65</v>
      </c>
      <c r="AI30" s="32">
        <v>627</v>
      </c>
      <c r="AK30" s="7" t="str">
        <f t="shared" si="0"/>
        <v>No</v>
      </c>
    </row>
    <row r="31" spans="1:37">
      <c r="A31" s="7" t="s">
        <v>614</v>
      </c>
      <c r="B31" s="7" t="s">
        <v>615</v>
      </c>
      <c r="C31" s="7" t="s">
        <v>77</v>
      </c>
      <c r="D31" s="302">
        <v>3019</v>
      </c>
      <c r="E31" s="297">
        <v>30019</v>
      </c>
      <c r="F31" s="7" t="s">
        <v>165</v>
      </c>
      <c r="G31" s="7" t="s">
        <v>158</v>
      </c>
      <c r="H31" s="8">
        <v>5441567</v>
      </c>
      <c r="I31" s="8">
        <v>2339</v>
      </c>
      <c r="J31" s="7" t="s">
        <v>25</v>
      </c>
      <c r="K31" s="7" t="s">
        <v>159</v>
      </c>
      <c r="L31" s="8">
        <v>30</v>
      </c>
      <c r="M31" s="8">
        <v>156897</v>
      </c>
      <c r="N31" s="7"/>
      <c r="O31" s="8">
        <v>17224</v>
      </c>
      <c r="P31" s="7"/>
      <c r="Q31" s="8">
        <v>29873</v>
      </c>
      <c r="R31" s="7"/>
      <c r="S31" s="8">
        <v>22651</v>
      </c>
      <c r="T31" s="7"/>
      <c r="U31" s="8">
        <v>14205</v>
      </c>
      <c r="V31" s="7"/>
      <c r="W31" s="33">
        <v>240850</v>
      </c>
      <c r="X31" s="7"/>
      <c r="Y31" s="30">
        <v>74</v>
      </c>
      <c r="Z31" s="7"/>
      <c r="AA31" s="30">
        <v>8</v>
      </c>
      <c r="AB31" s="7"/>
      <c r="AC31" s="30">
        <v>15</v>
      </c>
      <c r="AD31" s="7"/>
      <c r="AE31" s="30">
        <v>12</v>
      </c>
      <c r="AF31" s="7"/>
      <c r="AG31" s="30">
        <v>7</v>
      </c>
      <c r="AI31" s="32">
        <v>116</v>
      </c>
      <c r="AK31" s="7" t="str">
        <f t="shared" si="0"/>
        <v>No</v>
      </c>
    </row>
    <row r="32" spans="1:37">
      <c r="A32" s="7" t="s">
        <v>1118</v>
      </c>
      <c r="B32" s="7" t="s">
        <v>488</v>
      </c>
      <c r="C32" s="7" t="s">
        <v>84</v>
      </c>
      <c r="D32" s="302">
        <v>6008</v>
      </c>
      <c r="E32" s="297">
        <v>60008</v>
      </c>
      <c r="F32" s="7" t="s">
        <v>165</v>
      </c>
      <c r="G32" s="7" t="s">
        <v>158</v>
      </c>
      <c r="H32" s="8">
        <v>4944332</v>
      </c>
      <c r="I32" s="8">
        <v>2206</v>
      </c>
      <c r="J32" s="7" t="s">
        <v>7</v>
      </c>
      <c r="K32" s="7" t="s">
        <v>159</v>
      </c>
      <c r="L32" s="8">
        <v>586</v>
      </c>
      <c r="M32" s="8">
        <v>3465297</v>
      </c>
      <c r="N32" s="7"/>
      <c r="O32" s="8">
        <v>1139781</v>
      </c>
      <c r="P32" s="7"/>
      <c r="Q32" s="8">
        <v>290224</v>
      </c>
      <c r="R32" s="7"/>
      <c r="S32" s="8">
        <v>693261</v>
      </c>
      <c r="T32" s="7"/>
      <c r="U32" s="8">
        <v>95254</v>
      </c>
      <c r="V32" s="7"/>
      <c r="W32" s="33">
        <v>5683817</v>
      </c>
      <c r="X32" s="7"/>
      <c r="Y32" s="30">
        <v>1635.15</v>
      </c>
      <c r="Z32" s="7"/>
      <c r="AA32" s="30">
        <v>560.79</v>
      </c>
      <c r="AB32" s="7"/>
      <c r="AC32" s="30">
        <v>149.19</v>
      </c>
      <c r="AD32" s="7"/>
      <c r="AE32" s="30">
        <v>361.95</v>
      </c>
      <c r="AF32" s="7"/>
      <c r="AG32" s="30">
        <v>49.61</v>
      </c>
      <c r="AI32" s="32">
        <v>2756.69</v>
      </c>
      <c r="AK32" s="7" t="str">
        <f t="shared" si="0"/>
        <v>No</v>
      </c>
    </row>
    <row r="33" spans="1:37">
      <c r="A33" s="7" t="s">
        <v>1118</v>
      </c>
      <c r="B33" s="7" t="s">
        <v>488</v>
      </c>
      <c r="C33" s="7" t="s">
        <v>84</v>
      </c>
      <c r="D33" s="302">
        <v>6008</v>
      </c>
      <c r="E33" s="297">
        <v>60008</v>
      </c>
      <c r="F33" s="7" t="s">
        <v>165</v>
      </c>
      <c r="G33" s="7" t="s">
        <v>158</v>
      </c>
      <c r="H33" s="8">
        <v>4944332</v>
      </c>
      <c r="I33" s="8">
        <v>2206</v>
      </c>
      <c r="J33" s="7" t="s">
        <v>18</v>
      </c>
      <c r="K33" s="7" t="s">
        <v>159</v>
      </c>
      <c r="L33" s="8">
        <v>235</v>
      </c>
      <c r="M33" s="8">
        <v>448085</v>
      </c>
      <c r="N33" s="7"/>
      <c r="O33" s="8">
        <v>147381</v>
      </c>
      <c r="P33" s="7"/>
      <c r="Q33" s="8">
        <v>37528</v>
      </c>
      <c r="R33" s="7"/>
      <c r="S33" s="8">
        <v>89643</v>
      </c>
      <c r="T33" s="7"/>
      <c r="U33" s="8">
        <v>12317</v>
      </c>
      <c r="V33" s="7"/>
      <c r="W33" s="33">
        <v>734954</v>
      </c>
      <c r="X33" s="7"/>
      <c r="Y33" s="30">
        <v>211.44</v>
      </c>
      <c r="Z33" s="7"/>
      <c r="AA33" s="30">
        <v>72.510000000000005</v>
      </c>
      <c r="AB33" s="7"/>
      <c r="AC33" s="30">
        <v>19.29</v>
      </c>
      <c r="AD33" s="7"/>
      <c r="AE33" s="30">
        <v>46.8</v>
      </c>
      <c r="AF33" s="7"/>
      <c r="AG33" s="30">
        <v>6.41</v>
      </c>
      <c r="AI33" s="32">
        <v>356.45</v>
      </c>
      <c r="AK33" s="7" t="str">
        <f t="shared" si="0"/>
        <v>No</v>
      </c>
    </row>
    <row r="34" spans="1:37">
      <c r="A34" s="7" t="s">
        <v>1118</v>
      </c>
      <c r="B34" s="7" t="s">
        <v>488</v>
      </c>
      <c r="C34" s="7" t="s">
        <v>84</v>
      </c>
      <c r="D34" s="302">
        <v>6008</v>
      </c>
      <c r="E34" s="297">
        <v>60008</v>
      </c>
      <c r="F34" s="7" t="s">
        <v>165</v>
      </c>
      <c r="G34" s="7" t="s">
        <v>158</v>
      </c>
      <c r="H34" s="8">
        <v>4944332</v>
      </c>
      <c r="I34" s="8">
        <v>2206</v>
      </c>
      <c r="J34" s="7" t="s">
        <v>21</v>
      </c>
      <c r="K34" s="7" t="s">
        <v>159</v>
      </c>
      <c r="L34" s="8">
        <v>54</v>
      </c>
      <c r="M34" s="8">
        <v>460347</v>
      </c>
      <c r="N34" s="7"/>
      <c r="O34" s="8">
        <v>204723</v>
      </c>
      <c r="P34" s="7"/>
      <c r="Q34" s="8">
        <v>219498</v>
      </c>
      <c r="R34" s="7"/>
      <c r="S34" s="8">
        <v>95029</v>
      </c>
      <c r="T34" s="7"/>
      <c r="U34" s="8">
        <v>19849</v>
      </c>
      <c r="V34" s="7"/>
      <c r="W34" s="33">
        <v>999446</v>
      </c>
      <c r="X34" s="7"/>
      <c r="Y34" s="30">
        <v>207.86</v>
      </c>
      <c r="Z34" s="7"/>
      <c r="AA34" s="30">
        <v>96.63</v>
      </c>
      <c r="AB34" s="7"/>
      <c r="AC34" s="30">
        <v>97.95</v>
      </c>
      <c r="AD34" s="7"/>
      <c r="AE34" s="30">
        <v>49.61</v>
      </c>
      <c r="AF34" s="7"/>
      <c r="AG34" s="30">
        <v>9.8000000000000007</v>
      </c>
      <c r="AI34" s="32">
        <v>461.85</v>
      </c>
      <c r="AK34" s="7" t="str">
        <f t="shared" si="0"/>
        <v>No</v>
      </c>
    </row>
    <row r="35" spans="1:37">
      <c r="A35" s="7" t="s">
        <v>465</v>
      </c>
      <c r="B35" s="7" t="s">
        <v>466</v>
      </c>
      <c r="C35" s="7" t="s">
        <v>48</v>
      </c>
      <c r="D35" s="302">
        <v>3034</v>
      </c>
      <c r="E35" s="297">
        <v>30034</v>
      </c>
      <c r="F35" s="7" t="s">
        <v>157</v>
      </c>
      <c r="G35" s="7" t="s">
        <v>158</v>
      </c>
      <c r="H35" s="8">
        <v>2203663</v>
      </c>
      <c r="I35" s="8">
        <v>1634</v>
      </c>
      <c r="J35" s="7" t="s">
        <v>7</v>
      </c>
      <c r="K35" s="7" t="s">
        <v>159</v>
      </c>
      <c r="L35" s="8">
        <v>627</v>
      </c>
      <c r="M35" s="8">
        <v>3306826</v>
      </c>
      <c r="N35" s="7"/>
      <c r="O35" s="8">
        <v>847357</v>
      </c>
      <c r="P35" s="7"/>
      <c r="Q35" s="8">
        <v>174543</v>
      </c>
      <c r="R35" s="7"/>
      <c r="S35" s="8">
        <v>688688</v>
      </c>
      <c r="T35" s="7"/>
      <c r="U35" s="8">
        <v>58857</v>
      </c>
      <c r="V35" s="7"/>
      <c r="W35" s="33">
        <v>5076271</v>
      </c>
      <c r="X35" s="7"/>
      <c r="Y35" s="30">
        <v>1591</v>
      </c>
      <c r="Z35" s="7"/>
      <c r="AA35" s="30">
        <v>404</v>
      </c>
      <c r="AB35" s="7"/>
      <c r="AC35" s="30">
        <v>82</v>
      </c>
      <c r="AD35" s="7"/>
      <c r="AE35" s="30">
        <v>385</v>
      </c>
      <c r="AF35" s="7"/>
      <c r="AG35" s="30">
        <v>37</v>
      </c>
      <c r="AI35" s="32">
        <v>2499</v>
      </c>
      <c r="AK35" s="7" t="str">
        <f t="shared" si="0"/>
        <v>No</v>
      </c>
    </row>
    <row r="36" spans="1:37">
      <c r="A36" s="7" t="s">
        <v>465</v>
      </c>
      <c r="B36" s="7" t="s">
        <v>466</v>
      </c>
      <c r="C36" s="7" t="s">
        <v>48</v>
      </c>
      <c r="D36" s="302">
        <v>3034</v>
      </c>
      <c r="E36" s="297">
        <v>30034</v>
      </c>
      <c r="F36" s="7" t="s">
        <v>157</v>
      </c>
      <c r="G36" s="7" t="s">
        <v>158</v>
      </c>
      <c r="H36" s="8">
        <v>2203663</v>
      </c>
      <c r="I36" s="8">
        <v>1634</v>
      </c>
      <c r="J36" s="7" t="s">
        <v>20</v>
      </c>
      <c r="K36" s="7" t="s">
        <v>159</v>
      </c>
      <c r="L36" s="8">
        <v>54</v>
      </c>
      <c r="M36" s="8">
        <v>345465</v>
      </c>
      <c r="N36" s="7"/>
      <c r="O36" s="8">
        <v>188190</v>
      </c>
      <c r="P36" s="7"/>
      <c r="Q36" s="8">
        <v>259892</v>
      </c>
      <c r="R36" s="7"/>
      <c r="S36" s="8">
        <v>101429</v>
      </c>
      <c r="T36" s="7"/>
      <c r="U36" s="8">
        <v>11470</v>
      </c>
      <c r="V36" s="7"/>
      <c r="W36" s="33">
        <v>906446</v>
      </c>
      <c r="X36" s="7"/>
      <c r="Y36" s="30">
        <v>159</v>
      </c>
      <c r="Z36" s="7"/>
      <c r="AA36" s="30">
        <v>80</v>
      </c>
      <c r="AB36" s="7"/>
      <c r="AC36" s="30">
        <v>98</v>
      </c>
      <c r="AD36" s="7"/>
      <c r="AE36" s="30">
        <v>50</v>
      </c>
      <c r="AF36" s="7"/>
      <c r="AG36" s="30">
        <v>7</v>
      </c>
      <c r="AI36" s="32">
        <v>394</v>
      </c>
      <c r="AK36" s="7" t="str">
        <f t="shared" si="0"/>
        <v>No</v>
      </c>
    </row>
    <row r="37" spans="1:37">
      <c r="A37" s="7" t="s">
        <v>465</v>
      </c>
      <c r="B37" s="7" t="s">
        <v>466</v>
      </c>
      <c r="C37" s="7" t="s">
        <v>48</v>
      </c>
      <c r="D37" s="302">
        <v>3034</v>
      </c>
      <c r="E37" s="297">
        <v>30034</v>
      </c>
      <c r="F37" s="7" t="s">
        <v>157</v>
      </c>
      <c r="G37" s="7" t="s">
        <v>158</v>
      </c>
      <c r="H37" s="8">
        <v>2203663</v>
      </c>
      <c r="I37" s="8">
        <v>1634</v>
      </c>
      <c r="J37" s="7" t="s">
        <v>21</v>
      </c>
      <c r="K37" s="7" t="s">
        <v>159</v>
      </c>
      <c r="L37" s="8">
        <v>38</v>
      </c>
      <c r="M37" s="8">
        <v>268308</v>
      </c>
      <c r="N37" s="7"/>
      <c r="O37" s="8">
        <v>177843</v>
      </c>
      <c r="P37" s="7"/>
      <c r="Q37" s="8">
        <v>79614</v>
      </c>
      <c r="R37" s="7"/>
      <c r="S37" s="8">
        <v>106062</v>
      </c>
      <c r="T37" s="7"/>
      <c r="U37" s="8">
        <v>9508</v>
      </c>
      <c r="V37" s="7"/>
      <c r="W37" s="33">
        <v>641335</v>
      </c>
      <c r="X37" s="7"/>
      <c r="Y37" s="30">
        <v>126</v>
      </c>
      <c r="Z37" s="7"/>
      <c r="AA37" s="30">
        <v>77</v>
      </c>
      <c r="AB37" s="7"/>
      <c r="AC37" s="30">
        <v>35</v>
      </c>
      <c r="AD37" s="7"/>
      <c r="AE37" s="30">
        <v>52</v>
      </c>
      <c r="AF37" s="7"/>
      <c r="AG37" s="30">
        <v>6</v>
      </c>
      <c r="AI37" s="32">
        <v>296</v>
      </c>
      <c r="AK37" s="7" t="str">
        <f t="shared" si="0"/>
        <v>No</v>
      </c>
    </row>
    <row r="38" spans="1:37">
      <c r="A38" s="7" t="s">
        <v>540</v>
      </c>
      <c r="B38" s="7" t="s">
        <v>541</v>
      </c>
      <c r="C38" s="7" t="s">
        <v>40</v>
      </c>
      <c r="D38" s="302">
        <v>5113</v>
      </c>
      <c r="E38" s="297">
        <v>50113</v>
      </c>
      <c r="F38" s="7" t="s">
        <v>165</v>
      </c>
      <c r="G38" s="7" t="s">
        <v>158</v>
      </c>
      <c r="H38" s="8">
        <v>8608208</v>
      </c>
      <c r="I38" s="8">
        <v>1619</v>
      </c>
      <c r="J38" s="7" t="s">
        <v>8</v>
      </c>
      <c r="K38" s="7" t="s">
        <v>159</v>
      </c>
      <c r="L38" s="8">
        <v>664</v>
      </c>
      <c r="M38" s="8">
        <v>0</v>
      </c>
      <c r="N38" s="7"/>
      <c r="O38" s="8">
        <v>0</v>
      </c>
      <c r="P38" s="7"/>
      <c r="Q38" s="8">
        <v>0</v>
      </c>
      <c r="R38" s="7"/>
      <c r="S38" s="8">
        <v>55809</v>
      </c>
      <c r="T38" s="7"/>
      <c r="U38" s="8">
        <v>0</v>
      </c>
      <c r="V38" s="7"/>
      <c r="W38" s="33">
        <v>55809</v>
      </c>
      <c r="X38" s="7"/>
      <c r="Y38" s="30">
        <v>0</v>
      </c>
      <c r="Z38" s="7"/>
      <c r="AA38" s="30">
        <v>0</v>
      </c>
      <c r="AB38" s="7"/>
      <c r="AC38" s="30">
        <v>0</v>
      </c>
      <c r="AD38" s="7"/>
      <c r="AE38" s="30">
        <v>29.5</v>
      </c>
      <c r="AF38" s="7"/>
      <c r="AG38" s="30">
        <v>0</v>
      </c>
      <c r="AI38" s="32">
        <v>29.5</v>
      </c>
      <c r="AK38" s="7" t="str">
        <f t="shared" si="0"/>
        <v>No</v>
      </c>
    </row>
    <row r="39" spans="1:37">
      <c r="A39" s="7" t="s">
        <v>540</v>
      </c>
      <c r="B39" s="7" t="s">
        <v>541</v>
      </c>
      <c r="C39" s="7" t="s">
        <v>40</v>
      </c>
      <c r="D39" s="302">
        <v>5113</v>
      </c>
      <c r="E39" s="297">
        <v>50113</v>
      </c>
      <c r="F39" s="7" t="s">
        <v>165</v>
      </c>
      <c r="G39" s="7" t="s">
        <v>158</v>
      </c>
      <c r="H39" s="8">
        <v>8608208</v>
      </c>
      <c r="I39" s="8">
        <v>1619</v>
      </c>
      <c r="J39" s="7" t="s">
        <v>7</v>
      </c>
      <c r="K39" s="7" t="s">
        <v>159</v>
      </c>
      <c r="L39" s="8">
        <v>545</v>
      </c>
      <c r="M39" s="8">
        <v>1764782</v>
      </c>
      <c r="N39" s="7"/>
      <c r="O39" s="8">
        <v>505239</v>
      </c>
      <c r="P39" s="7"/>
      <c r="Q39" s="8">
        <v>43617</v>
      </c>
      <c r="R39" s="7"/>
      <c r="S39" s="8">
        <v>243670</v>
      </c>
      <c r="T39" s="7"/>
      <c r="U39" s="8">
        <v>15260</v>
      </c>
      <c r="V39" s="7"/>
      <c r="W39" s="33">
        <v>2572568</v>
      </c>
      <c r="X39" s="7"/>
      <c r="Y39" s="30">
        <v>976</v>
      </c>
      <c r="Z39" s="7"/>
      <c r="AA39" s="30">
        <v>265.8</v>
      </c>
      <c r="AB39" s="7"/>
      <c r="AC39" s="30">
        <v>23.7</v>
      </c>
      <c r="AD39" s="7"/>
      <c r="AE39" s="30">
        <v>132</v>
      </c>
      <c r="AF39" s="7"/>
      <c r="AG39" s="30">
        <v>7.34</v>
      </c>
      <c r="AI39" s="32">
        <v>1404.84</v>
      </c>
      <c r="AK39" s="7" t="str">
        <f t="shared" si="0"/>
        <v>No</v>
      </c>
    </row>
    <row r="40" spans="1:37">
      <c r="A40" s="7" t="s">
        <v>540</v>
      </c>
      <c r="B40" s="7" t="s">
        <v>541</v>
      </c>
      <c r="C40" s="7" t="s">
        <v>40</v>
      </c>
      <c r="D40" s="302">
        <v>5113</v>
      </c>
      <c r="E40" s="297">
        <v>50113</v>
      </c>
      <c r="F40" s="7" t="s">
        <v>165</v>
      </c>
      <c r="G40" s="7" t="s">
        <v>158</v>
      </c>
      <c r="H40" s="8">
        <v>8608208</v>
      </c>
      <c r="I40" s="8">
        <v>1619</v>
      </c>
      <c r="J40" s="7" t="s">
        <v>10</v>
      </c>
      <c r="K40" s="7" t="s">
        <v>159</v>
      </c>
      <c r="L40" s="8">
        <v>8</v>
      </c>
      <c r="M40" s="8">
        <v>10890</v>
      </c>
      <c r="N40" s="7"/>
      <c r="O40" s="8">
        <v>2675</v>
      </c>
      <c r="P40" s="7"/>
      <c r="Q40" s="8">
        <v>373</v>
      </c>
      <c r="R40" s="7"/>
      <c r="S40" s="8">
        <v>1007</v>
      </c>
      <c r="T40" s="7"/>
      <c r="U40" s="8">
        <v>0</v>
      </c>
      <c r="V40" s="7"/>
      <c r="W40" s="33">
        <v>14945</v>
      </c>
      <c r="X40" s="7"/>
      <c r="Y40" s="30">
        <v>6.1</v>
      </c>
      <c r="Z40" s="7"/>
      <c r="AA40" s="30">
        <v>1.1000000000000001</v>
      </c>
      <c r="AB40" s="7"/>
      <c r="AC40" s="30">
        <v>0.2</v>
      </c>
      <c r="AD40" s="7"/>
      <c r="AE40" s="30">
        <v>0.6</v>
      </c>
      <c r="AF40" s="7"/>
      <c r="AG40" s="30">
        <v>0</v>
      </c>
      <c r="AI40" s="32">
        <v>8</v>
      </c>
      <c r="AK40" s="7" t="str">
        <f t="shared" si="0"/>
        <v>No</v>
      </c>
    </row>
    <row r="41" spans="1:37">
      <c r="A41" s="7" t="s">
        <v>536</v>
      </c>
      <c r="B41" s="7" t="s">
        <v>537</v>
      </c>
      <c r="C41" s="7" t="s">
        <v>17</v>
      </c>
      <c r="D41" s="302">
        <v>9036</v>
      </c>
      <c r="E41" s="297">
        <v>90036</v>
      </c>
      <c r="F41" s="7" t="s">
        <v>165</v>
      </c>
      <c r="G41" s="7" t="s">
        <v>158</v>
      </c>
      <c r="H41" s="8">
        <v>12150996</v>
      </c>
      <c r="I41" s="8">
        <v>1558</v>
      </c>
      <c r="J41" s="7" t="s">
        <v>7</v>
      </c>
      <c r="K41" s="7" t="s">
        <v>159</v>
      </c>
      <c r="L41" s="8">
        <v>266</v>
      </c>
      <c r="M41" s="8">
        <v>1388014</v>
      </c>
      <c r="N41" s="7"/>
      <c r="O41" s="8">
        <v>316970</v>
      </c>
      <c r="P41" s="7"/>
      <c r="Q41" s="8">
        <v>17871</v>
      </c>
      <c r="R41" s="7"/>
      <c r="S41" s="8">
        <v>191438</v>
      </c>
      <c r="T41" s="7"/>
      <c r="U41" s="8">
        <v>0</v>
      </c>
      <c r="V41" s="7"/>
      <c r="W41" s="33">
        <v>1914293</v>
      </c>
      <c r="X41" s="7"/>
      <c r="Y41" s="30">
        <v>702.66</v>
      </c>
      <c r="Z41" s="7"/>
      <c r="AA41" s="30">
        <v>166.93</v>
      </c>
      <c r="AB41" s="7"/>
      <c r="AC41" s="30">
        <v>9.11</v>
      </c>
      <c r="AD41" s="7"/>
      <c r="AE41" s="30">
        <v>104.1</v>
      </c>
      <c r="AF41" s="7"/>
      <c r="AG41" s="30">
        <v>0</v>
      </c>
      <c r="AI41" s="32">
        <v>982.8</v>
      </c>
      <c r="AK41" s="7" t="str">
        <f t="shared" si="0"/>
        <v>No</v>
      </c>
    </row>
    <row r="42" spans="1:37">
      <c r="A42" s="7" t="s">
        <v>536</v>
      </c>
      <c r="B42" s="7" t="s">
        <v>537</v>
      </c>
      <c r="C42" s="7" t="s">
        <v>17</v>
      </c>
      <c r="D42" s="302">
        <v>9036</v>
      </c>
      <c r="E42" s="297">
        <v>90036</v>
      </c>
      <c r="F42" s="7" t="s">
        <v>165</v>
      </c>
      <c r="G42" s="7" t="s">
        <v>158</v>
      </c>
      <c r="H42" s="8">
        <v>12150996</v>
      </c>
      <c r="I42" s="8">
        <v>1558</v>
      </c>
      <c r="J42" s="7" t="s">
        <v>18</v>
      </c>
      <c r="K42" s="7" t="s">
        <v>159</v>
      </c>
      <c r="L42" s="8">
        <v>6</v>
      </c>
      <c r="M42" s="8">
        <v>14873</v>
      </c>
      <c r="N42" s="7"/>
      <c r="O42" s="8">
        <v>3654</v>
      </c>
      <c r="P42" s="7"/>
      <c r="Q42" s="8">
        <v>259</v>
      </c>
      <c r="R42" s="7"/>
      <c r="S42" s="8">
        <v>2847</v>
      </c>
      <c r="T42" s="7"/>
      <c r="U42" s="8">
        <v>0</v>
      </c>
      <c r="V42" s="7"/>
      <c r="W42" s="33">
        <v>21633</v>
      </c>
      <c r="X42" s="7"/>
      <c r="Y42" s="30">
        <v>7.4</v>
      </c>
      <c r="Z42" s="7"/>
      <c r="AA42" s="30">
        <v>1.91</v>
      </c>
      <c r="AB42" s="7"/>
      <c r="AC42" s="30">
        <v>0.13</v>
      </c>
      <c r="AD42" s="7"/>
      <c r="AE42" s="30">
        <v>1.55</v>
      </c>
      <c r="AF42" s="7"/>
      <c r="AG42" s="30">
        <v>0</v>
      </c>
      <c r="AI42" s="32">
        <v>10.99</v>
      </c>
      <c r="AK42" s="7" t="str">
        <f t="shared" si="0"/>
        <v>No</v>
      </c>
    </row>
    <row r="43" spans="1:37">
      <c r="A43" s="7" t="s">
        <v>562</v>
      </c>
      <c r="B43" s="7" t="s">
        <v>563</v>
      </c>
      <c r="C43" s="7" t="s">
        <v>26</v>
      </c>
      <c r="D43" s="302">
        <v>8006</v>
      </c>
      <c r="E43" s="297">
        <v>80006</v>
      </c>
      <c r="F43" s="7" t="s">
        <v>165</v>
      </c>
      <c r="G43" s="7" t="s">
        <v>158</v>
      </c>
      <c r="H43" s="8">
        <v>2374203</v>
      </c>
      <c r="I43" s="8">
        <v>1435</v>
      </c>
      <c r="J43" s="7" t="s">
        <v>7</v>
      </c>
      <c r="K43" s="7" t="s">
        <v>159</v>
      </c>
      <c r="L43" s="8">
        <v>485</v>
      </c>
      <c r="M43" s="8">
        <v>2429440</v>
      </c>
      <c r="N43" s="7"/>
      <c r="O43" s="8">
        <v>797142</v>
      </c>
      <c r="P43" s="7"/>
      <c r="Q43" s="8">
        <v>322381</v>
      </c>
      <c r="R43" s="7"/>
      <c r="S43" s="8">
        <v>605610</v>
      </c>
      <c r="T43" s="7"/>
      <c r="U43" s="8">
        <v>24677</v>
      </c>
      <c r="V43" s="7"/>
      <c r="W43" s="33">
        <v>4179250</v>
      </c>
      <c r="X43" s="7"/>
      <c r="Y43" s="30">
        <v>1145</v>
      </c>
      <c r="Z43" s="7"/>
      <c r="AA43" s="30">
        <v>370</v>
      </c>
      <c r="AB43" s="7"/>
      <c r="AC43" s="30">
        <v>132</v>
      </c>
      <c r="AD43" s="7"/>
      <c r="AE43" s="30">
        <v>295</v>
      </c>
      <c r="AF43" s="7"/>
      <c r="AG43" s="30">
        <v>14.5</v>
      </c>
      <c r="AI43" s="32">
        <v>1956.5</v>
      </c>
      <c r="AK43" s="7" t="str">
        <f t="shared" si="0"/>
        <v>No</v>
      </c>
    </row>
    <row r="44" spans="1:37">
      <c r="A44" s="7" t="s">
        <v>562</v>
      </c>
      <c r="B44" s="7" t="s">
        <v>563</v>
      </c>
      <c r="C44" s="7" t="s">
        <v>26</v>
      </c>
      <c r="D44" s="302">
        <v>8006</v>
      </c>
      <c r="E44" s="297">
        <v>80006</v>
      </c>
      <c r="F44" s="7" t="s">
        <v>165</v>
      </c>
      <c r="G44" s="7" t="s">
        <v>158</v>
      </c>
      <c r="H44" s="8">
        <v>2374203</v>
      </c>
      <c r="I44" s="8">
        <v>1435</v>
      </c>
      <c r="J44" s="7" t="s">
        <v>21</v>
      </c>
      <c r="K44" s="7" t="s">
        <v>159</v>
      </c>
      <c r="L44" s="8">
        <v>140</v>
      </c>
      <c r="M44" s="8">
        <v>642743</v>
      </c>
      <c r="N44" s="7"/>
      <c r="O44" s="8">
        <v>302368</v>
      </c>
      <c r="P44" s="7"/>
      <c r="Q44" s="8">
        <v>253244</v>
      </c>
      <c r="R44" s="7"/>
      <c r="S44" s="8">
        <v>271865</v>
      </c>
      <c r="T44" s="7"/>
      <c r="U44" s="8">
        <v>85813</v>
      </c>
      <c r="V44" s="7"/>
      <c r="W44" s="33">
        <v>1556033</v>
      </c>
      <c r="X44" s="7"/>
      <c r="Y44" s="30">
        <v>261</v>
      </c>
      <c r="Z44" s="7"/>
      <c r="AA44" s="30">
        <v>135</v>
      </c>
      <c r="AB44" s="7"/>
      <c r="AC44" s="30">
        <v>95</v>
      </c>
      <c r="AD44" s="7"/>
      <c r="AE44" s="30">
        <v>124</v>
      </c>
      <c r="AF44" s="7"/>
      <c r="AG44" s="30">
        <v>49.7</v>
      </c>
      <c r="AI44" s="32">
        <v>664.7</v>
      </c>
      <c r="AK44" s="7" t="str">
        <f t="shared" si="0"/>
        <v>No</v>
      </c>
    </row>
    <row r="45" spans="1:37">
      <c r="A45" s="7" t="s">
        <v>493</v>
      </c>
      <c r="B45" s="7" t="s">
        <v>494</v>
      </c>
      <c r="C45" s="7" t="s">
        <v>32</v>
      </c>
      <c r="D45" s="302">
        <v>4034</v>
      </c>
      <c r="E45" s="297">
        <v>40034</v>
      </c>
      <c r="F45" s="7" t="s">
        <v>162</v>
      </c>
      <c r="G45" s="7" t="s">
        <v>158</v>
      </c>
      <c r="H45" s="8">
        <v>5502379</v>
      </c>
      <c r="I45" s="8">
        <v>1181</v>
      </c>
      <c r="J45" s="7" t="s">
        <v>7</v>
      </c>
      <c r="K45" s="7" t="s">
        <v>159</v>
      </c>
      <c r="L45" s="8">
        <v>709</v>
      </c>
      <c r="M45" s="8">
        <v>3135155</v>
      </c>
      <c r="N45" s="7"/>
      <c r="O45" s="8">
        <v>963411</v>
      </c>
      <c r="P45" s="7"/>
      <c r="Q45" s="8">
        <v>161392</v>
      </c>
      <c r="R45" s="7"/>
      <c r="S45" s="8">
        <v>437660</v>
      </c>
      <c r="T45" s="7"/>
      <c r="U45" s="8">
        <v>4078</v>
      </c>
      <c r="V45" s="7"/>
      <c r="W45" s="33">
        <v>4701696</v>
      </c>
      <c r="X45" s="7"/>
      <c r="Y45" s="30">
        <v>1883</v>
      </c>
      <c r="Z45" s="7"/>
      <c r="AA45" s="30">
        <v>475</v>
      </c>
      <c r="AB45" s="7"/>
      <c r="AC45" s="30">
        <v>81</v>
      </c>
      <c r="AD45" s="7"/>
      <c r="AE45" s="30">
        <v>199</v>
      </c>
      <c r="AF45" s="7"/>
      <c r="AG45" s="30">
        <v>2</v>
      </c>
      <c r="AI45" s="32">
        <v>2640</v>
      </c>
      <c r="AK45" s="7" t="str">
        <f t="shared" si="0"/>
        <v>No</v>
      </c>
    </row>
    <row r="46" spans="1:37">
      <c r="A46" s="7" t="s">
        <v>493</v>
      </c>
      <c r="B46" s="7" t="s">
        <v>494</v>
      </c>
      <c r="C46" s="7" t="s">
        <v>32</v>
      </c>
      <c r="D46" s="302">
        <v>4034</v>
      </c>
      <c r="E46" s="297">
        <v>40034</v>
      </c>
      <c r="F46" s="7" t="s">
        <v>162</v>
      </c>
      <c r="G46" s="7" t="s">
        <v>158</v>
      </c>
      <c r="H46" s="8">
        <v>5502379</v>
      </c>
      <c r="I46" s="8">
        <v>1181</v>
      </c>
      <c r="J46" s="7" t="s">
        <v>20</v>
      </c>
      <c r="K46" s="7" t="s">
        <v>159</v>
      </c>
      <c r="L46" s="8">
        <v>84</v>
      </c>
      <c r="M46" s="8">
        <v>260713</v>
      </c>
      <c r="N46" s="7"/>
      <c r="O46" s="8">
        <v>389999</v>
      </c>
      <c r="P46" s="7"/>
      <c r="Q46" s="8">
        <v>340353</v>
      </c>
      <c r="R46" s="7"/>
      <c r="S46" s="8">
        <v>178005</v>
      </c>
      <c r="T46" s="7"/>
      <c r="U46" s="8">
        <v>34014</v>
      </c>
      <c r="V46" s="7"/>
      <c r="W46" s="33">
        <v>1203084</v>
      </c>
      <c r="X46" s="7"/>
      <c r="Y46" s="30">
        <v>126</v>
      </c>
      <c r="Z46" s="7"/>
      <c r="AA46" s="30">
        <v>198</v>
      </c>
      <c r="AB46" s="7"/>
      <c r="AC46" s="30">
        <v>165</v>
      </c>
      <c r="AD46" s="7"/>
      <c r="AE46" s="30">
        <v>98</v>
      </c>
      <c r="AF46" s="7"/>
      <c r="AG46" s="30">
        <v>15</v>
      </c>
      <c r="AI46" s="32">
        <v>602</v>
      </c>
      <c r="AK46" s="7" t="str">
        <f t="shared" si="0"/>
        <v>No</v>
      </c>
    </row>
    <row r="47" spans="1:37">
      <c r="A47" s="7" t="s">
        <v>493</v>
      </c>
      <c r="B47" s="7" t="s">
        <v>494</v>
      </c>
      <c r="C47" s="7" t="s">
        <v>32</v>
      </c>
      <c r="D47" s="302">
        <v>4034</v>
      </c>
      <c r="E47" s="297">
        <v>40034</v>
      </c>
      <c r="F47" s="7" t="s">
        <v>162</v>
      </c>
      <c r="G47" s="7" t="s">
        <v>158</v>
      </c>
      <c r="H47" s="8">
        <v>5502379</v>
      </c>
      <c r="I47" s="8">
        <v>1181</v>
      </c>
      <c r="J47" s="7" t="s">
        <v>34</v>
      </c>
      <c r="K47" s="7" t="s">
        <v>159</v>
      </c>
      <c r="L47" s="8">
        <v>23</v>
      </c>
      <c r="M47" s="8">
        <v>56219</v>
      </c>
      <c r="N47" s="7"/>
      <c r="O47" s="8">
        <v>168833</v>
      </c>
      <c r="P47" s="7"/>
      <c r="Q47" s="8">
        <v>104241</v>
      </c>
      <c r="R47" s="7"/>
      <c r="S47" s="8">
        <v>51649</v>
      </c>
      <c r="T47" s="7"/>
      <c r="U47" s="8">
        <v>0</v>
      </c>
      <c r="V47" s="7"/>
      <c r="W47" s="33">
        <v>380942</v>
      </c>
      <c r="X47" s="7"/>
      <c r="Y47" s="30">
        <v>34</v>
      </c>
      <c r="Z47" s="7"/>
      <c r="AA47" s="30">
        <v>76</v>
      </c>
      <c r="AB47" s="7"/>
      <c r="AC47" s="30">
        <v>47</v>
      </c>
      <c r="AD47" s="7"/>
      <c r="AE47" s="30">
        <v>27</v>
      </c>
      <c r="AF47" s="7"/>
      <c r="AG47" s="30">
        <v>0</v>
      </c>
      <c r="AI47" s="32">
        <v>184</v>
      </c>
      <c r="AK47" s="7" t="str">
        <f t="shared" si="0"/>
        <v>No</v>
      </c>
    </row>
    <row r="48" spans="1:37">
      <c r="A48" s="7" t="s">
        <v>478</v>
      </c>
      <c r="B48" s="7" t="s">
        <v>479</v>
      </c>
      <c r="C48" s="7" t="s">
        <v>70</v>
      </c>
      <c r="D48" s="302">
        <v>2078</v>
      </c>
      <c r="E48" s="297">
        <v>20078</v>
      </c>
      <c r="F48" s="7" t="s">
        <v>240</v>
      </c>
      <c r="G48" s="7" t="s">
        <v>158</v>
      </c>
      <c r="H48" s="8">
        <v>18351295</v>
      </c>
      <c r="I48" s="8">
        <v>1175</v>
      </c>
      <c r="J48" s="7" t="s">
        <v>41</v>
      </c>
      <c r="K48" s="7" t="s">
        <v>159</v>
      </c>
      <c r="L48" s="8">
        <v>1164</v>
      </c>
      <c r="M48" s="8">
        <v>3697556</v>
      </c>
      <c r="N48" s="7"/>
      <c r="O48" s="8">
        <v>2740059</v>
      </c>
      <c r="P48" s="7"/>
      <c r="Q48" s="8">
        <v>3470029</v>
      </c>
      <c r="R48" s="7"/>
      <c r="S48" s="8">
        <v>912253</v>
      </c>
      <c r="T48" s="7"/>
      <c r="U48" s="8">
        <v>695226</v>
      </c>
      <c r="V48" s="7"/>
      <c r="W48" s="33">
        <v>11515123</v>
      </c>
      <c r="X48" s="7"/>
      <c r="Y48" s="30">
        <v>1716</v>
      </c>
      <c r="Z48" s="7"/>
      <c r="AA48" s="30">
        <v>1723</v>
      </c>
      <c r="AB48" s="7"/>
      <c r="AC48" s="30">
        <v>2081</v>
      </c>
      <c r="AD48" s="7"/>
      <c r="AE48" s="30">
        <v>476</v>
      </c>
      <c r="AF48" s="7"/>
      <c r="AG48" s="30">
        <v>381</v>
      </c>
      <c r="AI48" s="32">
        <v>6377</v>
      </c>
      <c r="AK48" s="7" t="str">
        <f t="shared" si="0"/>
        <v>No</v>
      </c>
    </row>
    <row r="49" spans="1:37">
      <c r="A49" s="7" t="s">
        <v>723</v>
      </c>
      <c r="B49" s="7" t="s">
        <v>479</v>
      </c>
      <c r="C49" s="7" t="s">
        <v>70</v>
      </c>
      <c r="D49" s="302">
        <v>2188</v>
      </c>
      <c r="E49" s="297">
        <v>20188</v>
      </c>
      <c r="F49" s="7" t="s">
        <v>240</v>
      </c>
      <c r="G49" s="7" t="s">
        <v>158</v>
      </c>
      <c r="H49" s="8">
        <v>18351295</v>
      </c>
      <c r="I49" s="8">
        <v>1093</v>
      </c>
      <c r="J49" s="7" t="s">
        <v>7</v>
      </c>
      <c r="K49" s="7" t="s">
        <v>159</v>
      </c>
      <c r="L49" s="8">
        <v>1093</v>
      </c>
      <c r="M49" s="8">
        <v>5941823</v>
      </c>
      <c r="N49" s="7"/>
      <c r="O49" s="8">
        <v>2382377</v>
      </c>
      <c r="P49" s="7"/>
      <c r="Q49" s="8">
        <v>207907</v>
      </c>
      <c r="R49" s="7"/>
      <c r="S49" s="8">
        <v>248788</v>
      </c>
      <c r="T49" s="7"/>
      <c r="U49" s="8">
        <v>49886</v>
      </c>
      <c r="V49" s="7"/>
      <c r="W49" s="33">
        <v>8830781</v>
      </c>
      <c r="X49" s="7"/>
      <c r="Y49" s="30">
        <v>2716</v>
      </c>
      <c r="Z49" s="7"/>
      <c r="AA49" s="30">
        <v>1070</v>
      </c>
      <c r="AB49" s="7"/>
      <c r="AC49" s="30">
        <v>85</v>
      </c>
      <c r="AD49" s="7"/>
      <c r="AE49" s="30">
        <v>179</v>
      </c>
      <c r="AF49" s="7"/>
      <c r="AG49" s="30">
        <v>24</v>
      </c>
      <c r="AI49" s="32">
        <v>4074</v>
      </c>
      <c r="AK49" s="7" t="str">
        <f t="shared" si="0"/>
        <v>No</v>
      </c>
    </row>
    <row r="50" spans="1:37">
      <c r="A50" s="7" t="s">
        <v>671</v>
      </c>
      <c r="B50" s="7" t="s">
        <v>672</v>
      </c>
      <c r="C50" s="7" t="s">
        <v>85</v>
      </c>
      <c r="D50" s="302">
        <v>8001</v>
      </c>
      <c r="E50" s="297">
        <v>80001</v>
      </c>
      <c r="F50" s="7" t="s">
        <v>165</v>
      </c>
      <c r="G50" s="7" t="s">
        <v>158</v>
      </c>
      <c r="H50" s="8">
        <v>1021243</v>
      </c>
      <c r="I50" s="8">
        <v>1087</v>
      </c>
      <c r="J50" s="7" t="s">
        <v>8</v>
      </c>
      <c r="K50" s="7" t="s">
        <v>159</v>
      </c>
      <c r="L50" s="8">
        <v>406</v>
      </c>
      <c r="M50" s="8">
        <v>0</v>
      </c>
      <c r="N50" s="7"/>
      <c r="O50" s="8">
        <v>0</v>
      </c>
      <c r="P50" s="7"/>
      <c r="Q50" s="8">
        <v>3124</v>
      </c>
      <c r="R50" s="7"/>
      <c r="S50" s="8">
        <v>19539</v>
      </c>
      <c r="T50" s="7"/>
      <c r="U50" s="8">
        <v>542</v>
      </c>
      <c r="V50" s="7"/>
      <c r="W50" s="33">
        <v>23205</v>
      </c>
      <c r="X50" s="7"/>
      <c r="Y50" s="30">
        <v>0</v>
      </c>
      <c r="Z50" s="7"/>
      <c r="AA50" s="30">
        <v>0</v>
      </c>
      <c r="AB50" s="7"/>
      <c r="AC50" s="30">
        <v>1.7</v>
      </c>
      <c r="AD50" s="7"/>
      <c r="AE50" s="30">
        <v>10.7</v>
      </c>
      <c r="AF50" s="7"/>
      <c r="AG50" s="30">
        <v>1</v>
      </c>
      <c r="AI50" s="32">
        <v>13.4</v>
      </c>
      <c r="AK50" s="7" t="str">
        <f t="shared" si="0"/>
        <v>No</v>
      </c>
    </row>
    <row r="51" spans="1:37">
      <c r="A51" s="7" t="s">
        <v>671</v>
      </c>
      <c r="B51" s="7" t="s">
        <v>672</v>
      </c>
      <c r="C51" s="7" t="s">
        <v>85</v>
      </c>
      <c r="D51" s="302">
        <v>8001</v>
      </c>
      <c r="E51" s="297">
        <v>80001</v>
      </c>
      <c r="F51" s="7" t="s">
        <v>165</v>
      </c>
      <c r="G51" s="7" t="s">
        <v>158</v>
      </c>
      <c r="H51" s="8">
        <v>1021243</v>
      </c>
      <c r="I51" s="8">
        <v>1087</v>
      </c>
      <c r="J51" s="7" t="s">
        <v>7</v>
      </c>
      <c r="K51" s="7" t="s">
        <v>159</v>
      </c>
      <c r="L51" s="8">
        <v>391</v>
      </c>
      <c r="M51" s="8">
        <v>1453246</v>
      </c>
      <c r="N51" s="7"/>
      <c r="O51" s="8">
        <v>436248</v>
      </c>
      <c r="P51" s="7"/>
      <c r="Q51" s="8">
        <v>289595</v>
      </c>
      <c r="R51" s="7"/>
      <c r="S51" s="8">
        <v>287740</v>
      </c>
      <c r="T51" s="7"/>
      <c r="U51" s="8">
        <v>37152</v>
      </c>
      <c r="V51" s="7"/>
      <c r="W51" s="33">
        <v>2503981</v>
      </c>
      <c r="X51" s="7"/>
      <c r="Y51" s="30">
        <v>705.1</v>
      </c>
      <c r="Z51" s="7"/>
      <c r="AA51" s="30">
        <v>223.6</v>
      </c>
      <c r="AB51" s="7"/>
      <c r="AC51" s="30">
        <v>150.6</v>
      </c>
      <c r="AD51" s="7"/>
      <c r="AE51" s="30">
        <v>154.6</v>
      </c>
      <c r="AF51" s="7"/>
      <c r="AG51" s="30">
        <v>19.2</v>
      </c>
      <c r="AI51" s="32">
        <v>1253.0999999999999</v>
      </c>
      <c r="AK51" s="7" t="str">
        <f t="shared" si="0"/>
        <v>No</v>
      </c>
    </row>
    <row r="52" spans="1:37">
      <c r="A52" s="7" t="s">
        <v>671</v>
      </c>
      <c r="B52" s="7" t="s">
        <v>672</v>
      </c>
      <c r="C52" s="7" t="s">
        <v>85</v>
      </c>
      <c r="D52" s="302">
        <v>8001</v>
      </c>
      <c r="E52" s="297">
        <v>80001</v>
      </c>
      <c r="F52" s="7" t="s">
        <v>165</v>
      </c>
      <c r="G52" s="7" t="s">
        <v>158</v>
      </c>
      <c r="H52" s="8">
        <v>1021243</v>
      </c>
      <c r="I52" s="8">
        <v>1087</v>
      </c>
      <c r="J52" s="7" t="s">
        <v>21</v>
      </c>
      <c r="K52" s="7" t="s">
        <v>159</v>
      </c>
      <c r="L52" s="8">
        <v>91</v>
      </c>
      <c r="M52" s="8">
        <v>409909</v>
      </c>
      <c r="N52" s="7"/>
      <c r="O52" s="8">
        <v>236133</v>
      </c>
      <c r="P52" s="7"/>
      <c r="Q52" s="8">
        <v>201155</v>
      </c>
      <c r="R52" s="7"/>
      <c r="S52" s="8">
        <v>122433</v>
      </c>
      <c r="T52" s="7"/>
      <c r="U52" s="8">
        <v>16030</v>
      </c>
      <c r="V52" s="7"/>
      <c r="W52" s="33">
        <v>985660</v>
      </c>
      <c r="X52" s="7"/>
      <c r="Y52" s="30">
        <v>212.6</v>
      </c>
      <c r="Z52" s="7"/>
      <c r="AA52" s="30">
        <v>117</v>
      </c>
      <c r="AB52" s="7"/>
      <c r="AC52" s="30">
        <v>106</v>
      </c>
      <c r="AD52" s="7"/>
      <c r="AE52" s="30">
        <v>65.400000000000006</v>
      </c>
      <c r="AF52" s="7"/>
      <c r="AG52" s="30">
        <v>18.3</v>
      </c>
      <c r="AI52" s="32">
        <v>519.29999999999995</v>
      </c>
      <c r="AK52" s="7" t="str">
        <f t="shared" si="0"/>
        <v>No</v>
      </c>
    </row>
    <row r="53" spans="1:37">
      <c r="A53" s="7" t="s">
        <v>671</v>
      </c>
      <c r="B53" s="7" t="s">
        <v>672</v>
      </c>
      <c r="C53" s="7" t="s">
        <v>85</v>
      </c>
      <c r="D53" s="302">
        <v>8001</v>
      </c>
      <c r="E53" s="297">
        <v>80001</v>
      </c>
      <c r="F53" s="7" t="s">
        <v>165</v>
      </c>
      <c r="G53" s="7" t="s">
        <v>158</v>
      </c>
      <c r="H53" s="8">
        <v>1021243</v>
      </c>
      <c r="I53" s="8">
        <v>1087</v>
      </c>
      <c r="J53" s="7" t="s">
        <v>10</v>
      </c>
      <c r="K53" s="7" t="s">
        <v>159</v>
      </c>
      <c r="L53" s="8">
        <v>61</v>
      </c>
      <c r="M53" s="8">
        <v>197331</v>
      </c>
      <c r="N53" s="7"/>
      <c r="O53" s="8">
        <v>41466</v>
      </c>
      <c r="P53" s="7"/>
      <c r="Q53" s="8">
        <v>26218</v>
      </c>
      <c r="R53" s="7"/>
      <c r="S53" s="8">
        <v>32282</v>
      </c>
      <c r="T53" s="7"/>
      <c r="U53" s="8">
        <v>4161</v>
      </c>
      <c r="V53" s="7"/>
      <c r="W53" s="33">
        <v>301458</v>
      </c>
      <c r="X53" s="7"/>
      <c r="Y53" s="30">
        <v>140</v>
      </c>
      <c r="Z53" s="7"/>
      <c r="AA53" s="30">
        <v>24</v>
      </c>
      <c r="AB53" s="7"/>
      <c r="AC53" s="30">
        <v>14.1</v>
      </c>
      <c r="AD53" s="7"/>
      <c r="AE53" s="30">
        <v>17.5</v>
      </c>
      <c r="AF53" s="7"/>
      <c r="AG53" s="30">
        <v>2.2000000000000002</v>
      </c>
      <c r="AI53" s="32">
        <v>197.8</v>
      </c>
      <c r="AK53" s="7" t="str">
        <f t="shared" si="0"/>
        <v>No</v>
      </c>
    </row>
    <row r="54" spans="1:37">
      <c r="A54" s="7" t="s">
        <v>671</v>
      </c>
      <c r="B54" s="7" t="s">
        <v>672</v>
      </c>
      <c r="C54" s="7" t="s">
        <v>85</v>
      </c>
      <c r="D54" s="302">
        <v>8001</v>
      </c>
      <c r="E54" s="297">
        <v>80001</v>
      </c>
      <c r="F54" s="7" t="s">
        <v>165</v>
      </c>
      <c r="G54" s="7" t="s">
        <v>158</v>
      </c>
      <c r="H54" s="8">
        <v>1021243</v>
      </c>
      <c r="I54" s="8">
        <v>1087</v>
      </c>
      <c r="J54" s="7" t="s">
        <v>41</v>
      </c>
      <c r="K54" s="7" t="s">
        <v>159</v>
      </c>
      <c r="L54" s="8">
        <v>45</v>
      </c>
      <c r="M54" s="8">
        <v>183948</v>
      </c>
      <c r="N54" s="7"/>
      <c r="O54" s="8">
        <v>61730</v>
      </c>
      <c r="P54" s="7"/>
      <c r="Q54" s="8">
        <v>162919</v>
      </c>
      <c r="R54" s="7"/>
      <c r="S54" s="8">
        <v>75907</v>
      </c>
      <c r="T54" s="7"/>
      <c r="U54" s="8">
        <v>12982</v>
      </c>
      <c r="V54" s="7"/>
      <c r="W54" s="33">
        <v>497486</v>
      </c>
      <c r="X54" s="7"/>
      <c r="Y54" s="30">
        <v>85</v>
      </c>
      <c r="Z54" s="7"/>
      <c r="AA54" s="30">
        <v>33</v>
      </c>
      <c r="AB54" s="7"/>
      <c r="AC54" s="30">
        <v>85.9</v>
      </c>
      <c r="AD54" s="7"/>
      <c r="AE54" s="30">
        <v>40</v>
      </c>
      <c r="AF54" s="7"/>
      <c r="AG54" s="30">
        <v>16.7</v>
      </c>
      <c r="AI54" s="32">
        <v>260.60000000000002</v>
      </c>
      <c r="AK54" s="7" t="str">
        <f t="shared" si="0"/>
        <v>No</v>
      </c>
    </row>
    <row r="55" spans="1:37">
      <c r="A55" s="7" t="s">
        <v>671</v>
      </c>
      <c r="B55" s="7" t="s">
        <v>672</v>
      </c>
      <c r="C55" s="7" t="s">
        <v>85</v>
      </c>
      <c r="D55" s="302">
        <v>8001</v>
      </c>
      <c r="E55" s="297">
        <v>80001</v>
      </c>
      <c r="F55" s="7" t="s">
        <v>165</v>
      </c>
      <c r="G55" s="7" t="s">
        <v>158</v>
      </c>
      <c r="H55" s="8">
        <v>1021243</v>
      </c>
      <c r="I55" s="8">
        <v>1087</v>
      </c>
      <c r="J55" s="7" t="s">
        <v>18</v>
      </c>
      <c r="K55" s="7" t="s">
        <v>159</v>
      </c>
      <c r="L55" s="8">
        <v>43</v>
      </c>
      <c r="M55" s="8">
        <v>87211</v>
      </c>
      <c r="N55" s="7"/>
      <c r="O55" s="8">
        <v>26754</v>
      </c>
      <c r="P55" s="7"/>
      <c r="Q55" s="8">
        <v>18667</v>
      </c>
      <c r="R55" s="7"/>
      <c r="S55" s="8">
        <v>18178</v>
      </c>
      <c r="T55" s="7"/>
      <c r="U55" s="8">
        <v>2396</v>
      </c>
      <c r="V55" s="7"/>
      <c r="W55" s="33">
        <v>153206</v>
      </c>
      <c r="X55" s="7"/>
      <c r="Y55" s="30">
        <v>45.4</v>
      </c>
      <c r="Z55" s="7"/>
      <c r="AA55" s="30">
        <v>14.4</v>
      </c>
      <c r="AB55" s="7"/>
      <c r="AC55" s="30">
        <v>9.6999999999999993</v>
      </c>
      <c r="AD55" s="7"/>
      <c r="AE55" s="30">
        <v>9.8000000000000007</v>
      </c>
      <c r="AF55" s="7"/>
      <c r="AG55" s="30">
        <v>8</v>
      </c>
      <c r="AI55" s="32">
        <v>87.3</v>
      </c>
      <c r="AK55" s="7" t="str">
        <f t="shared" si="0"/>
        <v>No</v>
      </c>
    </row>
    <row r="56" spans="1:37">
      <c r="A56" s="7" t="s">
        <v>344</v>
      </c>
      <c r="B56" s="7" t="s">
        <v>345</v>
      </c>
      <c r="C56" s="7" t="s">
        <v>84</v>
      </c>
      <c r="D56" s="302">
        <v>6056</v>
      </c>
      <c r="E56" s="297">
        <v>60056</v>
      </c>
      <c r="F56" s="7" t="s">
        <v>165</v>
      </c>
      <c r="G56" s="7" t="s">
        <v>158</v>
      </c>
      <c r="H56" s="8">
        <v>5121892</v>
      </c>
      <c r="I56" s="8">
        <v>1069</v>
      </c>
      <c r="J56" s="7" t="s">
        <v>7</v>
      </c>
      <c r="K56" s="7" t="s">
        <v>159</v>
      </c>
      <c r="L56" s="8">
        <v>533</v>
      </c>
      <c r="M56" s="8">
        <v>3515116</v>
      </c>
      <c r="N56" s="7"/>
      <c r="O56" s="8">
        <v>802901</v>
      </c>
      <c r="P56" s="7"/>
      <c r="Q56" s="8">
        <v>152078</v>
      </c>
      <c r="R56" s="7"/>
      <c r="S56" s="8">
        <v>407087</v>
      </c>
      <c r="T56" s="7"/>
      <c r="U56" s="8">
        <v>16867</v>
      </c>
      <c r="V56" s="7"/>
      <c r="W56" s="33">
        <v>4894049</v>
      </c>
      <c r="X56" s="7"/>
      <c r="Y56" s="30">
        <v>1610</v>
      </c>
      <c r="Z56" s="7"/>
      <c r="AA56" s="30">
        <v>419</v>
      </c>
      <c r="AB56" s="7"/>
      <c r="AC56" s="30">
        <v>89</v>
      </c>
      <c r="AD56" s="7"/>
      <c r="AE56" s="30">
        <v>238</v>
      </c>
      <c r="AF56" s="7"/>
      <c r="AG56" s="30">
        <v>10</v>
      </c>
      <c r="AI56" s="32">
        <v>2366</v>
      </c>
      <c r="AK56" s="7" t="str">
        <f t="shared" si="0"/>
        <v>No</v>
      </c>
    </row>
    <row r="57" spans="1:37">
      <c r="A57" s="7" t="s">
        <v>344</v>
      </c>
      <c r="B57" s="7" t="s">
        <v>345</v>
      </c>
      <c r="C57" s="7" t="s">
        <v>84</v>
      </c>
      <c r="D57" s="302">
        <v>6056</v>
      </c>
      <c r="E57" s="297">
        <v>60056</v>
      </c>
      <c r="F57" s="7" t="s">
        <v>165</v>
      </c>
      <c r="G57" s="7" t="s">
        <v>158</v>
      </c>
      <c r="H57" s="8">
        <v>5121892</v>
      </c>
      <c r="I57" s="8">
        <v>1069</v>
      </c>
      <c r="J57" s="7" t="s">
        <v>21</v>
      </c>
      <c r="K57" s="7" t="s">
        <v>159</v>
      </c>
      <c r="L57" s="8">
        <v>104</v>
      </c>
      <c r="M57" s="8">
        <v>1076378</v>
      </c>
      <c r="N57" s="7"/>
      <c r="O57" s="8">
        <v>404139</v>
      </c>
      <c r="P57" s="7"/>
      <c r="Q57" s="8">
        <v>583863</v>
      </c>
      <c r="R57" s="7"/>
      <c r="S57" s="8">
        <v>286679</v>
      </c>
      <c r="T57" s="7"/>
      <c r="U57" s="8">
        <v>51360</v>
      </c>
      <c r="V57" s="7"/>
      <c r="W57" s="33">
        <v>2402419</v>
      </c>
      <c r="X57" s="7"/>
      <c r="Y57" s="30">
        <v>617</v>
      </c>
      <c r="Z57" s="7"/>
      <c r="AA57" s="30">
        <v>211</v>
      </c>
      <c r="AB57" s="7"/>
      <c r="AC57" s="30">
        <v>316</v>
      </c>
      <c r="AD57" s="7"/>
      <c r="AE57" s="30">
        <v>161</v>
      </c>
      <c r="AF57" s="7"/>
      <c r="AG57" s="30">
        <v>29</v>
      </c>
      <c r="AI57" s="32">
        <v>1334</v>
      </c>
      <c r="AK57" s="7" t="str">
        <f t="shared" si="0"/>
        <v>No</v>
      </c>
    </row>
    <row r="58" spans="1:37">
      <c r="A58" s="7" t="s">
        <v>344</v>
      </c>
      <c r="B58" s="7" t="s">
        <v>345</v>
      </c>
      <c r="C58" s="7" t="s">
        <v>84</v>
      </c>
      <c r="D58" s="302">
        <v>6056</v>
      </c>
      <c r="E58" s="297">
        <v>60056</v>
      </c>
      <c r="F58" s="7" t="s">
        <v>165</v>
      </c>
      <c r="G58" s="7" t="s">
        <v>158</v>
      </c>
      <c r="H58" s="8">
        <v>5121892</v>
      </c>
      <c r="I58" s="8">
        <v>1069</v>
      </c>
      <c r="J58" s="7" t="s">
        <v>12</v>
      </c>
      <c r="K58" s="7" t="s">
        <v>159</v>
      </c>
      <c r="L58" s="8">
        <v>2</v>
      </c>
      <c r="M58" s="8">
        <v>0</v>
      </c>
      <c r="N58" s="7"/>
      <c r="O58" s="8">
        <v>0</v>
      </c>
      <c r="P58" s="7"/>
      <c r="Q58" s="8">
        <v>0</v>
      </c>
      <c r="R58" s="7"/>
      <c r="S58" s="8">
        <v>0</v>
      </c>
      <c r="T58" s="7"/>
      <c r="U58" s="8">
        <v>0</v>
      </c>
      <c r="V58" s="7"/>
      <c r="W58" s="33">
        <v>0</v>
      </c>
      <c r="X58" s="7"/>
      <c r="Y58" s="30">
        <v>0</v>
      </c>
      <c r="Z58" s="7"/>
      <c r="AA58" s="30">
        <v>0</v>
      </c>
      <c r="AB58" s="7"/>
      <c r="AC58" s="30">
        <v>0</v>
      </c>
      <c r="AD58" s="7"/>
      <c r="AE58" s="30">
        <v>0</v>
      </c>
      <c r="AF58" s="7"/>
      <c r="AG58" s="30">
        <v>0</v>
      </c>
      <c r="AI58" s="32">
        <v>0</v>
      </c>
      <c r="AK58" s="7" t="str">
        <f t="shared" si="0"/>
        <v>No</v>
      </c>
    </row>
    <row r="59" spans="1:37">
      <c r="A59" s="7" t="s">
        <v>522</v>
      </c>
      <c r="B59" s="7" t="s">
        <v>280</v>
      </c>
      <c r="C59" s="7" t="s">
        <v>40</v>
      </c>
      <c r="D59" s="302">
        <v>5118</v>
      </c>
      <c r="E59" s="297">
        <v>50118</v>
      </c>
      <c r="F59" s="7" t="s">
        <v>165</v>
      </c>
      <c r="G59" s="7" t="s">
        <v>158</v>
      </c>
      <c r="H59" s="8">
        <v>8608208</v>
      </c>
      <c r="I59" s="8">
        <v>1061</v>
      </c>
      <c r="J59" s="7" t="s">
        <v>41</v>
      </c>
      <c r="K59" s="7" t="s">
        <v>159</v>
      </c>
      <c r="L59" s="8">
        <v>1061</v>
      </c>
      <c r="M59" s="8">
        <v>3582260</v>
      </c>
      <c r="N59" s="7"/>
      <c r="O59" s="8">
        <v>2353720</v>
      </c>
      <c r="P59" s="7"/>
      <c r="Q59" s="8">
        <v>1768162</v>
      </c>
      <c r="R59" s="7"/>
      <c r="S59" s="8">
        <v>780435</v>
      </c>
      <c r="T59" s="7"/>
      <c r="U59" s="8">
        <v>951600</v>
      </c>
      <c r="V59" s="7"/>
      <c r="W59" s="33">
        <v>9436177</v>
      </c>
      <c r="X59" s="7"/>
      <c r="Y59" s="30">
        <v>1714</v>
      </c>
      <c r="Z59" s="7"/>
      <c r="AA59" s="30">
        <v>1304</v>
      </c>
      <c r="AB59" s="7"/>
      <c r="AC59" s="30">
        <v>898</v>
      </c>
      <c r="AD59" s="7"/>
      <c r="AE59" s="30">
        <v>423</v>
      </c>
      <c r="AF59" s="7"/>
      <c r="AG59" s="30">
        <v>488</v>
      </c>
      <c r="AI59" s="32">
        <v>4827</v>
      </c>
      <c r="AK59" s="7" t="str">
        <f t="shared" si="0"/>
        <v>No</v>
      </c>
    </row>
    <row r="60" spans="1:37">
      <c r="A60" s="7" t="s">
        <v>452</v>
      </c>
      <c r="B60" s="7" t="s">
        <v>453</v>
      </c>
      <c r="C60" s="7" t="s">
        <v>70</v>
      </c>
      <c r="D60" s="302">
        <v>2100</v>
      </c>
      <c r="E60" s="297">
        <v>20100</v>
      </c>
      <c r="F60" s="7" t="s">
        <v>240</v>
      </c>
      <c r="G60" s="7" t="s">
        <v>158</v>
      </c>
      <c r="H60" s="8">
        <v>18351295</v>
      </c>
      <c r="I60" s="8">
        <v>1020</v>
      </c>
      <c r="J60" s="7" t="s">
        <v>41</v>
      </c>
      <c r="K60" s="7" t="s">
        <v>159</v>
      </c>
      <c r="L60" s="8">
        <v>1020</v>
      </c>
      <c r="M60" s="8">
        <v>4693521</v>
      </c>
      <c r="N60" s="7"/>
      <c r="O60" s="8">
        <v>4432342</v>
      </c>
      <c r="P60" s="7"/>
      <c r="Q60" s="8">
        <v>2893860</v>
      </c>
      <c r="R60" s="7"/>
      <c r="S60" s="8">
        <v>857786</v>
      </c>
      <c r="T60" s="7"/>
      <c r="U60" s="8">
        <v>2444976</v>
      </c>
      <c r="V60" s="7"/>
      <c r="W60" s="33">
        <v>15322485</v>
      </c>
      <c r="X60" s="7"/>
      <c r="Y60" s="30">
        <v>2179</v>
      </c>
      <c r="Z60" s="7"/>
      <c r="AA60" s="30">
        <v>2054</v>
      </c>
      <c r="AB60" s="7"/>
      <c r="AC60" s="30">
        <v>1483</v>
      </c>
      <c r="AD60" s="7"/>
      <c r="AE60" s="30">
        <v>454</v>
      </c>
      <c r="AF60" s="7"/>
      <c r="AG60" s="30">
        <v>944</v>
      </c>
      <c r="AI60" s="32">
        <v>7114</v>
      </c>
      <c r="AK60" s="7" t="str">
        <f t="shared" si="0"/>
        <v>No</v>
      </c>
    </row>
    <row r="61" spans="1:37">
      <c r="A61" s="7" t="s">
        <v>480</v>
      </c>
      <c r="B61" s="7" t="s">
        <v>481</v>
      </c>
      <c r="C61" s="7" t="s">
        <v>36</v>
      </c>
      <c r="D61" s="302">
        <v>4022</v>
      </c>
      <c r="E61" s="297">
        <v>40022</v>
      </c>
      <c r="F61" s="7" t="s">
        <v>165</v>
      </c>
      <c r="G61" s="7" t="s">
        <v>158</v>
      </c>
      <c r="H61" s="8">
        <v>4515419</v>
      </c>
      <c r="I61" s="8">
        <v>1011</v>
      </c>
      <c r="J61" s="7" t="s">
        <v>7</v>
      </c>
      <c r="K61" s="7" t="s">
        <v>159</v>
      </c>
      <c r="L61" s="8">
        <v>465</v>
      </c>
      <c r="M61" s="8">
        <v>2794636</v>
      </c>
      <c r="N61" s="7"/>
      <c r="O61" s="8">
        <v>711449</v>
      </c>
      <c r="P61" s="7"/>
      <c r="Q61" s="8">
        <v>211795</v>
      </c>
      <c r="R61" s="7"/>
      <c r="S61" s="8">
        <v>679422</v>
      </c>
      <c r="T61" s="7"/>
      <c r="U61" s="8">
        <v>128</v>
      </c>
      <c r="V61" s="7"/>
      <c r="W61" s="33">
        <v>4397430</v>
      </c>
      <c r="X61" s="7"/>
      <c r="Y61" s="30">
        <v>1506.06</v>
      </c>
      <c r="Z61" s="7"/>
      <c r="AA61" s="30">
        <v>327</v>
      </c>
      <c r="AB61" s="7"/>
      <c r="AC61" s="30">
        <v>109.49</v>
      </c>
      <c r="AD61" s="7"/>
      <c r="AE61" s="30">
        <v>311.13</v>
      </c>
      <c r="AF61" s="7"/>
      <c r="AG61" s="30">
        <v>0.08</v>
      </c>
      <c r="AI61" s="32">
        <v>2253.7600000000002</v>
      </c>
      <c r="AK61" s="7" t="str">
        <f t="shared" si="0"/>
        <v>No</v>
      </c>
    </row>
    <row r="62" spans="1:37">
      <c r="A62" s="7" t="s">
        <v>480</v>
      </c>
      <c r="B62" s="7" t="s">
        <v>481</v>
      </c>
      <c r="C62" s="7" t="s">
        <v>36</v>
      </c>
      <c r="D62" s="302">
        <v>4022</v>
      </c>
      <c r="E62" s="297">
        <v>40022</v>
      </c>
      <c r="F62" s="7" t="s">
        <v>165</v>
      </c>
      <c r="G62" s="7" t="s">
        <v>158</v>
      </c>
      <c r="H62" s="8">
        <v>4515419</v>
      </c>
      <c r="I62" s="8">
        <v>1011</v>
      </c>
      <c r="J62" s="7" t="s">
        <v>20</v>
      </c>
      <c r="K62" s="7" t="s">
        <v>159</v>
      </c>
      <c r="L62" s="8">
        <v>208</v>
      </c>
      <c r="M62" s="8">
        <v>1575677</v>
      </c>
      <c r="N62" s="7"/>
      <c r="O62" s="8">
        <v>608719</v>
      </c>
      <c r="P62" s="7"/>
      <c r="Q62" s="8">
        <v>923524</v>
      </c>
      <c r="R62" s="7"/>
      <c r="S62" s="8">
        <v>782093</v>
      </c>
      <c r="T62" s="7"/>
      <c r="U62" s="8">
        <v>35519</v>
      </c>
      <c r="V62" s="7"/>
      <c r="W62" s="33">
        <v>3925532</v>
      </c>
      <c r="X62" s="7"/>
      <c r="Y62" s="30">
        <v>687.76</v>
      </c>
      <c r="Z62" s="7"/>
      <c r="AA62" s="30">
        <v>256</v>
      </c>
      <c r="AB62" s="7"/>
      <c r="AC62" s="30">
        <v>453.3</v>
      </c>
      <c r="AD62" s="7"/>
      <c r="AE62" s="30">
        <v>356.3</v>
      </c>
      <c r="AF62" s="7"/>
      <c r="AG62" s="30">
        <v>16.28</v>
      </c>
      <c r="AI62" s="32">
        <v>1769.64</v>
      </c>
      <c r="AK62" s="7" t="str">
        <f t="shared" si="0"/>
        <v>No</v>
      </c>
    </row>
    <row r="63" spans="1:37">
      <c r="A63" s="7" t="s">
        <v>480</v>
      </c>
      <c r="B63" s="7" t="s">
        <v>481</v>
      </c>
      <c r="C63" s="7" t="s">
        <v>36</v>
      </c>
      <c r="D63" s="302">
        <v>4022</v>
      </c>
      <c r="E63" s="297">
        <v>40022</v>
      </c>
      <c r="F63" s="7" t="s">
        <v>165</v>
      </c>
      <c r="G63" s="7" t="s">
        <v>158</v>
      </c>
      <c r="H63" s="8">
        <v>4515419</v>
      </c>
      <c r="I63" s="8">
        <v>1011</v>
      </c>
      <c r="J63" s="7" t="s">
        <v>10</v>
      </c>
      <c r="K63" s="7" t="s">
        <v>159</v>
      </c>
      <c r="L63" s="8">
        <v>169</v>
      </c>
      <c r="M63" s="8">
        <v>542849</v>
      </c>
      <c r="N63" s="7"/>
      <c r="O63" s="8">
        <v>128335</v>
      </c>
      <c r="P63" s="7"/>
      <c r="Q63" s="8">
        <v>6199</v>
      </c>
      <c r="R63" s="7"/>
      <c r="S63" s="8">
        <v>46314</v>
      </c>
      <c r="T63" s="7"/>
      <c r="U63" s="8">
        <v>0</v>
      </c>
      <c r="V63" s="7"/>
      <c r="W63" s="33">
        <v>723697</v>
      </c>
      <c r="X63" s="7"/>
      <c r="Y63" s="30">
        <v>293.18</v>
      </c>
      <c r="Z63" s="7"/>
      <c r="AA63" s="30">
        <v>59</v>
      </c>
      <c r="AB63" s="7"/>
      <c r="AC63" s="30">
        <v>3.2</v>
      </c>
      <c r="AD63" s="7"/>
      <c r="AE63" s="30">
        <v>22.58</v>
      </c>
      <c r="AF63" s="7"/>
      <c r="AG63" s="30">
        <v>0</v>
      </c>
      <c r="AI63" s="32">
        <v>377.96</v>
      </c>
      <c r="AK63" s="7" t="str">
        <f t="shared" si="0"/>
        <v>No</v>
      </c>
    </row>
    <row r="64" spans="1:37">
      <c r="A64" s="7" t="s">
        <v>586</v>
      </c>
      <c r="B64" s="7" t="s">
        <v>386</v>
      </c>
      <c r="C64" s="7" t="s">
        <v>17</v>
      </c>
      <c r="D64" s="302">
        <v>9015</v>
      </c>
      <c r="E64" s="297">
        <v>90015</v>
      </c>
      <c r="F64" s="7" t="s">
        <v>162</v>
      </c>
      <c r="G64" s="7" t="s">
        <v>158</v>
      </c>
      <c r="H64" s="8">
        <v>3281212</v>
      </c>
      <c r="I64" s="8">
        <v>985</v>
      </c>
      <c r="J64" s="7" t="s">
        <v>7</v>
      </c>
      <c r="K64" s="7" t="s">
        <v>159</v>
      </c>
      <c r="L64" s="8">
        <v>475</v>
      </c>
      <c r="M64" s="8">
        <v>2763707</v>
      </c>
      <c r="N64" s="7"/>
      <c r="O64" s="8">
        <v>662602</v>
      </c>
      <c r="P64" s="7"/>
      <c r="Q64" s="8">
        <v>40768</v>
      </c>
      <c r="R64" s="7"/>
      <c r="S64" s="8">
        <v>169364</v>
      </c>
      <c r="T64" s="7"/>
      <c r="U64" s="8">
        <v>0</v>
      </c>
      <c r="V64" s="7"/>
      <c r="W64" s="33">
        <v>3636441</v>
      </c>
      <c r="X64" s="7"/>
      <c r="Y64" s="30">
        <v>1454</v>
      </c>
      <c r="Z64" s="7"/>
      <c r="AA64" s="30">
        <v>341</v>
      </c>
      <c r="AB64" s="7"/>
      <c r="AC64" s="30">
        <v>24</v>
      </c>
      <c r="AD64" s="7"/>
      <c r="AE64" s="30">
        <v>109</v>
      </c>
      <c r="AF64" s="7"/>
      <c r="AG64" s="30">
        <v>0</v>
      </c>
      <c r="AI64" s="32">
        <v>1928</v>
      </c>
      <c r="AK64" s="7" t="str">
        <f t="shared" si="0"/>
        <v>No</v>
      </c>
    </row>
    <row r="65" spans="1:37">
      <c r="A65" s="7" t="s">
        <v>586</v>
      </c>
      <c r="B65" s="7" t="s">
        <v>386</v>
      </c>
      <c r="C65" s="7" t="s">
        <v>17</v>
      </c>
      <c r="D65" s="302">
        <v>9015</v>
      </c>
      <c r="E65" s="297">
        <v>90015</v>
      </c>
      <c r="F65" s="7" t="s">
        <v>162</v>
      </c>
      <c r="G65" s="7" t="s">
        <v>158</v>
      </c>
      <c r="H65" s="8">
        <v>3281212</v>
      </c>
      <c r="I65" s="8">
        <v>985</v>
      </c>
      <c r="J65" s="7" t="s">
        <v>25</v>
      </c>
      <c r="K65" s="7" t="s">
        <v>159</v>
      </c>
      <c r="L65" s="8">
        <v>196</v>
      </c>
      <c r="M65" s="8">
        <v>1521384</v>
      </c>
      <c r="N65" s="7"/>
      <c r="O65" s="8">
        <v>278748</v>
      </c>
      <c r="P65" s="7"/>
      <c r="Q65" s="8">
        <v>170176</v>
      </c>
      <c r="R65" s="7"/>
      <c r="S65" s="8">
        <v>80629</v>
      </c>
      <c r="T65" s="7"/>
      <c r="U65" s="8">
        <v>0</v>
      </c>
      <c r="V65" s="7"/>
      <c r="W65" s="33">
        <v>2050937</v>
      </c>
      <c r="X65" s="7"/>
      <c r="Y65" s="30">
        <v>766</v>
      </c>
      <c r="Z65" s="7"/>
      <c r="AA65" s="30">
        <v>145</v>
      </c>
      <c r="AB65" s="7"/>
      <c r="AC65" s="30">
        <v>80</v>
      </c>
      <c r="AD65" s="7"/>
      <c r="AE65" s="30">
        <v>53</v>
      </c>
      <c r="AF65" s="7"/>
      <c r="AG65" s="30">
        <v>0</v>
      </c>
      <c r="AI65" s="32">
        <v>1044</v>
      </c>
      <c r="AK65" s="7" t="str">
        <f t="shared" si="0"/>
        <v>No</v>
      </c>
    </row>
    <row r="66" spans="1:37">
      <c r="A66" s="7" t="s">
        <v>586</v>
      </c>
      <c r="B66" s="7" t="s">
        <v>386</v>
      </c>
      <c r="C66" s="7" t="s">
        <v>17</v>
      </c>
      <c r="D66" s="302">
        <v>9015</v>
      </c>
      <c r="E66" s="297">
        <v>90015</v>
      </c>
      <c r="F66" s="7" t="s">
        <v>162</v>
      </c>
      <c r="G66" s="7" t="s">
        <v>158</v>
      </c>
      <c r="H66" s="8">
        <v>3281212</v>
      </c>
      <c r="I66" s="8">
        <v>985</v>
      </c>
      <c r="J66" s="7" t="s">
        <v>21</v>
      </c>
      <c r="K66" s="7" t="s">
        <v>159</v>
      </c>
      <c r="L66" s="8">
        <v>131</v>
      </c>
      <c r="M66" s="8">
        <v>973737</v>
      </c>
      <c r="N66" s="7"/>
      <c r="O66" s="8">
        <v>555155</v>
      </c>
      <c r="P66" s="7"/>
      <c r="Q66" s="8">
        <v>310922</v>
      </c>
      <c r="R66" s="7"/>
      <c r="S66" s="8">
        <v>136599</v>
      </c>
      <c r="T66" s="7"/>
      <c r="U66" s="8">
        <v>0</v>
      </c>
      <c r="V66" s="7"/>
      <c r="W66" s="33">
        <v>1976413</v>
      </c>
      <c r="X66" s="7"/>
      <c r="Y66" s="30">
        <v>476</v>
      </c>
      <c r="Z66" s="7"/>
      <c r="AA66" s="30">
        <v>274</v>
      </c>
      <c r="AB66" s="7"/>
      <c r="AC66" s="30">
        <v>169</v>
      </c>
      <c r="AD66" s="7"/>
      <c r="AE66" s="30">
        <v>87</v>
      </c>
      <c r="AF66" s="7"/>
      <c r="AG66" s="30">
        <v>0</v>
      </c>
      <c r="AI66" s="32">
        <v>1006</v>
      </c>
      <c r="AK66" s="7" t="str">
        <f t="shared" ref="AK66:AK129" si="1">IF(AJ66&amp;AH66&amp;AF66&amp;AD66&amp;AB66&amp;Z66&amp;X66&amp;V66&amp;T66&amp;R66&amp;P66&amp;N66&lt;&gt;"","Yes","No")</f>
        <v>No</v>
      </c>
    </row>
    <row r="67" spans="1:37">
      <c r="A67" s="7" t="s">
        <v>586</v>
      </c>
      <c r="B67" s="7" t="s">
        <v>386</v>
      </c>
      <c r="C67" s="7" t="s">
        <v>17</v>
      </c>
      <c r="D67" s="302">
        <v>9015</v>
      </c>
      <c r="E67" s="297">
        <v>90015</v>
      </c>
      <c r="F67" s="7" t="s">
        <v>162</v>
      </c>
      <c r="G67" s="7" t="s">
        <v>158</v>
      </c>
      <c r="H67" s="8">
        <v>3281212</v>
      </c>
      <c r="I67" s="8">
        <v>985</v>
      </c>
      <c r="J67" s="7" t="s">
        <v>24</v>
      </c>
      <c r="K67" s="7" t="s">
        <v>159</v>
      </c>
      <c r="L67" s="8">
        <v>27</v>
      </c>
      <c r="M67" s="8">
        <v>502251</v>
      </c>
      <c r="N67" s="7"/>
      <c r="O67" s="8">
        <v>103821</v>
      </c>
      <c r="P67" s="7"/>
      <c r="Q67" s="8">
        <v>138325</v>
      </c>
      <c r="R67" s="7"/>
      <c r="S67" s="8">
        <v>69762</v>
      </c>
      <c r="T67" s="7"/>
      <c r="U67" s="8">
        <v>0</v>
      </c>
      <c r="V67" s="7"/>
      <c r="W67" s="33">
        <v>814159</v>
      </c>
      <c r="X67" s="7"/>
      <c r="Y67" s="30">
        <v>225</v>
      </c>
      <c r="Z67" s="7"/>
      <c r="AA67" s="30">
        <v>52</v>
      </c>
      <c r="AB67" s="7"/>
      <c r="AC67" s="30">
        <v>64</v>
      </c>
      <c r="AD67" s="7"/>
      <c r="AE67" s="30">
        <v>44</v>
      </c>
      <c r="AF67" s="7"/>
      <c r="AG67" s="30">
        <v>0</v>
      </c>
      <c r="AI67" s="32">
        <v>385</v>
      </c>
      <c r="AK67" s="7" t="str">
        <f t="shared" si="1"/>
        <v>No</v>
      </c>
    </row>
    <row r="68" spans="1:37">
      <c r="A68" s="7" t="s">
        <v>586</v>
      </c>
      <c r="B68" s="7" t="s">
        <v>386</v>
      </c>
      <c r="C68" s="7" t="s">
        <v>17</v>
      </c>
      <c r="D68" s="302">
        <v>9015</v>
      </c>
      <c r="E68" s="297">
        <v>90015</v>
      </c>
      <c r="F68" s="7" t="s">
        <v>162</v>
      </c>
      <c r="G68" s="7" t="s">
        <v>158</v>
      </c>
      <c r="H68" s="8">
        <v>3281212</v>
      </c>
      <c r="I68" s="8">
        <v>985</v>
      </c>
      <c r="J68" s="7" t="s">
        <v>12</v>
      </c>
      <c r="K68" s="7" t="s">
        <v>159</v>
      </c>
      <c r="L68" s="8">
        <v>24</v>
      </c>
      <c r="M68" s="8">
        <v>106514</v>
      </c>
      <c r="N68" s="7"/>
      <c r="O68" s="8">
        <v>53511</v>
      </c>
      <c r="P68" s="7"/>
      <c r="Q68" s="8">
        <v>43313</v>
      </c>
      <c r="R68" s="7"/>
      <c r="S68" s="8">
        <v>7513</v>
      </c>
      <c r="T68" s="7"/>
      <c r="U68" s="8">
        <v>0</v>
      </c>
      <c r="V68" s="7"/>
      <c r="W68" s="33">
        <v>210851</v>
      </c>
      <c r="X68" s="7"/>
      <c r="Y68" s="30">
        <v>52</v>
      </c>
      <c r="Z68" s="7"/>
      <c r="AA68" s="30">
        <v>30</v>
      </c>
      <c r="AB68" s="7"/>
      <c r="AC68" s="30">
        <v>20</v>
      </c>
      <c r="AD68" s="7"/>
      <c r="AE68" s="30">
        <v>5</v>
      </c>
      <c r="AF68" s="7"/>
      <c r="AG68" s="30">
        <v>0</v>
      </c>
      <c r="AI68" s="32">
        <v>107</v>
      </c>
      <c r="AK68" s="7" t="str">
        <f t="shared" si="1"/>
        <v>No</v>
      </c>
    </row>
    <row r="69" spans="1:37">
      <c r="A69" s="7" t="s">
        <v>667</v>
      </c>
      <c r="B69" s="7" t="s">
        <v>254</v>
      </c>
      <c r="C69" s="7" t="s">
        <v>76</v>
      </c>
      <c r="D69" s="302">
        <v>8</v>
      </c>
      <c r="E69" s="297">
        <v>8</v>
      </c>
      <c r="F69" s="7" t="s">
        <v>165</v>
      </c>
      <c r="G69" s="7" t="s">
        <v>158</v>
      </c>
      <c r="H69" s="8">
        <v>1849898</v>
      </c>
      <c r="I69" s="8">
        <v>950</v>
      </c>
      <c r="J69" s="7" t="s">
        <v>7</v>
      </c>
      <c r="K69" s="7" t="s">
        <v>159</v>
      </c>
      <c r="L69" s="8">
        <v>534</v>
      </c>
      <c r="M69" s="8">
        <v>2066668</v>
      </c>
      <c r="N69" s="7"/>
      <c r="O69" s="8">
        <v>487308</v>
      </c>
      <c r="P69" s="7"/>
      <c r="Q69" s="8">
        <v>62087</v>
      </c>
      <c r="R69" s="7"/>
      <c r="S69" s="8">
        <v>325694</v>
      </c>
      <c r="T69" s="7"/>
      <c r="U69" s="8">
        <v>14739</v>
      </c>
      <c r="V69" s="7"/>
      <c r="W69" s="33">
        <v>2956496</v>
      </c>
      <c r="X69" s="7"/>
      <c r="Y69" s="30">
        <v>1057.5</v>
      </c>
      <c r="Z69" s="7"/>
      <c r="AA69" s="30">
        <v>263</v>
      </c>
      <c r="AB69" s="7"/>
      <c r="AC69" s="30">
        <v>35</v>
      </c>
      <c r="AD69" s="7"/>
      <c r="AE69" s="30">
        <v>168</v>
      </c>
      <c r="AF69" s="7"/>
      <c r="AG69" s="30">
        <v>8</v>
      </c>
      <c r="AI69" s="32">
        <v>1531.5</v>
      </c>
      <c r="AK69" s="7" t="str">
        <f t="shared" si="1"/>
        <v>No</v>
      </c>
    </row>
    <row r="70" spans="1:37">
      <c r="A70" s="7" t="s">
        <v>667</v>
      </c>
      <c r="B70" s="7" t="s">
        <v>254</v>
      </c>
      <c r="C70" s="7" t="s">
        <v>76</v>
      </c>
      <c r="D70" s="302">
        <v>8</v>
      </c>
      <c r="E70" s="297">
        <v>8</v>
      </c>
      <c r="F70" s="7" t="s">
        <v>165</v>
      </c>
      <c r="G70" s="7" t="s">
        <v>158</v>
      </c>
      <c r="H70" s="8">
        <v>1849898</v>
      </c>
      <c r="I70" s="8">
        <v>950</v>
      </c>
      <c r="J70" s="7" t="s">
        <v>21</v>
      </c>
      <c r="K70" s="7" t="s">
        <v>159</v>
      </c>
      <c r="L70" s="8">
        <v>116</v>
      </c>
      <c r="M70" s="8">
        <v>534252</v>
      </c>
      <c r="N70" s="7"/>
      <c r="O70" s="8">
        <v>420471</v>
      </c>
      <c r="P70" s="7"/>
      <c r="Q70" s="8">
        <v>296462</v>
      </c>
      <c r="R70" s="7"/>
      <c r="S70" s="8">
        <v>147665</v>
      </c>
      <c r="T70" s="7"/>
      <c r="U70" s="8">
        <v>149000</v>
      </c>
      <c r="V70" s="7"/>
      <c r="W70" s="33">
        <v>1547850</v>
      </c>
      <c r="X70" s="7"/>
      <c r="Y70" s="30">
        <v>273</v>
      </c>
      <c r="Z70" s="7"/>
      <c r="AA70" s="30">
        <v>214</v>
      </c>
      <c r="AB70" s="7"/>
      <c r="AC70" s="30">
        <v>163</v>
      </c>
      <c r="AD70" s="7"/>
      <c r="AE70" s="30">
        <v>80</v>
      </c>
      <c r="AF70" s="7"/>
      <c r="AG70" s="30">
        <v>83</v>
      </c>
      <c r="AI70" s="32">
        <v>813</v>
      </c>
      <c r="AK70" s="7" t="str">
        <f t="shared" si="1"/>
        <v>No</v>
      </c>
    </row>
    <row r="71" spans="1:37">
      <c r="A71" s="7" t="s">
        <v>554</v>
      </c>
      <c r="B71" s="7" t="s">
        <v>555</v>
      </c>
      <c r="C71" s="7" t="s">
        <v>77</v>
      </c>
      <c r="D71" s="302">
        <v>3022</v>
      </c>
      <c r="E71" s="297">
        <v>30022</v>
      </c>
      <c r="F71" s="7" t="s">
        <v>165</v>
      </c>
      <c r="G71" s="7" t="s">
        <v>158</v>
      </c>
      <c r="H71" s="8">
        <v>1733853</v>
      </c>
      <c r="I71" s="8">
        <v>939</v>
      </c>
      <c r="J71" s="7" t="s">
        <v>7</v>
      </c>
      <c r="K71" s="7" t="s">
        <v>159</v>
      </c>
      <c r="L71" s="8">
        <v>606</v>
      </c>
      <c r="M71" s="8">
        <v>2669537</v>
      </c>
      <c r="N71" s="7"/>
      <c r="O71" s="8">
        <v>1005302</v>
      </c>
      <c r="P71" s="7"/>
      <c r="Q71" s="8">
        <v>224121</v>
      </c>
      <c r="R71" s="7"/>
      <c r="S71" s="8">
        <v>433957</v>
      </c>
      <c r="T71" s="7"/>
      <c r="U71" s="8">
        <v>41230</v>
      </c>
      <c r="V71" s="7"/>
      <c r="W71" s="33">
        <v>4374147</v>
      </c>
      <c r="X71" s="7"/>
      <c r="Y71" s="30">
        <v>1304.7</v>
      </c>
      <c r="Z71" s="7"/>
      <c r="AA71" s="30">
        <v>467.5</v>
      </c>
      <c r="AB71" s="7"/>
      <c r="AC71" s="30">
        <v>104.2</v>
      </c>
      <c r="AD71" s="7"/>
      <c r="AE71" s="30">
        <v>199.7</v>
      </c>
      <c r="AF71" s="7"/>
      <c r="AG71" s="30">
        <v>21.6</v>
      </c>
      <c r="AI71" s="32">
        <v>2097.6999999999998</v>
      </c>
      <c r="AK71" s="7" t="str">
        <f t="shared" si="1"/>
        <v>No</v>
      </c>
    </row>
    <row r="72" spans="1:37">
      <c r="A72" s="7" t="s">
        <v>554</v>
      </c>
      <c r="B72" s="7" t="s">
        <v>555</v>
      </c>
      <c r="C72" s="7" t="s">
        <v>77</v>
      </c>
      <c r="D72" s="302">
        <v>3022</v>
      </c>
      <c r="E72" s="297">
        <v>30022</v>
      </c>
      <c r="F72" s="7" t="s">
        <v>165</v>
      </c>
      <c r="G72" s="7" t="s">
        <v>158</v>
      </c>
      <c r="H72" s="8">
        <v>1733853</v>
      </c>
      <c r="I72" s="8">
        <v>939</v>
      </c>
      <c r="J72" s="7" t="s">
        <v>21</v>
      </c>
      <c r="K72" s="7" t="s">
        <v>159</v>
      </c>
      <c r="L72" s="8">
        <v>60</v>
      </c>
      <c r="M72" s="8">
        <v>293849</v>
      </c>
      <c r="N72" s="7"/>
      <c r="O72" s="8">
        <v>245642</v>
      </c>
      <c r="P72" s="7"/>
      <c r="Q72" s="8">
        <v>295454</v>
      </c>
      <c r="R72" s="7"/>
      <c r="S72" s="8">
        <v>36989</v>
      </c>
      <c r="T72" s="7"/>
      <c r="U72" s="8">
        <v>6595</v>
      </c>
      <c r="V72" s="7"/>
      <c r="W72" s="33">
        <v>878529</v>
      </c>
      <c r="X72" s="7"/>
      <c r="Y72" s="30">
        <v>143.6</v>
      </c>
      <c r="Z72" s="7"/>
      <c r="AA72" s="30">
        <v>114.2</v>
      </c>
      <c r="AB72" s="7"/>
      <c r="AC72" s="30">
        <v>137.4</v>
      </c>
      <c r="AD72" s="7"/>
      <c r="AE72" s="30">
        <v>16.899999999999999</v>
      </c>
      <c r="AF72" s="7"/>
      <c r="AG72" s="30">
        <v>3.4</v>
      </c>
      <c r="AI72" s="32">
        <v>415.5</v>
      </c>
      <c r="AK72" s="7" t="str">
        <f t="shared" si="1"/>
        <v>No</v>
      </c>
    </row>
    <row r="73" spans="1:37">
      <c r="A73" s="7" t="s">
        <v>554</v>
      </c>
      <c r="B73" s="7" t="s">
        <v>555</v>
      </c>
      <c r="C73" s="7" t="s">
        <v>77</v>
      </c>
      <c r="D73" s="302">
        <v>3022</v>
      </c>
      <c r="E73" s="297">
        <v>30022</v>
      </c>
      <c r="F73" s="7" t="s">
        <v>165</v>
      </c>
      <c r="G73" s="7" t="s">
        <v>158</v>
      </c>
      <c r="H73" s="8">
        <v>1733853</v>
      </c>
      <c r="I73" s="8">
        <v>939</v>
      </c>
      <c r="J73" s="7" t="s">
        <v>78</v>
      </c>
      <c r="K73" s="7" t="s">
        <v>159</v>
      </c>
      <c r="L73" s="8">
        <v>2</v>
      </c>
      <c r="M73" s="8">
        <v>6839</v>
      </c>
      <c r="N73" s="7"/>
      <c r="O73" s="8">
        <v>16</v>
      </c>
      <c r="P73" s="7"/>
      <c r="Q73" s="8">
        <v>8914</v>
      </c>
      <c r="R73" s="7"/>
      <c r="S73" s="8">
        <v>264</v>
      </c>
      <c r="T73" s="7"/>
      <c r="U73" s="8">
        <v>0</v>
      </c>
      <c r="V73" s="7"/>
      <c r="W73" s="33">
        <v>16033</v>
      </c>
      <c r="X73" s="7"/>
      <c r="Y73" s="30">
        <v>3.3</v>
      </c>
      <c r="Z73" s="7"/>
      <c r="AA73" s="30">
        <v>0.1</v>
      </c>
      <c r="AB73" s="7"/>
      <c r="AC73" s="30">
        <v>4.0999999999999996</v>
      </c>
      <c r="AD73" s="7"/>
      <c r="AE73" s="30">
        <v>0.1</v>
      </c>
      <c r="AF73" s="7"/>
      <c r="AG73" s="30">
        <v>0</v>
      </c>
      <c r="AI73" s="32">
        <v>7.6</v>
      </c>
      <c r="AK73" s="7" t="str">
        <f t="shared" si="1"/>
        <v>No</v>
      </c>
    </row>
    <row r="74" spans="1:37">
      <c r="A74" s="7" t="s">
        <v>1119</v>
      </c>
      <c r="B74" s="7" t="s">
        <v>477</v>
      </c>
      <c r="C74" s="7" t="s">
        <v>54</v>
      </c>
      <c r="D74" s="302">
        <v>5027</v>
      </c>
      <c r="E74" s="297">
        <v>50027</v>
      </c>
      <c r="F74" s="7" t="s">
        <v>240</v>
      </c>
      <c r="G74" s="7" t="s">
        <v>158</v>
      </c>
      <c r="H74" s="8">
        <v>2650890</v>
      </c>
      <c r="I74" s="8">
        <v>843</v>
      </c>
      <c r="J74" s="7" t="s">
        <v>7</v>
      </c>
      <c r="K74" s="7" t="s">
        <v>159</v>
      </c>
      <c r="L74" s="8">
        <v>754</v>
      </c>
      <c r="M74" s="8">
        <v>3519770</v>
      </c>
      <c r="N74" s="7"/>
      <c r="O74" s="8">
        <v>819276</v>
      </c>
      <c r="P74" s="7"/>
      <c r="Q74" s="8">
        <v>248885</v>
      </c>
      <c r="R74" s="7"/>
      <c r="S74" s="8">
        <v>414548</v>
      </c>
      <c r="T74" s="7"/>
      <c r="U74" s="8">
        <v>56017</v>
      </c>
      <c r="V74" s="7"/>
      <c r="W74" s="33">
        <v>5058496</v>
      </c>
      <c r="X74" s="7"/>
      <c r="Y74" s="30">
        <v>1738</v>
      </c>
      <c r="Z74" s="7"/>
      <c r="AA74" s="30">
        <v>405</v>
      </c>
      <c r="AB74" s="7"/>
      <c r="AC74" s="30">
        <v>123</v>
      </c>
      <c r="AD74" s="7"/>
      <c r="AE74" s="30">
        <v>204</v>
      </c>
      <c r="AF74" s="7"/>
      <c r="AG74" s="30">
        <v>28</v>
      </c>
      <c r="AI74" s="32">
        <v>2498</v>
      </c>
      <c r="AK74" s="7" t="str">
        <f t="shared" si="1"/>
        <v>No</v>
      </c>
    </row>
    <row r="75" spans="1:37">
      <c r="A75" s="7" t="s">
        <v>1119</v>
      </c>
      <c r="B75" s="7" t="s">
        <v>477</v>
      </c>
      <c r="C75" s="7" t="s">
        <v>54</v>
      </c>
      <c r="D75" s="302">
        <v>5027</v>
      </c>
      <c r="E75" s="297">
        <v>50027</v>
      </c>
      <c r="F75" s="7" t="s">
        <v>240</v>
      </c>
      <c r="G75" s="7" t="s">
        <v>158</v>
      </c>
      <c r="H75" s="8">
        <v>2650890</v>
      </c>
      <c r="I75" s="8">
        <v>843</v>
      </c>
      <c r="J75" s="7" t="s">
        <v>21</v>
      </c>
      <c r="K75" s="7" t="s">
        <v>159</v>
      </c>
      <c r="L75" s="8">
        <v>69</v>
      </c>
      <c r="M75" s="8">
        <v>375812</v>
      </c>
      <c r="N75" s="7"/>
      <c r="O75" s="8">
        <v>186382</v>
      </c>
      <c r="P75" s="7"/>
      <c r="Q75" s="8">
        <v>171846</v>
      </c>
      <c r="R75" s="7"/>
      <c r="S75" s="8">
        <v>490905</v>
      </c>
      <c r="T75" s="7"/>
      <c r="U75" s="8">
        <v>130947</v>
      </c>
      <c r="V75" s="7"/>
      <c r="W75" s="33">
        <v>1355892</v>
      </c>
      <c r="X75" s="7"/>
      <c r="Y75" s="30">
        <v>180.6</v>
      </c>
      <c r="Z75" s="7"/>
      <c r="AA75" s="30">
        <v>89.6</v>
      </c>
      <c r="AB75" s="7"/>
      <c r="AC75" s="30">
        <v>82.6</v>
      </c>
      <c r="AD75" s="7"/>
      <c r="AE75" s="30">
        <v>237</v>
      </c>
      <c r="AF75" s="7"/>
      <c r="AG75" s="30">
        <v>63</v>
      </c>
      <c r="AI75" s="32">
        <v>652.79999999999995</v>
      </c>
      <c r="AK75" s="7" t="str">
        <f t="shared" si="1"/>
        <v>No</v>
      </c>
    </row>
    <row r="76" spans="1:37">
      <c r="A76" s="7" t="s">
        <v>673</v>
      </c>
      <c r="B76" s="7" t="s">
        <v>674</v>
      </c>
      <c r="C76" s="7" t="s">
        <v>84</v>
      </c>
      <c r="D76" s="302">
        <v>6011</v>
      </c>
      <c r="E76" s="297">
        <v>60011</v>
      </c>
      <c r="F76" s="7" t="s">
        <v>165</v>
      </c>
      <c r="G76" s="7" t="s">
        <v>158</v>
      </c>
      <c r="H76" s="8">
        <v>1758210</v>
      </c>
      <c r="I76" s="8">
        <v>816</v>
      </c>
      <c r="J76" s="7" t="s">
        <v>7</v>
      </c>
      <c r="K76" s="7" t="s">
        <v>159</v>
      </c>
      <c r="L76" s="8">
        <v>378</v>
      </c>
      <c r="M76" s="8">
        <v>2092196</v>
      </c>
      <c r="N76" s="7"/>
      <c r="O76" s="8">
        <v>502835</v>
      </c>
      <c r="P76" s="7"/>
      <c r="Q76" s="8">
        <v>150119</v>
      </c>
      <c r="R76" s="7"/>
      <c r="S76" s="8">
        <v>347721</v>
      </c>
      <c r="T76" s="7"/>
      <c r="U76" s="8">
        <v>0</v>
      </c>
      <c r="V76" s="7"/>
      <c r="W76" s="33">
        <v>3092871</v>
      </c>
      <c r="X76" s="7"/>
      <c r="Y76" s="30">
        <v>975.06</v>
      </c>
      <c r="Z76" s="7"/>
      <c r="AA76" s="30">
        <v>274.27</v>
      </c>
      <c r="AB76" s="7"/>
      <c r="AC76" s="30">
        <v>82.07</v>
      </c>
      <c r="AD76" s="7"/>
      <c r="AE76" s="30">
        <v>197.11</v>
      </c>
      <c r="AF76" s="7"/>
      <c r="AG76" s="30">
        <v>0</v>
      </c>
      <c r="AI76" s="32">
        <v>1528.51</v>
      </c>
      <c r="AK76" s="7" t="str">
        <f t="shared" si="1"/>
        <v>No</v>
      </c>
    </row>
    <row r="77" spans="1:37">
      <c r="A77" s="7" t="s">
        <v>673</v>
      </c>
      <c r="B77" s="7" t="s">
        <v>674</v>
      </c>
      <c r="C77" s="7" t="s">
        <v>84</v>
      </c>
      <c r="D77" s="302">
        <v>6011</v>
      </c>
      <c r="E77" s="297">
        <v>60011</v>
      </c>
      <c r="F77" s="7" t="s">
        <v>165</v>
      </c>
      <c r="G77" s="7" t="s">
        <v>158</v>
      </c>
      <c r="H77" s="8">
        <v>1758210</v>
      </c>
      <c r="I77" s="8">
        <v>816</v>
      </c>
      <c r="J77" s="7" t="s">
        <v>10</v>
      </c>
      <c r="K77" s="7" t="s">
        <v>159</v>
      </c>
      <c r="L77" s="8">
        <v>108</v>
      </c>
      <c r="M77" s="8">
        <v>418318</v>
      </c>
      <c r="N77" s="7"/>
      <c r="O77" s="8">
        <v>48897</v>
      </c>
      <c r="P77" s="7"/>
      <c r="Q77" s="8">
        <v>5014</v>
      </c>
      <c r="R77" s="7"/>
      <c r="S77" s="8">
        <v>47539</v>
      </c>
      <c r="T77" s="7"/>
      <c r="U77" s="8">
        <v>0</v>
      </c>
      <c r="V77" s="7"/>
      <c r="W77" s="33">
        <v>519768</v>
      </c>
      <c r="X77" s="7"/>
      <c r="Y77" s="30">
        <v>198.38</v>
      </c>
      <c r="Z77" s="7"/>
      <c r="AA77" s="30">
        <v>30.87</v>
      </c>
      <c r="AB77" s="7"/>
      <c r="AC77" s="30">
        <v>2.72</v>
      </c>
      <c r="AD77" s="7"/>
      <c r="AE77" s="30">
        <v>27.27</v>
      </c>
      <c r="AF77" s="7"/>
      <c r="AG77" s="30">
        <v>0</v>
      </c>
      <c r="AI77" s="32">
        <v>259.24</v>
      </c>
      <c r="AK77" s="7" t="str">
        <f t="shared" si="1"/>
        <v>No</v>
      </c>
    </row>
    <row r="78" spans="1:37">
      <c r="A78" s="7" t="s">
        <v>583</v>
      </c>
      <c r="B78" s="7" t="s">
        <v>584</v>
      </c>
      <c r="C78" s="7" t="s">
        <v>17</v>
      </c>
      <c r="D78" s="302">
        <v>9026</v>
      </c>
      <c r="E78" s="297">
        <v>90026</v>
      </c>
      <c r="F78" s="7" t="s">
        <v>165</v>
      </c>
      <c r="G78" s="7" t="s">
        <v>158</v>
      </c>
      <c r="H78" s="8">
        <v>2956746</v>
      </c>
      <c r="I78" s="8">
        <v>765</v>
      </c>
      <c r="J78" s="7" t="s">
        <v>7</v>
      </c>
      <c r="K78" s="7" t="s">
        <v>159</v>
      </c>
      <c r="L78" s="8">
        <v>224</v>
      </c>
      <c r="M78" s="8">
        <v>1156731</v>
      </c>
      <c r="N78" s="7"/>
      <c r="O78" s="8">
        <v>316832</v>
      </c>
      <c r="P78" s="7"/>
      <c r="Q78" s="8">
        <v>4575</v>
      </c>
      <c r="R78" s="7"/>
      <c r="S78" s="8">
        <v>41378</v>
      </c>
      <c r="T78" s="7"/>
      <c r="U78" s="8">
        <v>0</v>
      </c>
      <c r="V78" s="7"/>
      <c r="W78" s="33">
        <v>1519516</v>
      </c>
      <c r="X78" s="7"/>
      <c r="Y78" s="30">
        <v>598</v>
      </c>
      <c r="Z78" s="7"/>
      <c r="AA78" s="30">
        <v>177</v>
      </c>
      <c r="AB78" s="7"/>
      <c r="AC78" s="30">
        <v>3</v>
      </c>
      <c r="AD78" s="7"/>
      <c r="AE78" s="30">
        <v>21</v>
      </c>
      <c r="AF78" s="7"/>
      <c r="AG78" s="30">
        <v>0</v>
      </c>
      <c r="AI78" s="32">
        <v>799</v>
      </c>
      <c r="AK78" s="7" t="str">
        <f t="shared" si="1"/>
        <v>No</v>
      </c>
    </row>
    <row r="79" spans="1:37">
      <c r="A79" s="7" t="s">
        <v>583</v>
      </c>
      <c r="B79" s="7" t="s">
        <v>584</v>
      </c>
      <c r="C79" s="7" t="s">
        <v>17</v>
      </c>
      <c r="D79" s="302">
        <v>9026</v>
      </c>
      <c r="E79" s="297">
        <v>90026</v>
      </c>
      <c r="F79" s="7" t="s">
        <v>165</v>
      </c>
      <c r="G79" s="7" t="s">
        <v>158</v>
      </c>
      <c r="H79" s="8">
        <v>2956746</v>
      </c>
      <c r="I79" s="8">
        <v>765</v>
      </c>
      <c r="J79" s="7" t="s">
        <v>21</v>
      </c>
      <c r="K79" s="7" t="s">
        <v>159</v>
      </c>
      <c r="L79" s="8">
        <v>97</v>
      </c>
      <c r="M79" s="8">
        <v>341013</v>
      </c>
      <c r="N79" s="7"/>
      <c r="O79" s="8">
        <v>158665</v>
      </c>
      <c r="P79" s="7"/>
      <c r="Q79" s="8">
        <v>248008</v>
      </c>
      <c r="R79" s="7"/>
      <c r="S79" s="8">
        <v>7408</v>
      </c>
      <c r="T79" s="7"/>
      <c r="U79" s="8">
        <v>0</v>
      </c>
      <c r="V79" s="7"/>
      <c r="W79" s="33">
        <v>755094</v>
      </c>
      <c r="X79" s="7"/>
      <c r="Y79" s="30">
        <v>172</v>
      </c>
      <c r="Z79" s="7"/>
      <c r="AA79" s="30">
        <v>78</v>
      </c>
      <c r="AB79" s="7"/>
      <c r="AC79" s="30">
        <v>117</v>
      </c>
      <c r="AD79" s="7"/>
      <c r="AE79" s="30">
        <v>4</v>
      </c>
      <c r="AF79" s="7"/>
      <c r="AG79" s="30">
        <v>0</v>
      </c>
      <c r="AI79" s="32">
        <v>371</v>
      </c>
      <c r="AK79" s="7" t="str">
        <f t="shared" si="1"/>
        <v>No</v>
      </c>
    </row>
    <row r="80" spans="1:37">
      <c r="A80" s="7" t="s">
        <v>1113</v>
      </c>
      <c r="B80" s="7" t="s">
        <v>197</v>
      </c>
      <c r="C80" s="7" t="s">
        <v>17</v>
      </c>
      <c r="D80" s="302">
        <v>9014</v>
      </c>
      <c r="E80" s="297">
        <v>90014</v>
      </c>
      <c r="F80" s="7" t="s">
        <v>165</v>
      </c>
      <c r="G80" s="7" t="s">
        <v>158</v>
      </c>
      <c r="H80" s="8">
        <v>3281212</v>
      </c>
      <c r="I80" s="8">
        <v>702</v>
      </c>
      <c r="J80" s="7" t="s">
        <v>7</v>
      </c>
      <c r="K80" s="7" t="s">
        <v>159</v>
      </c>
      <c r="L80" s="8">
        <v>381</v>
      </c>
      <c r="M80" s="8">
        <v>1914175</v>
      </c>
      <c r="N80" s="7"/>
      <c r="O80" s="8">
        <v>536738</v>
      </c>
      <c r="P80" s="7"/>
      <c r="Q80" s="8">
        <v>66176</v>
      </c>
      <c r="R80" s="7"/>
      <c r="S80" s="8">
        <v>372222</v>
      </c>
      <c r="T80" s="7"/>
      <c r="U80" s="8">
        <v>0</v>
      </c>
      <c r="V80" s="7"/>
      <c r="W80" s="33">
        <v>2889311</v>
      </c>
      <c r="X80" s="7"/>
      <c r="Y80" s="30">
        <v>1327</v>
      </c>
      <c r="Z80" s="7"/>
      <c r="AA80" s="30">
        <v>314</v>
      </c>
      <c r="AB80" s="7"/>
      <c r="AC80" s="30">
        <v>39</v>
      </c>
      <c r="AD80" s="7"/>
      <c r="AE80" s="30">
        <v>241</v>
      </c>
      <c r="AF80" s="7"/>
      <c r="AG80" s="30">
        <v>0</v>
      </c>
      <c r="AI80" s="32">
        <v>1921</v>
      </c>
      <c r="AK80" s="7" t="str">
        <f t="shared" si="1"/>
        <v>No</v>
      </c>
    </row>
    <row r="81" spans="1:37">
      <c r="A81" s="7" t="s">
        <v>1113</v>
      </c>
      <c r="B81" s="7" t="s">
        <v>197</v>
      </c>
      <c r="C81" s="7" t="s">
        <v>17</v>
      </c>
      <c r="D81" s="302">
        <v>9014</v>
      </c>
      <c r="E81" s="297">
        <v>90014</v>
      </c>
      <c r="F81" s="7" t="s">
        <v>165</v>
      </c>
      <c r="G81" s="7" t="s">
        <v>158</v>
      </c>
      <c r="H81" s="8">
        <v>3281212</v>
      </c>
      <c r="I81" s="8">
        <v>702</v>
      </c>
      <c r="J81" s="7" t="s">
        <v>18</v>
      </c>
      <c r="K81" s="7" t="s">
        <v>159</v>
      </c>
      <c r="L81" s="8">
        <v>104</v>
      </c>
      <c r="M81" s="8">
        <v>150203</v>
      </c>
      <c r="N81" s="7"/>
      <c r="O81" s="8">
        <v>43682</v>
      </c>
      <c r="P81" s="7"/>
      <c r="Q81" s="8">
        <v>5366</v>
      </c>
      <c r="R81" s="7"/>
      <c r="S81" s="8">
        <v>30720</v>
      </c>
      <c r="T81" s="7"/>
      <c r="U81" s="8">
        <v>0</v>
      </c>
      <c r="V81" s="7"/>
      <c r="W81" s="33">
        <v>229971</v>
      </c>
      <c r="X81" s="7"/>
      <c r="Y81" s="30">
        <v>107</v>
      </c>
      <c r="Z81" s="7"/>
      <c r="AA81" s="30">
        <v>26</v>
      </c>
      <c r="AB81" s="7"/>
      <c r="AC81" s="30">
        <v>3</v>
      </c>
      <c r="AD81" s="7"/>
      <c r="AE81" s="30">
        <v>19</v>
      </c>
      <c r="AF81" s="7"/>
      <c r="AG81" s="30">
        <v>0</v>
      </c>
      <c r="AI81" s="32">
        <v>155</v>
      </c>
      <c r="AK81" s="7" t="str">
        <f t="shared" si="1"/>
        <v>No</v>
      </c>
    </row>
    <row r="82" spans="1:37">
      <c r="A82" s="7" t="s">
        <v>591</v>
      </c>
      <c r="B82" s="7" t="s">
        <v>592</v>
      </c>
      <c r="C82" s="7" t="s">
        <v>17</v>
      </c>
      <c r="D82" s="302">
        <v>9013</v>
      </c>
      <c r="E82" s="297">
        <v>90013</v>
      </c>
      <c r="F82" s="7" t="s">
        <v>165</v>
      </c>
      <c r="G82" s="7" t="s">
        <v>158</v>
      </c>
      <c r="H82" s="8">
        <v>1664496</v>
      </c>
      <c r="I82" s="8">
        <v>686</v>
      </c>
      <c r="J82" s="7" t="s">
        <v>7</v>
      </c>
      <c r="K82" s="7" t="s">
        <v>159</v>
      </c>
      <c r="L82" s="8">
        <v>392</v>
      </c>
      <c r="M82" s="8">
        <v>1888092</v>
      </c>
      <c r="N82" s="7"/>
      <c r="O82" s="8">
        <v>566027</v>
      </c>
      <c r="P82" s="7"/>
      <c r="Q82" s="8">
        <v>101356</v>
      </c>
      <c r="R82" s="7"/>
      <c r="S82" s="8">
        <v>235370</v>
      </c>
      <c r="T82" s="7"/>
      <c r="U82" s="8">
        <v>186676</v>
      </c>
      <c r="V82" s="7"/>
      <c r="W82" s="33">
        <v>2977521</v>
      </c>
      <c r="X82" s="7"/>
      <c r="Y82" s="30">
        <v>1036</v>
      </c>
      <c r="Z82" s="7"/>
      <c r="AA82" s="30">
        <v>292</v>
      </c>
      <c r="AB82" s="7"/>
      <c r="AC82" s="30">
        <v>53</v>
      </c>
      <c r="AD82" s="7"/>
      <c r="AE82" s="30">
        <v>140</v>
      </c>
      <c r="AF82" s="7"/>
      <c r="AG82" s="30">
        <v>118</v>
      </c>
      <c r="AI82" s="32">
        <v>1639</v>
      </c>
      <c r="AK82" s="7" t="str">
        <f t="shared" si="1"/>
        <v>No</v>
      </c>
    </row>
    <row r="83" spans="1:37">
      <c r="A83" s="7" t="s">
        <v>591</v>
      </c>
      <c r="B83" s="7" t="s">
        <v>592</v>
      </c>
      <c r="C83" s="7" t="s">
        <v>17</v>
      </c>
      <c r="D83" s="302">
        <v>9013</v>
      </c>
      <c r="E83" s="297">
        <v>90013</v>
      </c>
      <c r="F83" s="7" t="s">
        <v>165</v>
      </c>
      <c r="G83" s="7" t="s">
        <v>158</v>
      </c>
      <c r="H83" s="8">
        <v>1664496</v>
      </c>
      <c r="I83" s="8">
        <v>686</v>
      </c>
      <c r="J83" s="7" t="s">
        <v>21</v>
      </c>
      <c r="K83" s="7" t="s">
        <v>159</v>
      </c>
      <c r="L83" s="8">
        <v>59</v>
      </c>
      <c r="M83" s="8">
        <v>314778</v>
      </c>
      <c r="N83" s="7"/>
      <c r="O83" s="8">
        <v>231491</v>
      </c>
      <c r="P83" s="7"/>
      <c r="Q83" s="8">
        <v>245981</v>
      </c>
      <c r="R83" s="7"/>
      <c r="S83" s="8">
        <v>89042</v>
      </c>
      <c r="T83" s="7"/>
      <c r="U83" s="8">
        <v>186676</v>
      </c>
      <c r="V83" s="7"/>
      <c r="W83" s="33">
        <v>1067968</v>
      </c>
      <c r="X83" s="7"/>
      <c r="Y83" s="30">
        <v>167</v>
      </c>
      <c r="Z83" s="7"/>
      <c r="AA83" s="30">
        <v>123</v>
      </c>
      <c r="AB83" s="7"/>
      <c r="AC83" s="30">
        <v>127</v>
      </c>
      <c r="AD83" s="7"/>
      <c r="AE83" s="30">
        <v>53</v>
      </c>
      <c r="AF83" s="7"/>
      <c r="AG83" s="30">
        <v>118</v>
      </c>
      <c r="AI83" s="32">
        <v>588</v>
      </c>
      <c r="AK83" s="7" t="str">
        <f t="shared" si="1"/>
        <v>No</v>
      </c>
    </row>
    <row r="84" spans="1:37">
      <c r="A84" s="7" t="s">
        <v>608</v>
      </c>
      <c r="B84" s="7" t="s">
        <v>367</v>
      </c>
      <c r="C84" s="7" t="s">
        <v>89</v>
      </c>
      <c r="D84" s="302">
        <v>29</v>
      </c>
      <c r="E84" s="297">
        <v>29</v>
      </c>
      <c r="F84" s="7" t="s">
        <v>165</v>
      </c>
      <c r="G84" s="7" t="s">
        <v>158</v>
      </c>
      <c r="H84" s="8">
        <v>3059393</v>
      </c>
      <c r="I84" s="8">
        <v>609</v>
      </c>
      <c r="J84" s="7" t="s">
        <v>8</v>
      </c>
      <c r="K84" s="7" t="s">
        <v>159</v>
      </c>
      <c r="L84" s="8">
        <v>364</v>
      </c>
      <c r="M84" s="8">
        <v>13118</v>
      </c>
      <c r="N84" s="7"/>
      <c r="O84" s="8">
        <v>9476</v>
      </c>
      <c r="P84" s="7"/>
      <c r="Q84" s="8">
        <v>1401</v>
      </c>
      <c r="R84" s="7"/>
      <c r="S84" s="8">
        <v>12382</v>
      </c>
      <c r="T84" s="7"/>
      <c r="U84" s="8">
        <v>692</v>
      </c>
      <c r="V84" s="7"/>
      <c r="W84" s="33">
        <v>37069</v>
      </c>
      <c r="X84" s="7"/>
      <c r="Y84" s="30">
        <v>7.7</v>
      </c>
      <c r="Z84" s="7"/>
      <c r="AA84" s="30">
        <v>6.4</v>
      </c>
      <c r="AB84" s="7"/>
      <c r="AC84" s="30">
        <v>0.9</v>
      </c>
      <c r="AD84" s="7"/>
      <c r="AE84" s="30">
        <v>7.3</v>
      </c>
      <c r="AF84" s="7"/>
      <c r="AG84" s="30">
        <v>0.4</v>
      </c>
      <c r="AI84" s="32">
        <v>22.7</v>
      </c>
      <c r="AK84" s="7" t="str">
        <f t="shared" si="1"/>
        <v>No</v>
      </c>
    </row>
    <row r="85" spans="1:37">
      <c r="A85" s="7" t="s">
        <v>608</v>
      </c>
      <c r="B85" s="7" t="s">
        <v>367</v>
      </c>
      <c r="C85" s="7" t="s">
        <v>89</v>
      </c>
      <c r="D85" s="302">
        <v>29</v>
      </c>
      <c r="E85" s="297">
        <v>29</v>
      </c>
      <c r="F85" s="7" t="s">
        <v>165</v>
      </c>
      <c r="G85" s="7" t="s">
        <v>158</v>
      </c>
      <c r="H85" s="8">
        <v>3059393</v>
      </c>
      <c r="I85" s="8">
        <v>609</v>
      </c>
      <c r="J85" s="7" t="s">
        <v>7</v>
      </c>
      <c r="K85" s="7" t="s">
        <v>159</v>
      </c>
      <c r="L85" s="8">
        <v>106</v>
      </c>
      <c r="M85" s="8">
        <v>621724</v>
      </c>
      <c r="N85" s="7"/>
      <c r="O85" s="8">
        <v>94111</v>
      </c>
      <c r="P85" s="7"/>
      <c r="Q85" s="8">
        <v>17941</v>
      </c>
      <c r="R85" s="7"/>
      <c r="S85" s="8">
        <v>125616</v>
      </c>
      <c r="T85" s="7"/>
      <c r="U85" s="8">
        <v>15848</v>
      </c>
      <c r="V85" s="7"/>
      <c r="W85" s="33">
        <v>875240</v>
      </c>
      <c r="X85" s="7"/>
      <c r="Y85" s="30">
        <v>335.9</v>
      </c>
      <c r="Z85" s="7"/>
      <c r="AA85" s="30">
        <v>57.9</v>
      </c>
      <c r="AB85" s="7"/>
      <c r="AC85" s="30">
        <v>11.7</v>
      </c>
      <c r="AD85" s="7"/>
      <c r="AE85" s="30">
        <v>74.3</v>
      </c>
      <c r="AF85" s="7"/>
      <c r="AG85" s="30">
        <v>8.6999999999999993</v>
      </c>
      <c r="AI85" s="32">
        <v>488.5</v>
      </c>
      <c r="AK85" s="7" t="str">
        <f t="shared" si="1"/>
        <v>No</v>
      </c>
    </row>
    <row r="86" spans="1:37">
      <c r="A86" s="7" t="s">
        <v>608</v>
      </c>
      <c r="B86" s="7" t="s">
        <v>367</v>
      </c>
      <c r="C86" s="7" t="s">
        <v>89</v>
      </c>
      <c r="D86" s="302">
        <v>29</v>
      </c>
      <c r="E86" s="297">
        <v>29</v>
      </c>
      <c r="F86" s="7" t="s">
        <v>165</v>
      </c>
      <c r="G86" s="7" t="s">
        <v>158</v>
      </c>
      <c r="H86" s="8">
        <v>3059393</v>
      </c>
      <c r="I86" s="8">
        <v>609</v>
      </c>
      <c r="J86" s="7" t="s">
        <v>18</v>
      </c>
      <c r="K86" s="7" t="s">
        <v>159</v>
      </c>
      <c r="L86" s="8">
        <v>40</v>
      </c>
      <c r="M86" s="8">
        <v>119534</v>
      </c>
      <c r="N86" s="7"/>
      <c r="O86" s="8">
        <v>30444</v>
      </c>
      <c r="P86" s="7"/>
      <c r="Q86" s="8">
        <v>3430</v>
      </c>
      <c r="R86" s="7"/>
      <c r="S86" s="8">
        <v>23869</v>
      </c>
      <c r="T86" s="7"/>
      <c r="U86" s="8">
        <v>3098</v>
      </c>
      <c r="V86" s="7"/>
      <c r="W86" s="33">
        <v>180375</v>
      </c>
      <c r="X86" s="7"/>
      <c r="Y86" s="30">
        <v>64.400000000000006</v>
      </c>
      <c r="Z86" s="7"/>
      <c r="AA86" s="30">
        <v>18.899999999999999</v>
      </c>
      <c r="AB86" s="7"/>
      <c r="AC86" s="30">
        <v>2.2000000000000002</v>
      </c>
      <c r="AD86" s="7"/>
      <c r="AE86" s="30">
        <v>14.1</v>
      </c>
      <c r="AF86" s="7"/>
      <c r="AG86" s="30">
        <v>1.7</v>
      </c>
      <c r="AI86" s="32">
        <v>101.3</v>
      </c>
      <c r="AK86" s="7" t="str">
        <f t="shared" si="1"/>
        <v>No</v>
      </c>
    </row>
    <row r="87" spans="1:37">
      <c r="A87" s="7" t="s">
        <v>259</v>
      </c>
      <c r="B87" s="7" t="s">
        <v>260</v>
      </c>
      <c r="C87" s="7" t="s">
        <v>32</v>
      </c>
      <c r="D87" s="302">
        <v>4035</v>
      </c>
      <c r="E87" s="297">
        <v>40035</v>
      </c>
      <c r="F87" s="7" t="s">
        <v>165</v>
      </c>
      <c r="G87" s="7" t="s">
        <v>158</v>
      </c>
      <c r="H87" s="8">
        <v>1510516</v>
      </c>
      <c r="I87" s="8">
        <v>581</v>
      </c>
      <c r="J87" s="7" t="s">
        <v>7</v>
      </c>
      <c r="K87" s="7" t="s">
        <v>159</v>
      </c>
      <c r="L87" s="8">
        <v>250</v>
      </c>
      <c r="M87" s="8">
        <v>1448956</v>
      </c>
      <c r="N87" s="7"/>
      <c r="O87" s="8">
        <v>280408</v>
      </c>
      <c r="P87" s="7"/>
      <c r="Q87" s="8">
        <v>67131</v>
      </c>
      <c r="R87" s="7"/>
      <c r="S87" s="8">
        <v>191736</v>
      </c>
      <c r="T87" s="7"/>
      <c r="U87" s="8">
        <v>0</v>
      </c>
      <c r="V87" s="7"/>
      <c r="W87" s="33">
        <v>1988231</v>
      </c>
      <c r="X87" s="7"/>
      <c r="Y87" s="30">
        <v>690</v>
      </c>
      <c r="Z87" s="7"/>
      <c r="AA87" s="30">
        <v>128</v>
      </c>
      <c r="AB87" s="7"/>
      <c r="AC87" s="30">
        <v>36</v>
      </c>
      <c r="AD87" s="7"/>
      <c r="AE87" s="30">
        <v>94</v>
      </c>
      <c r="AF87" s="7"/>
      <c r="AG87" s="30">
        <v>0</v>
      </c>
      <c r="AI87" s="32">
        <v>948</v>
      </c>
      <c r="AK87" s="7" t="str">
        <f t="shared" si="1"/>
        <v>No</v>
      </c>
    </row>
    <row r="88" spans="1:37">
      <c r="A88" s="7" t="s">
        <v>259</v>
      </c>
      <c r="B88" s="7" t="s">
        <v>260</v>
      </c>
      <c r="C88" s="7" t="s">
        <v>32</v>
      </c>
      <c r="D88" s="302">
        <v>4035</v>
      </c>
      <c r="E88" s="297">
        <v>40035</v>
      </c>
      <c r="F88" s="7" t="s">
        <v>165</v>
      </c>
      <c r="G88" s="7" t="s">
        <v>158</v>
      </c>
      <c r="H88" s="8">
        <v>1510516</v>
      </c>
      <c r="I88" s="8">
        <v>581</v>
      </c>
      <c r="J88" s="7" t="s">
        <v>22</v>
      </c>
      <c r="K88" s="7" t="s">
        <v>159</v>
      </c>
      <c r="L88" s="8">
        <v>13</v>
      </c>
      <c r="M88" s="8">
        <v>61947</v>
      </c>
      <c r="N88" s="7"/>
      <c r="O88" s="8">
        <v>7810</v>
      </c>
      <c r="P88" s="7"/>
      <c r="Q88" s="8">
        <v>3491</v>
      </c>
      <c r="R88" s="7"/>
      <c r="S88" s="8">
        <v>9970</v>
      </c>
      <c r="T88" s="7"/>
      <c r="U88" s="8">
        <v>0</v>
      </c>
      <c r="V88" s="7"/>
      <c r="W88" s="33">
        <v>83218</v>
      </c>
      <c r="X88" s="7"/>
      <c r="Y88" s="30">
        <v>29</v>
      </c>
      <c r="Z88" s="7"/>
      <c r="AA88" s="30">
        <v>4</v>
      </c>
      <c r="AB88" s="7"/>
      <c r="AC88" s="30">
        <v>2</v>
      </c>
      <c r="AD88" s="7"/>
      <c r="AE88" s="30">
        <v>5</v>
      </c>
      <c r="AF88" s="7"/>
      <c r="AG88" s="30">
        <v>0</v>
      </c>
      <c r="AI88" s="32">
        <v>40</v>
      </c>
      <c r="AK88" s="7" t="str">
        <f t="shared" si="1"/>
        <v>No</v>
      </c>
    </row>
    <row r="89" spans="1:37">
      <c r="A89" s="7" t="s">
        <v>768</v>
      </c>
      <c r="B89" s="7" t="s">
        <v>769</v>
      </c>
      <c r="C89" s="7" t="s">
        <v>17</v>
      </c>
      <c r="D89" s="302">
        <v>9230</v>
      </c>
      <c r="E89" s="297">
        <v>90230</v>
      </c>
      <c r="F89" s="7" t="s">
        <v>162</v>
      </c>
      <c r="G89" s="7" t="s">
        <v>158</v>
      </c>
      <c r="H89" s="8">
        <v>87941</v>
      </c>
      <c r="I89" s="8">
        <v>548</v>
      </c>
      <c r="J89" s="7" t="s">
        <v>8</v>
      </c>
      <c r="K89" s="7" t="s">
        <v>159</v>
      </c>
      <c r="L89" s="8">
        <v>548</v>
      </c>
      <c r="M89" s="8">
        <v>8272</v>
      </c>
      <c r="N89" s="7"/>
      <c r="O89" s="8">
        <v>10774</v>
      </c>
      <c r="P89" s="7"/>
      <c r="Q89" s="8">
        <v>0</v>
      </c>
      <c r="R89" s="7"/>
      <c r="S89" s="8">
        <v>30586</v>
      </c>
      <c r="T89" s="7"/>
      <c r="U89" s="8">
        <v>0</v>
      </c>
      <c r="V89" s="7"/>
      <c r="W89" s="33">
        <v>49632</v>
      </c>
      <c r="X89" s="7"/>
      <c r="Y89" s="30">
        <v>4</v>
      </c>
      <c r="Z89" s="7"/>
      <c r="AA89" s="30">
        <v>5</v>
      </c>
      <c r="AB89" s="7"/>
      <c r="AC89" s="30">
        <v>0</v>
      </c>
      <c r="AD89" s="7"/>
      <c r="AE89" s="30">
        <v>15</v>
      </c>
      <c r="AF89" s="7"/>
      <c r="AG89" s="30">
        <v>0</v>
      </c>
      <c r="AI89" s="32">
        <v>24</v>
      </c>
      <c r="AK89" s="7" t="str">
        <f t="shared" si="1"/>
        <v>No</v>
      </c>
    </row>
    <row r="90" spans="1:37">
      <c r="A90" s="7" t="s">
        <v>585</v>
      </c>
      <c r="B90" s="7" t="s">
        <v>197</v>
      </c>
      <c r="C90" s="7" t="s">
        <v>17</v>
      </c>
      <c r="D90" s="302">
        <v>9003</v>
      </c>
      <c r="E90" s="297">
        <v>90003</v>
      </c>
      <c r="F90" s="7" t="s">
        <v>165</v>
      </c>
      <c r="G90" s="7" t="s">
        <v>158</v>
      </c>
      <c r="H90" s="8">
        <v>3281212</v>
      </c>
      <c r="I90" s="8">
        <v>545</v>
      </c>
      <c r="J90" s="7" t="s">
        <v>20</v>
      </c>
      <c r="K90" s="7" t="s">
        <v>159</v>
      </c>
      <c r="L90" s="8">
        <v>541</v>
      </c>
      <c r="M90" s="8">
        <v>2230250</v>
      </c>
      <c r="N90" s="7"/>
      <c r="O90" s="8">
        <v>1124586</v>
      </c>
      <c r="P90" s="7"/>
      <c r="Q90" s="8">
        <v>1411106</v>
      </c>
      <c r="R90" s="7"/>
      <c r="S90" s="8">
        <v>785679</v>
      </c>
      <c r="T90" s="7"/>
      <c r="U90" s="8">
        <v>782959</v>
      </c>
      <c r="V90" s="7"/>
      <c r="W90" s="33">
        <v>6334580</v>
      </c>
      <c r="X90" s="7"/>
      <c r="Y90" s="30">
        <v>1125.75</v>
      </c>
      <c r="Z90" s="7"/>
      <c r="AA90" s="30">
        <v>591.54999999999995</v>
      </c>
      <c r="AB90" s="7"/>
      <c r="AC90" s="30">
        <v>715.4</v>
      </c>
      <c r="AD90" s="7"/>
      <c r="AE90" s="30">
        <v>426.6</v>
      </c>
      <c r="AF90" s="7"/>
      <c r="AG90" s="30">
        <v>366.7</v>
      </c>
      <c r="AI90" s="32">
        <v>3226</v>
      </c>
      <c r="AK90" s="7" t="str">
        <f t="shared" si="1"/>
        <v>No</v>
      </c>
    </row>
    <row r="91" spans="1:37">
      <c r="A91" s="7" t="s">
        <v>639</v>
      </c>
      <c r="B91" s="7" t="s">
        <v>640</v>
      </c>
      <c r="C91" s="7" t="s">
        <v>73</v>
      </c>
      <c r="D91" s="302">
        <v>5015</v>
      </c>
      <c r="E91" s="297">
        <v>50015</v>
      </c>
      <c r="F91" s="7" t="s">
        <v>165</v>
      </c>
      <c r="G91" s="7" t="s">
        <v>158</v>
      </c>
      <c r="H91" s="8">
        <v>1780673</v>
      </c>
      <c r="I91" s="8">
        <v>545</v>
      </c>
      <c r="J91" s="7" t="s">
        <v>7</v>
      </c>
      <c r="K91" s="7" t="s">
        <v>159</v>
      </c>
      <c r="L91" s="8">
        <v>350</v>
      </c>
      <c r="M91" s="8">
        <v>1924394</v>
      </c>
      <c r="N91" s="7"/>
      <c r="O91" s="8">
        <v>523137</v>
      </c>
      <c r="P91" s="7"/>
      <c r="Q91" s="8">
        <v>158109</v>
      </c>
      <c r="R91" s="7"/>
      <c r="S91" s="8">
        <v>419227</v>
      </c>
      <c r="T91" s="7"/>
      <c r="U91" s="8">
        <v>0</v>
      </c>
      <c r="V91" s="7"/>
      <c r="W91" s="33">
        <v>3024867</v>
      </c>
      <c r="X91" s="7"/>
      <c r="Y91" s="30">
        <v>824.57</v>
      </c>
      <c r="Z91" s="7"/>
      <c r="AA91" s="30">
        <v>248.4</v>
      </c>
      <c r="AB91" s="7"/>
      <c r="AC91" s="30">
        <v>67.41</v>
      </c>
      <c r="AD91" s="7"/>
      <c r="AE91" s="30">
        <v>216.68</v>
      </c>
      <c r="AF91" s="7"/>
      <c r="AG91" s="30">
        <v>0</v>
      </c>
      <c r="AI91" s="32">
        <v>1357.06</v>
      </c>
      <c r="AK91" s="7" t="str">
        <f t="shared" si="1"/>
        <v>No</v>
      </c>
    </row>
    <row r="92" spans="1:37">
      <c r="A92" s="7" t="s">
        <v>639</v>
      </c>
      <c r="B92" s="7" t="s">
        <v>640</v>
      </c>
      <c r="C92" s="7" t="s">
        <v>73</v>
      </c>
      <c r="D92" s="302">
        <v>5015</v>
      </c>
      <c r="E92" s="297">
        <v>50015</v>
      </c>
      <c r="F92" s="7" t="s">
        <v>165</v>
      </c>
      <c r="G92" s="7" t="s">
        <v>158</v>
      </c>
      <c r="H92" s="8">
        <v>1780673</v>
      </c>
      <c r="I92" s="8">
        <v>545</v>
      </c>
      <c r="J92" s="7" t="s">
        <v>10</v>
      </c>
      <c r="K92" s="7" t="s">
        <v>159</v>
      </c>
      <c r="L92" s="8">
        <v>68</v>
      </c>
      <c r="M92" s="8">
        <v>323274</v>
      </c>
      <c r="N92" s="7"/>
      <c r="O92" s="8">
        <v>58797</v>
      </c>
      <c r="P92" s="7"/>
      <c r="Q92" s="8">
        <v>26787</v>
      </c>
      <c r="R92" s="7"/>
      <c r="S92" s="8">
        <v>67714</v>
      </c>
      <c r="T92" s="7"/>
      <c r="U92" s="8">
        <v>0</v>
      </c>
      <c r="V92" s="7"/>
      <c r="W92" s="33">
        <v>476572</v>
      </c>
      <c r="X92" s="7"/>
      <c r="Y92" s="30">
        <v>141.86000000000001</v>
      </c>
      <c r="Z92" s="7"/>
      <c r="AA92" s="30">
        <v>27</v>
      </c>
      <c r="AB92" s="7"/>
      <c r="AC92" s="30">
        <v>13.63</v>
      </c>
      <c r="AD92" s="7"/>
      <c r="AE92" s="30">
        <v>36.29</v>
      </c>
      <c r="AF92" s="7"/>
      <c r="AG92" s="30">
        <v>0</v>
      </c>
      <c r="AI92" s="32">
        <v>218.78</v>
      </c>
      <c r="AK92" s="7" t="str">
        <f t="shared" si="1"/>
        <v>No</v>
      </c>
    </row>
    <row r="93" spans="1:37">
      <c r="A93" s="7" t="s">
        <v>639</v>
      </c>
      <c r="B93" s="7" t="s">
        <v>640</v>
      </c>
      <c r="C93" s="7" t="s">
        <v>73</v>
      </c>
      <c r="D93" s="302">
        <v>5015</v>
      </c>
      <c r="E93" s="297">
        <v>50015</v>
      </c>
      <c r="F93" s="7" t="s">
        <v>165</v>
      </c>
      <c r="G93" s="7" t="s">
        <v>158</v>
      </c>
      <c r="H93" s="8">
        <v>1780673</v>
      </c>
      <c r="I93" s="8">
        <v>545</v>
      </c>
      <c r="J93" s="7" t="s">
        <v>20</v>
      </c>
      <c r="K93" s="7" t="s">
        <v>159</v>
      </c>
      <c r="L93" s="8">
        <v>20</v>
      </c>
      <c r="M93" s="8">
        <v>212463</v>
      </c>
      <c r="N93" s="7"/>
      <c r="O93" s="8">
        <v>162162</v>
      </c>
      <c r="P93" s="7"/>
      <c r="Q93" s="8">
        <v>276899</v>
      </c>
      <c r="R93" s="7"/>
      <c r="S93" s="8">
        <v>25299</v>
      </c>
      <c r="T93" s="7"/>
      <c r="U93" s="8">
        <v>0</v>
      </c>
      <c r="V93" s="7"/>
      <c r="W93" s="33">
        <v>676823</v>
      </c>
      <c r="X93" s="7"/>
      <c r="Y93" s="30">
        <v>92.23</v>
      </c>
      <c r="Z93" s="7"/>
      <c r="AA93" s="30">
        <v>69.67</v>
      </c>
      <c r="AB93" s="7"/>
      <c r="AC93" s="30">
        <v>121.12</v>
      </c>
      <c r="AD93" s="7"/>
      <c r="AE93" s="30">
        <v>13.81</v>
      </c>
      <c r="AF93" s="7"/>
      <c r="AG93" s="30">
        <v>0</v>
      </c>
      <c r="AI93" s="32">
        <v>296.83</v>
      </c>
      <c r="AK93" s="7" t="str">
        <f t="shared" si="1"/>
        <v>No</v>
      </c>
    </row>
    <row r="94" spans="1:37">
      <c r="A94" s="7" t="s">
        <v>639</v>
      </c>
      <c r="B94" s="7" t="s">
        <v>640</v>
      </c>
      <c r="C94" s="7" t="s">
        <v>73</v>
      </c>
      <c r="D94" s="302">
        <v>5015</v>
      </c>
      <c r="E94" s="297">
        <v>50015</v>
      </c>
      <c r="F94" s="7" t="s">
        <v>165</v>
      </c>
      <c r="G94" s="7" t="s">
        <v>158</v>
      </c>
      <c r="H94" s="8">
        <v>1780673</v>
      </c>
      <c r="I94" s="8">
        <v>545</v>
      </c>
      <c r="J94" s="7" t="s">
        <v>22</v>
      </c>
      <c r="K94" s="7" t="s">
        <v>159</v>
      </c>
      <c r="L94" s="8">
        <v>14</v>
      </c>
      <c r="M94" s="8">
        <v>62763</v>
      </c>
      <c r="N94" s="7"/>
      <c r="O94" s="8">
        <v>17548</v>
      </c>
      <c r="P94" s="7"/>
      <c r="Q94" s="8">
        <v>5917</v>
      </c>
      <c r="R94" s="7"/>
      <c r="S94" s="8">
        <v>15809</v>
      </c>
      <c r="T94" s="7"/>
      <c r="U94" s="8">
        <v>0</v>
      </c>
      <c r="V94" s="7"/>
      <c r="W94" s="33">
        <v>102037</v>
      </c>
      <c r="X94" s="7"/>
      <c r="Y94" s="30">
        <v>28.45</v>
      </c>
      <c r="Z94" s="7"/>
      <c r="AA94" s="30">
        <v>8.6</v>
      </c>
      <c r="AB94" s="7"/>
      <c r="AC94" s="30">
        <v>2.5</v>
      </c>
      <c r="AD94" s="7"/>
      <c r="AE94" s="30">
        <v>8.5500000000000007</v>
      </c>
      <c r="AF94" s="7"/>
      <c r="AG94" s="30">
        <v>0</v>
      </c>
      <c r="AI94" s="32">
        <v>48.1</v>
      </c>
      <c r="AK94" s="7" t="str">
        <f t="shared" si="1"/>
        <v>No</v>
      </c>
    </row>
    <row r="95" spans="1:37">
      <c r="A95" s="7" t="s">
        <v>639</v>
      </c>
      <c r="B95" s="7" t="s">
        <v>640</v>
      </c>
      <c r="C95" s="7" t="s">
        <v>73</v>
      </c>
      <c r="D95" s="302">
        <v>5015</v>
      </c>
      <c r="E95" s="297">
        <v>50015</v>
      </c>
      <c r="F95" s="7" t="s">
        <v>165</v>
      </c>
      <c r="G95" s="7" t="s">
        <v>158</v>
      </c>
      <c r="H95" s="8">
        <v>1780673</v>
      </c>
      <c r="I95" s="8">
        <v>545</v>
      </c>
      <c r="J95" s="7" t="s">
        <v>21</v>
      </c>
      <c r="K95" s="7" t="s">
        <v>159</v>
      </c>
      <c r="L95" s="8">
        <v>13</v>
      </c>
      <c r="M95" s="8">
        <v>99796</v>
      </c>
      <c r="N95" s="7"/>
      <c r="O95" s="8">
        <v>47315</v>
      </c>
      <c r="P95" s="7"/>
      <c r="Q95" s="8">
        <v>80792</v>
      </c>
      <c r="R95" s="7"/>
      <c r="S95" s="8">
        <v>17709</v>
      </c>
      <c r="T95" s="7"/>
      <c r="U95" s="8">
        <v>0</v>
      </c>
      <c r="V95" s="7"/>
      <c r="W95" s="33">
        <v>245612</v>
      </c>
      <c r="X95" s="7"/>
      <c r="Y95" s="30">
        <v>43.88</v>
      </c>
      <c r="Z95" s="7"/>
      <c r="AA95" s="30">
        <v>20.329999999999998</v>
      </c>
      <c r="AB95" s="7"/>
      <c r="AC95" s="30">
        <v>35.340000000000003</v>
      </c>
      <c r="AD95" s="7"/>
      <c r="AE95" s="30">
        <v>9.67</v>
      </c>
      <c r="AF95" s="7"/>
      <c r="AG95" s="30">
        <v>0</v>
      </c>
      <c r="AI95" s="32">
        <v>109.22</v>
      </c>
      <c r="AK95" s="7" t="str">
        <f t="shared" si="1"/>
        <v>No</v>
      </c>
    </row>
    <row r="96" spans="1:37">
      <c r="A96" s="7" t="s">
        <v>53</v>
      </c>
      <c r="B96" s="7" t="s">
        <v>767</v>
      </c>
      <c r="C96" s="7" t="s">
        <v>52</v>
      </c>
      <c r="D96" s="302">
        <v>5193</v>
      </c>
      <c r="E96" s="297">
        <v>50193</v>
      </c>
      <c r="F96" s="7" t="s">
        <v>243</v>
      </c>
      <c r="G96" s="7" t="s">
        <v>158</v>
      </c>
      <c r="H96" s="8">
        <v>3734090</v>
      </c>
      <c r="I96" s="8">
        <v>537</v>
      </c>
      <c r="J96" s="7" t="s">
        <v>8</v>
      </c>
      <c r="K96" s="7" t="s">
        <v>159</v>
      </c>
      <c r="L96" s="8">
        <v>537</v>
      </c>
      <c r="M96" s="8">
        <v>0</v>
      </c>
      <c r="N96" s="7"/>
      <c r="O96" s="8">
        <v>0</v>
      </c>
      <c r="P96" s="7"/>
      <c r="Q96" s="8">
        <v>0</v>
      </c>
      <c r="R96" s="7"/>
      <c r="S96" s="8">
        <v>8579</v>
      </c>
      <c r="T96" s="7"/>
      <c r="U96" s="8">
        <v>0</v>
      </c>
      <c r="V96" s="7"/>
      <c r="W96" s="33">
        <v>8579</v>
      </c>
      <c r="X96" s="7"/>
      <c r="Y96" s="30">
        <v>0</v>
      </c>
      <c r="Z96" s="7"/>
      <c r="AA96" s="30">
        <v>0</v>
      </c>
      <c r="AB96" s="7"/>
      <c r="AC96" s="30">
        <v>0</v>
      </c>
      <c r="AD96" s="7"/>
      <c r="AE96" s="30">
        <v>7</v>
      </c>
      <c r="AF96" s="7"/>
      <c r="AG96" s="30">
        <v>0</v>
      </c>
      <c r="AI96" s="32">
        <v>7</v>
      </c>
      <c r="AK96" s="7" t="str">
        <f t="shared" si="1"/>
        <v>No</v>
      </c>
    </row>
    <row r="97" spans="1:37">
      <c r="A97" s="7" t="s">
        <v>546</v>
      </c>
      <c r="B97" s="7" t="s">
        <v>547</v>
      </c>
      <c r="C97" s="7" t="s">
        <v>89</v>
      </c>
      <c r="D97" s="302">
        <v>3</v>
      </c>
      <c r="E97" s="297">
        <v>3</v>
      </c>
      <c r="F97" s="7" t="s">
        <v>165</v>
      </c>
      <c r="G97" s="7" t="s">
        <v>158</v>
      </c>
      <c r="H97" s="8">
        <v>3059393</v>
      </c>
      <c r="I97" s="8">
        <v>533</v>
      </c>
      <c r="J97" s="7" t="s">
        <v>8</v>
      </c>
      <c r="K97" s="7" t="s">
        <v>159</v>
      </c>
      <c r="L97" s="8">
        <v>324</v>
      </c>
      <c r="M97" s="8">
        <v>14154</v>
      </c>
      <c r="N97" s="7"/>
      <c r="O97" s="8">
        <v>9808</v>
      </c>
      <c r="P97" s="7"/>
      <c r="Q97" s="8">
        <v>1960</v>
      </c>
      <c r="R97" s="7"/>
      <c r="S97" s="8">
        <v>8660</v>
      </c>
      <c r="T97" s="7"/>
      <c r="U97" s="8">
        <v>0</v>
      </c>
      <c r="V97" s="7"/>
      <c r="W97" s="33">
        <v>34582</v>
      </c>
      <c r="X97" s="7"/>
      <c r="Y97" s="30">
        <v>8.1999999999999993</v>
      </c>
      <c r="Z97" s="7"/>
      <c r="AA97" s="30">
        <v>5.2</v>
      </c>
      <c r="AB97" s="7"/>
      <c r="AC97" s="30">
        <v>1.08</v>
      </c>
      <c r="AD97" s="7"/>
      <c r="AE97" s="30">
        <v>4.9800000000000004</v>
      </c>
      <c r="AF97" s="7"/>
      <c r="AG97" s="30">
        <v>0</v>
      </c>
      <c r="AI97" s="32">
        <v>19.46</v>
      </c>
      <c r="AK97" s="7" t="str">
        <f t="shared" si="1"/>
        <v>No</v>
      </c>
    </row>
    <row r="98" spans="1:37">
      <c r="A98" s="7" t="s">
        <v>546</v>
      </c>
      <c r="B98" s="7" t="s">
        <v>547</v>
      </c>
      <c r="C98" s="7" t="s">
        <v>89</v>
      </c>
      <c r="D98" s="302">
        <v>3</v>
      </c>
      <c r="E98" s="297">
        <v>3</v>
      </c>
      <c r="F98" s="7" t="s">
        <v>165</v>
      </c>
      <c r="G98" s="7" t="s">
        <v>158</v>
      </c>
      <c r="H98" s="8">
        <v>3059393</v>
      </c>
      <c r="I98" s="8">
        <v>533</v>
      </c>
      <c r="J98" s="7" t="s">
        <v>7</v>
      </c>
      <c r="K98" s="7" t="s">
        <v>159</v>
      </c>
      <c r="L98" s="8">
        <v>118</v>
      </c>
      <c r="M98" s="8">
        <v>541749</v>
      </c>
      <c r="N98" s="7"/>
      <c r="O98" s="8">
        <v>79830</v>
      </c>
      <c r="P98" s="7"/>
      <c r="Q98" s="8">
        <v>43341</v>
      </c>
      <c r="R98" s="7"/>
      <c r="S98" s="8">
        <v>126795</v>
      </c>
      <c r="T98" s="7"/>
      <c r="U98" s="8">
        <v>0</v>
      </c>
      <c r="V98" s="7"/>
      <c r="W98" s="33">
        <v>791715</v>
      </c>
      <c r="X98" s="7"/>
      <c r="Y98" s="30">
        <v>289.04000000000002</v>
      </c>
      <c r="Z98" s="7"/>
      <c r="AA98" s="30">
        <v>46.25</v>
      </c>
      <c r="AB98" s="7"/>
      <c r="AC98" s="30">
        <v>24.47</v>
      </c>
      <c r="AD98" s="7"/>
      <c r="AE98" s="30">
        <v>72.77</v>
      </c>
      <c r="AF98" s="7"/>
      <c r="AG98" s="30">
        <v>0</v>
      </c>
      <c r="AI98" s="32">
        <v>432.53</v>
      </c>
      <c r="AK98" s="7" t="str">
        <f t="shared" si="1"/>
        <v>No</v>
      </c>
    </row>
    <row r="99" spans="1:37">
      <c r="A99" s="7" t="s">
        <v>546</v>
      </c>
      <c r="B99" s="7" t="s">
        <v>547</v>
      </c>
      <c r="C99" s="7" t="s">
        <v>89</v>
      </c>
      <c r="D99" s="302">
        <v>3</v>
      </c>
      <c r="E99" s="297">
        <v>3</v>
      </c>
      <c r="F99" s="7" t="s">
        <v>165</v>
      </c>
      <c r="G99" s="7" t="s">
        <v>158</v>
      </c>
      <c r="H99" s="8">
        <v>3059393</v>
      </c>
      <c r="I99" s="8">
        <v>533</v>
      </c>
      <c r="J99" s="7" t="s">
        <v>10</v>
      </c>
      <c r="K99" s="7" t="s">
        <v>159</v>
      </c>
      <c r="L99" s="8">
        <v>31</v>
      </c>
      <c r="M99" s="8">
        <v>61106</v>
      </c>
      <c r="N99" s="7"/>
      <c r="O99" s="8">
        <v>6673</v>
      </c>
      <c r="P99" s="7"/>
      <c r="Q99" s="8">
        <v>1298</v>
      </c>
      <c r="R99" s="7"/>
      <c r="S99" s="8">
        <v>18265</v>
      </c>
      <c r="T99" s="7"/>
      <c r="U99" s="8">
        <v>0</v>
      </c>
      <c r="V99" s="7"/>
      <c r="W99" s="33">
        <v>87342</v>
      </c>
      <c r="X99" s="7"/>
      <c r="Y99" s="30">
        <v>30.96</v>
      </c>
      <c r="Z99" s="7"/>
      <c r="AA99" s="30">
        <v>3.55</v>
      </c>
      <c r="AB99" s="7"/>
      <c r="AC99" s="30">
        <v>0.78</v>
      </c>
      <c r="AD99" s="7"/>
      <c r="AE99" s="30">
        <v>10.67</v>
      </c>
      <c r="AF99" s="7"/>
      <c r="AG99" s="30">
        <v>0</v>
      </c>
      <c r="AI99" s="32">
        <v>45.96</v>
      </c>
      <c r="AK99" s="7" t="str">
        <f t="shared" si="1"/>
        <v>No</v>
      </c>
    </row>
    <row r="100" spans="1:37">
      <c r="A100" s="7" t="s">
        <v>349</v>
      </c>
      <c r="B100" s="7" t="s">
        <v>350</v>
      </c>
      <c r="C100" s="7" t="s">
        <v>31</v>
      </c>
      <c r="D100" s="302">
        <v>3075</v>
      </c>
      <c r="E100" s="297">
        <v>30075</v>
      </c>
      <c r="F100" s="7" t="s">
        <v>165</v>
      </c>
      <c r="G100" s="7" t="s">
        <v>158</v>
      </c>
      <c r="H100" s="8">
        <v>5441567</v>
      </c>
      <c r="I100" s="8">
        <v>481</v>
      </c>
      <c r="J100" s="7" t="s">
        <v>10</v>
      </c>
      <c r="K100" s="7" t="s">
        <v>159</v>
      </c>
      <c r="L100" s="8">
        <v>265</v>
      </c>
      <c r="M100" s="8">
        <v>800654</v>
      </c>
      <c r="N100" s="7"/>
      <c r="O100" s="8">
        <v>82960</v>
      </c>
      <c r="P100" s="7"/>
      <c r="Q100" s="8">
        <v>11270</v>
      </c>
      <c r="R100" s="7"/>
      <c r="S100" s="8">
        <v>135687</v>
      </c>
      <c r="T100" s="7"/>
      <c r="U100" s="8">
        <v>0</v>
      </c>
      <c r="V100" s="7"/>
      <c r="W100" s="33">
        <v>1030571</v>
      </c>
      <c r="X100" s="7"/>
      <c r="Y100" s="30">
        <v>375</v>
      </c>
      <c r="Z100" s="7"/>
      <c r="AA100" s="30">
        <v>44</v>
      </c>
      <c r="AB100" s="7"/>
      <c r="AC100" s="30">
        <v>7</v>
      </c>
      <c r="AD100" s="7"/>
      <c r="AE100" s="30">
        <v>85</v>
      </c>
      <c r="AF100" s="7"/>
      <c r="AG100" s="30">
        <v>0</v>
      </c>
      <c r="AI100" s="32">
        <v>511</v>
      </c>
      <c r="AK100" s="7" t="str">
        <f t="shared" si="1"/>
        <v>No</v>
      </c>
    </row>
    <row r="101" spans="1:37">
      <c r="A101" s="7" t="s">
        <v>349</v>
      </c>
      <c r="B101" s="7" t="s">
        <v>350</v>
      </c>
      <c r="C101" s="7" t="s">
        <v>31</v>
      </c>
      <c r="D101" s="302">
        <v>3075</v>
      </c>
      <c r="E101" s="297">
        <v>30075</v>
      </c>
      <c r="F101" s="7" t="s">
        <v>165</v>
      </c>
      <c r="G101" s="7" t="s">
        <v>158</v>
      </c>
      <c r="H101" s="8">
        <v>5441567</v>
      </c>
      <c r="I101" s="8">
        <v>481</v>
      </c>
      <c r="J101" s="7" t="s">
        <v>7</v>
      </c>
      <c r="K101" s="7" t="s">
        <v>159</v>
      </c>
      <c r="L101" s="8">
        <v>173</v>
      </c>
      <c r="M101" s="8">
        <v>627280</v>
      </c>
      <c r="N101" s="7"/>
      <c r="O101" s="8">
        <v>157279</v>
      </c>
      <c r="P101" s="7"/>
      <c r="Q101" s="8">
        <v>7468</v>
      </c>
      <c r="R101" s="7"/>
      <c r="S101" s="8">
        <v>89919</v>
      </c>
      <c r="T101" s="7"/>
      <c r="U101" s="8">
        <v>0</v>
      </c>
      <c r="V101" s="7"/>
      <c r="W101" s="33">
        <v>881946</v>
      </c>
      <c r="X101" s="7"/>
      <c r="Y101" s="30">
        <v>284</v>
      </c>
      <c r="Z101" s="7"/>
      <c r="AA101" s="30">
        <v>84</v>
      </c>
      <c r="AB101" s="7"/>
      <c r="AC101" s="30">
        <v>6</v>
      </c>
      <c r="AD101" s="7"/>
      <c r="AE101" s="30">
        <v>56</v>
      </c>
      <c r="AF101" s="7"/>
      <c r="AG101" s="30">
        <v>0</v>
      </c>
      <c r="AI101" s="32">
        <v>430</v>
      </c>
      <c r="AK101" s="7" t="str">
        <f t="shared" si="1"/>
        <v>No</v>
      </c>
    </row>
    <row r="102" spans="1:37">
      <c r="A102" s="7" t="s">
        <v>217</v>
      </c>
      <c r="B102" s="7" t="s">
        <v>218</v>
      </c>
      <c r="C102" s="7" t="s">
        <v>55</v>
      </c>
      <c r="D102" s="302">
        <v>7006</v>
      </c>
      <c r="E102" s="297">
        <v>70006</v>
      </c>
      <c r="F102" s="7" t="s">
        <v>165</v>
      </c>
      <c r="G102" s="7" t="s">
        <v>158</v>
      </c>
      <c r="H102" s="8">
        <v>2150706</v>
      </c>
      <c r="I102" s="8">
        <v>480</v>
      </c>
      <c r="J102" s="7" t="s">
        <v>7</v>
      </c>
      <c r="K102" s="7" t="s">
        <v>159</v>
      </c>
      <c r="L102" s="8">
        <v>321</v>
      </c>
      <c r="M102" s="8">
        <v>1947100</v>
      </c>
      <c r="N102" s="7"/>
      <c r="O102" s="8">
        <v>417896</v>
      </c>
      <c r="P102" s="7"/>
      <c r="Q102" s="8">
        <v>135233</v>
      </c>
      <c r="R102" s="7"/>
      <c r="S102" s="8">
        <v>253767</v>
      </c>
      <c r="T102" s="7"/>
      <c r="U102" s="8">
        <v>12086</v>
      </c>
      <c r="V102" s="7"/>
      <c r="W102" s="33">
        <v>2766082</v>
      </c>
      <c r="X102" s="7"/>
      <c r="Y102" s="30">
        <v>936.7</v>
      </c>
      <c r="Z102" s="7"/>
      <c r="AA102" s="30">
        <v>218.92</v>
      </c>
      <c r="AB102" s="7"/>
      <c r="AC102" s="30">
        <v>66.72</v>
      </c>
      <c r="AD102" s="7"/>
      <c r="AE102" s="30">
        <v>148.19999999999999</v>
      </c>
      <c r="AF102" s="7"/>
      <c r="AG102" s="30">
        <v>5.82</v>
      </c>
      <c r="AI102" s="32">
        <v>1376.36</v>
      </c>
      <c r="AK102" s="7" t="str">
        <f t="shared" si="1"/>
        <v>No</v>
      </c>
    </row>
    <row r="103" spans="1:37">
      <c r="A103" s="7" t="s">
        <v>217</v>
      </c>
      <c r="B103" s="7" t="s">
        <v>218</v>
      </c>
      <c r="C103" s="7" t="s">
        <v>55</v>
      </c>
      <c r="D103" s="302">
        <v>7006</v>
      </c>
      <c r="E103" s="297">
        <v>70006</v>
      </c>
      <c r="F103" s="7" t="s">
        <v>165</v>
      </c>
      <c r="G103" s="7" t="s">
        <v>158</v>
      </c>
      <c r="H103" s="8">
        <v>2150706</v>
      </c>
      <c r="I103" s="8">
        <v>480</v>
      </c>
      <c r="J103" s="7" t="s">
        <v>10</v>
      </c>
      <c r="K103" s="7" t="s">
        <v>159</v>
      </c>
      <c r="L103" s="8">
        <v>101</v>
      </c>
      <c r="M103" s="8">
        <v>510880</v>
      </c>
      <c r="N103" s="7"/>
      <c r="O103" s="8">
        <v>60038</v>
      </c>
      <c r="P103" s="7"/>
      <c r="Q103" s="8">
        <v>7629</v>
      </c>
      <c r="R103" s="7"/>
      <c r="S103" s="8">
        <v>27875</v>
      </c>
      <c r="T103" s="7"/>
      <c r="U103" s="8">
        <v>837</v>
      </c>
      <c r="V103" s="7"/>
      <c r="W103" s="33">
        <v>607259</v>
      </c>
      <c r="X103" s="7"/>
      <c r="Y103" s="30">
        <v>253.18</v>
      </c>
      <c r="Z103" s="7"/>
      <c r="AA103" s="30">
        <v>28.76</v>
      </c>
      <c r="AB103" s="7"/>
      <c r="AC103" s="30">
        <v>4.25</v>
      </c>
      <c r="AD103" s="7"/>
      <c r="AE103" s="30">
        <v>17.52</v>
      </c>
      <c r="AF103" s="7"/>
      <c r="AG103" s="30">
        <v>0.51</v>
      </c>
      <c r="AI103" s="32">
        <v>304.22000000000003</v>
      </c>
      <c r="AK103" s="7" t="str">
        <f t="shared" si="1"/>
        <v>No</v>
      </c>
    </row>
    <row r="104" spans="1:37">
      <c r="A104" s="7" t="s">
        <v>217</v>
      </c>
      <c r="B104" s="7" t="s">
        <v>218</v>
      </c>
      <c r="C104" s="7" t="s">
        <v>55</v>
      </c>
      <c r="D104" s="302">
        <v>7006</v>
      </c>
      <c r="E104" s="297">
        <v>70006</v>
      </c>
      <c r="F104" s="7" t="s">
        <v>165</v>
      </c>
      <c r="G104" s="7" t="s">
        <v>158</v>
      </c>
      <c r="H104" s="8">
        <v>2150706</v>
      </c>
      <c r="I104" s="8">
        <v>480</v>
      </c>
      <c r="J104" s="7" t="s">
        <v>21</v>
      </c>
      <c r="K104" s="7" t="s">
        <v>159</v>
      </c>
      <c r="L104" s="8">
        <v>58</v>
      </c>
      <c r="M104" s="8">
        <v>372033</v>
      </c>
      <c r="N104" s="7"/>
      <c r="O104" s="8">
        <v>122135</v>
      </c>
      <c r="P104" s="7"/>
      <c r="Q104" s="8">
        <v>220056</v>
      </c>
      <c r="R104" s="7"/>
      <c r="S104" s="8">
        <v>127604</v>
      </c>
      <c r="T104" s="7"/>
      <c r="U104" s="8">
        <v>29639</v>
      </c>
      <c r="V104" s="7"/>
      <c r="W104" s="33">
        <v>871467</v>
      </c>
      <c r="X104" s="7"/>
      <c r="Y104" s="30">
        <v>189.13</v>
      </c>
      <c r="Z104" s="7"/>
      <c r="AA104" s="30">
        <v>59.32</v>
      </c>
      <c r="AB104" s="7"/>
      <c r="AC104" s="30">
        <v>114.02</v>
      </c>
      <c r="AD104" s="7"/>
      <c r="AE104" s="30">
        <v>76.28</v>
      </c>
      <c r="AF104" s="7"/>
      <c r="AG104" s="30">
        <v>17.14</v>
      </c>
      <c r="AI104" s="32">
        <v>455.89</v>
      </c>
      <c r="AK104" s="7" t="str">
        <f t="shared" si="1"/>
        <v>No</v>
      </c>
    </row>
    <row r="105" spans="1:37">
      <c r="A105" s="7" t="s">
        <v>235</v>
      </c>
      <c r="B105" s="7" t="s">
        <v>236</v>
      </c>
      <c r="C105" s="7" t="s">
        <v>32</v>
      </c>
      <c r="D105" s="302">
        <v>4029</v>
      </c>
      <c r="E105" s="297">
        <v>40029</v>
      </c>
      <c r="F105" s="7" t="s">
        <v>162</v>
      </c>
      <c r="G105" s="7" t="s">
        <v>158</v>
      </c>
      <c r="H105" s="8">
        <v>5502379</v>
      </c>
      <c r="I105" s="8">
        <v>471</v>
      </c>
      <c r="J105" s="7" t="s">
        <v>7</v>
      </c>
      <c r="K105" s="7" t="s">
        <v>159</v>
      </c>
      <c r="L105" s="8">
        <v>273</v>
      </c>
      <c r="M105" s="8">
        <v>1619766</v>
      </c>
      <c r="N105" s="7"/>
      <c r="O105" s="8">
        <v>369000</v>
      </c>
      <c r="P105" s="7"/>
      <c r="Q105" s="8">
        <v>19299</v>
      </c>
      <c r="R105" s="7"/>
      <c r="S105" s="8">
        <v>190986</v>
      </c>
      <c r="T105" s="7"/>
      <c r="U105" s="8">
        <v>0</v>
      </c>
      <c r="V105" s="7"/>
      <c r="W105" s="33">
        <v>2199051</v>
      </c>
      <c r="X105" s="7"/>
      <c r="Y105" s="30">
        <v>751</v>
      </c>
      <c r="Z105" s="7"/>
      <c r="AA105" s="30">
        <v>180</v>
      </c>
      <c r="AB105" s="7"/>
      <c r="AC105" s="30">
        <v>13</v>
      </c>
      <c r="AD105" s="7"/>
      <c r="AE105" s="30">
        <v>107</v>
      </c>
      <c r="AF105" s="7"/>
      <c r="AG105" s="30">
        <v>0</v>
      </c>
      <c r="AI105" s="32">
        <v>1051</v>
      </c>
      <c r="AK105" s="7" t="str">
        <f t="shared" si="1"/>
        <v>No</v>
      </c>
    </row>
    <row r="106" spans="1:37">
      <c r="A106" s="7" t="s">
        <v>291</v>
      </c>
      <c r="B106" s="7" t="s">
        <v>292</v>
      </c>
      <c r="C106" s="7" t="s">
        <v>52</v>
      </c>
      <c r="D106" s="302">
        <v>5119</v>
      </c>
      <c r="E106" s="297">
        <v>50119</v>
      </c>
      <c r="F106" s="7" t="s">
        <v>162</v>
      </c>
      <c r="G106" s="7" t="s">
        <v>158</v>
      </c>
      <c r="H106" s="8">
        <v>3734090</v>
      </c>
      <c r="I106" s="8">
        <v>456</v>
      </c>
      <c r="J106" s="7" t="s">
        <v>7</v>
      </c>
      <c r="K106" s="7" t="s">
        <v>159</v>
      </c>
      <c r="L106" s="8">
        <v>230</v>
      </c>
      <c r="M106" s="8">
        <v>1353366</v>
      </c>
      <c r="N106" s="7"/>
      <c r="O106" s="8">
        <v>464181</v>
      </c>
      <c r="P106" s="7"/>
      <c r="Q106" s="8">
        <v>79509</v>
      </c>
      <c r="R106" s="7"/>
      <c r="S106" s="8">
        <v>50552</v>
      </c>
      <c r="T106" s="7"/>
      <c r="U106" s="8">
        <v>0</v>
      </c>
      <c r="V106" s="7"/>
      <c r="W106" s="33">
        <v>1947608</v>
      </c>
      <c r="X106" s="7"/>
      <c r="Y106" s="30">
        <v>597</v>
      </c>
      <c r="Z106" s="7"/>
      <c r="AA106" s="30">
        <v>185</v>
      </c>
      <c r="AB106" s="7"/>
      <c r="AC106" s="30">
        <v>33</v>
      </c>
      <c r="AD106" s="7"/>
      <c r="AE106" s="30">
        <v>29</v>
      </c>
      <c r="AF106" s="7"/>
      <c r="AG106" s="30">
        <v>0</v>
      </c>
      <c r="AI106" s="32">
        <v>844</v>
      </c>
      <c r="AK106" s="7" t="str">
        <f t="shared" si="1"/>
        <v>No</v>
      </c>
    </row>
    <row r="107" spans="1:37">
      <c r="A107" s="7" t="s">
        <v>213</v>
      </c>
      <c r="B107" s="7" t="s">
        <v>214</v>
      </c>
      <c r="C107" s="7" t="s">
        <v>89</v>
      </c>
      <c r="D107" s="302">
        <v>18</v>
      </c>
      <c r="E107" s="297">
        <v>18</v>
      </c>
      <c r="F107" s="7" t="s">
        <v>165</v>
      </c>
      <c r="G107" s="7" t="s">
        <v>158</v>
      </c>
      <c r="H107" s="8">
        <v>210975</v>
      </c>
      <c r="I107" s="8">
        <v>431</v>
      </c>
      <c r="J107" s="7" t="s">
        <v>8</v>
      </c>
      <c r="K107" s="7" t="s">
        <v>159</v>
      </c>
      <c r="L107" s="8">
        <v>261</v>
      </c>
      <c r="M107" s="8">
        <v>7461</v>
      </c>
      <c r="N107" s="7"/>
      <c r="O107" s="8">
        <v>6610</v>
      </c>
      <c r="P107" s="7"/>
      <c r="Q107" s="8">
        <v>458</v>
      </c>
      <c r="R107" s="7"/>
      <c r="S107" s="8">
        <v>3432</v>
      </c>
      <c r="T107" s="7"/>
      <c r="U107" s="8">
        <v>0</v>
      </c>
      <c r="V107" s="7"/>
      <c r="W107" s="33">
        <v>17961</v>
      </c>
      <c r="X107" s="7"/>
      <c r="Y107" s="30">
        <v>4</v>
      </c>
      <c r="Z107" s="7"/>
      <c r="AA107" s="30">
        <v>3.62</v>
      </c>
      <c r="AB107" s="7"/>
      <c r="AC107" s="30">
        <v>0.26</v>
      </c>
      <c r="AD107" s="7"/>
      <c r="AE107" s="30">
        <v>2</v>
      </c>
      <c r="AF107" s="7"/>
      <c r="AG107" s="30">
        <v>0</v>
      </c>
      <c r="AI107" s="32">
        <v>9.8800000000000008</v>
      </c>
      <c r="AK107" s="7" t="str">
        <f t="shared" si="1"/>
        <v>No</v>
      </c>
    </row>
    <row r="108" spans="1:37">
      <c r="A108" s="7" t="s">
        <v>213</v>
      </c>
      <c r="B108" s="7" t="s">
        <v>214</v>
      </c>
      <c r="C108" s="7" t="s">
        <v>89</v>
      </c>
      <c r="D108" s="302">
        <v>18</v>
      </c>
      <c r="E108" s="297">
        <v>18</v>
      </c>
      <c r="F108" s="7" t="s">
        <v>165</v>
      </c>
      <c r="G108" s="7" t="s">
        <v>158</v>
      </c>
      <c r="H108" s="8">
        <v>210975</v>
      </c>
      <c r="I108" s="8">
        <v>431</v>
      </c>
      <c r="J108" s="7" t="s">
        <v>10</v>
      </c>
      <c r="K108" s="7" t="s">
        <v>159</v>
      </c>
      <c r="L108" s="8">
        <v>70</v>
      </c>
      <c r="M108" s="8">
        <v>155247</v>
      </c>
      <c r="N108" s="7"/>
      <c r="O108" s="8">
        <v>15254</v>
      </c>
      <c r="P108" s="7"/>
      <c r="Q108" s="8">
        <v>2155</v>
      </c>
      <c r="R108" s="7"/>
      <c r="S108" s="8">
        <v>16154</v>
      </c>
      <c r="T108" s="7"/>
      <c r="U108" s="8">
        <v>0</v>
      </c>
      <c r="V108" s="7"/>
      <c r="W108" s="33">
        <v>188810</v>
      </c>
      <c r="X108" s="7"/>
      <c r="Y108" s="30">
        <v>82</v>
      </c>
      <c r="Z108" s="7"/>
      <c r="AA108" s="30">
        <v>8.36</v>
      </c>
      <c r="AB108" s="7"/>
      <c r="AC108" s="30">
        <v>1.23</v>
      </c>
      <c r="AD108" s="7"/>
      <c r="AE108" s="30">
        <v>9.43</v>
      </c>
      <c r="AF108" s="7"/>
      <c r="AG108" s="30">
        <v>0</v>
      </c>
      <c r="AI108" s="32">
        <v>101.02</v>
      </c>
      <c r="AK108" s="7" t="str">
        <f t="shared" si="1"/>
        <v>No</v>
      </c>
    </row>
    <row r="109" spans="1:37">
      <c r="A109" s="7" t="s">
        <v>213</v>
      </c>
      <c r="B109" s="7" t="s">
        <v>214</v>
      </c>
      <c r="C109" s="7" t="s">
        <v>89</v>
      </c>
      <c r="D109" s="302">
        <v>18</v>
      </c>
      <c r="E109" s="297">
        <v>18</v>
      </c>
      <c r="F109" s="7" t="s">
        <v>165</v>
      </c>
      <c r="G109" s="7" t="s">
        <v>158</v>
      </c>
      <c r="H109" s="8">
        <v>210975</v>
      </c>
      <c r="I109" s="8">
        <v>431</v>
      </c>
      <c r="J109" s="7" t="s">
        <v>7</v>
      </c>
      <c r="K109" s="7" t="s">
        <v>159</v>
      </c>
      <c r="L109" s="8">
        <v>46</v>
      </c>
      <c r="M109" s="8">
        <v>155455</v>
      </c>
      <c r="N109" s="7"/>
      <c r="O109" s="8">
        <v>29226</v>
      </c>
      <c r="P109" s="7"/>
      <c r="Q109" s="8">
        <v>2642</v>
      </c>
      <c r="R109" s="7"/>
      <c r="S109" s="8">
        <v>19801</v>
      </c>
      <c r="T109" s="7"/>
      <c r="U109" s="8">
        <v>0</v>
      </c>
      <c r="V109" s="7"/>
      <c r="W109" s="33">
        <v>207124</v>
      </c>
      <c r="X109" s="7"/>
      <c r="Y109" s="30">
        <v>86</v>
      </c>
      <c r="Z109" s="7"/>
      <c r="AA109" s="30">
        <v>16.02</v>
      </c>
      <c r="AB109" s="7"/>
      <c r="AC109" s="30">
        <v>1.51</v>
      </c>
      <c r="AD109" s="7"/>
      <c r="AE109" s="30">
        <v>11.56</v>
      </c>
      <c r="AF109" s="7"/>
      <c r="AG109" s="30">
        <v>0</v>
      </c>
      <c r="AI109" s="32">
        <v>115.09</v>
      </c>
      <c r="AK109" s="7" t="str">
        <f t="shared" si="1"/>
        <v>No</v>
      </c>
    </row>
    <row r="110" spans="1:37">
      <c r="A110" s="7" t="s">
        <v>542</v>
      </c>
      <c r="B110" s="7" t="s">
        <v>543</v>
      </c>
      <c r="C110" s="7" t="s">
        <v>32</v>
      </c>
      <c r="D110" s="302">
        <v>4037</v>
      </c>
      <c r="E110" s="297">
        <v>40037</v>
      </c>
      <c r="F110" s="7" t="s">
        <v>162</v>
      </c>
      <c r="G110" s="7" t="s">
        <v>158</v>
      </c>
      <c r="H110" s="8">
        <v>5502379</v>
      </c>
      <c r="I110" s="8">
        <v>424</v>
      </c>
      <c r="J110" s="7" t="s">
        <v>7</v>
      </c>
      <c r="K110" s="7" t="s">
        <v>159</v>
      </c>
      <c r="L110" s="8">
        <v>130</v>
      </c>
      <c r="M110" s="8">
        <v>705548</v>
      </c>
      <c r="N110" s="7"/>
      <c r="O110" s="8">
        <v>178881</v>
      </c>
      <c r="P110" s="7"/>
      <c r="Q110" s="8">
        <v>6683</v>
      </c>
      <c r="R110" s="7"/>
      <c r="S110" s="8">
        <v>126376</v>
      </c>
      <c r="T110" s="7"/>
      <c r="U110" s="8">
        <v>0</v>
      </c>
      <c r="V110" s="7"/>
      <c r="W110" s="33">
        <v>1017488</v>
      </c>
      <c r="X110" s="7"/>
      <c r="Y110" s="30">
        <v>355</v>
      </c>
      <c r="Z110" s="7"/>
      <c r="AA110" s="30">
        <v>90</v>
      </c>
      <c r="AB110" s="7"/>
      <c r="AC110" s="30">
        <v>3</v>
      </c>
      <c r="AD110" s="7"/>
      <c r="AE110" s="30">
        <v>70</v>
      </c>
      <c r="AF110" s="7"/>
      <c r="AG110" s="30">
        <v>0</v>
      </c>
      <c r="AI110" s="32">
        <v>518</v>
      </c>
      <c r="AK110" s="7" t="str">
        <f t="shared" si="1"/>
        <v>No</v>
      </c>
    </row>
    <row r="111" spans="1:37">
      <c r="A111" s="7" t="s">
        <v>499</v>
      </c>
      <c r="B111" s="7" t="s">
        <v>500</v>
      </c>
      <c r="C111" s="7" t="s">
        <v>93</v>
      </c>
      <c r="D111" s="302">
        <v>5008</v>
      </c>
      <c r="E111" s="297">
        <v>50008</v>
      </c>
      <c r="F111" s="7" t="s">
        <v>162</v>
      </c>
      <c r="G111" s="7" t="s">
        <v>158</v>
      </c>
      <c r="H111" s="8">
        <v>1376476</v>
      </c>
      <c r="I111" s="8">
        <v>421</v>
      </c>
      <c r="J111" s="7" t="s">
        <v>7</v>
      </c>
      <c r="K111" s="7" t="s">
        <v>159</v>
      </c>
      <c r="L111" s="8">
        <v>337</v>
      </c>
      <c r="M111" s="8">
        <v>1896577</v>
      </c>
      <c r="N111" s="7"/>
      <c r="O111" s="8">
        <v>289502</v>
      </c>
      <c r="P111" s="7"/>
      <c r="Q111" s="8">
        <v>32847</v>
      </c>
      <c r="R111" s="7"/>
      <c r="S111" s="8">
        <v>128386</v>
      </c>
      <c r="T111" s="7"/>
      <c r="U111" s="8">
        <v>0</v>
      </c>
      <c r="V111" s="7"/>
      <c r="W111" s="33">
        <v>2347312</v>
      </c>
      <c r="X111" s="7"/>
      <c r="Y111" s="30">
        <v>768.5</v>
      </c>
      <c r="Z111" s="7"/>
      <c r="AA111" s="30">
        <v>152.9</v>
      </c>
      <c r="AB111" s="7"/>
      <c r="AC111" s="30">
        <v>13.8</v>
      </c>
      <c r="AD111" s="7"/>
      <c r="AE111" s="30">
        <v>77.5</v>
      </c>
      <c r="AF111" s="7"/>
      <c r="AG111" s="30">
        <v>0</v>
      </c>
      <c r="AI111" s="32">
        <v>1012.7</v>
      </c>
      <c r="AK111" s="7" t="str">
        <f t="shared" si="1"/>
        <v>No</v>
      </c>
    </row>
    <row r="112" spans="1:37">
      <c r="A112" s="7" t="s">
        <v>273</v>
      </c>
      <c r="B112" s="7" t="s">
        <v>274</v>
      </c>
      <c r="C112" s="7" t="s">
        <v>58</v>
      </c>
      <c r="D112" s="302">
        <v>4008</v>
      </c>
      <c r="E112" s="297">
        <v>40008</v>
      </c>
      <c r="F112" s="7" t="s">
        <v>162</v>
      </c>
      <c r="G112" s="7" t="s">
        <v>158</v>
      </c>
      <c r="H112" s="8">
        <v>1249442</v>
      </c>
      <c r="I112" s="8">
        <v>421</v>
      </c>
      <c r="J112" s="7" t="s">
        <v>7</v>
      </c>
      <c r="K112" s="7" t="s">
        <v>159</v>
      </c>
      <c r="L112" s="8">
        <v>198</v>
      </c>
      <c r="M112" s="8">
        <v>994770</v>
      </c>
      <c r="N112" s="7"/>
      <c r="O112" s="8">
        <v>290950</v>
      </c>
      <c r="P112" s="7"/>
      <c r="Q112" s="8">
        <v>0</v>
      </c>
      <c r="R112" s="7"/>
      <c r="S112" s="8">
        <v>30130</v>
      </c>
      <c r="T112" s="7"/>
      <c r="U112" s="8">
        <v>0</v>
      </c>
      <c r="V112" s="7"/>
      <c r="W112" s="33">
        <v>1315850</v>
      </c>
      <c r="X112" s="7"/>
      <c r="Y112" s="30">
        <v>537</v>
      </c>
      <c r="Z112" s="7"/>
      <c r="AA112" s="30">
        <v>154</v>
      </c>
      <c r="AB112" s="7"/>
      <c r="AC112" s="30">
        <v>0</v>
      </c>
      <c r="AD112" s="7"/>
      <c r="AE112" s="30">
        <v>16</v>
      </c>
      <c r="AF112" s="7"/>
      <c r="AG112" s="30">
        <v>0</v>
      </c>
      <c r="AI112" s="32">
        <v>707</v>
      </c>
      <c r="AK112" s="7" t="str">
        <f t="shared" si="1"/>
        <v>No</v>
      </c>
    </row>
    <row r="113" spans="1:37">
      <c r="A113" s="7" t="s">
        <v>273</v>
      </c>
      <c r="B113" s="7" t="s">
        <v>274</v>
      </c>
      <c r="C113" s="7" t="s">
        <v>58</v>
      </c>
      <c r="D113" s="302">
        <v>4008</v>
      </c>
      <c r="E113" s="297">
        <v>40008</v>
      </c>
      <c r="F113" s="7" t="s">
        <v>162</v>
      </c>
      <c r="G113" s="7" t="s">
        <v>158</v>
      </c>
      <c r="H113" s="8">
        <v>1249442</v>
      </c>
      <c r="I113" s="8">
        <v>421</v>
      </c>
      <c r="J113" s="7" t="s">
        <v>10</v>
      </c>
      <c r="K113" s="7" t="s">
        <v>159</v>
      </c>
      <c r="L113" s="8">
        <v>76</v>
      </c>
      <c r="M113" s="8">
        <v>182173</v>
      </c>
      <c r="N113" s="7"/>
      <c r="O113" s="8">
        <v>0</v>
      </c>
      <c r="P113" s="7"/>
      <c r="Q113" s="8">
        <v>0</v>
      </c>
      <c r="R113" s="7"/>
      <c r="S113" s="8">
        <v>5481</v>
      </c>
      <c r="T113" s="7"/>
      <c r="U113" s="8">
        <v>0</v>
      </c>
      <c r="V113" s="7"/>
      <c r="W113" s="33">
        <v>187654</v>
      </c>
      <c r="X113" s="7"/>
      <c r="Y113" s="30">
        <v>101</v>
      </c>
      <c r="Z113" s="7"/>
      <c r="AA113" s="30">
        <v>0</v>
      </c>
      <c r="AB113" s="7"/>
      <c r="AC113" s="30">
        <v>0</v>
      </c>
      <c r="AD113" s="7"/>
      <c r="AE113" s="30">
        <v>3</v>
      </c>
      <c r="AF113" s="7"/>
      <c r="AG113" s="30">
        <v>0</v>
      </c>
      <c r="AI113" s="32">
        <v>104</v>
      </c>
      <c r="AK113" s="7" t="str">
        <f t="shared" si="1"/>
        <v>No</v>
      </c>
    </row>
    <row r="114" spans="1:37">
      <c r="A114" s="7" t="s">
        <v>273</v>
      </c>
      <c r="B114" s="7" t="s">
        <v>274</v>
      </c>
      <c r="C114" s="7" t="s">
        <v>58</v>
      </c>
      <c r="D114" s="302">
        <v>4008</v>
      </c>
      <c r="E114" s="297">
        <v>40008</v>
      </c>
      <c r="F114" s="7" t="s">
        <v>162</v>
      </c>
      <c r="G114" s="7" t="s">
        <v>158</v>
      </c>
      <c r="H114" s="8">
        <v>1249442</v>
      </c>
      <c r="I114" s="8">
        <v>421</v>
      </c>
      <c r="J114" s="7" t="s">
        <v>8</v>
      </c>
      <c r="K114" s="7" t="s">
        <v>159</v>
      </c>
      <c r="L114" s="8">
        <v>67</v>
      </c>
      <c r="M114" s="8">
        <v>3722</v>
      </c>
      <c r="N114" s="7"/>
      <c r="O114" s="8">
        <v>1018</v>
      </c>
      <c r="P114" s="7"/>
      <c r="Q114" s="8">
        <v>0</v>
      </c>
      <c r="R114" s="7"/>
      <c r="S114" s="8">
        <v>3035</v>
      </c>
      <c r="T114" s="7"/>
      <c r="U114" s="8">
        <v>0</v>
      </c>
      <c r="V114" s="7"/>
      <c r="W114" s="33">
        <v>7775</v>
      </c>
      <c r="X114" s="7"/>
      <c r="Y114" s="30">
        <v>2</v>
      </c>
      <c r="Z114" s="7"/>
      <c r="AA114" s="30">
        <v>1</v>
      </c>
      <c r="AB114" s="7"/>
      <c r="AC114" s="30">
        <v>0</v>
      </c>
      <c r="AD114" s="7"/>
      <c r="AE114" s="30">
        <v>2</v>
      </c>
      <c r="AF114" s="7"/>
      <c r="AG114" s="30">
        <v>0</v>
      </c>
      <c r="AI114" s="32">
        <v>5</v>
      </c>
      <c r="AK114" s="7" t="str">
        <f t="shared" si="1"/>
        <v>No</v>
      </c>
    </row>
    <row r="115" spans="1:37">
      <c r="A115" s="7" t="s">
        <v>273</v>
      </c>
      <c r="B115" s="7" t="s">
        <v>274</v>
      </c>
      <c r="C115" s="7" t="s">
        <v>58</v>
      </c>
      <c r="D115" s="302">
        <v>4008</v>
      </c>
      <c r="E115" s="297">
        <v>40008</v>
      </c>
      <c r="F115" s="7" t="s">
        <v>162</v>
      </c>
      <c r="G115" s="7" t="s">
        <v>158</v>
      </c>
      <c r="H115" s="8">
        <v>1249442</v>
      </c>
      <c r="I115" s="8">
        <v>421</v>
      </c>
      <c r="J115" s="7" t="s">
        <v>18</v>
      </c>
      <c r="K115" s="7" t="s">
        <v>159</v>
      </c>
      <c r="L115" s="8">
        <v>64</v>
      </c>
      <c r="M115" s="8">
        <v>151278</v>
      </c>
      <c r="N115" s="7"/>
      <c r="O115" s="8">
        <v>44246</v>
      </c>
      <c r="P115" s="7"/>
      <c r="Q115" s="8">
        <v>0</v>
      </c>
      <c r="R115" s="7"/>
      <c r="S115" s="8">
        <v>4582</v>
      </c>
      <c r="T115" s="7"/>
      <c r="U115" s="8">
        <v>0</v>
      </c>
      <c r="V115" s="7"/>
      <c r="W115" s="33">
        <v>200106</v>
      </c>
      <c r="X115" s="7"/>
      <c r="Y115" s="30">
        <v>82</v>
      </c>
      <c r="Z115" s="7"/>
      <c r="AA115" s="30">
        <v>23</v>
      </c>
      <c r="AB115" s="7"/>
      <c r="AC115" s="30">
        <v>0</v>
      </c>
      <c r="AD115" s="7"/>
      <c r="AE115" s="30">
        <v>3</v>
      </c>
      <c r="AF115" s="7"/>
      <c r="AG115" s="30">
        <v>0</v>
      </c>
      <c r="AI115" s="32">
        <v>108</v>
      </c>
      <c r="AK115" s="7" t="str">
        <f t="shared" si="1"/>
        <v>No</v>
      </c>
    </row>
    <row r="116" spans="1:37">
      <c r="A116" s="7" t="s">
        <v>273</v>
      </c>
      <c r="B116" s="7" t="s">
        <v>274</v>
      </c>
      <c r="C116" s="7" t="s">
        <v>58</v>
      </c>
      <c r="D116" s="302">
        <v>4008</v>
      </c>
      <c r="E116" s="297">
        <v>40008</v>
      </c>
      <c r="F116" s="7" t="s">
        <v>162</v>
      </c>
      <c r="G116" s="7" t="s">
        <v>158</v>
      </c>
      <c r="H116" s="8">
        <v>1249442</v>
      </c>
      <c r="I116" s="8">
        <v>421</v>
      </c>
      <c r="J116" s="7" t="s">
        <v>21</v>
      </c>
      <c r="K116" s="7" t="s">
        <v>159</v>
      </c>
      <c r="L116" s="8">
        <v>14</v>
      </c>
      <c r="M116" s="8">
        <v>96705</v>
      </c>
      <c r="N116" s="7"/>
      <c r="O116" s="8">
        <v>68736</v>
      </c>
      <c r="P116" s="7"/>
      <c r="Q116" s="8">
        <v>42308</v>
      </c>
      <c r="R116" s="7"/>
      <c r="S116" s="8">
        <v>20026</v>
      </c>
      <c r="T116" s="7"/>
      <c r="U116" s="8">
        <v>0</v>
      </c>
      <c r="V116" s="7"/>
      <c r="W116" s="33">
        <v>227775</v>
      </c>
      <c r="X116" s="7"/>
      <c r="Y116" s="30">
        <v>55</v>
      </c>
      <c r="Z116" s="7"/>
      <c r="AA116" s="30">
        <v>51</v>
      </c>
      <c r="AB116" s="7"/>
      <c r="AC116" s="30">
        <v>25</v>
      </c>
      <c r="AD116" s="7"/>
      <c r="AE116" s="30">
        <v>12</v>
      </c>
      <c r="AF116" s="7"/>
      <c r="AG116" s="30">
        <v>0</v>
      </c>
      <c r="AI116" s="32">
        <v>143</v>
      </c>
      <c r="AK116" s="7" t="str">
        <f t="shared" si="1"/>
        <v>No</v>
      </c>
    </row>
    <row r="117" spans="1:37">
      <c r="A117" s="7" t="s">
        <v>273</v>
      </c>
      <c r="B117" s="7" t="s">
        <v>274</v>
      </c>
      <c r="C117" s="7" t="s">
        <v>58</v>
      </c>
      <c r="D117" s="302">
        <v>4008</v>
      </c>
      <c r="E117" s="297">
        <v>40008</v>
      </c>
      <c r="F117" s="7" t="s">
        <v>162</v>
      </c>
      <c r="G117" s="7" t="s">
        <v>158</v>
      </c>
      <c r="H117" s="8">
        <v>1249442</v>
      </c>
      <c r="I117" s="8">
        <v>421</v>
      </c>
      <c r="J117" s="7" t="s">
        <v>12</v>
      </c>
      <c r="K117" s="7" t="s">
        <v>159</v>
      </c>
      <c r="L117" s="8">
        <v>2</v>
      </c>
      <c r="M117" s="8">
        <v>17232</v>
      </c>
      <c r="N117" s="7"/>
      <c r="O117" s="8">
        <v>4540</v>
      </c>
      <c r="P117" s="7"/>
      <c r="Q117" s="8">
        <v>0</v>
      </c>
      <c r="R117" s="7"/>
      <c r="S117" s="8">
        <v>5120</v>
      </c>
      <c r="T117" s="7"/>
      <c r="U117" s="8">
        <v>0</v>
      </c>
      <c r="V117" s="7"/>
      <c r="W117" s="33">
        <v>26892</v>
      </c>
      <c r="X117" s="7"/>
      <c r="Y117" s="30">
        <v>9</v>
      </c>
      <c r="Z117" s="7"/>
      <c r="AA117" s="30">
        <v>3</v>
      </c>
      <c r="AB117" s="7"/>
      <c r="AC117" s="30">
        <v>0</v>
      </c>
      <c r="AD117" s="7"/>
      <c r="AE117" s="30">
        <v>3</v>
      </c>
      <c r="AF117" s="7"/>
      <c r="AG117" s="30">
        <v>0</v>
      </c>
      <c r="AI117" s="32">
        <v>15</v>
      </c>
      <c r="AK117" s="7" t="str">
        <f t="shared" si="1"/>
        <v>No</v>
      </c>
    </row>
    <row r="118" spans="1:37">
      <c r="A118" s="7" t="s">
        <v>16</v>
      </c>
      <c r="B118" s="7" t="s">
        <v>675</v>
      </c>
      <c r="C118" s="7" t="s">
        <v>13</v>
      </c>
      <c r="D118" s="302">
        <v>9169</v>
      </c>
      <c r="E118" s="297">
        <v>90169</v>
      </c>
      <c r="F118" s="7" t="s">
        <v>243</v>
      </c>
      <c r="G118" s="7" t="s">
        <v>158</v>
      </c>
      <c r="H118" s="8">
        <v>3629114</v>
      </c>
      <c r="I118" s="8">
        <v>397</v>
      </c>
      <c r="J118" s="7" t="s">
        <v>8</v>
      </c>
      <c r="K118" s="7" t="s">
        <v>159</v>
      </c>
      <c r="L118" s="8">
        <v>397</v>
      </c>
      <c r="M118" s="8">
        <v>0</v>
      </c>
      <c r="N118" s="7"/>
      <c r="O118" s="8">
        <v>0</v>
      </c>
      <c r="P118" s="7"/>
      <c r="Q118" s="8">
        <v>0</v>
      </c>
      <c r="R118" s="7"/>
      <c r="S118" s="8">
        <v>11245</v>
      </c>
      <c r="T118" s="7"/>
      <c r="U118" s="8">
        <v>0</v>
      </c>
      <c r="V118" s="7"/>
      <c r="W118" s="33">
        <v>11245</v>
      </c>
      <c r="X118" s="7"/>
      <c r="Y118" s="30">
        <v>0</v>
      </c>
      <c r="Z118" s="7"/>
      <c r="AA118" s="30">
        <v>0</v>
      </c>
      <c r="AB118" s="7"/>
      <c r="AC118" s="30">
        <v>0</v>
      </c>
      <c r="AD118" s="7"/>
      <c r="AE118" s="30">
        <v>6</v>
      </c>
      <c r="AF118" s="7"/>
      <c r="AG118" s="30">
        <v>0</v>
      </c>
      <c r="AI118" s="32">
        <v>6</v>
      </c>
      <c r="AK118" s="7" t="str">
        <f t="shared" si="1"/>
        <v>No</v>
      </c>
    </row>
    <row r="119" spans="1:37">
      <c r="A119" s="7" t="s">
        <v>265</v>
      </c>
      <c r="B119" s="7" t="s">
        <v>266</v>
      </c>
      <c r="C119" s="7" t="s">
        <v>89</v>
      </c>
      <c r="D119" s="302">
        <v>40</v>
      </c>
      <c r="E119" s="297">
        <v>40</v>
      </c>
      <c r="F119" s="7" t="s">
        <v>165</v>
      </c>
      <c r="G119" s="7" t="s">
        <v>158</v>
      </c>
      <c r="H119" s="8">
        <v>3059393</v>
      </c>
      <c r="I119" s="8">
        <v>371</v>
      </c>
      <c r="J119" s="7" t="s">
        <v>18</v>
      </c>
      <c r="K119" s="7" t="s">
        <v>159</v>
      </c>
      <c r="L119" s="8">
        <v>205</v>
      </c>
      <c r="M119" s="8">
        <v>665928</v>
      </c>
      <c r="N119" s="7"/>
      <c r="O119" s="8">
        <v>219155</v>
      </c>
      <c r="P119" s="7"/>
      <c r="Q119" s="8">
        <v>32914</v>
      </c>
      <c r="R119" s="7"/>
      <c r="S119" s="8">
        <v>129581</v>
      </c>
      <c r="T119" s="7"/>
      <c r="U119" s="8">
        <v>6799</v>
      </c>
      <c r="V119" s="7"/>
      <c r="W119" s="33">
        <v>1054377</v>
      </c>
      <c r="X119" s="7"/>
      <c r="Y119" s="30">
        <v>381.22</v>
      </c>
      <c r="Z119" s="7"/>
      <c r="AA119" s="30">
        <v>130.29</v>
      </c>
      <c r="AB119" s="7"/>
      <c r="AC119" s="30">
        <v>19.38</v>
      </c>
      <c r="AD119" s="7"/>
      <c r="AE119" s="30">
        <v>73.16</v>
      </c>
      <c r="AF119" s="7"/>
      <c r="AG119" s="30">
        <v>3.7</v>
      </c>
      <c r="AI119" s="32">
        <v>607.75</v>
      </c>
      <c r="AK119" s="7" t="str">
        <f t="shared" si="1"/>
        <v>No</v>
      </c>
    </row>
    <row r="120" spans="1:37">
      <c r="A120" s="7" t="s">
        <v>575</v>
      </c>
      <c r="B120" s="7" t="s">
        <v>576</v>
      </c>
      <c r="C120" s="7" t="s">
        <v>17</v>
      </c>
      <c r="D120" s="302">
        <v>9009</v>
      </c>
      <c r="E120" s="297">
        <v>90009</v>
      </c>
      <c r="F120" s="7" t="s">
        <v>165</v>
      </c>
      <c r="G120" s="7" t="s">
        <v>158</v>
      </c>
      <c r="H120" s="8">
        <v>3281212</v>
      </c>
      <c r="I120" s="8">
        <v>371</v>
      </c>
      <c r="J120" s="7" t="s">
        <v>7</v>
      </c>
      <c r="K120" s="7" t="s">
        <v>159</v>
      </c>
      <c r="L120" s="8">
        <v>190</v>
      </c>
      <c r="M120" s="8">
        <v>594244</v>
      </c>
      <c r="N120" s="7"/>
      <c r="O120" s="8">
        <v>202449</v>
      </c>
      <c r="P120" s="7"/>
      <c r="Q120" s="8">
        <v>10123</v>
      </c>
      <c r="R120" s="7"/>
      <c r="S120" s="8">
        <v>166500</v>
      </c>
      <c r="T120" s="7"/>
      <c r="U120" s="8">
        <v>18098</v>
      </c>
      <c r="V120" s="7"/>
      <c r="W120" s="33">
        <v>991414</v>
      </c>
      <c r="X120" s="7"/>
      <c r="Y120" s="30">
        <v>310</v>
      </c>
      <c r="Z120" s="7"/>
      <c r="AA120" s="30">
        <v>118</v>
      </c>
      <c r="AB120" s="7"/>
      <c r="AC120" s="30">
        <v>6</v>
      </c>
      <c r="AD120" s="7"/>
      <c r="AE120" s="30">
        <v>90</v>
      </c>
      <c r="AF120" s="7"/>
      <c r="AG120" s="30">
        <v>10</v>
      </c>
      <c r="AI120" s="32">
        <v>534</v>
      </c>
      <c r="AK120" s="7" t="str">
        <f t="shared" si="1"/>
        <v>No</v>
      </c>
    </row>
    <row r="121" spans="1:37">
      <c r="A121" s="7" t="s">
        <v>265</v>
      </c>
      <c r="B121" s="7" t="s">
        <v>266</v>
      </c>
      <c r="C121" s="7" t="s">
        <v>89</v>
      </c>
      <c r="D121" s="302">
        <v>40</v>
      </c>
      <c r="E121" s="297">
        <v>40</v>
      </c>
      <c r="F121" s="7" t="s">
        <v>165</v>
      </c>
      <c r="G121" s="7" t="s">
        <v>158</v>
      </c>
      <c r="H121" s="8">
        <v>3059393</v>
      </c>
      <c r="I121" s="8">
        <v>371</v>
      </c>
      <c r="J121" s="7" t="s">
        <v>21</v>
      </c>
      <c r="K121" s="7" t="s">
        <v>159</v>
      </c>
      <c r="L121" s="8">
        <v>50</v>
      </c>
      <c r="M121" s="8">
        <v>199787</v>
      </c>
      <c r="N121" s="7"/>
      <c r="O121" s="8">
        <v>67900</v>
      </c>
      <c r="P121" s="7"/>
      <c r="Q121" s="8">
        <v>179851</v>
      </c>
      <c r="R121" s="7"/>
      <c r="S121" s="8">
        <v>84343</v>
      </c>
      <c r="T121" s="7"/>
      <c r="U121" s="8">
        <v>794873</v>
      </c>
      <c r="V121" s="7"/>
      <c r="W121" s="33">
        <v>1326754</v>
      </c>
      <c r="X121" s="7"/>
      <c r="Y121" s="30">
        <v>119.68</v>
      </c>
      <c r="Z121" s="7"/>
      <c r="AA121" s="30">
        <v>41.66</v>
      </c>
      <c r="AB121" s="7"/>
      <c r="AC121" s="30">
        <v>106.77</v>
      </c>
      <c r="AD121" s="7"/>
      <c r="AE121" s="30">
        <v>47.5</v>
      </c>
      <c r="AF121" s="7"/>
      <c r="AG121" s="30">
        <v>434.44</v>
      </c>
      <c r="AI121" s="32">
        <v>750.05</v>
      </c>
      <c r="AK121" s="7" t="str">
        <f t="shared" si="1"/>
        <v>No</v>
      </c>
    </row>
    <row r="122" spans="1:37">
      <c r="A122" s="7" t="s">
        <v>265</v>
      </c>
      <c r="B122" s="7" t="s">
        <v>266</v>
      </c>
      <c r="C122" s="7" t="s">
        <v>89</v>
      </c>
      <c r="D122" s="302">
        <v>40</v>
      </c>
      <c r="E122" s="297">
        <v>40</v>
      </c>
      <c r="F122" s="7" t="s">
        <v>165</v>
      </c>
      <c r="G122" s="7" t="s">
        <v>158</v>
      </c>
      <c r="H122" s="8">
        <v>3059393</v>
      </c>
      <c r="I122" s="8">
        <v>371</v>
      </c>
      <c r="J122" s="7" t="s">
        <v>12</v>
      </c>
      <c r="K122" s="7" t="s">
        <v>159</v>
      </c>
      <c r="L122" s="8">
        <v>2</v>
      </c>
      <c r="M122" s="8">
        <v>23520</v>
      </c>
      <c r="N122" s="7"/>
      <c r="O122" s="8">
        <v>5855</v>
      </c>
      <c r="P122" s="7"/>
      <c r="Q122" s="8">
        <v>2762</v>
      </c>
      <c r="R122" s="7"/>
      <c r="S122" s="8">
        <v>7390</v>
      </c>
      <c r="T122" s="7"/>
      <c r="U122" s="8">
        <v>26511</v>
      </c>
      <c r="V122" s="7"/>
      <c r="W122" s="33">
        <v>66038</v>
      </c>
      <c r="X122" s="7"/>
      <c r="Y122" s="30">
        <v>13.06</v>
      </c>
      <c r="Z122" s="7"/>
      <c r="AA122" s="30">
        <v>2.74</v>
      </c>
      <c r="AB122" s="7"/>
      <c r="AC122" s="30">
        <v>1.53</v>
      </c>
      <c r="AD122" s="7"/>
      <c r="AE122" s="30">
        <v>4.1100000000000003</v>
      </c>
      <c r="AF122" s="7"/>
      <c r="AG122" s="30">
        <v>14.58</v>
      </c>
      <c r="AI122" s="32">
        <v>36.020000000000003</v>
      </c>
      <c r="AK122" s="7" t="str">
        <f t="shared" si="1"/>
        <v>No</v>
      </c>
    </row>
    <row r="123" spans="1:37">
      <c r="A123" s="7" t="s">
        <v>711</v>
      </c>
      <c r="B123" s="7" t="s">
        <v>712</v>
      </c>
      <c r="C123" s="7" t="s">
        <v>86</v>
      </c>
      <c r="D123" s="302">
        <v>3083</v>
      </c>
      <c r="E123" s="297">
        <v>30083</v>
      </c>
      <c r="F123" s="7" t="s">
        <v>165</v>
      </c>
      <c r="G123" s="7" t="s">
        <v>158</v>
      </c>
      <c r="H123" s="8">
        <v>1439666</v>
      </c>
      <c r="I123" s="8">
        <v>369</v>
      </c>
      <c r="J123" s="7" t="s">
        <v>7</v>
      </c>
      <c r="K123" s="7" t="s">
        <v>159</v>
      </c>
      <c r="L123" s="8">
        <v>236</v>
      </c>
      <c r="M123" s="8">
        <v>974006</v>
      </c>
      <c r="N123" s="7"/>
      <c r="O123" s="8">
        <v>322852</v>
      </c>
      <c r="P123" s="7"/>
      <c r="Q123" s="8">
        <v>28911</v>
      </c>
      <c r="R123" s="7"/>
      <c r="S123" s="8">
        <v>248556</v>
      </c>
      <c r="T123" s="7"/>
      <c r="U123" s="8">
        <v>0</v>
      </c>
      <c r="V123" s="7"/>
      <c r="W123" s="33">
        <v>1574325</v>
      </c>
      <c r="X123" s="7"/>
      <c r="Y123" s="30">
        <v>626.46</v>
      </c>
      <c r="Z123" s="7"/>
      <c r="AA123" s="30">
        <v>181.75</v>
      </c>
      <c r="AB123" s="7"/>
      <c r="AC123" s="30">
        <v>17.29</v>
      </c>
      <c r="AD123" s="7"/>
      <c r="AE123" s="30">
        <v>144.38999999999999</v>
      </c>
      <c r="AF123" s="7"/>
      <c r="AG123" s="30">
        <v>0</v>
      </c>
      <c r="AI123" s="32">
        <v>969.89</v>
      </c>
      <c r="AK123" s="7" t="str">
        <f t="shared" si="1"/>
        <v>No</v>
      </c>
    </row>
    <row r="124" spans="1:37">
      <c r="A124" s="7" t="s">
        <v>711</v>
      </c>
      <c r="B124" s="7" t="s">
        <v>712</v>
      </c>
      <c r="C124" s="7" t="s">
        <v>86</v>
      </c>
      <c r="D124" s="302">
        <v>3083</v>
      </c>
      <c r="E124" s="297">
        <v>30083</v>
      </c>
      <c r="F124" s="7" t="s">
        <v>165</v>
      </c>
      <c r="G124" s="7" t="s">
        <v>158</v>
      </c>
      <c r="H124" s="8">
        <v>1439666</v>
      </c>
      <c r="I124" s="8">
        <v>369</v>
      </c>
      <c r="J124" s="7" t="s">
        <v>21</v>
      </c>
      <c r="K124" s="7" t="s">
        <v>159</v>
      </c>
      <c r="L124" s="8">
        <v>6</v>
      </c>
      <c r="M124" s="8">
        <v>87982</v>
      </c>
      <c r="N124" s="7"/>
      <c r="O124" s="8">
        <v>48183</v>
      </c>
      <c r="P124" s="7"/>
      <c r="Q124" s="8">
        <v>20144</v>
      </c>
      <c r="R124" s="7"/>
      <c r="S124" s="8">
        <v>27029</v>
      </c>
      <c r="T124" s="7"/>
      <c r="U124" s="8">
        <v>0</v>
      </c>
      <c r="V124" s="7"/>
      <c r="W124" s="33">
        <v>183338</v>
      </c>
      <c r="X124" s="7"/>
      <c r="Y124" s="30">
        <v>48.38</v>
      </c>
      <c r="Z124" s="7"/>
      <c r="AA124" s="30">
        <v>26.25</v>
      </c>
      <c r="AB124" s="7"/>
      <c r="AC124" s="30">
        <v>10.15</v>
      </c>
      <c r="AD124" s="7"/>
      <c r="AE124" s="30">
        <v>15.22</v>
      </c>
      <c r="AF124" s="7"/>
      <c r="AG124" s="30">
        <v>0</v>
      </c>
      <c r="AI124" s="32">
        <v>100</v>
      </c>
      <c r="AK124" s="7" t="str">
        <f t="shared" si="1"/>
        <v>No</v>
      </c>
    </row>
    <row r="125" spans="1:37">
      <c r="A125" s="7" t="s">
        <v>261</v>
      </c>
      <c r="B125" s="7" t="s">
        <v>262</v>
      </c>
      <c r="C125" s="7" t="s">
        <v>73</v>
      </c>
      <c r="D125" s="302">
        <v>5016</v>
      </c>
      <c r="E125" s="297">
        <v>50016</v>
      </c>
      <c r="F125" s="7" t="s">
        <v>165</v>
      </c>
      <c r="G125" s="7" t="s">
        <v>158</v>
      </c>
      <c r="H125" s="8">
        <v>1368035</v>
      </c>
      <c r="I125" s="8">
        <v>359</v>
      </c>
      <c r="J125" s="7" t="s">
        <v>7</v>
      </c>
      <c r="K125" s="7" t="s">
        <v>159</v>
      </c>
      <c r="L125" s="8">
        <v>295</v>
      </c>
      <c r="M125" s="8">
        <v>1373087</v>
      </c>
      <c r="N125" s="7"/>
      <c r="O125" s="8">
        <v>291142</v>
      </c>
      <c r="P125" s="7"/>
      <c r="Q125" s="8">
        <v>59019</v>
      </c>
      <c r="R125" s="7"/>
      <c r="S125" s="8">
        <v>200004</v>
      </c>
      <c r="T125" s="7"/>
      <c r="U125" s="8">
        <v>0</v>
      </c>
      <c r="V125" s="7"/>
      <c r="W125" s="33">
        <v>1923252</v>
      </c>
      <c r="X125" s="7"/>
      <c r="Y125" s="30">
        <v>713</v>
      </c>
      <c r="Z125" s="7"/>
      <c r="AA125" s="30">
        <v>130</v>
      </c>
      <c r="AB125" s="7"/>
      <c r="AC125" s="30">
        <v>29</v>
      </c>
      <c r="AD125" s="7"/>
      <c r="AE125" s="30">
        <v>105</v>
      </c>
      <c r="AF125" s="7"/>
      <c r="AG125" s="30">
        <v>0</v>
      </c>
      <c r="AI125" s="32">
        <v>977</v>
      </c>
      <c r="AK125" s="7" t="str">
        <f t="shared" si="1"/>
        <v>No</v>
      </c>
    </row>
    <row r="126" spans="1:37">
      <c r="A126" s="7" t="s">
        <v>519</v>
      </c>
      <c r="B126" s="7" t="s">
        <v>520</v>
      </c>
      <c r="C126" s="7" t="s">
        <v>70</v>
      </c>
      <c r="D126" s="302">
        <v>2004</v>
      </c>
      <c r="E126" s="297">
        <v>20004</v>
      </c>
      <c r="F126" s="7" t="s">
        <v>165</v>
      </c>
      <c r="G126" s="7" t="s">
        <v>158</v>
      </c>
      <c r="H126" s="8">
        <v>935906</v>
      </c>
      <c r="I126" s="8">
        <v>352</v>
      </c>
      <c r="J126" s="7" t="s">
        <v>7</v>
      </c>
      <c r="K126" s="7" t="s">
        <v>159</v>
      </c>
      <c r="L126" s="8">
        <v>267</v>
      </c>
      <c r="M126" s="8">
        <v>1127708</v>
      </c>
      <c r="N126" s="7"/>
      <c r="O126" s="8">
        <v>363016</v>
      </c>
      <c r="P126" s="7"/>
      <c r="Q126" s="8">
        <v>54437</v>
      </c>
      <c r="R126" s="7"/>
      <c r="S126" s="8">
        <v>41124</v>
      </c>
      <c r="T126" s="7"/>
      <c r="U126" s="8">
        <v>813</v>
      </c>
      <c r="V126" s="7"/>
      <c r="W126" s="33">
        <v>1587098</v>
      </c>
      <c r="X126" s="7"/>
      <c r="Y126" s="30">
        <v>588</v>
      </c>
      <c r="Z126" s="7"/>
      <c r="AA126" s="30">
        <v>188.5</v>
      </c>
      <c r="AB126" s="7"/>
      <c r="AC126" s="30">
        <v>28</v>
      </c>
      <c r="AD126" s="7"/>
      <c r="AE126" s="30">
        <v>22</v>
      </c>
      <c r="AF126" s="7"/>
      <c r="AG126" s="30">
        <v>0.5</v>
      </c>
      <c r="AI126" s="32">
        <v>827</v>
      </c>
      <c r="AK126" s="7" t="str">
        <f t="shared" si="1"/>
        <v>No</v>
      </c>
    </row>
    <row r="127" spans="1:37">
      <c r="A127" s="7" t="s">
        <v>519</v>
      </c>
      <c r="B127" s="7" t="s">
        <v>520</v>
      </c>
      <c r="C127" s="7" t="s">
        <v>70</v>
      </c>
      <c r="D127" s="302">
        <v>2004</v>
      </c>
      <c r="E127" s="297">
        <v>20004</v>
      </c>
      <c r="F127" s="7" t="s">
        <v>165</v>
      </c>
      <c r="G127" s="7" t="s">
        <v>158</v>
      </c>
      <c r="H127" s="8">
        <v>935906</v>
      </c>
      <c r="I127" s="8">
        <v>352</v>
      </c>
      <c r="J127" s="7" t="s">
        <v>10</v>
      </c>
      <c r="K127" s="7" t="s">
        <v>159</v>
      </c>
      <c r="L127" s="8">
        <v>62</v>
      </c>
      <c r="M127" s="8">
        <v>198696</v>
      </c>
      <c r="N127" s="7"/>
      <c r="O127" s="8">
        <v>18866</v>
      </c>
      <c r="P127" s="7"/>
      <c r="Q127" s="8">
        <v>134</v>
      </c>
      <c r="R127" s="7"/>
      <c r="S127" s="8">
        <v>511</v>
      </c>
      <c r="T127" s="7"/>
      <c r="U127" s="8">
        <v>0</v>
      </c>
      <c r="V127" s="7"/>
      <c r="W127" s="33">
        <v>218207</v>
      </c>
      <c r="X127" s="7"/>
      <c r="Y127" s="30">
        <v>94.5</v>
      </c>
      <c r="Z127" s="7"/>
      <c r="AA127" s="30">
        <v>8.9</v>
      </c>
      <c r="AB127" s="7"/>
      <c r="AC127" s="30">
        <v>0.1</v>
      </c>
      <c r="AD127" s="7"/>
      <c r="AE127" s="30">
        <v>0.5</v>
      </c>
      <c r="AF127" s="7"/>
      <c r="AG127" s="30">
        <v>0</v>
      </c>
      <c r="AI127" s="32">
        <v>104</v>
      </c>
      <c r="AK127" s="7" t="str">
        <f t="shared" si="1"/>
        <v>No</v>
      </c>
    </row>
    <row r="128" spans="1:37">
      <c r="A128" s="7" t="s">
        <v>519</v>
      </c>
      <c r="B128" s="7" t="s">
        <v>520</v>
      </c>
      <c r="C128" s="7" t="s">
        <v>70</v>
      </c>
      <c r="D128" s="302">
        <v>2004</v>
      </c>
      <c r="E128" s="297">
        <v>20004</v>
      </c>
      <c r="F128" s="7" t="s">
        <v>165</v>
      </c>
      <c r="G128" s="7" t="s">
        <v>158</v>
      </c>
      <c r="H128" s="8">
        <v>935906</v>
      </c>
      <c r="I128" s="8">
        <v>352</v>
      </c>
      <c r="J128" s="7" t="s">
        <v>21</v>
      </c>
      <c r="K128" s="7" t="s">
        <v>159</v>
      </c>
      <c r="L128" s="8">
        <v>23</v>
      </c>
      <c r="M128" s="8">
        <v>87285</v>
      </c>
      <c r="N128" s="7"/>
      <c r="O128" s="8">
        <v>53529</v>
      </c>
      <c r="P128" s="7"/>
      <c r="Q128" s="8">
        <v>111899</v>
      </c>
      <c r="R128" s="7"/>
      <c r="S128" s="8">
        <v>7338</v>
      </c>
      <c r="T128" s="7"/>
      <c r="U128" s="8">
        <v>165</v>
      </c>
      <c r="V128" s="7"/>
      <c r="W128" s="33">
        <v>260216</v>
      </c>
      <c r="X128" s="7"/>
      <c r="Y128" s="30">
        <v>49</v>
      </c>
      <c r="Z128" s="7"/>
      <c r="AA128" s="30">
        <v>29.9</v>
      </c>
      <c r="AB128" s="7"/>
      <c r="AC128" s="30">
        <v>62</v>
      </c>
      <c r="AD128" s="7"/>
      <c r="AE128" s="30">
        <v>4</v>
      </c>
      <c r="AF128" s="7"/>
      <c r="AG128" s="30">
        <v>0.1</v>
      </c>
      <c r="AI128" s="32">
        <v>145</v>
      </c>
      <c r="AK128" s="7" t="str">
        <f t="shared" si="1"/>
        <v>No</v>
      </c>
    </row>
    <row r="129" spans="1:37">
      <c r="A129" s="7" t="s">
        <v>616</v>
      </c>
      <c r="B129" s="7" t="s">
        <v>617</v>
      </c>
      <c r="C129" s="7" t="s">
        <v>73</v>
      </c>
      <c r="D129" s="302">
        <v>5012</v>
      </c>
      <c r="E129" s="297">
        <v>50012</v>
      </c>
      <c r="F129" s="7" t="s">
        <v>162</v>
      </c>
      <c r="G129" s="7" t="s">
        <v>158</v>
      </c>
      <c r="H129" s="8">
        <v>1624827</v>
      </c>
      <c r="I129" s="8">
        <v>350</v>
      </c>
      <c r="J129" s="7" t="s">
        <v>7</v>
      </c>
      <c r="K129" s="7" t="s">
        <v>159</v>
      </c>
      <c r="L129" s="8">
        <v>299</v>
      </c>
      <c r="M129" s="8">
        <v>1100378</v>
      </c>
      <c r="N129" s="7"/>
      <c r="O129" s="8">
        <v>332852</v>
      </c>
      <c r="P129" s="7"/>
      <c r="Q129" s="8">
        <v>50859</v>
      </c>
      <c r="R129" s="7"/>
      <c r="S129" s="8">
        <v>146311</v>
      </c>
      <c r="T129" s="7"/>
      <c r="U129" s="8">
        <v>0</v>
      </c>
      <c r="V129" s="7"/>
      <c r="W129" s="33">
        <v>1630400</v>
      </c>
      <c r="X129" s="7"/>
      <c r="Y129" s="30">
        <v>502</v>
      </c>
      <c r="Z129" s="7"/>
      <c r="AA129" s="30">
        <v>169</v>
      </c>
      <c r="AB129" s="7"/>
      <c r="AC129" s="30">
        <v>26</v>
      </c>
      <c r="AD129" s="7"/>
      <c r="AE129" s="30">
        <v>80</v>
      </c>
      <c r="AF129" s="7"/>
      <c r="AG129" s="30">
        <v>0</v>
      </c>
      <c r="AI129" s="32">
        <v>777</v>
      </c>
      <c r="AK129" s="7" t="str">
        <f t="shared" si="1"/>
        <v>No</v>
      </c>
    </row>
    <row r="130" spans="1:37">
      <c r="A130" s="7" t="s">
        <v>443</v>
      </c>
      <c r="B130" s="7" t="s">
        <v>444</v>
      </c>
      <c r="C130" s="7" t="s">
        <v>76</v>
      </c>
      <c r="D130" s="302">
        <v>7</v>
      </c>
      <c r="E130" s="297">
        <v>7</v>
      </c>
      <c r="F130" s="7" t="s">
        <v>165</v>
      </c>
      <c r="G130" s="7" t="s">
        <v>158</v>
      </c>
      <c r="H130" s="8">
        <v>247421</v>
      </c>
      <c r="I130" s="8">
        <v>342</v>
      </c>
      <c r="J130" s="7" t="s">
        <v>7</v>
      </c>
      <c r="K130" s="7" t="s">
        <v>159</v>
      </c>
      <c r="L130" s="8">
        <v>73</v>
      </c>
      <c r="M130" s="8">
        <v>363001</v>
      </c>
      <c r="N130" s="7"/>
      <c r="O130" s="8">
        <v>64193</v>
      </c>
      <c r="P130" s="7"/>
      <c r="Q130" s="8">
        <v>13959</v>
      </c>
      <c r="R130" s="7"/>
      <c r="S130" s="8">
        <v>60106</v>
      </c>
      <c r="T130" s="7"/>
      <c r="U130" s="8">
        <v>7527</v>
      </c>
      <c r="V130" s="7"/>
      <c r="W130" s="33">
        <v>508786</v>
      </c>
      <c r="X130" s="7"/>
      <c r="Y130" s="30">
        <v>164.9</v>
      </c>
      <c r="Z130" s="7"/>
      <c r="AA130" s="30">
        <v>33.299999999999997</v>
      </c>
      <c r="AB130" s="7"/>
      <c r="AC130" s="30">
        <v>7.7</v>
      </c>
      <c r="AD130" s="7"/>
      <c r="AE130" s="30">
        <v>27.8</v>
      </c>
      <c r="AF130" s="7"/>
      <c r="AG130" s="30">
        <v>3.6</v>
      </c>
      <c r="AI130" s="32">
        <v>237.3</v>
      </c>
      <c r="AK130" s="7" t="str">
        <f t="shared" ref="AK130:AK193" si="2">IF(AJ130&amp;AH130&amp;AF130&amp;AD130&amp;AB130&amp;Z130&amp;X130&amp;V130&amp;T130&amp;R130&amp;P130&amp;N130&lt;&gt;"","Yes","No")</f>
        <v>No</v>
      </c>
    </row>
    <row r="131" spans="1:37">
      <c r="A131" s="7" t="s">
        <v>443</v>
      </c>
      <c r="B131" s="7" t="s">
        <v>444</v>
      </c>
      <c r="C131" s="7" t="s">
        <v>76</v>
      </c>
      <c r="D131" s="302">
        <v>7</v>
      </c>
      <c r="E131" s="297">
        <v>7</v>
      </c>
      <c r="F131" s="7" t="s">
        <v>165</v>
      </c>
      <c r="G131" s="7" t="s">
        <v>158</v>
      </c>
      <c r="H131" s="8">
        <v>247421</v>
      </c>
      <c r="I131" s="8">
        <v>342</v>
      </c>
      <c r="J131" s="7" t="s">
        <v>22</v>
      </c>
      <c r="K131" s="7" t="s">
        <v>159</v>
      </c>
      <c r="L131" s="8">
        <v>8</v>
      </c>
      <c r="M131" s="8">
        <v>46451</v>
      </c>
      <c r="N131" s="7"/>
      <c r="O131" s="8">
        <v>14646</v>
      </c>
      <c r="P131" s="7"/>
      <c r="Q131" s="8">
        <v>2147</v>
      </c>
      <c r="R131" s="7"/>
      <c r="S131" s="8">
        <v>9205</v>
      </c>
      <c r="T131" s="7"/>
      <c r="U131" s="8">
        <v>1158</v>
      </c>
      <c r="V131" s="7"/>
      <c r="W131" s="33">
        <v>73607</v>
      </c>
      <c r="X131" s="7"/>
      <c r="Y131" s="30">
        <v>21.1</v>
      </c>
      <c r="Z131" s="7"/>
      <c r="AA131" s="30">
        <v>7.6</v>
      </c>
      <c r="AB131" s="7"/>
      <c r="AC131" s="30">
        <v>1.2</v>
      </c>
      <c r="AD131" s="7"/>
      <c r="AE131" s="30">
        <v>4.2</v>
      </c>
      <c r="AF131" s="7"/>
      <c r="AG131" s="30">
        <v>0.6</v>
      </c>
      <c r="AI131" s="32">
        <v>34.700000000000003</v>
      </c>
      <c r="AK131" s="7" t="str">
        <f t="shared" si="2"/>
        <v>No</v>
      </c>
    </row>
    <row r="132" spans="1:37">
      <c r="A132" s="7" t="s">
        <v>1154</v>
      </c>
      <c r="B132" s="7" t="s">
        <v>317</v>
      </c>
      <c r="C132" s="7" t="s">
        <v>13</v>
      </c>
      <c r="D132" s="302">
        <v>9033</v>
      </c>
      <c r="E132" s="297">
        <v>90033</v>
      </c>
      <c r="F132" s="7" t="s">
        <v>162</v>
      </c>
      <c r="G132" s="7" t="s">
        <v>158</v>
      </c>
      <c r="H132" s="8">
        <v>843168</v>
      </c>
      <c r="I132" s="8">
        <v>336</v>
      </c>
      <c r="J132" s="7" t="s">
        <v>7</v>
      </c>
      <c r="K132" s="7" t="s">
        <v>159</v>
      </c>
      <c r="L132" s="8">
        <v>207</v>
      </c>
      <c r="M132" s="8">
        <v>795501</v>
      </c>
      <c r="N132" s="7"/>
      <c r="O132" s="8">
        <v>200331</v>
      </c>
      <c r="P132" s="7"/>
      <c r="Q132" s="8">
        <v>19441</v>
      </c>
      <c r="R132" s="7"/>
      <c r="S132" s="8">
        <v>105404</v>
      </c>
      <c r="T132" s="7"/>
      <c r="U132" s="8">
        <v>0</v>
      </c>
      <c r="V132" s="7"/>
      <c r="W132" s="33">
        <v>1120677</v>
      </c>
      <c r="X132" s="7"/>
      <c r="Y132" s="30">
        <v>462</v>
      </c>
      <c r="Z132" s="7"/>
      <c r="AA132" s="30">
        <v>112</v>
      </c>
      <c r="AB132" s="7"/>
      <c r="AC132" s="30">
        <v>11</v>
      </c>
      <c r="AD132" s="7"/>
      <c r="AE132" s="30">
        <v>60</v>
      </c>
      <c r="AF132" s="7"/>
      <c r="AG132" s="30">
        <v>0</v>
      </c>
      <c r="AI132" s="32">
        <v>645</v>
      </c>
      <c r="AK132" s="7" t="str">
        <f t="shared" si="2"/>
        <v>No</v>
      </c>
    </row>
    <row r="133" spans="1:37">
      <c r="A133" s="7" t="s">
        <v>1154</v>
      </c>
      <c r="B133" s="7" t="s">
        <v>317</v>
      </c>
      <c r="C133" s="7" t="s">
        <v>13</v>
      </c>
      <c r="D133" s="302">
        <v>9033</v>
      </c>
      <c r="E133" s="297">
        <v>90033</v>
      </c>
      <c r="F133" s="7" t="s">
        <v>162</v>
      </c>
      <c r="G133" s="7" t="s">
        <v>158</v>
      </c>
      <c r="H133" s="8">
        <v>843168</v>
      </c>
      <c r="I133" s="8">
        <v>336</v>
      </c>
      <c r="J133" s="7" t="s">
        <v>10</v>
      </c>
      <c r="K133" s="7" t="s">
        <v>159</v>
      </c>
      <c r="L133" s="8">
        <v>123</v>
      </c>
      <c r="M133" s="8">
        <v>444872</v>
      </c>
      <c r="N133" s="7"/>
      <c r="O133" s="8">
        <v>0</v>
      </c>
      <c r="P133" s="7"/>
      <c r="Q133" s="8">
        <v>2800</v>
      </c>
      <c r="R133" s="7"/>
      <c r="S133" s="8">
        <v>15097</v>
      </c>
      <c r="T133" s="7"/>
      <c r="U133" s="8">
        <v>0</v>
      </c>
      <c r="V133" s="7"/>
      <c r="W133" s="33">
        <v>462769</v>
      </c>
      <c r="X133" s="7"/>
      <c r="Y133" s="30">
        <v>199</v>
      </c>
      <c r="Z133" s="7"/>
      <c r="AA133" s="30">
        <v>0</v>
      </c>
      <c r="AB133" s="7"/>
      <c r="AC133" s="30">
        <v>2</v>
      </c>
      <c r="AD133" s="7"/>
      <c r="AE133" s="30">
        <v>8</v>
      </c>
      <c r="AF133" s="7"/>
      <c r="AG133" s="30">
        <v>0</v>
      </c>
      <c r="AI133" s="32">
        <v>209</v>
      </c>
      <c r="AK133" s="7" t="str">
        <f t="shared" si="2"/>
        <v>No</v>
      </c>
    </row>
    <row r="134" spans="1:37">
      <c r="A134" s="7" t="s">
        <v>1154</v>
      </c>
      <c r="B134" s="7" t="s">
        <v>317</v>
      </c>
      <c r="C134" s="7" t="s">
        <v>13</v>
      </c>
      <c r="D134" s="302">
        <v>9033</v>
      </c>
      <c r="E134" s="297">
        <v>90033</v>
      </c>
      <c r="F134" s="7" t="s">
        <v>162</v>
      </c>
      <c r="G134" s="7" t="s">
        <v>158</v>
      </c>
      <c r="H134" s="8">
        <v>843168</v>
      </c>
      <c r="I134" s="8">
        <v>336</v>
      </c>
      <c r="J134" s="7" t="s">
        <v>12</v>
      </c>
      <c r="K134" s="7" t="s">
        <v>159</v>
      </c>
      <c r="L134" s="8">
        <v>6</v>
      </c>
      <c r="M134" s="8">
        <v>48265</v>
      </c>
      <c r="N134" s="7"/>
      <c r="O134" s="8">
        <v>7891</v>
      </c>
      <c r="P134" s="7"/>
      <c r="Q134" s="8">
        <v>5446</v>
      </c>
      <c r="R134" s="7"/>
      <c r="S134" s="8">
        <v>7715</v>
      </c>
      <c r="T134" s="7"/>
      <c r="U134" s="8">
        <v>0</v>
      </c>
      <c r="V134" s="7"/>
      <c r="W134" s="33">
        <v>69317</v>
      </c>
      <c r="X134" s="7"/>
      <c r="Y134" s="30">
        <v>27</v>
      </c>
      <c r="Z134" s="7"/>
      <c r="AA134" s="30">
        <v>4.5</v>
      </c>
      <c r="AB134" s="7"/>
      <c r="AC134" s="30">
        <v>3.5</v>
      </c>
      <c r="AD134" s="7"/>
      <c r="AE134" s="30">
        <v>4.5</v>
      </c>
      <c r="AF134" s="7"/>
      <c r="AG134" s="30">
        <v>0</v>
      </c>
      <c r="AI134" s="32">
        <v>39.5</v>
      </c>
      <c r="AK134" s="7" t="str">
        <f t="shared" si="2"/>
        <v>No</v>
      </c>
    </row>
    <row r="135" spans="1:37">
      <c r="A135" s="7" t="s">
        <v>399</v>
      </c>
      <c r="B135" s="7" t="s">
        <v>400</v>
      </c>
      <c r="C135" s="7" t="s">
        <v>86</v>
      </c>
      <c r="D135" s="302">
        <v>3006</v>
      </c>
      <c r="E135" s="297">
        <v>30006</v>
      </c>
      <c r="F135" s="7" t="s">
        <v>401</v>
      </c>
      <c r="G135" s="7" t="s">
        <v>158</v>
      </c>
      <c r="H135" s="8">
        <v>953556</v>
      </c>
      <c r="I135" s="8">
        <v>330</v>
      </c>
      <c r="J135" s="7" t="s">
        <v>7</v>
      </c>
      <c r="K135" s="7" t="s">
        <v>159</v>
      </c>
      <c r="L135" s="8">
        <v>121</v>
      </c>
      <c r="M135" s="8">
        <v>525891</v>
      </c>
      <c r="N135" s="7"/>
      <c r="O135" s="8">
        <v>83806</v>
      </c>
      <c r="P135" s="7"/>
      <c r="Q135" s="8">
        <v>36154</v>
      </c>
      <c r="R135" s="7"/>
      <c r="S135" s="8">
        <v>102530</v>
      </c>
      <c r="T135" s="7"/>
      <c r="U135" s="8">
        <v>0</v>
      </c>
      <c r="V135" s="7"/>
      <c r="W135" s="33">
        <v>748381</v>
      </c>
      <c r="X135" s="7"/>
      <c r="Y135" s="30">
        <v>277</v>
      </c>
      <c r="Z135" s="7"/>
      <c r="AA135" s="30">
        <v>39</v>
      </c>
      <c r="AB135" s="7"/>
      <c r="AC135" s="30">
        <v>17</v>
      </c>
      <c r="AD135" s="7"/>
      <c r="AE135" s="30">
        <v>48</v>
      </c>
      <c r="AF135" s="7"/>
      <c r="AG135" s="30">
        <v>0</v>
      </c>
      <c r="AI135" s="32">
        <v>381</v>
      </c>
      <c r="AK135" s="7" t="str">
        <f t="shared" si="2"/>
        <v>No</v>
      </c>
    </row>
    <row r="136" spans="1:37">
      <c r="A136" s="7" t="s">
        <v>630</v>
      </c>
      <c r="B136" s="7" t="s">
        <v>292</v>
      </c>
      <c r="C136" s="7" t="s">
        <v>52</v>
      </c>
      <c r="D136" s="302">
        <v>5031</v>
      </c>
      <c r="E136" s="297">
        <v>50031</v>
      </c>
      <c r="F136" s="7" t="s">
        <v>165</v>
      </c>
      <c r="G136" s="7" t="s">
        <v>158</v>
      </c>
      <c r="H136" s="8">
        <v>3734090</v>
      </c>
      <c r="I136" s="8">
        <v>317</v>
      </c>
      <c r="J136" s="7" t="s">
        <v>7</v>
      </c>
      <c r="K136" s="7" t="s">
        <v>159</v>
      </c>
      <c r="L136" s="8">
        <v>195</v>
      </c>
      <c r="M136" s="8">
        <v>931168</v>
      </c>
      <c r="N136" s="7"/>
      <c r="O136" s="8">
        <v>216871</v>
      </c>
      <c r="P136" s="7"/>
      <c r="Q136" s="8">
        <v>31991</v>
      </c>
      <c r="R136" s="7"/>
      <c r="S136" s="8">
        <v>136190</v>
      </c>
      <c r="T136" s="7"/>
      <c r="U136" s="8">
        <v>0</v>
      </c>
      <c r="V136" s="7"/>
      <c r="W136" s="33">
        <v>1316220</v>
      </c>
      <c r="X136" s="7"/>
      <c r="Y136" s="30">
        <v>369</v>
      </c>
      <c r="Z136" s="7"/>
      <c r="AA136" s="30">
        <v>110</v>
      </c>
      <c r="AB136" s="7"/>
      <c r="AC136" s="30">
        <v>17</v>
      </c>
      <c r="AD136" s="7"/>
      <c r="AE136" s="30">
        <v>80</v>
      </c>
      <c r="AF136" s="7"/>
      <c r="AG136" s="30">
        <v>0</v>
      </c>
      <c r="AI136" s="32">
        <v>576</v>
      </c>
      <c r="AK136" s="7" t="str">
        <f t="shared" si="2"/>
        <v>No</v>
      </c>
    </row>
    <row r="137" spans="1:37">
      <c r="A137" s="7" t="s">
        <v>630</v>
      </c>
      <c r="B137" s="7" t="s">
        <v>292</v>
      </c>
      <c r="C137" s="7" t="s">
        <v>52</v>
      </c>
      <c r="D137" s="302">
        <v>5031</v>
      </c>
      <c r="E137" s="297">
        <v>50031</v>
      </c>
      <c r="F137" s="7" t="s">
        <v>165</v>
      </c>
      <c r="G137" s="7" t="s">
        <v>158</v>
      </c>
      <c r="H137" s="8">
        <v>3734090</v>
      </c>
      <c r="I137" s="8">
        <v>317</v>
      </c>
      <c r="J137" s="7" t="s">
        <v>10</v>
      </c>
      <c r="K137" s="7" t="s">
        <v>159</v>
      </c>
      <c r="L137" s="8">
        <v>84</v>
      </c>
      <c r="M137" s="8">
        <v>317640</v>
      </c>
      <c r="N137" s="7"/>
      <c r="O137" s="8">
        <v>28867</v>
      </c>
      <c r="P137" s="7"/>
      <c r="Q137" s="8">
        <v>6480</v>
      </c>
      <c r="R137" s="7"/>
      <c r="S137" s="8">
        <v>45857</v>
      </c>
      <c r="T137" s="7"/>
      <c r="U137" s="8">
        <v>0</v>
      </c>
      <c r="V137" s="7"/>
      <c r="W137" s="33">
        <v>398844</v>
      </c>
      <c r="X137" s="7"/>
      <c r="Y137" s="30">
        <v>148</v>
      </c>
      <c r="Z137" s="7"/>
      <c r="AA137" s="30">
        <v>19</v>
      </c>
      <c r="AB137" s="7"/>
      <c r="AC137" s="30">
        <v>4</v>
      </c>
      <c r="AD137" s="7"/>
      <c r="AE137" s="30">
        <v>28</v>
      </c>
      <c r="AF137" s="7"/>
      <c r="AG137" s="30">
        <v>0</v>
      </c>
      <c r="AI137" s="32">
        <v>199</v>
      </c>
      <c r="AK137" s="7" t="str">
        <f t="shared" si="2"/>
        <v>No</v>
      </c>
    </row>
    <row r="138" spans="1:37">
      <c r="A138" s="7" t="s">
        <v>661</v>
      </c>
      <c r="B138" s="7" t="s">
        <v>662</v>
      </c>
      <c r="C138" s="7" t="s">
        <v>45</v>
      </c>
      <c r="D138" s="302">
        <v>4018</v>
      </c>
      <c r="E138" s="297">
        <v>40018</v>
      </c>
      <c r="F138" s="7" t="s">
        <v>165</v>
      </c>
      <c r="G138" s="7" t="s">
        <v>158</v>
      </c>
      <c r="H138" s="8">
        <v>972546</v>
      </c>
      <c r="I138" s="8">
        <v>316</v>
      </c>
      <c r="J138" s="7" t="s">
        <v>7</v>
      </c>
      <c r="K138" s="7" t="s">
        <v>159</v>
      </c>
      <c r="L138" s="8">
        <v>172</v>
      </c>
      <c r="M138" s="8">
        <v>757798</v>
      </c>
      <c r="N138" s="7"/>
      <c r="O138" s="8">
        <v>200059</v>
      </c>
      <c r="P138" s="7"/>
      <c r="Q138" s="8">
        <v>21865</v>
      </c>
      <c r="R138" s="7"/>
      <c r="S138" s="8">
        <v>119433</v>
      </c>
      <c r="T138" s="7"/>
      <c r="U138" s="8">
        <v>0</v>
      </c>
      <c r="V138" s="7"/>
      <c r="W138" s="33">
        <v>1099155</v>
      </c>
      <c r="X138" s="7"/>
      <c r="Y138" s="30">
        <v>392</v>
      </c>
      <c r="Z138" s="7"/>
      <c r="AA138" s="30">
        <v>103.5</v>
      </c>
      <c r="AB138" s="7"/>
      <c r="AC138" s="30">
        <v>11.94</v>
      </c>
      <c r="AD138" s="7"/>
      <c r="AE138" s="30">
        <v>69.7</v>
      </c>
      <c r="AF138" s="7"/>
      <c r="AG138" s="30">
        <v>0</v>
      </c>
      <c r="AI138" s="32">
        <v>577.14</v>
      </c>
      <c r="AK138" s="7" t="str">
        <f t="shared" si="2"/>
        <v>No</v>
      </c>
    </row>
    <row r="139" spans="1:37">
      <c r="A139" s="7" t="s">
        <v>661</v>
      </c>
      <c r="B139" s="7" t="s">
        <v>662</v>
      </c>
      <c r="C139" s="7" t="s">
        <v>45</v>
      </c>
      <c r="D139" s="302">
        <v>4018</v>
      </c>
      <c r="E139" s="297">
        <v>40018</v>
      </c>
      <c r="F139" s="7" t="s">
        <v>165</v>
      </c>
      <c r="G139" s="7" t="s">
        <v>158</v>
      </c>
      <c r="H139" s="8">
        <v>972546</v>
      </c>
      <c r="I139" s="8">
        <v>316</v>
      </c>
      <c r="J139" s="7" t="s">
        <v>10</v>
      </c>
      <c r="K139" s="7" t="s">
        <v>159</v>
      </c>
      <c r="L139" s="8">
        <v>2</v>
      </c>
      <c r="M139" s="8">
        <v>1714</v>
      </c>
      <c r="N139" s="7"/>
      <c r="O139" s="8">
        <v>1005</v>
      </c>
      <c r="P139" s="7"/>
      <c r="Q139" s="8">
        <v>110</v>
      </c>
      <c r="R139" s="7"/>
      <c r="S139" s="8">
        <v>520</v>
      </c>
      <c r="T139" s="7"/>
      <c r="U139" s="8">
        <v>0</v>
      </c>
      <c r="V139" s="7"/>
      <c r="W139" s="33">
        <v>3349</v>
      </c>
      <c r="X139" s="7"/>
      <c r="Y139" s="30">
        <v>1</v>
      </c>
      <c r="Z139" s="7"/>
      <c r="AA139" s="30">
        <v>0.5</v>
      </c>
      <c r="AB139" s="7"/>
      <c r="AC139" s="30">
        <v>0.06</v>
      </c>
      <c r="AD139" s="7"/>
      <c r="AE139" s="30">
        <v>0.3</v>
      </c>
      <c r="AF139" s="7"/>
      <c r="AG139" s="30">
        <v>0</v>
      </c>
      <c r="AI139" s="32">
        <v>1.86</v>
      </c>
      <c r="AK139" s="7" t="str">
        <f t="shared" si="2"/>
        <v>No</v>
      </c>
    </row>
    <row r="140" spans="1:37">
      <c r="A140" s="7" t="s">
        <v>620</v>
      </c>
      <c r="B140" s="7" t="s">
        <v>621</v>
      </c>
      <c r="C140" s="7" t="s">
        <v>89</v>
      </c>
      <c r="D140" s="302">
        <v>2</v>
      </c>
      <c r="E140" s="297">
        <v>2</v>
      </c>
      <c r="F140" s="7" t="s">
        <v>165</v>
      </c>
      <c r="G140" s="7" t="s">
        <v>158</v>
      </c>
      <c r="H140" s="8">
        <v>387847</v>
      </c>
      <c r="I140" s="8">
        <v>307</v>
      </c>
      <c r="J140" s="7" t="s">
        <v>7</v>
      </c>
      <c r="K140" s="7" t="s">
        <v>159</v>
      </c>
      <c r="L140" s="8">
        <v>111</v>
      </c>
      <c r="M140" s="8">
        <v>498332</v>
      </c>
      <c r="N140" s="7"/>
      <c r="O140" s="8">
        <v>104339</v>
      </c>
      <c r="P140" s="7"/>
      <c r="Q140" s="8">
        <v>38122</v>
      </c>
      <c r="R140" s="7"/>
      <c r="S140" s="8">
        <v>91556</v>
      </c>
      <c r="T140" s="7"/>
      <c r="U140" s="8">
        <v>1037</v>
      </c>
      <c r="V140" s="7"/>
      <c r="W140" s="33">
        <v>733386</v>
      </c>
      <c r="X140" s="7"/>
      <c r="Y140" s="30">
        <v>281.3</v>
      </c>
      <c r="Z140" s="7"/>
      <c r="AA140" s="30">
        <v>63.3</v>
      </c>
      <c r="AB140" s="7"/>
      <c r="AC140" s="30">
        <v>24</v>
      </c>
      <c r="AD140" s="7"/>
      <c r="AE140" s="30">
        <v>54</v>
      </c>
      <c r="AF140" s="7"/>
      <c r="AG140" s="30">
        <v>0.55000000000000004</v>
      </c>
      <c r="AI140" s="32">
        <v>423.15</v>
      </c>
      <c r="AK140" s="7" t="str">
        <f t="shared" si="2"/>
        <v>No</v>
      </c>
    </row>
    <row r="141" spans="1:37">
      <c r="A141" s="7" t="s">
        <v>620</v>
      </c>
      <c r="B141" s="7" t="s">
        <v>621</v>
      </c>
      <c r="C141" s="7" t="s">
        <v>89</v>
      </c>
      <c r="D141" s="302">
        <v>2</v>
      </c>
      <c r="E141" s="297">
        <v>2</v>
      </c>
      <c r="F141" s="7" t="s">
        <v>165</v>
      </c>
      <c r="G141" s="7" t="s">
        <v>158</v>
      </c>
      <c r="H141" s="8">
        <v>387847</v>
      </c>
      <c r="I141" s="8">
        <v>307</v>
      </c>
      <c r="J141" s="7" t="s">
        <v>8</v>
      </c>
      <c r="K141" s="7" t="s">
        <v>159</v>
      </c>
      <c r="L141" s="8">
        <v>97</v>
      </c>
      <c r="M141" s="8">
        <v>0</v>
      </c>
      <c r="N141" s="7"/>
      <c r="O141" s="8">
        <v>0</v>
      </c>
      <c r="P141" s="7"/>
      <c r="Q141" s="8">
        <v>0</v>
      </c>
      <c r="R141" s="7"/>
      <c r="S141" s="8">
        <v>4991</v>
      </c>
      <c r="T141" s="7"/>
      <c r="U141" s="8">
        <v>15</v>
      </c>
      <c r="V141" s="7"/>
      <c r="W141" s="33">
        <v>5006</v>
      </c>
      <c r="X141" s="7"/>
      <c r="Y141" s="30">
        <v>0</v>
      </c>
      <c r="Z141" s="7"/>
      <c r="AA141" s="30">
        <v>0</v>
      </c>
      <c r="AB141" s="7"/>
      <c r="AC141" s="30">
        <v>0</v>
      </c>
      <c r="AD141" s="7"/>
      <c r="AE141" s="30">
        <v>2.76</v>
      </c>
      <c r="AF141" s="7"/>
      <c r="AG141" s="30">
        <v>0.01</v>
      </c>
      <c r="AI141" s="32">
        <v>2.77</v>
      </c>
      <c r="AK141" s="7" t="str">
        <f t="shared" si="2"/>
        <v>No</v>
      </c>
    </row>
    <row r="142" spans="1:37">
      <c r="A142" s="7" t="s">
        <v>620</v>
      </c>
      <c r="B142" s="7" t="s">
        <v>621</v>
      </c>
      <c r="C142" s="7" t="s">
        <v>89</v>
      </c>
      <c r="D142" s="302">
        <v>2</v>
      </c>
      <c r="E142" s="297">
        <v>2</v>
      </c>
      <c r="F142" s="7" t="s">
        <v>165</v>
      </c>
      <c r="G142" s="7" t="s">
        <v>158</v>
      </c>
      <c r="H142" s="8">
        <v>387847</v>
      </c>
      <c r="I142" s="8">
        <v>307</v>
      </c>
      <c r="J142" s="7" t="s">
        <v>10</v>
      </c>
      <c r="K142" s="7" t="s">
        <v>159</v>
      </c>
      <c r="L142" s="8">
        <v>52</v>
      </c>
      <c r="M142" s="8">
        <v>122706</v>
      </c>
      <c r="N142" s="7"/>
      <c r="O142" s="8">
        <v>22160</v>
      </c>
      <c r="P142" s="7"/>
      <c r="Q142" s="8">
        <v>0</v>
      </c>
      <c r="R142" s="7"/>
      <c r="S142" s="8">
        <v>25613</v>
      </c>
      <c r="T142" s="7"/>
      <c r="U142" s="8">
        <v>290</v>
      </c>
      <c r="V142" s="7"/>
      <c r="W142" s="33">
        <v>170769</v>
      </c>
      <c r="X142" s="7"/>
      <c r="Y142" s="30">
        <v>85.8</v>
      </c>
      <c r="Z142" s="7"/>
      <c r="AA142" s="30">
        <v>13</v>
      </c>
      <c r="AB142" s="7"/>
      <c r="AC142" s="30">
        <v>0</v>
      </c>
      <c r="AD142" s="7"/>
      <c r="AE142" s="30">
        <v>15.1</v>
      </c>
      <c r="AF142" s="7"/>
      <c r="AG142" s="30">
        <v>0.15</v>
      </c>
      <c r="AI142" s="32">
        <v>114.05</v>
      </c>
      <c r="AK142" s="7" t="str">
        <f t="shared" si="2"/>
        <v>No</v>
      </c>
    </row>
    <row r="143" spans="1:37">
      <c r="A143" s="7" t="s">
        <v>550</v>
      </c>
      <c r="B143" s="7" t="s">
        <v>551</v>
      </c>
      <c r="C143" s="7" t="s">
        <v>63</v>
      </c>
      <c r="D143" s="302">
        <v>2098</v>
      </c>
      <c r="E143" s="297">
        <v>20098</v>
      </c>
      <c r="F143" s="7" t="s">
        <v>165</v>
      </c>
      <c r="G143" s="7" t="s">
        <v>158</v>
      </c>
      <c r="H143" s="8">
        <v>18351295</v>
      </c>
      <c r="I143" s="8">
        <v>303</v>
      </c>
      <c r="J143" s="7" t="s">
        <v>20</v>
      </c>
      <c r="K143" s="7" t="s">
        <v>159</v>
      </c>
      <c r="L143" s="8">
        <v>298</v>
      </c>
      <c r="M143" s="8">
        <v>1138690</v>
      </c>
      <c r="N143" s="7"/>
      <c r="O143" s="8">
        <v>481437</v>
      </c>
      <c r="P143" s="7"/>
      <c r="Q143" s="8">
        <v>973705</v>
      </c>
      <c r="R143" s="7"/>
      <c r="S143" s="8">
        <v>137612</v>
      </c>
      <c r="T143" s="7"/>
      <c r="U143" s="8">
        <v>0</v>
      </c>
      <c r="V143" s="7"/>
      <c r="W143" s="33">
        <v>2731444</v>
      </c>
      <c r="X143" s="7"/>
      <c r="Y143" s="30">
        <v>614</v>
      </c>
      <c r="Z143" s="7"/>
      <c r="AA143" s="30">
        <v>270</v>
      </c>
      <c r="AB143" s="7"/>
      <c r="AC143" s="30">
        <v>516</v>
      </c>
      <c r="AD143" s="7"/>
      <c r="AE143" s="30">
        <v>85</v>
      </c>
      <c r="AF143" s="7"/>
      <c r="AG143" s="30">
        <v>0</v>
      </c>
      <c r="AI143" s="32">
        <v>1485</v>
      </c>
      <c r="AK143" s="7" t="str">
        <f t="shared" si="2"/>
        <v>No</v>
      </c>
    </row>
    <row r="144" spans="1:37">
      <c r="A144" s="7" t="s">
        <v>432</v>
      </c>
      <c r="B144" s="7" t="s">
        <v>433</v>
      </c>
      <c r="C144" s="7" t="s">
        <v>55</v>
      </c>
      <c r="D144" s="302">
        <v>7005</v>
      </c>
      <c r="E144" s="297">
        <v>70005</v>
      </c>
      <c r="F144" s="7" t="s">
        <v>165</v>
      </c>
      <c r="G144" s="7" t="s">
        <v>158</v>
      </c>
      <c r="H144" s="8">
        <v>1519417</v>
      </c>
      <c r="I144" s="8">
        <v>298</v>
      </c>
      <c r="J144" s="7" t="s">
        <v>7</v>
      </c>
      <c r="K144" s="7" t="s">
        <v>159</v>
      </c>
      <c r="L144" s="8">
        <v>168</v>
      </c>
      <c r="M144" s="8">
        <v>695212</v>
      </c>
      <c r="N144" s="7"/>
      <c r="O144" s="8">
        <v>229949</v>
      </c>
      <c r="P144" s="7"/>
      <c r="Q144" s="8">
        <v>56883</v>
      </c>
      <c r="R144" s="7"/>
      <c r="S144" s="8">
        <v>168776</v>
      </c>
      <c r="T144" s="7"/>
      <c r="U144" s="8">
        <v>1984</v>
      </c>
      <c r="V144" s="7"/>
      <c r="W144" s="33">
        <v>1152804</v>
      </c>
      <c r="X144" s="7"/>
      <c r="Y144" s="30">
        <v>327</v>
      </c>
      <c r="Z144" s="7"/>
      <c r="AA144" s="30">
        <v>120</v>
      </c>
      <c r="AB144" s="7"/>
      <c r="AC144" s="30">
        <v>34</v>
      </c>
      <c r="AD144" s="7"/>
      <c r="AE144" s="30">
        <v>92</v>
      </c>
      <c r="AF144" s="7"/>
      <c r="AG144" s="30">
        <v>1</v>
      </c>
      <c r="AI144" s="32">
        <v>574</v>
      </c>
      <c r="AK144" s="7" t="str">
        <f t="shared" si="2"/>
        <v>No</v>
      </c>
    </row>
    <row r="145" spans="1:37">
      <c r="A145" s="7" t="s">
        <v>246</v>
      </c>
      <c r="B145" s="7" t="s">
        <v>247</v>
      </c>
      <c r="C145" s="7" t="s">
        <v>58</v>
      </c>
      <c r="D145" s="302">
        <v>4007</v>
      </c>
      <c r="E145" s="297">
        <v>40007</v>
      </c>
      <c r="F145" s="7" t="s">
        <v>162</v>
      </c>
      <c r="G145" s="7" t="s">
        <v>158</v>
      </c>
      <c r="H145" s="8">
        <v>884891</v>
      </c>
      <c r="I145" s="8">
        <v>298</v>
      </c>
      <c r="J145" s="7" t="s">
        <v>7</v>
      </c>
      <c r="K145" s="7" t="s">
        <v>159</v>
      </c>
      <c r="L145" s="8">
        <v>65</v>
      </c>
      <c r="M145" s="8">
        <v>379054</v>
      </c>
      <c r="N145" s="7"/>
      <c r="O145" s="8">
        <v>65025</v>
      </c>
      <c r="P145" s="7"/>
      <c r="Q145" s="8">
        <v>7673</v>
      </c>
      <c r="R145" s="7"/>
      <c r="S145" s="8">
        <v>23497</v>
      </c>
      <c r="T145" s="7"/>
      <c r="U145" s="8">
        <v>0</v>
      </c>
      <c r="V145" s="7"/>
      <c r="W145" s="33">
        <v>475249</v>
      </c>
      <c r="X145" s="7"/>
      <c r="Y145" s="30">
        <v>178</v>
      </c>
      <c r="Z145" s="7"/>
      <c r="AA145" s="30">
        <v>36</v>
      </c>
      <c r="AB145" s="7"/>
      <c r="AC145" s="30">
        <v>4</v>
      </c>
      <c r="AD145" s="7"/>
      <c r="AE145" s="30">
        <v>13</v>
      </c>
      <c r="AF145" s="7"/>
      <c r="AG145" s="30">
        <v>0</v>
      </c>
      <c r="AI145" s="32">
        <v>231</v>
      </c>
      <c r="AK145" s="7" t="str">
        <f t="shared" si="2"/>
        <v>No</v>
      </c>
    </row>
    <row r="146" spans="1:37">
      <c r="A146" s="7" t="s">
        <v>432</v>
      </c>
      <c r="B146" s="7" t="s">
        <v>433</v>
      </c>
      <c r="C146" s="7" t="s">
        <v>55</v>
      </c>
      <c r="D146" s="302">
        <v>7005</v>
      </c>
      <c r="E146" s="297">
        <v>70005</v>
      </c>
      <c r="F146" s="7" t="s">
        <v>165</v>
      </c>
      <c r="G146" s="7" t="s">
        <v>158</v>
      </c>
      <c r="H146" s="8">
        <v>1519417</v>
      </c>
      <c r="I146" s="8">
        <v>298</v>
      </c>
      <c r="J146" s="7" t="s">
        <v>8</v>
      </c>
      <c r="K146" s="7" t="s">
        <v>159</v>
      </c>
      <c r="L146" s="8">
        <v>23</v>
      </c>
      <c r="M146" s="8">
        <v>1752</v>
      </c>
      <c r="N146" s="7"/>
      <c r="O146" s="8">
        <v>0</v>
      </c>
      <c r="P146" s="7"/>
      <c r="Q146" s="8">
        <v>372</v>
      </c>
      <c r="R146" s="7"/>
      <c r="S146" s="8">
        <v>1684</v>
      </c>
      <c r="T146" s="7"/>
      <c r="U146" s="8">
        <v>0</v>
      </c>
      <c r="V146" s="7"/>
      <c r="W146" s="33">
        <v>3808</v>
      </c>
      <c r="X146" s="7"/>
      <c r="Y146" s="30">
        <v>1</v>
      </c>
      <c r="Z146" s="7"/>
      <c r="AA146" s="30">
        <v>0</v>
      </c>
      <c r="AB146" s="7"/>
      <c r="AC146" s="30">
        <v>0.2</v>
      </c>
      <c r="AD146" s="7"/>
      <c r="AE146" s="30">
        <v>1</v>
      </c>
      <c r="AF146" s="7"/>
      <c r="AG146" s="30">
        <v>0</v>
      </c>
      <c r="AI146" s="32">
        <v>2.2000000000000002</v>
      </c>
      <c r="AK146" s="7" t="str">
        <f t="shared" si="2"/>
        <v>No</v>
      </c>
    </row>
    <row r="147" spans="1:37">
      <c r="A147" s="7" t="s">
        <v>432</v>
      </c>
      <c r="B147" s="7" t="s">
        <v>433</v>
      </c>
      <c r="C147" s="7" t="s">
        <v>55</v>
      </c>
      <c r="D147" s="302">
        <v>7005</v>
      </c>
      <c r="E147" s="297">
        <v>70005</v>
      </c>
      <c r="F147" s="7" t="s">
        <v>165</v>
      </c>
      <c r="G147" s="7" t="s">
        <v>158</v>
      </c>
      <c r="H147" s="8">
        <v>1519417</v>
      </c>
      <c r="I147" s="8">
        <v>298</v>
      </c>
      <c r="J147" s="7" t="s">
        <v>10</v>
      </c>
      <c r="K147" s="7" t="s">
        <v>159</v>
      </c>
      <c r="L147" s="8">
        <v>19</v>
      </c>
      <c r="M147" s="8">
        <v>45306</v>
      </c>
      <c r="N147" s="7"/>
      <c r="O147" s="8">
        <v>7778</v>
      </c>
      <c r="P147" s="7"/>
      <c r="Q147" s="8">
        <v>1489</v>
      </c>
      <c r="R147" s="7"/>
      <c r="S147" s="8">
        <v>6267</v>
      </c>
      <c r="T147" s="7"/>
      <c r="U147" s="8">
        <v>0</v>
      </c>
      <c r="V147" s="7"/>
      <c r="W147" s="33">
        <v>60840</v>
      </c>
      <c r="X147" s="7"/>
      <c r="Y147" s="30">
        <v>26</v>
      </c>
      <c r="Z147" s="7"/>
      <c r="AA147" s="30">
        <v>4.0999999999999996</v>
      </c>
      <c r="AB147" s="7"/>
      <c r="AC147" s="30">
        <v>0.9</v>
      </c>
      <c r="AD147" s="7"/>
      <c r="AE147" s="30">
        <v>3</v>
      </c>
      <c r="AF147" s="7"/>
      <c r="AG147" s="30">
        <v>0</v>
      </c>
      <c r="AI147" s="32">
        <v>34</v>
      </c>
      <c r="AK147" s="7" t="str">
        <f t="shared" si="2"/>
        <v>No</v>
      </c>
    </row>
    <row r="148" spans="1:37">
      <c r="A148" s="7" t="s">
        <v>432</v>
      </c>
      <c r="B148" s="7" t="s">
        <v>433</v>
      </c>
      <c r="C148" s="7" t="s">
        <v>55</v>
      </c>
      <c r="D148" s="302">
        <v>7005</v>
      </c>
      <c r="E148" s="297">
        <v>70005</v>
      </c>
      <c r="F148" s="7" t="s">
        <v>165</v>
      </c>
      <c r="G148" s="7" t="s">
        <v>158</v>
      </c>
      <c r="H148" s="8">
        <v>1519417</v>
      </c>
      <c r="I148" s="8">
        <v>298</v>
      </c>
      <c r="J148" s="7" t="s">
        <v>22</v>
      </c>
      <c r="K148" s="7" t="s">
        <v>159</v>
      </c>
      <c r="L148" s="8">
        <v>11</v>
      </c>
      <c r="M148" s="8">
        <v>54133</v>
      </c>
      <c r="N148" s="7"/>
      <c r="O148" s="8">
        <v>18281</v>
      </c>
      <c r="P148" s="7"/>
      <c r="Q148" s="8">
        <v>4507</v>
      </c>
      <c r="R148" s="7"/>
      <c r="S148" s="8">
        <v>17955</v>
      </c>
      <c r="T148" s="7"/>
      <c r="U148" s="8">
        <v>0</v>
      </c>
      <c r="V148" s="7"/>
      <c r="W148" s="33">
        <v>94876</v>
      </c>
      <c r="X148" s="7"/>
      <c r="Y148" s="30">
        <v>27.8</v>
      </c>
      <c r="Z148" s="7"/>
      <c r="AA148" s="30">
        <v>9.6999999999999993</v>
      </c>
      <c r="AB148" s="7"/>
      <c r="AC148" s="30">
        <v>2.7</v>
      </c>
      <c r="AD148" s="7"/>
      <c r="AE148" s="30">
        <v>9.9</v>
      </c>
      <c r="AF148" s="7"/>
      <c r="AG148" s="30">
        <v>0</v>
      </c>
      <c r="AI148" s="32">
        <v>50.1</v>
      </c>
      <c r="AK148" s="7" t="str">
        <f t="shared" si="2"/>
        <v>No</v>
      </c>
    </row>
    <row r="149" spans="1:37">
      <c r="A149" s="7" t="s">
        <v>548</v>
      </c>
      <c r="B149" s="7" t="s">
        <v>549</v>
      </c>
      <c r="C149" s="7" t="s">
        <v>32</v>
      </c>
      <c r="D149" s="302">
        <v>4027</v>
      </c>
      <c r="E149" s="297">
        <v>40027</v>
      </c>
      <c r="F149" s="7" t="s">
        <v>165</v>
      </c>
      <c r="G149" s="7" t="s">
        <v>158</v>
      </c>
      <c r="H149" s="8">
        <v>2441770</v>
      </c>
      <c r="I149" s="8">
        <v>295</v>
      </c>
      <c r="J149" s="7" t="s">
        <v>7</v>
      </c>
      <c r="K149" s="7" t="s">
        <v>159</v>
      </c>
      <c r="L149" s="8">
        <v>157</v>
      </c>
      <c r="M149" s="8">
        <v>821983</v>
      </c>
      <c r="N149" s="7"/>
      <c r="O149" s="8">
        <v>121947</v>
      </c>
      <c r="P149" s="7"/>
      <c r="Q149" s="8">
        <v>61407</v>
      </c>
      <c r="R149" s="7"/>
      <c r="S149" s="8">
        <v>146090</v>
      </c>
      <c r="T149" s="7"/>
      <c r="U149" s="8">
        <v>0</v>
      </c>
      <c r="V149" s="7"/>
      <c r="W149" s="33">
        <v>1151427</v>
      </c>
      <c r="X149" s="7"/>
      <c r="Y149" s="30">
        <v>407</v>
      </c>
      <c r="Z149" s="7"/>
      <c r="AA149" s="30">
        <v>61</v>
      </c>
      <c r="AB149" s="7"/>
      <c r="AC149" s="30">
        <v>29</v>
      </c>
      <c r="AD149" s="7"/>
      <c r="AE149" s="30">
        <v>78</v>
      </c>
      <c r="AF149" s="7"/>
      <c r="AG149" s="30">
        <v>0</v>
      </c>
      <c r="AI149" s="32">
        <v>575</v>
      </c>
      <c r="AK149" s="7" t="str">
        <f t="shared" si="2"/>
        <v>No</v>
      </c>
    </row>
    <row r="150" spans="1:37">
      <c r="A150" s="7" t="s">
        <v>548</v>
      </c>
      <c r="B150" s="7" t="s">
        <v>549</v>
      </c>
      <c r="C150" s="7" t="s">
        <v>32</v>
      </c>
      <c r="D150" s="302">
        <v>4027</v>
      </c>
      <c r="E150" s="297">
        <v>40027</v>
      </c>
      <c r="F150" s="7" t="s">
        <v>165</v>
      </c>
      <c r="G150" s="7" t="s">
        <v>158</v>
      </c>
      <c r="H150" s="8">
        <v>2441770</v>
      </c>
      <c r="I150" s="8">
        <v>295</v>
      </c>
      <c r="J150" s="7" t="s">
        <v>18</v>
      </c>
      <c r="K150" s="7" t="s">
        <v>159</v>
      </c>
      <c r="L150" s="8">
        <v>7</v>
      </c>
      <c r="M150" s="8">
        <v>22276</v>
      </c>
      <c r="N150" s="7"/>
      <c r="O150" s="8">
        <v>5433</v>
      </c>
      <c r="P150" s="7"/>
      <c r="Q150" s="8">
        <v>2736</v>
      </c>
      <c r="R150" s="7"/>
      <c r="S150" s="8">
        <v>6509</v>
      </c>
      <c r="T150" s="7"/>
      <c r="U150" s="8">
        <v>0</v>
      </c>
      <c r="V150" s="7"/>
      <c r="W150" s="33">
        <v>36954</v>
      </c>
      <c r="X150" s="7"/>
      <c r="Y150" s="30">
        <v>10</v>
      </c>
      <c r="Z150" s="7"/>
      <c r="AA150" s="30">
        <v>3</v>
      </c>
      <c r="AB150" s="7"/>
      <c r="AC150" s="30">
        <v>1</v>
      </c>
      <c r="AD150" s="7"/>
      <c r="AE150" s="30">
        <v>4</v>
      </c>
      <c r="AF150" s="7"/>
      <c r="AG150" s="30">
        <v>0</v>
      </c>
      <c r="AI150" s="32">
        <v>18</v>
      </c>
      <c r="AK150" s="7" t="str">
        <f t="shared" si="2"/>
        <v>No</v>
      </c>
    </row>
    <row r="151" spans="1:37">
      <c r="A151" s="7" t="s">
        <v>565</v>
      </c>
      <c r="B151" s="7" t="s">
        <v>566</v>
      </c>
      <c r="C151" s="7" t="s">
        <v>80</v>
      </c>
      <c r="D151" s="302">
        <v>1001</v>
      </c>
      <c r="E151" s="297">
        <v>10001</v>
      </c>
      <c r="F151" s="7" t="s">
        <v>165</v>
      </c>
      <c r="G151" s="7" t="s">
        <v>158</v>
      </c>
      <c r="H151" s="8">
        <v>1190956</v>
      </c>
      <c r="I151" s="8">
        <v>291</v>
      </c>
      <c r="J151" s="7" t="s">
        <v>7</v>
      </c>
      <c r="K151" s="7" t="s">
        <v>159</v>
      </c>
      <c r="L151" s="8">
        <v>195</v>
      </c>
      <c r="M151" s="8">
        <v>928821</v>
      </c>
      <c r="N151" s="7"/>
      <c r="O151" s="8">
        <v>145897</v>
      </c>
      <c r="P151" s="7"/>
      <c r="Q151" s="8">
        <v>65517</v>
      </c>
      <c r="R151" s="7"/>
      <c r="S151" s="8">
        <v>128902</v>
      </c>
      <c r="T151" s="7"/>
      <c r="U151" s="8">
        <v>0</v>
      </c>
      <c r="V151" s="7"/>
      <c r="W151" s="33">
        <v>1269137</v>
      </c>
      <c r="X151" s="7"/>
      <c r="Y151" s="30">
        <v>448</v>
      </c>
      <c r="Z151" s="7"/>
      <c r="AA151" s="30">
        <v>76</v>
      </c>
      <c r="AB151" s="7"/>
      <c r="AC151" s="30">
        <v>39</v>
      </c>
      <c r="AD151" s="7"/>
      <c r="AE151" s="30">
        <v>71</v>
      </c>
      <c r="AF151" s="7"/>
      <c r="AG151" s="30">
        <v>0</v>
      </c>
      <c r="AI151" s="32">
        <v>634</v>
      </c>
      <c r="AK151" s="7" t="str">
        <f t="shared" si="2"/>
        <v>No</v>
      </c>
    </row>
    <row r="152" spans="1:37">
      <c r="A152" s="7" t="s">
        <v>565</v>
      </c>
      <c r="B152" s="7" t="s">
        <v>566</v>
      </c>
      <c r="C152" s="7" t="s">
        <v>80</v>
      </c>
      <c r="D152" s="302">
        <v>1001</v>
      </c>
      <c r="E152" s="297">
        <v>10001</v>
      </c>
      <c r="F152" s="7" t="s">
        <v>165</v>
      </c>
      <c r="G152" s="7" t="s">
        <v>158</v>
      </c>
      <c r="H152" s="8">
        <v>1190956</v>
      </c>
      <c r="I152" s="8">
        <v>291</v>
      </c>
      <c r="J152" s="7" t="s">
        <v>10</v>
      </c>
      <c r="K152" s="7" t="s">
        <v>159</v>
      </c>
      <c r="L152" s="8">
        <v>79</v>
      </c>
      <c r="M152" s="8">
        <v>182568</v>
      </c>
      <c r="N152" s="7"/>
      <c r="O152" s="8">
        <v>15217</v>
      </c>
      <c r="P152" s="7"/>
      <c r="Q152" s="8">
        <v>6998</v>
      </c>
      <c r="R152" s="7"/>
      <c r="S152" s="8">
        <v>25232</v>
      </c>
      <c r="T152" s="7"/>
      <c r="U152" s="8">
        <v>0</v>
      </c>
      <c r="V152" s="7"/>
      <c r="W152" s="33">
        <v>230015</v>
      </c>
      <c r="X152" s="7"/>
      <c r="Y152" s="30">
        <v>106</v>
      </c>
      <c r="Z152" s="7"/>
      <c r="AA152" s="30">
        <v>9</v>
      </c>
      <c r="AB152" s="7"/>
      <c r="AC152" s="30">
        <v>4</v>
      </c>
      <c r="AD152" s="7"/>
      <c r="AE152" s="30">
        <v>15</v>
      </c>
      <c r="AF152" s="7"/>
      <c r="AG152" s="30">
        <v>0</v>
      </c>
      <c r="AI152" s="32">
        <v>134</v>
      </c>
      <c r="AK152" s="7" t="str">
        <f t="shared" si="2"/>
        <v>No</v>
      </c>
    </row>
    <row r="153" spans="1:37">
      <c r="A153" s="7" t="s">
        <v>419</v>
      </c>
      <c r="B153" s="7" t="s">
        <v>420</v>
      </c>
      <c r="C153" s="7" t="s">
        <v>89</v>
      </c>
      <c r="D153" s="302">
        <v>19</v>
      </c>
      <c r="E153" s="297">
        <v>19</v>
      </c>
      <c r="F153" s="7" t="s">
        <v>165</v>
      </c>
      <c r="G153" s="7" t="s">
        <v>158</v>
      </c>
      <c r="H153" s="8">
        <v>176617</v>
      </c>
      <c r="I153" s="8">
        <v>286</v>
      </c>
      <c r="J153" s="7" t="s">
        <v>8</v>
      </c>
      <c r="K153" s="7" t="s">
        <v>159</v>
      </c>
      <c r="L153" s="8">
        <v>189</v>
      </c>
      <c r="M153" s="8">
        <v>10396</v>
      </c>
      <c r="N153" s="7"/>
      <c r="O153" s="8">
        <v>3234</v>
      </c>
      <c r="P153" s="7"/>
      <c r="Q153" s="8">
        <v>435</v>
      </c>
      <c r="R153" s="7"/>
      <c r="S153" s="8">
        <v>2586</v>
      </c>
      <c r="T153" s="7"/>
      <c r="U153" s="8">
        <v>0</v>
      </c>
      <c r="V153" s="7"/>
      <c r="W153" s="33">
        <v>16651</v>
      </c>
      <c r="X153" s="7"/>
      <c r="Y153" s="30">
        <v>6</v>
      </c>
      <c r="Z153" s="7"/>
      <c r="AA153" s="30">
        <v>1.86</v>
      </c>
      <c r="AB153" s="7"/>
      <c r="AC153" s="30">
        <v>0.25</v>
      </c>
      <c r="AD153" s="7"/>
      <c r="AE153" s="30">
        <v>1.48</v>
      </c>
      <c r="AF153" s="7"/>
      <c r="AG153" s="30">
        <v>0</v>
      </c>
      <c r="AI153" s="32">
        <v>9.59</v>
      </c>
      <c r="AK153" s="7" t="str">
        <f t="shared" si="2"/>
        <v>No</v>
      </c>
    </row>
    <row r="154" spans="1:37">
      <c r="A154" s="7" t="s">
        <v>419</v>
      </c>
      <c r="B154" s="7" t="s">
        <v>420</v>
      </c>
      <c r="C154" s="7" t="s">
        <v>89</v>
      </c>
      <c r="D154" s="302">
        <v>19</v>
      </c>
      <c r="E154" s="297">
        <v>19</v>
      </c>
      <c r="F154" s="7" t="s">
        <v>165</v>
      </c>
      <c r="G154" s="7" t="s">
        <v>158</v>
      </c>
      <c r="H154" s="8">
        <v>176617</v>
      </c>
      <c r="I154" s="8">
        <v>286</v>
      </c>
      <c r="J154" s="7" t="s">
        <v>7</v>
      </c>
      <c r="K154" s="7" t="s">
        <v>159</v>
      </c>
      <c r="L154" s="8">
        <v>50</v>
      </c>
      <c r="M154" s="8">
        <v>276224</v>
      </c>
      <c r="N154" s="7"/>
      <c r="O154" s="8">
        <v>45758</v>
      </c>
      <c r="P154" s="7"/>
      <c r="Q154" s="8">
        <v>9434</v>
      </c>
      <c r="R154" s="7"/>
      <c r="S154" s="8">
        <v>53792</v>
      </c>
      <c r="T154" s="7"/>
      <c r="U154" s="8">
        <v>0</v>
      </c>
      <c r="V154" s="7"/>
      <c r="W154" s="33">
        <v>385208</v>
      </c>
      <c r="X154" s="7"/>
      <c r="Y154" s="30">
        <v>142.87</v>
      </c>
      <c r="Z154" s="7"/>
      <c r="AA154" s="30">
        <v>25.69</v>
      </c>
      <c r="AB154" s="7"/>
      <c r="AC154" s="30">
        <v>5.09</v>
      </c>
      <c r="AD154" s="7"/>
      <c r="AE154" s="30">
        <v>30.51</v>
      </c>
      <c r="AF154" s="7"/>
      <c r="AG154" s="30">
        <v>0</v>
      </c>
      <c r="AI154" s="32">
        <v>204.16</v>
      </c>
      <c r="AK154" s="7" t="str">
        <f t="shared" si="2"/>
        <v>No</v>
      </c>
    </row>
    <row r="155" spans="1:37">
      <c r="A155" s="7" t="s">
        <v>419</v>
      </c>
      <c r="B155" s="7" t="s">
        <v>420</v>
      </c>
      <c r="C155" s="7" t="s">
        <v>89</v>
      </c>
      <c r="D155" s="302">
        <v>19</v>
      </c>
      <c r="E155" s="297">
        <v>19</v>
      </c>
      <c r="F155" s="7" t="s">
        <v>165</v>
      </c>
      <c r="G155" s="7" t="s">
        <v>158</v>
      </c>
      <c r="H155" s="8">
        <v>176617</v>
      </c>
      <c r="I155" s="8">
        <v>286</v>
      </c>
      <c r="J155" s="7" t="s">
        <v>10</v>
      </c>
      <c r="K155" s="7" t="s">
        <v>159</v>
      </c>
      <c r="L155" s="8">
        <v>38</v>
      </c>
      <c r="M155" s="8">
        <v>116510</v>
      </c>
      <c r="N155" s="7"/>
      <c r="O155" s="8">
        <v>18504</v>
      </c>
      <c r="P155" s="7"/>
      <c r="Q155" s="8">
        <v>3822</v>
      </c>
      <c r="R155" s="7"/>
      <c r="S155" s="8">
        <v>21791</v>
      </c>
      <c r="T155" s="7"/>
      <c r="U155" s="8">
        <v>0</v>
      </c>
      <c r="V155" s="7"/>
      <c r="W155" s="33">
        <v>160627</v>
      </c>
      <c r="X155" s="7"/>
      <c r="Y155" s="30">
        <v>59.37</v>
      </c>
      <c r="Z155" s="7"/>
      <c r="AA155" s="30">
        <v>10.41</v>
      </c>
      <c r="AB155" s="7"/>
      <c r="AC155" s="30">
        <v>2.06</v>
      </c>
      <c r="AD155" s="7"/>
      <c r="AE155" s="30">
        <v>12.36</v>
      </c>
      <c r="AF155" s="7"/>
      <c r="AG155" s="30">
        <v>0</v>
      </c>
      <c r="AI155" s="32">
        <v>84.2</v>
      </c>
      <c r="AK155" s="7" t="str">
        <f t="shared" si="2"/>
        <v>No</v>
      </c>
    </row>
    <row r="156" spans="1:37">
      <c r="A156" s="7" t="s">
        <v>419</v>
      </c>
      <c r="B156" s="7" t="s">
        <v>420</v>
      </c>
      <c r="C156" s="7" t="s">
        <v>89</v>
      </c>
      <c r="D156" s="302">
        <v>19</v>
      </c>
      <c r="E156" s="297">
        <v>19</v>
      </c>
      <c r="F156" s="7" t="s">
        <v>165</v>
      </c>
      <c r="G156" s="7" t="s">
        <v>158</v>
      </c>
      <c r="H156" s="8">
        <v>176617</v>
      </c>
      <c r="I156" s="8">
        <v>286</v>
      </c>
      <c r="J156" s="7" t="s">
        <v>18</v>
      </c>
      <c r="K156" s="7" t="s">
        <v>159</v>
      </c>
      <c r="L156" s="8">
        <v>9</v>
      </c>
      <c r="M156" s="8">
        <v>32612</v>
      </c>
      <c r="N156" s="7"/>
      <c r="O156" s="8">
        <v>5393</v>
      </c>
      <c r="P156" s="7"/>
      <c r="Q156" s="8">
        <v>1114</v>
      </c>
      <c r="R156" s="7"/>
      <c r="S156" s="8">
        <v>6350</v>
      </c>
      <c r="T156" s="7"/>
      <c r="U156" s="8">
        <v>0</v>
      </c>
      <c r="V156" s="7"/>
      <c r="W156" s="33">
        <v>45469</v>
      </c>
      <c r="X156" s="7"/>
      <c r="Y156" s="30">
        <v>16.760000000000002</v>
      </c>
      <c r="Z156" s="7"/>
      <c r="AA156" s="30">
        <v>3.03</v>
      </c>
      <c r="AB156" s="7"/>
      <c r="AC156" s="30">
        <v>0.6</v>
      </c>
      <c r="AD156" s="7"/>
      <c r="AE156" s="30">
        <v>3.6</v>
      </c>
      <c r="AF156" s="7"/>
      <c r="AG156" s="30">
        <v>0</v>
      </c>
      <c r="AI156" s="32">
        <v>23.99</v>
      </c>
      <c r="AK156" s="7" t="str">
        <f t="shared" si="2"/>
        <v>No</v>
      </c>
    </row>
    <row r="157" spans="1:37">
      <c r="A157" s="7" t="s">
        <v>49</v>
      </c>
      <c r="B157" s="7" t="s">
        <v>567</v>
      </c>
      <c r="C157" s="7" t="s">
        <v>48</v>
      </c>
      <c r="D157" s="302">
        <v>3051</v>
      </c>
      <c r="E157" s="297">
        <v>30051</v>
      </c>
      <c r="F157" s="7" t="s">
        <v>162</v>
      </c>
      <c r="G157" s="7" t="s">
        <v>158</v>
      </c>
      <c r="H157" s="8">
        <v>4586770</v>
      </c>
      <c r="I157" s="8">
        <v>282</v>
      </c>
      <c r="J157" s="7" t="s">
        <v>7</v>
      </c>
      <c r="K157" s="7" t="s">
        <v>159</v>
      </c>
      <c r="L157" s="8">
        <v>282</v>
      </c>
      <c r="M157" s="8">
        <v>1409800</v>
      </c>
      <c r="N157" s="7"/>
      <c r="O157" s="8">
        <v>139274</v>
      </c>
      <c r="P157" s="7"/>
      <c r="Q157" s="8">
        <v>0</v>
      </c>
      <c r="R157" s="7"/>
      <c r="S157" s="8">
        <v>221235</v>
      </c>
      <c r="T157" s="7"/>
      <c r="U157" s="8">
        <v>0</v>
      </c>
      <c r="V157" s="7"/>
      <c r="W157" s="33">
        <v>1770309</v>
      </c>
      <c r="X157" s="7"/>
      <c r="Y157" s="30">
        <v>660</v>
      </c>
      <c r="Z157" s="7"/>
      <c r="AA157" s="30">
        <v>84</v>
      </c>
      <c r="AB157" s="7"/>
      <c r="AC157" s="30">
        <v>0</v>
      </c>
      <c r="AD157" s="7"/>
      <c r="AE157" s="30">
        <v>127</v>
      </c>
      <c r="AF157" s="7"/>
      <c r="AG157" s="30">
        <v>0</v>
      </c>
      <c r="AI157" s="32">
        <v>871</v>
      </c>
      <c r="AK157" s="7" t="str">
        <f t="shared" si="2"/>
        <v>No</v>
      </c>
    </row>
    <row r="158" spans="1:37">
      <c r="A158" s="7" t="s">
        <v>37</v>
      </c>
      <c r="B158" s="7" t="s">
        <v>481</v>
      </c>
      <c r="C158" s="7" t="s">
        <v>36</v>
      </c>
      <c r="D158" s="302">
        <v>4153</v>
      </c>
      <c r="E158" s="297">
        <v>40153</v>
      </c>
      <c r="F158" s="7" t="s">
        <v>243</v>
      </c>
      <c r="G158" s="7" t="s">
        <v>158</v>
      </c>
      <c r="H158" s="8">
        <v>4515419</v>
      </c>
      <c r="I158" s="8">
        <v>279</v>
      </c>
      <c r="J158" s="7" t="s">
        <v>8</v>
      </c>
      <c r="K158" s="7" t="s">
        <v>159</v>
      </c>
      <c r="L158" s="8">
        <v>279</v>
      </c>
      <c r="M158" s="8">
        <v>0</v>
      </c>
      <c r="N158" s="7"/>
      <c r="O158" s="8">
        <v>0</v>
      </c>
      <c r="P158" s="7"/>
      <c r="Q158" s="8">
        <v>0</v>
      </c>
      <c r="R158" s="7"/>
      <c r="S158" s="8">
        <v>8474</v>
      </c>
      <c r="T158" s="7"/>
      <c r="U158" s="8">
        <v>0</v>
      </c>
      <c r="V158" s="7"/>
      <c r="W158" s="33">
        <v>8474</v>
      </c>
      <c r="X158" s="7"/>
      <c r="Y158" s="30">
        <v>0</v>
      </c>
      <c r="Z158" s="7"/>
      <c r="AA158" s="30">
        <v>0</v>
      </c>
      <c r="AB158" s="7"/>
      <c r="AC158" s="30">
        <v>0</v>
      </c>
      <c r="AD158" s="7"/>
      <c r="AE158" s="30">
        <v>6</v>
      </c>
      <c r="AF158" s="7"/>
      <c r="AG158" s="30">
        <v>0</v>
      </c>
      <c r="AI158" s="32">
        <v>6</v>
      </c>
      <c r="AK158" s="7" t="str">
        <f t="shared" si="2"/>
        <v>No</v>
      </c>
    </row>
    <row r="159" spans="1:37">
      <c r="A159" s="7" t="s">
        <v>250</v>
      </c>
      <c r="B159" s="7" t="s">
        <v>199</v>
      </c>
      <c r="C159" s="7" t="s">
        <v>70</v>
      </c>
      <c r="D159" s="302">
        <v>2002</v>
      </c>
      <c r="E159" s="297">
        <v>20002</v>
      </c>
      <c r="F159" s="7" t="s">
        <v>165</v>
      </c>
      <c r="G159" s="7" t="s">
        <v>158</v>
      </c>
      <c r="H159" s="8">
        <v>594962</v>
      </c>
      <c r="I159" s="8">
        <v>277</v>
      </c>
      <c r="J159" s="7" t="s">
        <v>7</v>
      </c>
      <c r="K159" s="7" t="s">
        <v>159</v>
      </c>
      <c r="L159" s="8">
        <v>201</v>
      </c>
      <c r="M159" s="8">
        <v>711732</v>
      </c>
      <c r="N159" s="7"/>
      <c r="O159" s="8">
        <v>227591</v>
      </c>
      <c r="P159" s="7"/>
      <c r="Q159" s="8">
        <v>26723</v>
      </c>
      <c r="R159" s="7"/>
      <c r="S159" s="8">
        <v>97055</v>
      </c>
      <c r="T159" s="7"/>
      <c r="U159" s="8">
        <v>0</v>
      </c>
      <c r="V159" s="7"/>
      <c r="W159" s="33">
        <v>1063101</v>
      </c>
      <c r="X159" s="7"/>
      <c r="Y159" s="30">
        <v>389</v>
      </c>
      <c r="Z159" s="7"/>
      <c r="AA159" s="30">
        <v>106</v>
      </c>
      <c r="AB159" s="7"/>
      <c r="AC159" s="30">
        <v>13</v>
      </c>
      <c r="AD159" s="7"/>
      <c r="AE159" s="30">
        <v>52</v>
      </c>
      <c r="AF159" s="7"/>
      <c r="AG159" s="30">
        <v>0</v>
      </c>
      <c r="AI159" s="32">
        <v>560</v>
      </c>
      <c r="AK159" s="7" t="str">
        <f t="shared" si="2"/>
        <v>No</v>
      </c>
    </row>
    <row r="160" spans="1:37">
      <c r="A160" s="7" t="s">
        <v>250</v>
      </c>
      <c r="B160" s="7" t="s">
        <v>199</v>
      </c>
      <c r="C160" s="7" t="s">
        <v>70</v>
      </c>
      <c r="D160" s="302">
        <v>2002</v>
      </c>
      <c r="E160" s="297">
        <v>20002</v>
      </c>
      <c r="F160" s="7" t="s">
        <v>165</v>
      </c>
      <c r="G160" s="7" t="s">
        <v>158</v>
      </c>
      <c r="H160" s="8">
        <v>594962</v>
      </c>
      <c r="I160" s="8">
        <v>277</v>
      </c>
      <c r="J160" s="7" t="s">
        <v>10</v>
      </c>
      <c r="K160" s="7" t="s">
        <v>159</v>
      </c>
      <c r="L160" s="8">
        <v>28</v>
      </c>
      <c r="M160" s="8">
        <v>102418</v>
      </c>
      <c r="N160" s="7"/>
      <c r="O160" s="8">
        <v>44576</v>
      </c>
      <c r="P160" s="7"/>
      <c r="Q160" s="8">
        <v>0</v>
      </c>
      <c r="R160" s="7"/>
      <c r="S160" s="8">
        <v>19879</v>
      </c>
      <c r="T160" s="7"/>
      <c r="U160" s="8">
        <v>0</v>
      </c>
      <c r="V160" s="7"/>
      <c r="W160" s="33">
        <v>166873</v>
      </c>
      <c r="X160" s="7"/>
      <c r="Y160" s="30">
        <v>53</v>
      </c>
      <c r="Z160" s="7"/>
      <c r="AA160" s="30">
        <v>22</v>
      </c>
      <c r="AB160" s="7"/>
      <c r="AC160" s="30">
        <v>0</v>
      </c>
      <c r="AD160" s="7"/>
      <c r="AE160" s="30">
        <v>11</v>
      </c>
      <c r="AF160" s="7"/>
      <c r="AG160" s="30">
        <v>0</v>
      </c>
      <c r="AI160" s="32">
        <v>86</v>
      </c>
      <c r="AK160" s="7" t="str">
        <f t="shared" si="2"/>
        <v>No</v>
      </c>
    </row>
    <row r="161" spans="1:37">
      <c r="A161" s="7" t="s">
        <v>581</v>
      </c>
      <c r="B161" s="7" t="s">
        <v>582</v>
      </c>
      <c r="C161" s="7" t="s">
        <v>76</v>
      </c>
      <c r="D161" s="302">
        <v>25</v>
      </c>
      <c r="E161" s="297">
        <v>25</v>
      </c>
      <c r="F161" s="7" t="s">
        <v>165</v>
      </c>
      <c r="G161" s="7" t="s">
        <v>158</v>
      </c>
      <c r="H161" s="8">
        <v>236632</v>
      </c>
      <c r="I161" s="8">
        <v>276</v>
      </c>
      <c r="J161" s="7" t="s">
        <v>7</v>
      </c>
      <c r="K161" s="7" t="s">
        <v>159</v>
      </c>
      <c r="L161" s="8">
        <v>53</v>
      </c>
      <c r="M161" s="8">
        <v>245834</v>
      </c>
      <c r="N161" s="7"/>
      <c r="O161" s="8">
        <v>67755</v>
      </c>
      <c r="P161" s="7"/>
      <c r="Q161" s="8">
        <v>16036</v>
      </c>
      <c r="R161" s="7"/>
      <c r="S161" s="8">
        <v>45209</v>
      </c>
      <c r="T161" s="7"/>
      <c r="U161" s="8">
        <v>4074</v>
      </c>
      <c r="V161" s="7"/>
      <c r="W161" s="33">
        <v>378908</v>
      </c>
      <c r="X161" s="7"/>
      <c r="Y161" s="30">
        <v>116</v>
      </c>
      <c r="Z161" s="7"/>
      <c r="AA161" s="30">
        <v>26</v>
      </c>
      <c r="AB161" s="7"/>
      <c r="AC161" s="30">
        <v>8</v>
      </c>
      <c r="AD161" s="7"/>
      <c r="AE161" s="30">
        <v>28</v>
      </c>
      <c r="AF161" s="7"/>
      <c r="AG161" s="30">
        <v>1</v>
      </c>
      <c r="AI161" s="32">
        <v>179</v>
      </c>
      <c r="AK161" s="7" t="str">
        <f t="shared" si="2"/>
        <v>No</v>
      </c>
    </row>
    <row r="162" spans="1:37">
      <c r="A162" s="7" t="s">
        <v>568</v>
      </c>
      <c r="B162" s="7" t="s">
        <v>308</v>
      </c>
      <c r="C162" s="7" t="s">
        <v>17</v>
      </c>
      <c r="D162" s="302">
        <v>9031</v>
      </c>
      <c r="E162" s="297">
        <v>90031</v>
      </c>
      <c r="F162" s="7" t="s">
        <v>165</v>
      </c>
      <c r="G162" s="7" t="s">
        <v>158</v>
      </c>
      <c r="H162" s="8">
        <v>1932666</v>
      </c>
      <c r="I162" s="8">
        <v>274</v>
      </c>
      <c r="J162" s="7" t="s">
        <v>7</v>
      </c>
      <c r="K162" s="7" t="s">
        <v>159</v>
      </c>
      <c r="L162" s="8">
        <v>82</v>
      </c>
      <c r="M162" s="8">
        <v>507828</v>
      </c>
      <c r="N162" s="7"/>
      <c r="O162" s="8">
        <v>83408</v>
      </c>
      <c r="P162" s="7"/>
      <c r="Q162" s="8">
        <v>20455</v>
      </c>
      <c r="R162" s="7"/>
      <c r="S162" s="8">
        <v>69471</v>
      </c>
      <c r="T162" s="7"/>
      <c r="U162" s="8">
        <v>0</v>
      </c>
      <c r="V162" s="7"/>
      <c r="W162" s="33">
        <v>681162</v>
      </c>
      <c r="X162" s="7"/>
      <c r="Y162" s="30">
        <v>263</v>
      </c>
      <c r="Z162" s="7"/>
      <c r="AA162" s="30">
        <v>47.6</v>
      </c>
      <c r="AB162" s="7"/>
      <c r="AC162" s="30">
        <v>11.2</v>
      </c>
      <c r="AD162" s="7"/>
      <c r="AE162" s="30">
        <v>48.7</v>
      </c>
      <c r="AF162" s="7"/>
      <c r="AG162" s="30">
        <v>0</v>
      </c>
      <c r="AI162" s="32">
        <v>370.5</v>
      </c>
      <c r="AK162" s="7" t="str">
        <f t="shared" si="2"/>
        <v>No</v>
      </c>
    </row>
    <row r="163" spans="1:37">
      <c r="A163" s="7" t="s">
        <v>568</v>
      </c>
      <c r="B163" s="7" t="s">
        <v>308</v>
      </c>
      <c r="C163" s="7" t="s">
        <v>17</v>
      </c>
      <c r="D163" s="302">
        <v>9031</v>
      </c>
      <c r="E163" s="297">
        <v>90031</v>
      </c>
      <c r="F163" s="7" t="s">
        <v>165</v>
      </c>
      <c r="G163" s="7" t="s">
        <v>158</v>
      </c>
      <c r="H163" s="8">
        <v>1932666</v>
      </c>
      <c r="I163" s="8">
        <v>274</v>
      </c>
      <c r="J163" s="7" t="s">
        <v>18</v>
      </c>
      <c r="K163" s="7" t="s">
        <v>159</v>
      </c>
      <c r="L163" s="8">
        <v>15</v>
      </c>
      <c r="M163" s="8">
        <v>42525</v>
      </c>
      <c r="N163" s="7"/>
      <c r="O163" s="8">
        <v>14674</v>
      </c>
      <c r="P163" s="7"/>
      <c r="Q163" s="8">
        <v>1399</v>
      </c>
      <c r="R163" s="7"/>
      <c r="S163" s="8">
        <v>4753</v>
      </c>
      <c r="T163" s="7"/>
      <c r="U163" s="8">
        <v>0</v>
      </c>
      <c r="V163" s="7"/>
      <c r="W163" s="33">
        <v>63351</v>
      </c>
      <c r="X163" s="7"/>
      <c r="Y163" s="30">
        <v>22</v>
      </c>
      <c r="Z163" s="7"/>
      <c r="AA163" s="30">
        <v>8.4</v>
      </c>
      <c r="AB163" s="7"/>
      <c r="AC163" s="30">
        <v>0.8</v>
      </c>
      <c r="AD163" s="7"/>
      <c r="AE163" s="30">
        <v>3.3</v>
      </c>
      <c r="AF163" s="7"/>
      <c r="AG163" s="30">
        <v>0</v>
      </c>
      <c r="AI163" s="32">
        <v>34.5</v>
      </c>
      <c r="AK163" s="7" t="str">
        <f t="shared" si="2"/>
        <v>No</v>
      </c>
    </row>
    <row r="164" spans="1:37">
      <c r="A164" s="7" t="s">
        <v>529</v>
      </c>
      <c r="B164" s="7" t="s">
        <v>530</v>
      </c>
      <c r="C164" s="7" t="s">
        <v>17</v>
      </c>
      <c r="D164" s="302">
        <v>9029</v>
      </c>
      <c r="E164" s="297">
        <v>90029</v>
      </c>
      <c r="F164" s="7" t="s">
        <v>165</v>
      </c>
      <c r="G164" s="7" t="s">
        <v>158</v>
      </c>
      <c r="H164" s="8">
        <v>1932666</v>
      </c>
      <c r="I164" s="8">
        <v>266</v>
      </c>
      <c r="J164" s="7" t="s">
        <v>7</v>
      </c>
      <c r="K164" s="7" t="s">
        <v>159</v>
      </c>
      <c r="L164" s="8">
        <v>162</v>
      </c>
      <c r="M164" s="8">
        <v>786109</v>
      </c>
      <c r="N164" s="7"/>
      <c r="O164" s="8">
        <v>148932</v>
      </c>
      <c r="P164" s="7"/>
      <c r="Q164" s="8">
        <v>38042</v>
      </c>
      <c r="R164" s="7"/>
      <c r="S164" s="8">
        <v>138886</v>
      </c>
      <c r="T164" s="7"/>
      <c r="U164" s="8">
        <v>16696</v>
      </c>
      <c r="V164" s="7"/>
      <c r="W164" s="33">
        <v>1128665</v>
      </c>
      <c r="X164" s="7"/>
      <c r="Y164" s="30">
        <v>420</v>
      </c>
      <c r="Z164" s="7"/>
      <c r="AA164" s="30">
        <v>96</v>
      </c>
      <c r="AB164" s="7"/>
      <c r="AC164" s="30">
        <v>26</v>
      </c>
      <c r="AD164" s="7"/>
      <c r="AE164" s="30">
        <v>69</v>
      </c>
      <c r="AF164" s="7"/>
      <c r="AG164" s="30">
        <v>8</v>
      </c>
      <c r="AI164" s="32">
        <v>619</v>
      </c>
      <c r="AK164" s="7" t="str">
        <f t="shared" si="2"/>
        <v>No</v>
      </c>
    </row>
    <row r="165" spans="1:37">
      <c r="A165" s="7" t="s">
        <v>647</v>
      </c>
      <c r="B165" s="7" t="s">
        <v>648</v>
      </c>
      <c r="C165" s="7" t="s">
        <v>73</v>
      </c>
      <c r="D165" s="302">
        <v>5022</v>
      </c>
      <c r="E165" s="297">
        <v>50022</v>
      </c>
      <c r="F165" s="7" t="s">
        <v>165</v>
      </c>
      <c r="G165" s="7" t="s">
        <v>158</v>
      </c>
      <c r="H165" s="8">
        <v>507643</v>
      </c>
      <c r="I165" s="8">
        <v>261</v>
      </c>
      <c r="J165" s="7" t="s">
        <v>7</v>
      </c>
      <c r="K165" s="7" t="s">
        <v>159</v>
      </c>
      <c r="L165" s="8">
        <v>109</v>
      </c>
      <c r="M165" s="8">
        <v>334047</v>
      </c>
      <c r="N165" s="7"/>
      <c r="O165" s="8">
        <v>55909</v>
      </c>
      <c r="P165" s="7"/>
      <c r="Q165" s="8">
        <v>6117</v>
      </c>
      <c r="R165" s="7"/>
      <c r="S165" s="8">
        <v>19905</v>
      </c>
      <c r="T165" s="7"/>
      <c r="U165" s="8">
        <v>1172</v>
      </c>
      <c r="V165" s="7"/>
      <c r="W165" s="33">
        <v>417150</v>
      </c>
      <c r="X165" s="7"/>
      <c r="Y165" s="30">
        <v>145</v>
      </c>
      <c r="Z165" s="7"/>
      <c r="AA165" s="30">
        <v>29</v>
      </c>
      <c r="AB165" s="7"/>
      <c r="AC165" s="30">
        <v>3</v>
      </c>
      <c r="AD165" s="7"/>
      <c r="AE165" s="30">
        <v>10.71</v>
      </c>
      <c r="AF165" s="7"/>
      <c r="AG165" s="30">
        <v>0.67</v>
      </c>
      <c r="AI165" s="32">
        <v>188.38</v>
      </c>
      <c r="AK165" s="7" t="str">
        <f t="shared" si="2"/>
        <v>No</v>
      </c>
    </row>
    <row r="166" spans="1:37">
      <c r="A166" s="7" t="s">
        <v>647</v>
      </c>
      <c r="B166" s="7" t="s">
        <v>648</v>
      </c>
      <c r="C166" s="7" t="s">
        <v>73</v>
      </c>
      <c r="D166" s="302">
        <v>5022</v>
      </c>
      <c r="E166" s="297">
        <v>50022</v>
      </c>
      <c r="F166" s="7" t="s">
        <v>165</v>
      </c>
      <c r="G166" s="7" t="s">
        <v>158</v>
      </c>
      <c r="H166" s="8">
        <v>507643</v>
      </c>
      <c r="I166" s="8">
        <v>261</v>
      </c>
      <c r="J166" s="7" t="s">
        <v>10</v>
      </c>
      <c r="K166" s="7" t="s">
        <v>159</v>
      </c>
      <c r="L166" s="8">
        <v>60</v>
      </c>
      <c r="M166" s="8">
        <v>150419</v>
      </c>
      <c r="N166" s="7"/>
      <c r="O166" s="8">
        <v>13013</v>
      </c>
      <c r="P166" s="7"/>
      <c r="Q166" s="8">
        <v>2298</v>
      </c>
      <c r="R166" s="7"/>
      <c r="S166" s="8">
        <v>8361</v>
      </c>
      <c r="T166" s="7"/>
      <c r="U166" s="8">
        <v>577</v>
      </c>
      <c r="V166" s="7"/>
      <c r="W166" s="33">
        <v>174668</v>
      </c>
      <c r="X166" s="7"/>
      <c r="Y166" s="30">
        <v>77</v>
      </c>
      <c r="Z166" s="7"/>
      <c r="AA166" s="30">
        <v>7</v>
      </c>
      <c r="AB166" s="7"/>
      <c r="AC166" s="30">
        <v>1</v>
      </c>
      <c r="AD166" s="7"/>
      <c r="AE166" s="30">
        <v>4.29</v>
      </c>
      <c r="AF166" s="7"/>
      <c r="AG166" s="30">
        <v>0.33</v>
      </c>
      <c r="AI166" s="32">
        <v>89.62</v>
      </c>
      <c r="AK166" s="7" t="str">
        <f t="shared" si="2"/>
        <v>No</v>
      </c>
    </row>
    <row r="167" spans="1:37">
      <c r="A167" s="7" t="s">
        <v>486</v>
      </c>
      <c r="B167" s="7" t="s">
        <v>487</v>
      </c>
      <c r="C167" s="7" t="s">
        <v>83</v>
      </c>
      <c r="D167" s="302">
        <v>4004</v>
      </c>
      <c r="E167" s="297">
        <v>40004</v>
      </c>
      <c r="F167" s="7" t="s">
        <v>165</v>
      </c>
      <c r="G167" s="7" t="s">
        <v>158</v>
      </c>
      <c r="H167" s="8">
        <v>969587</v>
      </c>
      <c r="I167" s="8">
        <v>260</v>
      </c>
      <c r="J167" s="7" t="s">
        <v>7</v>
      </c>
      <c r="K167" s="7" t="s">
        <v>159</v>
      </c>
      <c r="L167" s="8">
        <v>124</v>
      </c>
      <c r="M167" s="8">
        <v>695039</v>
      </c>
      <c r="N167" s="7"/>
      <c r="O167" s="8">
        <v>102471</v>
      </c>
      <c r="P167" s="7"/>
      <c r="Q167" s="8">
        <v>64029</v>
      </c>
      <c r="R167" s="7"/>
      <c r="S167" s="8">
        <v>47218</v>
      </c>
      <c r="T167" s="7"/>
      <c r="U167" s="8">
        <v>0</v>
      </c>
      <c r="V167" s="7"/>
      <c r="W167" s="33">
        <v>908757</v>
      </c>
      <c r="X167" s="7" t="s">
        <v>119</v>
      </c>
      <c r="Y167" s="30">
        <v>349.3</v>
      </c>
      <c r="Z167" s="7"/>
      <c r="AA167" s="30">
        <v>50.2</v>
      </c>
      <c r="AB167" s="7"/>
      <c r="AC167" s="30">
        <v>26.9</v>
      </c>
      <c r="AD167" s="7"/>
      <c r="AE167" s="30">
        <v>25</v>
      </c>
      <c r="AF167" s="7"/>
      <c r="AG167" s="30">
        <v>0</v>
      </c>
      <c r="AI167" s="32">
        <v>451.4</v>
      </c>
      <c r="AJ167" s="7" t="s">
        <v>119</v>
      </c>
      <c r="AK167" s="7" t="str">
        <f t="shared" si="2"/>
        <v>Yes</v>
      </c>
    </row>
    <row r="168" spans="1:37">
      <c r="A168" s="7" t="s">
        <v>486</v>
      </c>
      <c r="B168" s="7" t="s">
        <v>487</v>
      </c>
      <c r="C168" s="7" t="s">
        <v>83</v>
      </c>
      <c r="D168" s="302">
        <v>4004</v>
      </c>
      <c r="E168" s="297">
        <v>40004</v>
      </c>
      <c r="F168" s="7" t="s">
        <v>165</v>
      </c>
      <c r="G168" s="7" t="s">
        <v>158</v>
      </c>
      <c r="H168" s="8">
        <v>969587</v>
      </c>
      <c r="I168" s="8">
        <v>260</v>
      </c>
      <c r="J168" s="7" t="s">
        <v>10</v>
      </c>
      <c r="K168" s="7" t="s">
        <v>159</v>
      </c>
      <c r="L168" s="8">
        <v>63</v>
      </c>
      <c r="M168" s="8">
        <v>232600</v>
      </c>
      <c r="N168" s="7"/>
      <c r="O168" s="8">
        <v>59755</v>
      </c>
      <c r="P168" s="7"/>
      <c r="Q168" s="8">
        <v>37338</v>
      </c>
      <c r="R168" s="7"/>
      <c r="S168" s="8">
        <v>27534</v>
      </c>
      <c r="T168" s="7"/>
      <c r="U168" s="8">
        <v>0</v>
      </c>
      <c r="V168" s="7"/>
      <c r="W168" s="33">
        <v>357227</v>
      </c>
      <c r="X168" s="7" t="s">
        <v>119</v>
      </c>
      <c r="Y168" s="30">
        <v>116.9</v>
      </c>
      <c r="Z168" s="7"/>
      <c r="AA168" s="30">
        <v>30</v>
      </c>
      <c r="AB168" s="7"/>
      <c r="AC168" s="30">
        <v>15.6</v>
      </c>
      <c r="AD168" s="7"/>
      <c r="AE168" s="30">
        <v>14.6</v>
      </c>
      <c r="AF168" s="7"/>
      <c r="AG168" s="30">
        <v>0</v>
      </c>
      <c r="AI168" s="32">
        <v>177.1</v>
      </c>
      <c r="AJ168" s="7" t="s">
        <v>119</v>
      </c>
      <c r="AK168" s="7" t="str">
        <f t="shared" si="2"/>
        <v>Yes</v>
      </c>
    </row>
    <row r="169" spans="1:37">
      <c r="A169" s="7" t="s">
        <v>486</v>
      </c>
      <c r="B169" s="7" t="s">
        <v>487</v>
      </c>
      <c r="C169" s="7" t="s">
        <v>83</v>
      </c>
      <c r="D169" s="302">
        <v>4004</v>
      </c>
      <c r="E169" s="297">
        <v>40004</v>
      </c>
      <c r="F169" s="7" t="s">
        <v>165</v>
      </c>
      <c r="G169" s="7" t="s">
        <v>158</v>
      </c>
      <c r="H169" s="8">
        <v>969587</v>
      </c>
      <c r="I169" s="8">
        <v>260</v>
      </c>
      <c r="J169" s="7" t="s">
        <v>18</v>
      </c>
      <c r="K169" s="7" t="s">
        <v>159</v>
      </c>
      <c r="L169" s="8">
        <v>23</v>
      </c>
      <c r="M169" s="8">
        <v>39436</v>
      </c>
      <c r="N169" s="7"/>
      <c r="O169" s="8">
        <v>5814</v>
      </c>
      <c r="P169" s="7"/>
      <c r="Q169" s="8">
        <v>3633</v>
      </c>
      <c r="R169" s="7"/>
      <c r="S169" s="8">
        <v>2679</v>
      </c>
      <c r="T169" s="7"/>
      <c r="U169" s="8">
        <v>0</v>
      </c>
      <c r="V169" s="7"/>
      <c r="W169" s="33">
        <v>51562</v>
      </c>
      <c r="X169" s="7" t="s">
        <v>119</v>
      </c>
      <c r="Y169" s="30">
        <v>19.8</v>
      </c>
      <c r="Z169" s="7"/>
      <c r="AA169" s="30">
        <v>2.8</v>
      </c>
      <c r="AB169" s="7"/>
      <c r="AC169" s="30">
        <v>1.5</v>
      </c>
      <c r="AD169" s="7"/>
      <c r="AE169" s="30">
        <v>1.4</v>
      </c>
      <c r="AF169" s="7"/>
      <c r="AG169" s="30">
        <v>0</v>
      </c>
      <c r="AI169" s="32">
        <v>25.5</v>
      </c>
      <c r="AK169" s="7" t="str">
        <f t="shared" si="2"/>
        <v>Yes</v>
      </c>
    </row>
    <row r="170" spans="1:37">
      <c r="A170" s="7" t="s">
        <v>1120</v>
      </c>
      <c r="B170" s="7" t="s">
        <v>210</v>
      </c>
      <c r="C170" s="7" t="s">
        <v>70</v>
      </c>
      <c r="D170" s="302">
        <v>2113</v>
      </c>
      <c r="E170" s="297">
        <v>20113</v>
      </c>
      <c r="F170" s="7" t="s">
        <v>165</v>
      </c>
      <c r="G170" s="7" t="s">
        <v>158</v>
      </c>
      <c r="H170" s="8">
        <v>720572</v>
      </c>
      <c r="I170" s="8">
        <v>257</v>
      </c>
      <c r="J170" s="7" t="s">
        <v>7</v>
      </c>
      <c r="K170" s="7" t="s">
        <v>159</v>
      </c>
      <c r="L170" s="8">
        <v>213</v>
      </c>
      <c r="M170" s="8">
        <v>668379</v>
      </c>
      <c r="N170" s="7"/>
      <c r="O170" s="8">
        <v>202574</v>
      </c>
      <c r="P170" s="7"/>
      <c r="Q170" s="8">
        <v>34989</v>
      </c>
      <c r="R170" s="7"/>
      <c r="S170" s="8">
        <v>139651</v>
      </c>
      <c r="T170" s="7"/>
      <c r="U170" s="8">
        <v>0</v>
      </c>
      <c r="V170" s="7"/>
      <c r="W170" s="33">
        <v>1045593</v>
      </c>
      <c r="X170" s="7"/>
      <c r="Y170" s="30">
        <v>352</v>
      </c>
      <c r="Z170" s="7"/>
      <c r="AA170" s="30">
        <v>105</v>
      </c>
      <c r="AB170" s="7"/>
      <c r="AC170" s="30">
        <v>19</v>
      </c>
      <c r="AD170" s="7"/>
      <c r="AE170" s="30">
        <v>76</v>
      </c>
      <c r="AF170" s="7"/>
      <c r="AG170" s="30">
        <v>0</v>
      </c>
      <c r="AI170" s="32">
        <v>552</v>
      </c>
      <c r="AK170" s="7" t="str">
        <f t="shared" si="2"/>
        <v>No</v>
      </c>
    </row>
    <row r="171" spans="1:37">
      <c r="A171" s="7" t="s">
        <v>90</v>
      </c>
      <c r="B171" s="7" t="s">
        <v>436</v>
      </c>
      <c r="C171" s="7" t="s">
        <v>89</v>
      </c>
      <c r="D171" s="302">
        <v>20</v>
      </c>
      <c r="E171" s="297">
        <v>20</v>
      </c>
      <c r="F171" s="7" t="s">
        <v>165</v>
      </c>
      <c r="G171" s="7" t="s">
        <v>158</v>
      </c>
      <c r="H171" s="8">
        <v>198979</v>
      </c>
      <c r="I171" s="8">
        <v>257</v>
      </c>
      <c r="J171" s="7" t="s">
        <v>7</v>
      </c>
      <c r="K171" s="7" t="s">
        <v>159</v>
      </c>
      <c r="L171" s="8">
        <v>90</v>
      </c>
      <c r="M171" s="8">
        <v>152833</v>
      </c>
      <c r="N171" s="7"/>
      <c r="O171" s="8">
        <v>57225</v>
      </c>
      <c r="P171" s="7"/>
      <c r="Q171" s="8">
        <v>13929</v>
      </c>
      <c r="R171" s="7"/>
      <c r="S171" s="8">
        <v>34957</v>
      </c>
      <c r="T171" s="7"/>
      <c r="U171" s="8">
        <v>1982</v>
      </c>
      <c r="V171" s="7"/>
      <c r="W171" s="33">
        <v>260926</v>
      </c>
      <c r="X171" s="7"/>
      <c r="Y171" s="30">
        <v>85</v>
      </c>
      <c r="Z171" s="7"/>
      <c r="AA171" s="30">
        <v>32.75</v>
      </c>
      <c r="AB171" s="7"/>
      <c r="AC171" s="30">
        <v>8.18</v>
      </c>
      <c r="AD171" s="7"/>
      <c r="AE171" s="30">
        <v>20.73</v>
      </c>
      <c r="AF171" s="7"/>
      <c r="AG171" s="30">
        <v>1.0900000000000001</v>
      </c>
      <c r="AI171" s="32">
        <v>147.75</v>
      </c>
      <c r="AK171" s="7" t="str">
        <f t="shared" si="2"/>
        <v>No</v>
      </c>
    </row>
    <row r="172" spans="1:37">
      <c r="A172" s="7" t="s">
        <v>90</v>
      </c>
      <c r="B172" s="7" t="s">
        <v>436</v>
      </c>
      <c r="C172" s="7" t="s">
        <v>89</v>
      </c>
      <c r="D172" s="302">
        <v>20</v>
      </c>
      <c r="E172" s="297">
        <v>20</v>
      </c>
      <c r="F172" s="7" t="s">
        <v>165</v>
      </c>
      <c r="G172" s="7" t="s">
        <v>158</v>
      </c>
      <c r="H172" s="8">
        <v>198979</v>
      </c>
      <c r="I172" s="8">
        <v>257</v>
      </c>
      <c r="J172" s="7" t="s">
        <v>10</v>
      </c>
      <c r="K172" s="7" t="s">
        <v>159</v>
      </c>
      <c r="L172" s="8">
        <v>85</v>
      </c>
      <c r="M172" s="8">
        <v>122486</v>
      </c>
      <c r="N172" s="7"/>
      <c r="O172" s="8">
        <v>13929</v>
      </c>
      <c r="P172" s="7"/>
      <c r="Q172" s="8">
        <v>8896</v>
      </c>
      <c r="R172" s="7"/>
      <c r="S172" s="8">
        <v>22326</v>
      </c>
      <c r="T172" s="7"/>
      <c r="U172" s="8">
        <v>1266</v>
      </c>
      <c r="V172" s="7"/>
      <c r="W172" s="33">
        <v>168903</v>
      </c>
      <c r="X172" s="7"/>
      <c r="Y172" s="30">
        <v>67</v>
      </c>
      <c r="Z172" s="7"/>
      <c r="AA172" s="30">
        <v>7.97</v>
      </c>
      <c r="AB172" s="7"/>
      <c r="AC172" s="30">
        <v>5.23</v>
      </c>
      <c r="AD172" s="7"/>
      <c r="AE172" s="30">
        <v>13.24</v>
      </c>
      <c r="AF172" s="7"/>
      <c r="AG172" s="30">
        <v>0.7</v>
      </c>
      <c r="AI172" s="32">
        <v>94.14</v>
      </c>
      <c r="AK172" s="7" t="str">
        <f t="shared" si="2"/>
        <v>No</v>
      </c>
    </row>
    <row r="173" spans="1:37">
      <c r="A173" s="7" t="s">
        <v>90</v>
      </c>
      <c r="B173" s="7" t="s">
        <v>436</v>
      </c>
      <c r="C173" s="7" t="s">
        <v>89</v>
      </c>
      <c r="D173" s="302">
        <v>20</v>
      </c>
      <c r="E173" s="297">
        <v>20</v>
      </c>
      <c r="F173" s="7" t="s">
        <v>165</v>
      </c>
      <c r="G173" s="7" t="s">
        <v>158</v>
      </c>
      <c r="H173" s="8">
        <v>198979</v>
      </c>
      <c r="I173" s="8">
        <v>257</v>
      </c>
      <c r="J173" s="7" t="s">
        <v>8</v>
      </c>
      <c r="K173" s="7" t="s">
        <v>159</v>
      </c>
      <c r="L173" s="8">
        <v>78</v>
      </c>
      <c r="M173" s="8">
        <v>3352</v>
      </c>
      <c r="N173" s="7"/>
      <c r="O173" s="8">
        <v>2231</v>
      </c>
      <c r="P173" s="7"/>
      <c r="Q173" s="8">
        <v>599</v>
      </c>
      <c r="R173" s="7"/>
      <c r="S173" s="8">
        <v>1502</v>
      </c>
      <c r="T173" s="7"/>
      <c r="U173" s="8">
        <v>85</v>
      </c>
      <c r="V173" s="7"/>
      <c r="W173" s="33">
        <v>7769</v>
      </c>
      <c r="X173" s="7"/>
      <c r="Y173" s="30">
        <v>2</v>
      </c>
      <c r="Z173" s="7"/>
      <c r="AA173" s="30">
        <v>1.31</v>
      </c>
      <c r="AB173" s="7"/>
      <c r="AC173" s="30">
        <v>0.35</v>
      </c>
      <c r="AD173" s="7"/>
      <c r="AE173" s="30">
        <v>0.89</v>
      </c>
      <c r="AF173" s="7"/>
      <c r="AG173" s="30">
        <v>0.05</v>
      </c>
      <c r="AI173" s="32">
        <v>4.5999999999999996</v>
      </c>
      <c r="AK173" s="7" t="str">
        <f t="shared" si="2"/>
        <v>No</v>
      </c>
    </row>
    <row r="174" spans="1:37">
      <c r="A174" s="7" t="s">
        <v>1120</v>
      </c>
      <c r="B174" s="7" t="s">
        <v>210</v>
      </c>
      <c r="C174" s="7" t="s">
        <v>70</v>
      </c>
      <c r="D174" s="302">
        <v>2113</v>
      </c>
      <c r="E174" s="297">
        <v>20113</v>
      </c>
      <c r="F174" s="7" t="s">
        <v>165</v>
      </c>
      <c r="G174" s="7" t="s">
        <v>158</v>
      </c>
      <c r="H174" s="8">
        <v>720572</v>
      </c>
      <c r="I174" s="8">
        <v>257</v>
      </c>
      <c r="J174" s="7" t="s">
        <v>10</v>
      </c>
      <c r="K174" s="7" t="s">
        <v>159</v>
      </c>
      <c r="L174" s="8">
        <v>44</v>
      </c>
      <c r="M174" s="8">
        <v>97813</v>
      </c>
      <c r="N174" s="7"/>
      <c r="O174" s="8">
        <v>18305</v>
      </c>
      <c r="P174" s="7"/>
      <c r="Q174" s="8">
        <v>0</v>
      </c>
      <c r="R174" s="7"/>
      <c r="S174" s="8">
        <v>18038</v>
      </c>
      <c r="T174" s="7"/>
      <c r="U174" s="8">
        <v>0</v>
      </c>
      <c r="V174" s="7"/>
      <c r="W174" s="33">
        <v>134156</v>
      </c>
      <c r="X174" s="7"/>
      <c r="Y174" s="30">
        <v>49</v>
      </c>
      <c r="Z174" s="7"/>
      <c r="AA174" s="30">
        <v>8</v>
      </c>
      <c r="AB174" s="7"/>
      <c r="AC174" s="30">
        <v>0</v>
      </c>
      <c r="AD174" s="7"/>
      <c r="AE174" s="30">
        <v>9</v>
      </c>
      <c r="AF174" s="7"/>
      <c r="AG174" s="30">
        <v>0</v>
      </c>
      <c r="AI174" s="32">
        <v>66</v>
      </c>
      <c r="AK174" s="7" t="str">
        <f t="shared" si="2"/>
        <v>No</v>
      </c>
    </row>
    <row r="175" spans="1:37">
      <c r="A175" s="7" t="s">
        <v>35</v>
      </c>
      <c r="B175" s="7" t="s">
        <v>720</v>
      </c>
      <c r="C175" s="7" t="s">
        <v>32</v>
      </c>
      <c r="D175" s="302">
        <v>4152</v>
      </c>
      <c r="E175" s="297">
        <v>40152</v>
      </c>
      <c r="F175" s="7" t="s">
        <v>243</v>
      </c>
      <c r="G175" s="7" t="s">
        <v>158</v>
      </c>
      <c r="H175" s="8">
        <v>5502379</v>
      </c>
      <c r="I175" s="8">
        <v>254</v>
      </c>
      <c r="J175" s="7" t="s">
        <v>8</v>
      </c>
      <c r="K175" s="7" t="s">
        <v>159</v>
      </c>
      <c r="L175" s="8">
        <v>254</v>
      </c>
      <c r="M175" s="8">
        <v>0</v>
      </c>
      <c r="N175" s="7"/>
      <c r="O175" s="8">
        <v>0</v>
      </c>
      <c r="P175" s="7"/>
      <c r="Q175" s="8">
        <v>0</v>
      </c>
      <c r="R175" s="7"/>
      <c r="S175" s="8">
        <v>6105</v>
      </c>
      <c r="T175" s="7"/>
      <c r="U175" s="8">
        <v>0</v>
      </c>
      <c r="V175" s="7"/>
      <c r="W175" s="33">
        <v>6105</v>
      </c>
      <c r="X175" s="7"/>
      <c r="Y175" s="30">
        <v>0</v>
      </c>
      <c r="Z175" s="7"/>
      <c r="AA175" s="30">
        <v>0</v>
      </c>
      <c r="AB175" s="7"/>
      <c r="AC175" s="30">
        <v>0</v>
      </c>
      <c r="AD175" s="7"/>
      <c r="AE175" s="30">
        <v>4</v>
      </c>
      <c r="AF175" s="7"/>
      <c r="AG175" s="30">
        <v>0</v>
      </c>
      <c r="AI175" s="32">
        <v>4</v>
      </c>
      <c r="AK175" s="7" t="str">
        <f t="shared" si="2"/>
        <v>No</v>
      </c>
    </row>
    <row r="176" spans="1:37">
      <c r="A176" s="7" t="s">
        <v>461</v>
      </c>
      <c r="B176" s="7" t="s">
        <v>462</v>
      </c>
      <c r="C176" s="7" t="s">
        <v>93</v>
      </c>
      <c r="D176" s="302">
        <v>5005</v>
      </c>
      <c r="E176" s="297">
        <v>50005</v>
      </c>
      <c r="F176" s="7" t="s">
        <v>162</v>
      </c>
      <c r="G176" s="7" t="s">
        <v>158</v>
      </c>
      <c r="H176" s="8">
        <v>401661</v>
      </c>
      <c r="I176" s="8">
        <v>254</v>
      </c>
      <c r="J176" s="7" t="s">
        <v>7</v>
      </c>
      <c r="K176" s="7" t="s">
        <v>159</v>
      </c>
      <c r="L176" s="8">
        <v>182</v>
      </c>
      <c r="M176" s="8">
        <v>562523</v>
      </c>
      <c r="N176" s="7"/>
      <c r="O176" s="8">
        <v>132441</v>
      </c>
      <c r="P176" s="7"/>
      <c r="Q176" s="8">
        <v>17061</v>
      </c>
      <c r="R176" s="7"/>
      <c r="S176" s="8">
        <v>59516</v>
      </c>
      <c r="T176" s="7"/>
      <c r="U176" s="8">
        <v>0</v>
      </c>
      <c r="V176" s="7"/>
      <c r="W176" s="33">
        <v>771541</v>
      </c>
      <c r="X176" s="7"/>
      <c r="Y176" s="30">
        <v>304</v>
      </c>
      <c r="Z176" s="7"/>
      <c r="AA176" s="30">
        <v>66.7</v>
      </c>
      <c r="AB176" s="7"/>
      <c r="AC176" s="30">
        <v>10</v>
      </c>
      <c r="AD176" s="7"/>
      <c r="AE176" s="30">
        <v>33.6</v>
      </c>
      <c r="AF176" s="7"/>
      <c r="AG176" s="30">
        <v>0</v>
      </c>
      <c r="AI176" s="32">
        <v>414.3</v>
      </c>
      <c r="AK176" s="7" t="str">
        <f t="shared" si="2"/>
        <v>No</v>
      </c>
    </row>
    <row r="177" spans="1:37">
      <c r="A177" s="7" t="s">
        <v>461</v>
      </c>
      <c r="B177" s="7" t="s">
        <v>462</v>
      </c>
      <c r="C177" s="7" t="s">
        <v>93</v>
      </c>
      <c r="D177" s="302">
        <v>5005</v>
      </c>
      <c r="E177" s="297">
        <v>50005</v>
      </c>
      <c r="F177" s="7" t="s">
        <v>162</v>
      </c>
      <c r="G177" s="7" t="s">
        <v>158</v>
      </c>
      <c r="H177" s="8">
        <v>401661</v>
      </c>
      <c r="I177" s="8">
        <v>254</v>
      </c>
      <c r="J177" s="7" t="s">
        <v>10</v>
      </c>
      <c r="K177" s="7" t="s">
        <v>159</v>
      </c>
      <c r="L177" s="8">
        <v>12</v>
      </c>
      <c r="M177" s="8">
        <v>37089</v>
      </c>
      <c r="N177" s="7"/>
      <c r="O177" s="8">
        <v>2703</v>
      </c>
      <c r="P177" s="7"/>
      <c r="Q177" s="8">
        <v>86</v>
      </c>
      <c r="R177" s="7"/>
      <c r="S177" s="8">
        <v>2395</v>
      </c>
      <c r="T177" s="7"/>
      <c r="U177" s="8">
        <v>0</v>
      </c>
      <c r="V177" s="7"/>
      <c r="W177" s="33">
        <v>42273</v>
      </c>
      <c r="X177" s="7"/>
      <c r="Y177" s="30">
        <v>20</v>
      </c>
      <c r="Z177" s="7"/>
      <c r="AA177" s="30">
        <v>1.3</v>
      </c>
      <c r="AB177" s="7"/>
      <c r="AC177" s="30">
        <v>0.05</v>
      </c>
      <c r="AD177" s="7"/>
      <c r="AE177" s="30">
        <v>1.4</v>
      </c>
      <c r="AF177" s="7"/>
      <c r="AG177" s="30">
        <v>0</v>
      </c>
      <c r="AI177" s="32">
        <v>22.75</v>
      </c>
      <c r="AK177" s="7" t="str">
        <f t="shared" si="2"/>
        <v>No</v>
      </c>
    </row>
    <row r="178" spans="1:37">
      <c r="A178" s="7" t="s">
        <v>424</v>
      </c>
      <c r="B178" s="7" t="s">
        <v>425</v>
      </c>
      <c r="C178" s="7" t="s">
        <v>32</v>
      </c>
      <c r="D178" s="302">
        <v>4040</v>
      </c>
      <c r="E178" s="297">
        <v>40040</v>
      </c>
      <c r="F178" s="7" t="s">
        <v>165</v>
      </c>
      <c r="G178" s="7" t="s">
        <v>158</v>
      </c>
      <c r="H178" s="8">
        <v>1065219</v>
      </c>
      <c r="I178" s="8">
        <v>244</v>
      </c>
      <c r="J178" s="7" t="s">
        <v>7</v>
      </c>
      <c r="K178" s="7" t="s">
        <v>159</v>
      </c>
      <c r="L178" s="8">
        <v>150</v>
      </c>
      <c r="M178" s="8">
        <v>798339</v>
      </c>
      <c r="N178" s="7"/>
      <c r="O178" s="8">
        <v>196284</v>
      </c>
      <c r="P178" s="7"/>
      <c r="Q178" s="8">
        <v>35914</v>
      </c>
      <c r="R178" s="7"/>
      <c r="S178" s="8">
        <v>225918</v>
      </c>
      <c r="T178" s="7"/>
      <c r="U178" s="8">
        <v>0</v>
      </c>
      <c r="V178" s="7"/>
      <c r="W178" s="33">
        <v>1256455</v>
      </c>
      <c r="X178" s="7"/>
      <c r="Y178" s="30">
        <v>408</v>
      </c>
      <c r="Z178" s="7"/>
      <c r="AA178" s="30">
        <v>99</v>
      </c>
      <c r="AB178" s="7"/>
      <c r="AC178" s="30">
        <v>18</v>
      </c>
      <c r="AD178" s="7"/>
      <c r="AE178" s="30">
        <v>119</v>
      </c>
      <c r="AF178" s="7"/>
      <c r="AG178" s="30">
        <v>0</v>
      </c>
      <c r="AI178" s="32">
        <v>644</v>
      </c>
      <c r="AK178" s="7" t="str">
        <f t="shared" si="2"/>
        <v>No</v>
      </c>
    </row>
    <row r="179" spans="1:37">
      <c r="A179" s="7" t="s">
        <v>424</v>
      </c>
      <c r="B179" s="7" t="s">
        <v>425</v>
      </c>
      <c r="C179" s="7" t="s">
        <v>32</v>
      </c>
      <c r="D179" s="302">
        <v>4040</v>
      </c>
      <c r="E179" s="297">
        <v>40040</v>
      </c>
      <c r="F179" s="7" t="s">
        <v>165</v>
      </c>
      <c r="G179" s="7" t="s">
        <v>158</v>
      </c>
      <c r="H179" s="8">
        <v>1065219</v>
      </c>
      <c r="I179" s="8">
        <v>244</v>
      </c>
      <c r="J179" s="7" t="s">
        <v>34</v>
      </c>
      <c r="K179" s="7" t="s">
        <v>159</v>
      </c>
      <c r="L179" s="8">
        <v>5</v>
      </c>
      <c r="M179" s="8">
        <v>23740</v>
      </c>
      <c r="N179" s="7"/>
      <c r="O179" s="8">
        <v>26568</v>
      </c>
      <c r="P179" s="7"/>
      <c r="Q179" s="8">
        <v>14902</v>
      </c>
      <c r="R179" s="7"/>
      <c r="S179" s="8">
        <v>3217</v>
      </c>
      <c r="T179" s="7"/>
      <c r="U179" s="8">
        <v>0</v>
      </c>
      <c r="V179" s="7"/>
      <c r="W179" s="33">
        <v>68427</v>
      </c>
      <c r="X179" s="7"/>
      <c r="Y179" s="30">
        <v>13</v>
      </c>
      <c r="Z179" s="7"/>
      <c r="AA179" s="30">
        <v>15</v>
      </c>
      <c r="AB179" s="7"/>
      <c r="AC179" s="30">
        <v>7</v>
      </c>
      <c r="AD179" s="7"/>
      <c r="AE179" s="30">
        <v>2</v>
      </c>
      <c r="AF179" s="7"/>
      <c r="AG179" s="30">
        <v>0</v>
      </c>
      <c r="AI179" s="32">
        <v>37</v>
      </c>
      <c r="AK179" s="7" t="str">
        <f t="shared" si="2"/>
        <v>No</v>
      </c>
    </row>
    <row r="180" spans="1:37">
      <c r="A180" s="7" t="s">
        <v>389</v>
      </c>
      <c r="B180" s="7" t="s">
        <v>390</v>
      </c>
      <c r="C180" s="7" t="s">
        <v>52</v>
      </c>
      <c r="D180" s="302">
        <v>5033</v>
      </c>
      <c r="E180" s="297">
        <v>50033</v>
      </c>
      <c r="F180" s="7" t="s">
        <v>165</v>
      </c>
      <c r="G180" s="7" t="s">
        <v>158</v>
      </c>
      <c r="H180" s="8">
        <v>569935</v>
      </c>
      <c r="I180" s="8">
        <v>241</v>
      </c>
      <c r="J180" s="7" t="s">
        <v>7</v>
      </c>
      <c r="K180" s="7" t="s">
        <v>159</v>
      </c>
      <c r="L180" s="8">
        <v>125</v>
      </c>
      <c r="M180" s="8">
        <v>488611</v>
      </c>
      <c r="N180" s="7"/>
      <c r="O180" s="8">
        <v>55624</v>
      </c>
      <c r="P180" s="7"/>
      <c r="Q180" s="8">
        <v>16175</v>
      </c>
      <c r="R180" s="7"/>
      <c r="S180" s="8">
        <v>62573</v>
      </c>
      <c r="T180" s="7"/>
      <c r="U180" s="8">
        <v>0</v>
      </c>
      <c r="V180" s="7"/>
      <c r="W180" s="33">
        <v>622983</v>
      </c>
      <c r="X180" s="7"/>
      <c r="Y180" s="30">
        <v>252.6</v>
      </c>
      <c r="Z180" s="7"/>
      <c r="AA180" s="30">
        <v>29.9</v>
      </c>
      <c r="AB180" s="7"/>
      <c r="AC180" s="30">
        <v>8.1999999999999993</v>
      </c>
      <c r="AD180" s="7"/>
      <c r="AE180" s="30">
        <v>32.1</v>
      </c>
      <c r="AF180" s="7"/>
      <c r="AG180" s="30">
        <v>0</v>
      </c>
      <c r="AI180" s="32">
        <v>322.8</v>
      </c>
      <c r="AK180" s="7" t="str">
        <f t="shared" si="2"/>
        <v>No</v>
      </c>
    </row>
    <row r="181" spans="1:37">
      <c r="A181" s="7" t="s">
        <v>389</v>
      </c>
      <c r="B181" s="7" t="s">
        <v>390</v>
      </c>
      <c r="C181" s="7" t="s">
        <v>52</v>
      </c>
      <c r="D181" s="302">
        <v>5033</v>
      </c>
      <c r="E181" s="297">
        <v>50033</v>
      </c>
      <c r="F181" s="7" t="s">
        <v>165</v>
      </c>
      <c r="G181" s="7" t="s">
        <v>158</v>
      </c>
      <c r="H181" s="8">
        <v>569935</v>
      </c>
      <c r="I181" s="8">
        <v>241</v>
      </c>
      <c r="J181" s="7" t="s">
        <v>8</v>
      </c>
      <c r="K181" s="7" t="s">
        <v>159</v>
      </c>
      <c r="L181" s="8">
        <v>27</v>
      </c>
      <c r="M181" s="8">
        <v>0</v>
      </c>
      <c r="N181" s="7"/>
      <c r="O181" s="8">
        <v>0</v>
      </c>
      <c r="P181" s="7"/>
      <c r="Q181" s="8">
        <v>909</v>
      </c>
      <c r="R181" s="7"/>
      <c r="S181" s="8">
        <v>3515</v>
      </c>
      <c r="T181" s="7"/>
      <c r="U181" s="8">
        <v>0</v>
      </c>
      <c r="V181" s="7"/>
      <c r="W181" s="33">
        <v>4424</v>
      </c>
      <c r="X181" s="7"/>
      <c r="Y181" s="30">
        <v>0</v>
      </c>
      <c r="Z181" s="7"/>
      <c r="AA181" s="30">
        <v>0</v>
      </c>
      <c r="AB181" s="7"/>
      <c r="AC181" s="30">
        <v>0.5</v>
      </c>
      <c r="AD181" s="7"/>
      <c r="AE181" s="30">
        <v>1.6</v>
      </c>
      <c r="AF181" s="7"/>
      <c r="AG181" s="30">
        <v>0</v>
      </c>
      <c r="AI181" s="32">
        <v>2.1</v>
      </c>
      <c r="AK181" s="7" t="str">
        <f t="shared" si="2"/>
        <v>No</v>
      </c>
    </row>
    <row r="182" spans="1:37">
      <c r="A182" s="7" t="s">
        <v>389</v>
      </c>
      <c r="B182" s="7" t="s">
        <v>390</v>
      </c>
      <c r="C182" s="7" t="s">
        <v>52</v>
      </c>
      <c r="D182" s="302">
        <v>5033</v>
      </c>
      <c r="E182" s="297">
        <v>50033</v>
      </c>
      <c r="F182" s="7" t="s">
        <v>165</v>
      </c>
      <c r="G182" s="7" t="s">
        <v>158</v>
      </c>
      <c r="H182" s="8">
        <v>569935</v>
      </c>
      <c r="I182" s="8">
        <v>241</v>
      </c>
      <c r="J182" s="7" t="s">
        <v>22</v>
      </c>
      <c r="K182" s="7" t="s">
        <v>159</v>
      </c>
      <c r="L182" s="8">
        <v>8</v>
      </c>
      <c r="M182" s="8">
        <v>31188</v>
      </c>
      <c r="N182" s="7"/>
      <c r="O182" s="8">
        <v>3530</v>
      </c>
      <c r="P182" s="7"/>
      <c r="Q182" s="8">
        <v>1090</v>
      </c>
      <c r="R182" s="7"/>
      <c r="S182" s="8">
        <v>4218</v>
      </c>
      <c r="T182" s="7"/>
      <c r="U182" s="8">
        <v>0</v>
      </c>
      <c r="V182" s="7"/>
      <c r="W182" s="33">
        <v>40026</v>
      </c>
      <c r="X182" s="7"/>
      <c r="Y182" s="30">
        <v>16.399999999999999</v>
      </c>
      <c r="Z182" s="7"/>
      <c r="AA182" s="30">
        <v>1.9</v>
      </c>
      <c r="AB182" s="7"/>
      <c r="AC182" s="30">
        <v>0.6</v>
      </c>
      <c r="AD182" s="7"/>
      <c r="AE182" s="30">
        <v>2.2000000000000002</v>
      </c>
      <c r="AF182" s="7"/>
      <c r="AG182" s="30">
        <v>0</v>
      </c>
      <c r="AI182" s="32">
        <v>21.1</v>
      </c>
      <c r="AK182" s="7" t="str">
        <f t="shared" si="2"/>
        <v>No</v>
      </c>
    </row>
    <row r="183" spans="1:37">
      <c r="A183" s="7" t="s">
        <v>328</v>
      </c>
      <c r="B183" s="7" t="s">
        <v>329</v>
      </c>
      <c r="C183" s="7" t="s">
        <v>28</v>
      </c>
      <c r="D183" s="302">
        <v>1048</v>
      </c>
      <c r="E183" s="297">
        <v>10048</v>
      </c>
      <c r="F183" s="7" t="s">
        <v>157</v>
      </c>
      <c r="G183" s="7" t="s">
        <v>158</v>
      </c>
      <c r="H183" s="8">
        <v>924859</v>
      </c>
      <c r="I183" s="8">
        <v>232</v>
      </c>
      <c r="J183" s="7" t="s">
        <v>7</v>
      </c>
      <c r="K183" s="7" t="s">
        <v>159</v>
      </c>
      <c r="L183" s="8">
        <v>223</v>
      </c>
      <c r="M183" s="8">
        <v>941790</v>
      </c>
      <c r="N183" s="7"/>
      <c r="O183" s="8">
        <v>256922</v>
      </c>
      <c r="P183" s="7"/>
      <c r="Q183" s="8">
        <v>30378</v>
      </c>
      <c r="R183" s="7"/>
      <c r="S183" s="8">
        <v>76241</v>
      </c>
      <c r="T183" s="7"/>
      <c r="U183" s="8">
        <v>0</v>
      </c>
      <c r="V183" s="7"/>
      <c r="W183" s="33">
        <v>1305331</v>
      </c>
      <c r="X183" s="7"/>
      <c r="Y183" s="30">
        <v>449</v>
      </c>
      <c r="Z183" s="7"/>
      <c r="AA183" s="30">
        <v>121</v>
      </c>
      <c r="AB183" s="7"/>
      <c r="AC183" s="30">
        <v>17</v>
      </c>
      <c r="AD183" s="7"/>
      <c r="AE183" s="30">
        <v>43</v>
      </c>
      <c r="AF183" s="7"/>
      <c r="AG183" s="30">
        <v>0</v>
      </c>
      <c r="AI183" s="32">
        <v>630</v>
      </c>
      <c r="AK183" s="7" t="str">
        <f t="shared" si="2"/>
        <v>No</v>
      </c>
    </row>
    <row r="184" spans="1:37">
      <c r="A184" s="7" t="s">
        <v>577</v>
      </c>
      <c r="B184" s="7" t="s">
        <v>578</v>
      </c>
      <c r="C184" s="7" t="s">
        <v>17</v>
      </c>
      <c r="D184" s="302">
        <v>9019</v>
      </c>
      <c r="E184" s="297">
        <v>90019</v>
      </c>
      <c r="F184" s="7" t="s">
        <v>165</v>
      </c>
      <c r="G184" s="7" t="s">
        <v>158</v>
      </c>
      <c r="H184" s="8">
        <v>1723634</v>
      </c>
      <c r="I184" s="8">
        <v>232</v>
      </c>
      <c r="J184" s="7" t="s">
        <v>7</v>
      </c>
      <c r="K184" s="7" t="s">
        <v>159</v>
      </c>
      <c r="L184" s="8">
        <v>162</v>
      </c>
      <c r="M184" s="8">
        <v>795266</v>
      </c>
      <c r="N184" s="7"/>
      <c r="O184" s="8">
        <v>146678</v>
      </c>
      <c r="P184" s="7"/>
      <c r="Q184" s="8">
        <v>26234</v>
      </c>
      <c r="R184" s="7"/>
      <c r="S184" s="8">
        <v>158957</v>
      </c>
      <c r="T184" s="7"/>
      <c r="U184" s="8">
        <v>21151</v>
      </c>
      <c r="V184" s="7"/>
      <c r="W184" s="33">
        <v>1148286</v>
      </c>
      <c r="X184" s="7"/>
      <c r="Y184" s="30">
        <v>437.2</v>
      </c>
      <c r="Z184" s="7"/>
      <c r="AA184" s="30">
        <v>85.4</v>
      </c>
      <c r="AB184" s="7"/>
      <c r="AC184" s="30">
        <v>14.9</v>
      </c>
      <c r="AD184" s="7"/>
      <c r="AE184" s="30">
        <v>89</v>
      </c>
      <c r="AF184" s="7"/>
      <c r="AG184" s="30">
        <v>11</v>
      </c>
      <c r="AI184" s="32">
        <v>637.5</v>
      </c>
      <c r="AK184" s="7" t="str">
        <f t="shared" si="2"/>
        <v>No</v>
      </c>
    </row>
    <row r="185" spans="1:37">
      <c r="A185" s="7" t="s">
        <v>577</v>
      </c>
      <c r="B185" s="7" t="s">
        <v>578</v>
      </c>
      <c r="C185" s="7" t="s">
        <v>17</v>
      </c>
      <c r="D185" s="302">
        <v>9019</v>
      </c>
      <c r="E185" s="297">
        <v>90019</v>
      </c>
      <c r="F185" s="7" t="s">
        <v>165</v>
      </c>
      <c r="G185" s="7" t="s">
        <v>158</v>
      </c>
      <c r="H185" s="8">
        <v>1723634</v>
      </c>
      <c r="I185" s="8">
        <v>232</v>
      </c>
      <c r="J185" s="7" t="s">
        <v>21</v>
      </c>
      <c r="K185" s="7" t="s">
        <v>159</v>
      </c>
      <c r="L185" s="8">
        <v>68</v>
      </c>
      <c r="M185" s="8">
        <v>224937</v>
      </c>
      <c r="N185" s="7"/>
      <c r="O185" s="8">
        <v>135542</v>
      </c>
      <c r="P185" s="7"/>
      <c r="Q185" s="8">
        <v>91398</v>
      </c>
      <c r="R185" s="7"/>
      <c r="S185" s="8">
        <v>102889</v>
      </c>
      <c r="T185" s="7"/>
      <c r="U185" s="8">
        <v>31727</v>
      </c>
      <c r="V185" s="7"/>
      <c r="W185" s="33">
        <v>586493</v>
      </c>
      <c r="X185" s="7"/>
      <c r="Y185" s="30">
        <v>119</v>
      </c>
      <c r="Z185" s="7"/>
      <c r="AA185" s="30">
        <v>73</v>
      </c>
      <c r="AB185" s="7"/>
      <c r="AC185" s="30">
        <v>47</v>
      </c>
      <c r="AD185" s="7"/>
      <c r="AE185" s="30">
        <v>62</v>
      </c>
      <c r="AF185" s="7"/>
      <c r="AG185" s="30">
        <v>17</v>
      </c>
      <c r="AI185" s="32">
        <v>318</v>
      </c>
      <c r="AK185" s="7" t="str">
        <f t="shared" si="2"/>
        <v>No</v>
      </c>
    </row>
    <row r="186" spans="1:37">
      <c r="A186" s="7" t="s">
        <v>328</v>
      </c>
      <c r="B186" s="7" t="s">
        <v>329</v>
      </c>
      <c r="C186" s="7" t="s">
        <v>28</v>
      </c>
      <c r="D186" s="302">
        <v>1048</v>
      </c>
      <c r="E186" s="297">
        <v>10048</v>
      </c>
      <c r="F186" s="7" t="s">
        <v>157</v>
      </c>
      <c r="G186" s="7" t="s">
        <v>158</v>
      </c>
      <c r="H186" s="8">
        <v>924859</v>
      </c>
      <c r="I186" s="8">
        <v>232</v>
      </c>
      <c r="J186" s="7" t="s">
        <v>22</v>
      </c>
      <c r="K186" s="7" t="s">
        <v>159</v>
      </c>
      <c r="L186" s="8">
        <v>9</v>
      </c>
      <c r="M186" s="8">
        <v>77905</v>
      </c>
      <c r="N186" s="7"/>
      <c r="O186" s="8">
        <v>21253</v>
      </c>
      <c r="P186" s="7"/>
      <c r="Q186" s="8">
        <v>2513</v>
      </c>
      <c r="R186" s="7"/>
      <c r="S186" s="8">
        <v>6307</v>
      </c>
      <c r="T186" s="7"/>
      <c r="U186" s="8">
        <v>0</v>
      </c>
      <c r="V186" s="7"/>
      <c r="W186" s="33">
        <v>107978</v>
      </c>
      <c r="X186" s="7"/>
      <c r="Y186" s="30">
        <v>37</v>
      </c>
      <c r="Z186" s="7"/>
      <c r="AA186" s="30">
        <v>10</v>
      </c>
      <c r="AB186" s="7"/>
      <c r="AC186" s="30">
        <v>1.5</v>
      </c>
      <c r="AD186" s="7"/>
      <c r="AE186" s="30">
        <v>4</v>
      </c>
      <c r="AF186" s="7"/>
      <c r="AG186" s="30">
        <v>0</v>
      </c>
      <c r="AI186" s="32">
        <v>52.5</v>
      </c>
      <c r="AK186" s="7" t="str">
        <f t="shared" si="2"/>
        <v>No</v>
      </c>
    </row>
    <row r="187" spans="1:37">
      <c r="A187" s="7" t="s">
        <v>577</v>
      </c>
      <c r="B187" s="7" t="s">
        <v>578</v>
      </c>
      <c r="C187" s="7" t="s">
        <v>17</v>
      </c>
      <c r="D187" s="302">
        <v>9019</v>
      </c>
      <c r="E187" s="297">
        <v>90019</v>
      </c>
      <c r="F187" s="7" t="s">
        <v>165</v>
      </c>
      <c r="G187" s="7" t="s">
        <v>158</v>
      </c>
      <c r="H187" s="8">
        <v>1723634</v>
      </c>
      <c r="I187" s="8">
        <v>232</v>
      </c>
      <c r="J187" s="7" t="s">
        <v>10</v>
      </c>
      <c r="K187" s="7" t="s">
        <v>159</v>
      </c>
      <c r="L187" s="8">
        <v>2</v>
      </c>
      <c r="M187" s="8">
        <v>5158</v>
      </c>
      <c r="N187" s="7"/>
      <c r="O187" s="8">
        <v>999</v>
      </c>
      <c r="P187" s="7"/>
      <c r="Q187" s="8">
        <v>179</v>
      </c>
      <c r="R187" s="7"/>
      <c r="S187" s="8">
        <v>1129</v>
      </c>
      <c r="T187" s="7"/>
      <c r="U187" s="8">
        <v>0</v>
      </c>
      <c r="V187" s="7"/>
      <c r="W187" s="33">
        <v>7465</v>
      </c>
      <c r="X187" s="7"/>
      <c r="Y187" s="30">
        <v>2.9</v>
      </c>
      <c r="Z187" s="7"/>
      <c r="AA187" s="30">
        <v>0.6</v>
      </c>
      <c r="AB187" s="7"/>
      <c r="AC187" s="30">
        <v>0.1</v>
      </c>
      <c r="AD187" s="7"/>
      <c r="AE187" s="30">
        <v>0.6</v>
      </c>
      <c r="AF187" s="7"/>
      <c r="AG187" s="30">
        <v>0</v>
      </c>
      <c r="AI187" s="32">
        <v>4.2</v>
      </c>
      <c r="AK187" s="7" t="str">
        <f t="shared" si="2"/>
        <v>No</v>
      </c>
    </row>
    <row r="188" spans="1:37">
      <c r="A188" s="7" t="s">
        <v>351</v>
      </c>
      <c r="B188" s="7" t="s">
        <v>352</v>
      </c>
      <c r="C188" s="7" t="s">
        <v>38</v>
      </c>
      <c r="D188" s="302">
        <v>7010</v>
      </c>
      <c r="E188" s="297">
        <v>70010</v>
      </c>
      <c r="F188" s="7" t="s">
        <v>165</v>
      </c>
      <c r="G188" s="7" t="s">
        <v>158</v>
      </c>
      <c r="H188" s="8">
        <v>450070</v>
      </c>
      <c r="I188" s="8">
        <v>226</v>
      </c>
      <c r="J188" s="7" t="s">
        <v>7</v>
      </c>
      <c r="K188" s="7" t="s">
        <v>159</v>
      </c>
      <c r="L188" s="8">
        <v>113</v>
      </c>
      <c r="M188" s="8">
        <v>236022</v>
      </c>
      <c r="N188" s="7"/>
      <c r="O188" s="8">
        <v>68964</v>
      </c>
      <c r="P188" s="7"/>
      <c r="Q188" s="8">
        <v>9516</v>
      </c>
      <c r="R188" s="7"/>
      <c r="S188" s="8">
        <v>47808</v>
      </c>
      <c r="T188" s="7"/>
      <c r="U188" s="8">
        <v>0</v>
      </c>
      <c r="V188" s="7"/>
      <c r="W188" s="33">
        <v>362310</v>
      </c>
      <c r="X188" s="7"/>
      <c r="Y188" s="30">
        <v>108.6</v>
      </c>
      <c r="Z188" s="7"/>
      <c r="AA188" s="30">
        <v>33.869999999999997</v>
      </c>
      <c r="AB188" s="7"/>
      <c r="AC188" s="30">
        <v>4.8600000000000003</v>
      </c>
      <c r="AD188" s="7"/>
      <c r="AE188" s="30">
        <v>26.57</v>
      </c>
      <c r="AF188" s="7"/>
      <c r="AG188" s="30">
        <v>0</v>
      </c>
      <c r="AI188" s="32">
        <v>173.9</v>
      </c>
      <c r="AK188" s="7" t="str">
        <f t="shared" si="2"/>
        <v>No</v>
      </c>
    </row>
    <row r="189" spans="1:37">
      <c r="A189" s="7" t="s">
        <v>351</v>
      </c>
      <c r="B189" s="7" t="s">
        <v>352</v>
      </c>
      <c r="C189" s="7" t="s">
        <v>38</v>
      </c>
      <c r="D189" s="302">
        <v>7010</v>
      </c>
      <c r="E189" s="297">
        <v>70010</v>
      </c>
      <c r="F189" s="7" t="s">
        <v>165</v>
      </c>
      <c r="G189" s="7" t="s">
        <v>158</v>
      </c>
      <c r="H189" s="8">
        <v>450070</v>
      </c>
      <c r="I189" s="8">
        <v>226</v>
      </c>
      <c r="J189" s="7" t="s">
        <v>8</v>
      </c>
      <c r="K189" s="7" t="s">
        <v>159</v>
      </c>
      <c r="L189" s="8">
        <v>90</v>
      </c>
      <c r="M189" s="8">
        <v>2723</v>
      </c>
      <c r="N189" s="7"/>
      <c r="O189" s="8">
        <v>0</v>
      </c>
      <c r="P189" s="7"/>
      <c r="Q189" s="8">
        <v>233</v>
      </c>
      <c r="R189" s="7"/>
      <c r="S189" s="8">
        <v>4173</v>
      </c>
      <c r="T189" s="7"/>
      <c r="U189" s="8">
        <v>0</v>
      </c>
      <c r="V189" s="7"/>
      <c r="W189" s="33">
        <v>7129</v>
      </c>
      <c r="X189" s="7"/>
      <c r="Y189" s="30">
        <v>1</v>
      </c>
      <c r="Z189" s="7"/>
      <c r="AA189" s="30">
        <v>0</v>
      </c>
      <c r="AB189" s="7"/>
      <c r="AC189" s="30">
        <v>0.13</v>
      </c>
      <c r="AD189" s="7"/>
      <c r="AE189" s="30">
        <v>2.0299999999999998</v>
      </c>
      <c r="AF189" s="7"/>
      <c r="AG189" s="30">
        <v>0</v>
      </c>
      <c r="AI189" s="32">
        <v>3.16</v>
      </c>
      <c r="AK189" s="7" t="str">
        <f t="shared" si="2"/>
        <v>No</v>
      </c>
    </row>
    <row r="190" spans="1:37">
      <c r="A190" s="7" t="s">
        <v>351</v>
      </c>
      <c r="B190" s="7" t="s">
        <v>352</v>
      </c>
      <c r="C190" s="7" t="s">
        <v>38</v>
      </c>
      <c r="D190" s="302">
        <v>7010</v>
      </c>
      <c r="E190" s="297">
        <v>70010</v>
      </c>
      <c r="F190" s="7" t="s">
        <v>165</v>
      </c>
      <c r="G190" s="7" t="s">
        <v>158</v>
      </c>
      <c r="H190" s="8">
        <v>450070</v>
      </c>
      <c r="I190" s="8">
        <v>226</v>
      </c>
      <c r="J190" s="7" t="s">
        <v>10</v>
      </c>
      <c r="K190" s="7" t="s">
        <v>159</v>
      </c>
      <c r="L190" s="8">
        <v>21</v>
      </c>
      <c r="M190" s="8">
        <v>58402</v>
      </c>
      <c r="N190" s="7"/>
      <c r="O190" s="8">
        <v>10445</v>
      </c>
      <c r="P190" s="7"/>
      <c r="Q190" s="8">
        <v>1973</v>
      </c>
      <c r="R190" s="7"/>
      <c r="S190" s="8">
        <v>4923</v>
      </c>
      <c r="T190" s="7"/>
      <c r="U190" s="8">
        <v>0</v>
      </c>
      <c r="V190" s="7"/>
      <c r="W190" s="33">
        <v>75743</v>
      </c>
      <c r="X190" s="7"/>
      <c r="Y190" s="30">
        <v>29.4</v>
      </c>
      <c r="Z190" s="7"/>
      <c r="AA190" s="30">
        <v>5.13</v>
      </c>
      <c r="AB190" s="7"/>
      <c r="AC190" s="30">
        <v>1.01</v>
      </c>
      <c r="AD190" s="7"/>
      <c r="AE190" s="30">
        <v>2.4</v>
      </c>
      <c r="AF190" s="7"/>
      <c r="AG190" s="30">
        <v>0</v>
      </c>
      <c r="AI190" s="32">
        <v>37.94</v>
      </c>
      <c r="AK190" s="7" t="str">
        <f t="shared" si="2"/>
        <v>No</v>
      </c>
    </row>
    <row r="191" spans="1:37">
      <c r="A191" s="7" t="s">
        <v>64</v>
      </c>
      <c r="B191" s="7" t="s">
        <v>196</v>
      </c>
      <c r="C191" s="7" t="s">
        <v>63</v>
      </c>
      <c r="D191" s="302">
        <v>2122</v>
      </c>
      <c r="E191" s="297">
        <v>20122</v>
      </c>
      <c r="F191" s="7" t="s">
        <v>173</v>
      </c>
      <c r="G191" s="7" t="s">
        <v>158</v>
      </c>
      <c r="H191" s="8">
        <v>18351295</v>
      </c>
      <c r="I191" s="8">
        <v>225</v>
      </c>
      <c r="J191" s="7" t="s">
        <v>18</v>
      </c>
      <c r="K191" s="7" t="s">
        <v>159</v>
      </c>
      <c r="L191" s="8">
        <v>225</v>
      </c>
      <c r="M191" s="8">
        <v>268000</v>
      </c>
      <c r="N191" s="7"/>
      <c r="O191" s="8">
        <v>108233</v>
      </c>
      <c r="P191" s="7"/>
      <c r="Q191" s="8">
        <v>0</v>
      </c>
      <c r="R191" s="7"/>
      <c r="S191" s="8">
        <v>50601</v>
      </c>
      <c r="T191" s="7"/>
      <c r="U191" s="8">
        <v>0</v>
      </c>
      <c r="V191" s="7"/>
      <c r="W191" s="33">
        <v>426834</v>
      </c>
      <c r="X191" s="7"/>
      <c r="Y191" s="30">
        <v>172</v>
      </c>
      <c r="Z191" s="7"/>
      <c r="AA191" s="30">
        <v>52</v>
      </c>
      <c r="AB191" s="7"/>
      <c r="AC191" s="30">
        <v>0</v>
      </c>
      <c r="AD191" s="7"/>
      <c r="AE191" s="30">
        <v>25</v>
      </c>
      <c r="AF191" s="7"/>
      <c r="AG191" s="30">
        <v>0</v>
      </c>
      <c r="AI191" s="32">
        <v>249</v>
      </c>
      <c r="AK191" s="7" t="str">
        <f t="shared" si="2"/>
        <v>No</v>
      </c>
    </row>
    <row r="192" spans="1:37">
      <c r="A192" s="7" t="s">
        <v>1121</v>
      </c>
      <c r="B192" s="7" t="s">
        <v>239</v>
      </c>
      <c r="C192" s="7" t="s">
        <v>70</v>
      </c>
      <c r="D192" s="302">
        <v>2018</v>
      </c>
      <c r="E192" s="297">
        <v>20018</v>
      </c>
      <c r="F192" s="7" t="s">
        <v>165</v>
      </c>
      <c r="G192" s="7" t="s">
        <v>158</v>
      </c>
      <c r="H192" s="8">
        <v>412317</v>
      </c>
      <c r="I192" s="8">
        <v>208</v>
      </c>
      <c r="J192" s="7" t="s">
        <v>7</v>
      </c>
      <c r="K192" s="7" t="s">
        <v>159</v>
      </c>
      <c r="L192" s="8">
        <v>162</v>
      </c>
      <c r="M192" s="8">
        <v>571936</v>
      </c>
      <c r="N192" s="7"/>
      <c r="O192" s="8">
        <v>185516</v>
      </c>
      <c r="P192" s="7"/>
      <c r="Q192" s="8">
        <v>37621</v>
      </c>
      <c r="R192" s="7"/>
      <c r="S192" s="8">
        <v>28800</v>
      </c>
      <c r="T192" s="7"/>
      <c r="U192" s="8">
        <v>0</v>
      </c>
      <c r="V192" s="7"/>
      <c r="W192" s="33">
        <v>823873</v>
      </c>
      <c r="X192" s="7"/>
      <c r="Y192" s="30">
        <v>329</v>
      </c>
      <c r="Z192" s="7"/>
      <c r="AA192" s="30">
        <v>95</v>
      </c>
      <c r="AB192" s="7"/>
      <c r="AC192" s="30">
        <v>18</v>
      </c>
      <c r="AD192" s="7"/>
      <c r="AE192" s="30">
        <v>16</v>
      </c>
      <c r="AF192" s="7"/>
      <c r="AG192" s="30">
        <v>0</v>
      </c>
      <c r="AI192" s="32">
        <v>458</v>
      </c>
      <c r="AK192" s="7" t="str">
        <f t="shared" si="2"/>
        <v>No</v>
      </c>
    </row>
    <row r="193" spans="1:37">
      <c r="A193" s="7" t="s">
        <v>1122</v>
      </c>
      <c r="B193" s="7" t="s">
        <v>474</v>
      </c>
      <c r="C193" s="7" t="s">
        <v>73</v>
      </c>
      <c r="D193" s="302">
        <v>5010</v>
      </c>
      <c r="E193" s="297">
        <v>50010</v>
      </c>
      <c r="F193" s="7" t="s">
        <v>165</v>
      </c>
      <c r="G193" s="7" t="s">
        <v>158</v>
      </c>
      <c r="H193" s="8">
        <v>569499</v>
      </c>
      <c r="I193" s="8">
        <v>208</v>
      </c>
      <c r="J193" s="7" t="s">
        <v>7</v>
      </c>
      <c r="K193" s="7" t="s">
        <v>159</v>
      </c>
      <c r="L193" s="8">
        <v>110</v>
      </c>
      <c r="M193" s="8">
        <v>403274</v>
      </c>
      <c r="N193" s="7"/>
      <c r="O193" s="8">
        <v>99096</v>
      </c>
      <c r="P193" s="7"/>
      <c r="Q193" s="8">
        <v>3087</v>
      </c>
      <c r="R193" s="7"/>
      <c r="S193" s="8">
        <v>87755</v>
      </c>
      <c r="T193" s="7"/>
      <c r="U193" s="8">
        <v>0</v>
      </c>
      <c r="V193" s="7"/>
      <c r="W193" s="33">
        <v>593212</v>
      </c>
      <c r="X193" s="7"/>
      <c r="Y193" s="30">
        <v>197.26</v>
      </c>
      <c r="Z193" s="7"/>
      <c r="AA193" s="30">
        <v>44.96</v>
      </c>
      <c r="AB193" s="7"/>
      <c r="AC193" s="30">
        <v>1.97</v>
      </c>
      <c r="AD193" s="7"/>
      <c r="AE193" s="30">
        <v>42.48</v>
      </c>
      <c r="AF193" s="7"/>
      <c r="AG193" s="30">
        <v>0</v>
      </c>
      <c r="AI193" s="32">
        <v>286.67</v>
      </c>
      <c r="AK193" s="7" t="str">
        <f t="shared" si="2"/>
        <v>No</v>
      </c>
    </row>
    <row r="194" spans="1:37">
      <c r="A194" s="7" t="s">
        <v>1122</v>
      </c>
      <c r="B194" s="7" t="s">
        <v>474</v>
      </c>
      <c r="C194" s="7" t="s">
        <v>73</v>
      </c>
      <c r="D194" s="302">
        <v>5010</v>
      </c>
      <c r="E194" s="297">
        <v>50010</v>
      </c>
      <c r="F194" s="7" t="s">
        <v>165</v>
      </c>
      <c r="G194" s="7" t="s">
        <v>158</v>
      </c>
      <c r="H194" s="8">
        <v>569499</v>
      </c>
      <c r="I194" s="8">
        <v>208</v>
      </c>
      <c r="J194" s="7" t="s">
        <v>10</v>
      </c>
      <c r="K194" s="7" t="s">
        <v>159</v>
      </c>
      <c r="L194" s="8">
        <v>91</v>
      </c>
      <c r="M194" s="8">
        <v>98575</v>
      </c>
      <c r="N194" s="7"/>
      <c r="O194" s="8">
        <v>18319</v>
      </c>
      <c r="P194" s="7"/>
      <c r="Q194" s="8">
        <v>1083</v>
      </c>
      <c r="R194" s="7"/>
      <c r="S194" s="8">
        <v>18475</v>
      </c>
      <c r="T194" s="7"/>
      <c r="U194" s="8">
        <v>0</v>
      </c>
      <c r="V194" s="7"/>
      <c r="W194" s="33">
        <v>136452</v>
      </c>
      <c r="X194" s="7"/>
      <c r="Y194" s="30">
        <v>45.1</v>
      </c>
      <c r="Z194" s="7"/>
      <c r="AA194" s="30">
        <v>11.3</v>
      </c>
      <c r="AB194" s="7"/>
      <c r="AC194" s="30">
        <v>0.7</v>
      </c>
      <c r="AD194" s="7"/>
      <c r="AE194" s="30">
        <v>10.3</v>
      </c>
      <c r="AF194" s="7"/>
      <c r="AG194" s="30">
        <v>0</v>
      </c>
      <c r="AI194" s="32">
        <v>67.400000000000006</v>
      </c>
      <c r="AK194" s="7" t="str">
        <f t="shared" ref="AK194:AK257" si="3">IF(AJ194&amp;AH194&amp;AF194&amp;AD194&amp;AB194&amp;Z194&amp;X194&amp;V194&amp;T194&amp;R194&amp;P194&amp;N194&lt;&gt;"","Yes","No")</f>
        <v>No</v>
      </c>
    </row>
    <row r="195" spans="1:37">
      <c r="A195" s="7" t="s">
        <v>1121</v>
      </c>
      <c r="B195" s="7" t="s">
        <v>239</v>
      </c>
      <c r="C195" s="7" t="s">
        <v>70</v>
      </c>
      <c r="D195" s="302">
        <v>2018</v>
      </c>
      <c r="E195" s="297">
        <v>20018</v>
      </c>
      <c r="F195" s="7" t="s">
        <v>165</v>
      </c>
      <c r="G195" s="7" t="s">
        <v>158</v>
      </c>
      <c r="H195" s="8">
        <v>412317</v>
      </c>
      <c r="I195" s="8">
        <v>208</v>
      </c>
      <c r="J195" s="7" t="s">
        <v>10</v>
      </c>
      <c r="K195" s="7" t="s">
        <v>159</v>
      </c>
      <c r="L195" s="8">
        <v>25</v>
      </c>
      <c r="M195" s="8">
        <v>106566</v>
      </c>
      <c r="N195" s="7"/>
      <c r="O195" s="8">
        <v>20661</v>
      </c>
      <c r="P195" s="7"/>
      <c r="Q195" s="8">
        <v>2147</v>
      </c>
      <c r="R195" s="7"/>
      <c r="S195" s="8">
        <v>23660</v>
      </c>
      <c r="T195" s="7"/>
      <c r="U195" s="8">
        <v>0</v>
      </c>
      <c r="V195" s="7"/>
      <c r="W195" s="33">
        <v>153034</v>
      </c>
      <c r="X195" s="7"/>
      <c r="Y195" s="30">
        <v>214</v>
      </c>
      <c r="Z195" s="7"/>
      <c r="AA195" s="30">
        <v>10</v>
      </c>
      <c r="AB195" s="7"/>
      <c r="AC195" s="30">
        <v>1</v>
      </c>
      <c r="AD195" s="7"/>
      <c r="AE195" s="30">
        <v>12</v>
      </c>
      <c r="AF195" s="7"/>
      <c r="AG195" s="30">
        <v>0</v>
      </c>
      <c r="AI195" s="32">
        <v>237</v>
      </c>
      <c r="AK195" s="7" t="str">
        <f t="shared" si="3"/>
        <v>No</v>
      </c>
    </row>
    <row r="196" spans="1:37">
      <c r="A196" s="7" t="s">
        <v>1122</v>
      </c>
      <c r="B196" s="7" t="s">
        <v>474</v>
      </c>
      <c r="C196" s="7" t="s">
        <v>73</v>
      </c>
      <c r="D196" s="302">
        <v>5010</v>
      </c>
      <c r="E196" s="297">
        <v>50010</v>
      </c>
      <c r="F196" s="7" t="s">
        <v>165</v>
      </c>
      <c r="G196" s="7" t="s">
        <v>158</v>
      </c>
      <c r="H196" s="8">
        <v>569499</v>
      </c>
      <c r="I196" s="8">
        <v>208</v>
      </c>
      <c r="J196" s="7" t="s">
        <v>18</v>
      </c>
      <c r="K196" s="7" t="s">
        <v>159</v>
      </c>
      <c r="L196" s="8">
        <v>7</v>
      </c>
      <c r="M196" s="8">
        <v>13578</v>
      </c>
      <c r="N196" s="7"/>
      <c r="O196" s="8">
        <v>3581</v>
      </c>
      <c r="P196" s="7"/>
      <c r="Q196" s="8">
        <v>446</v>
      </c>
      <c r="R196" s="7"/>
      <c r="S196" s="8">
        <v>1900</v>
      </c>
      <c r="T196" s="7"/>
      <c r="U196" s="8">
        <v>0</v>
      </c>
      <c r="V196" s="7"/>
      <c r="W196" s="33">
        <v>19505</v>
      </c>
      <c r="X196" s="7"/>
      <c r="Y196" s="30">
        <v>6.65</v>
      </c>
      <c r="Z196" s="7"/>
      <c r="AA196" s="30">
        <v>1.89</v>
      </c>
      <c r="AB196" s="7"/>
      <c r="AC196" s="30">
        <v>0.28999999999999998</v>
      </c>
      <c r="AD196" s="7"/>
      <c r="AE196" s="30">
        <v>1.25</v>
      </c>
      <c r="AF196" s="7"/>
      <c r="AG196" s="30">
        <v>0</v>
      </c>
      <c r="AI196" s="32">
        <v>10.08</v>
      </c>
      <c r="AK196" s="7" t="str">
        <f t="shared" si="3"/>
        <v>No</v>
      </c>
    </row>
    <row r="197" spans="1:37">
      <c r="A197" s="7" t="s">
        <v>227</v>
      </c>
      <c r="B197" s="7" t="s">
        <v>228</v>
      </c>
      <c r="C197" s="7" t="s">
        <v>52</v>
      </c>
      <c r="D197" s="302">
        <v>5148</v>
      </c>
      <c r="E197" s="297">
        <v>50148</v>
      </c>
      <c r="F197" s="7" t="s">
        <v>165</v>
      </c>
      <c r="G197" s="7" t="s">
        <v>158</v>
      </c>
      <c r="H197" s="8">
        <v>87106</v>
      </c>
      <c r="I197" s="8">
        <v>205</v>
      </c>
      <c r="J197" s="7" t="s">
        <v>10</v>
      </c>
      <c r="K197" s="7" t="s">
        <v>159</v>
      </c>
      <c r="L197" s="8">
        <v>43</v>
      </c>
      <c r="M197" s="8">
        <v>49758</v>
      </c>
      <c r="N197" s="7"/>
      <c r="O197" s="8">
        <v>14552</v>
      </c>
      <c r="P197" s="7"/>
      <c r="Q197" s="8">
        <v>5399</v>
      </c>
      <c r="R197" s="7"/>
      <c r="S197" s="8">
        <v>7252</v>
      </c>
      <c r="T197" s="7"/>
      <c r="U197" s="8">
        <v>0</v>
      </c>
      <c r="V197" s="7"/>
      <c r="W197" s="33">
        <v>76961</v>
      </c>
      <c r="X197" s="7"/>
      <c r="Y197" s="30">
        <v>26</v>
      </c>
      <c r="Z197" s="7"/>
      <c r="AA197" s="30">
        <v>8</v>
      </c>
      <c r="AB197" s="7"/>
      <c r="AC197" s="30">
        <v>2.7</v>
      </c>
      <c r="AD197" s="7"/>
      <c r="AE197" s="30">
        <v>4</v>
      </c>
      <c r="AF197" s="7"/>
      <c r="AG197" s="30">
        <v>0</v>
      </c>
      <c r="AI197" s="32">
        <v>40.700000000000003</v>
      </c>
      <c r="AK197" s="7" t="str">
        <f t="shared" si="3"/>
        <v>No</v>
      </c>
    </row>
    <row r="198" spans="1:37">
      <c r="A198" s="7" t="s">
        <v>227</v>
      </c>
      <c r="B198" s="7" t="s">
        <v>228</v>
      </c>
      <c r="C198" s="7" t="s">
        <v>52</v>
      </c>
      <c r="D198" s="302">
        <v>5148</v>
      </c>
      <c r="E198" s="297">
        <v>50148</v>
      </c>
      <c r="F198" s="7" t="s">
        <v>165</v>
      </c>
      <c r="G198" s="7" t="s">
        <v>158</v>
      </c>
      <c r="H198" s="8">
        <v>87106</v>
      </c>
      <c r="I198" s="8">
        <v>205</v>
      </c>
      <c r="J198" s="7" t="s">
        <v>7</v>
      </c>
      <c r="K198" s="7" t="s">
        <v>159</v>
      </c>
      <c r="L198" s="8">
        <v>9</v>
      </c>
      <c r="M198" s="8">
        <v>22315</v>
      </c>
      <c r="N198" s="7"/>
      <c r="O198" s="8">
        <v>6526</v>
      </c>
      <c r="P198" s="7"/>
      <c r="Q198" s="8">
        <v>2421</v>
      </c>
      <c r="R198" s="7"/>
      <c r="S198" s="8">
        <v>3253</v>
      </c>
      <c r="T198" s="7"/>
      <c r="U198" s="8">
        <v>0</v>
      </c>
      <c r="V198" s="7"/>
      <c r="W198" s="33">
        <v>34515</v>
      </c>
      <c r="X198" s="7"/>
      <c r="Y198" s="30">
        <v>11.68</v>
      </c>
      <c r="Z198" s="7"/>
      <c r="AA198" s="30">
        <v>3.59</v>
      </c>
      <c r="AB198" s="7"/>
      <c r="AC198" s="30">
        <v>1.2</v>
      </c>
      <c r="AD198" s="7"/>
      <c r="AE198" s="30">
        <v>1.8</v>
      </c>
      <c r="AF198" s="7"/>
      <c r="AG198" s="30">
        <v>0</v>
      </c>
      <c r="AI198" s="32">
        <v>18.27</v>
      </c>
      <c r="AK198" s="7" t="str">
        <f t="shared" si="3"/>
        <v>No</v>
      </c>
    </row>
    <row r="199" spans="1:37">
      <c r="A199" s="7" t="s">
        <v>227</v>
      </c>
      <c r="B199" s="7" t="s">
        <v>228</v>
      </c>
      <c r="C199" s="7" t="s">
        <v>52</v>
      </c>
      <c r="D199" s="302">
        <v>5148</v>
      </c>
      <c r="E199" s="297">
        <v>50148</v>
      </c>
      <c r="F199" s="7" t="s">
        <v>165</v>
      </c>
      <c r="G199" s="7" t="s">
        <v>158</v>
      </c>
      <c r="H199" s="8">
        <v>87106</v>
      </c>
      <c r="I199" s="8">
        <v>205</v>
      </c>
      <c r="J199" s="7" t="s">
        <v>18</v>
      </c>
      <c r="K199" s="7" t="s">
        <v>159</v>
      </c>
      <c r="L199" s="8">
        <v>3</v>
      </c>
      <c r="M199" s="8">
        <v>2460</v>
      </c>
      <c r="N199" s="7"/>
      <c r="O199" s="8">
        <v>719</v>
      </c>
      <c r="P199" s="7"/>
      <c r="Q199" s="8">
        <v>266</v>
      </c>
      <c r="R199" s="7"/>
      <c r="S199" s="8">
        <v>356</v>
      </c>
      <c r="T199" s="7"/>
      <c r="U199" s="8">
        <v>0</v>
      </c>
      <c r="V199" s="7"/>
      <c r="W199" s="33">
        <v>3801</v>
      </c>
      <c r="X199" s="7"/>
      <c r="Y199" s="30">
        <v>1.3</v>
      </c>
      <c r="Z199" s="7"/>
      <c r="AA199" s="30">
        <v>0.4</v>
      </c>
      <c r="AB199" s="7"/>
      <c r="AC199" s="30">
        <v>0.13</v>
      </c>
      <c r="AD199" s="7"/>
      <c r="AE199" s="30">
        <v>0.2</v>
      </c>
      <c r="AF199" s="7"/>
      <c r="AG199" s="30">
        <v>0</v>
      </c>
      <c r="AI199" s="32">
        <v>2.0299999999999998</v>
      </c>
      <c r="AK199" s="7" t="str">
        <f t="shared" si="3"/>
        <v>No</v>
      </c>
    </row>
    <row r="200" spans="1:37">
      <c r="A200" s="7" t="s">
        <v>417</v>
      </c>
      <c r="B200" s="7" t="s">
        <v>418</v>
      </c>
      <c r="C200" s="7" t="s">
        <v>42</v>
      </c>
      <c r="D200" s="302">
        <v>5050</v>
      </c>
      <c r="E200" s="297">
        <v>50050</v>
      </c>
      <c r="F200" s="7" t="s">
        <v>165</v>
      </c>
      <c r="G200" s="7" t="s">
        <v>158</v>
      </c>
      <c r="H200" s="8">
        <v>1487483</v>
      </c>
      <c r="I200" s="8">
        <v>202</v>
      </c>
      <c r="J200" s="7" t="s">
        <v>7</v>
      </c>
      <c r="K200" s="7" t="s">
        <v>159</v>
      </c>
      <c r="L200" s="8">
        <v>136</v>
      </c>
      <c r="M200" s="8">
        <v>730042</v>
      </c>
      <c r="N200" s="7"/>
      <c r="O200" s="8">
        <v>121225</v>
      </c>
      <c r="P200" s="7"/>
      <c r="Q200" s="8">
        <v>74803</v>
      </c>
      <c r="R200" s="7"/>
      <c r="S200" s="8">
        <v>87385</v>
      </c>
      <c r="T200" s="7"/>
      <c r="U200" s="8">
        <v>0</v>
      </c>
      <c r="V200" s="7"/>
      <c r="W200" s="33">
        <v>1013455</v>
      </c>
      <c r="X200" s="7"/>
      <c r="Y200" s="30">
        <v>386</v>
      </c>
      <c r="Z200" s="7"/>
      <c r="AA200" s="30">
        <v>59</v>
      </c>
      <c r="AB200" s="7"/>
      <c r="AC200" s="30">
        <v>37</v>
      </c>
      <c r="AD200" s="7"/>
      <c r="AE200" s="30">
        <v>52</v>
      </c>
      <c r="AF200" s="7"/>
      <c r="AG200" s="30">
        <v>0</v>
      </c>
      <c r="AI200" s="32">
        <v>534</v>
      </c>
      <c r="AK200" s="7" t="str">
        <f t="shared" si="3"/>
        <v>No</v>
      </c>
    </row>
    <row r="201" spans="1:37">
      <c r="A201" s="7" t="s">
        <v>1123</v>
      </c>
      <c r="B201" s="7" t="s">
        <v>469</v>
      </c>
      <c r="C201" s="7" t="s">
        <v>52</v>
      </c>
      <c r="D201" s="302">
        <v>5032</v>
      </c>
      <c r="E201" s="297">
        <v>50032</v>
      </c>
      <c r="F201" s="7" t="s">
        <v>165</v>
      </c>
      <c r="G201" s="7" t="s">
        <v>158</v>
      </c>
      <c r="H201" s="8">
        <v>356218</v>
      </c>
      <c r="I201" s="8">
        <v>202</v>
      </c>
      <c r="J201" s="7" t="s">
        <v>10</v>
      </c>
      <c r="K201" s="7" t="s">
        <v>159</v>
      </c>
      <c r="L201" s="8">
        <v>101</v>
      </c>
      <c r="M201" s="8">
        <v>300841</v>
      </c>
      <c r="N201" s="7"/>
      <c r="O201" s="8">
        <v>17811</v>
      </c>
      <c r="P201" s="7"/>
      <c r="Q201" s="8">
        <v>12478</v>
      </c>
      <c r="R201" s="7"/>
      <c r="S201" s="8">
        <v>34778</v>
      </c>
      <c r="T201" s="7"/>
      <c r="U201" s="8">
        <v>169</v>
      </c>
      <c r="V201" s="7"/>
      <c r="W201" s="33">
        <v>366077</v>
      </c>
      <c r="X201" s="7"/>
      <c r="Y201" s="30">
        <v>165</v>
      </c>
      <c r="Z201" s="7"/>
      <c r="AA201" s="30">
        <v>8.6</v>
      </c>
      <c r="AB201" s="7"/>
      <c r="AC201" s="30">
        <v>7.8</v>
      </c>
      <c r="AD201" s="7"/>
      <c r="AE201" s="30">
        <v>21.6</v>
      </c>
      <c r="AF201" s="7"/>
      <c r="AG201" s="30">
        <v>0.1</v>
      </c>
      <c r="AI201" s="32">
        <v>203.1</v>
      </c>
      <c r="AK201" s="7" t="str">
        <f t="shared" si="3"/>
        <v>No</v>
      </c>
    </row>
    <row r="202" spans="1:37">
      <c r="A202" s="7" t="s">
        <v>1123</v>
      </c>
      <c r="B202" s="7" t="s">
        <v>469</v>
      </c>
      <c r="C202" s="7" t="s">
        <v>52</v>
      </c>
      <c r="D202" s="302">
        <v>5032</v>
      </c>
      <c r="E202" s="297">
        <v>50032</v>
      </c>
      <c r="F202" s="7" t="s">
        <v>165</v>
      </c>
      <c r="G202" s="7" t="s">
        <v>158</v>
      </c>
      <c r="H202" s="8">
        <v>356218</v>
      </c>
      <c r="I202" s="8">
        <v>202</v>
      </c>
      <c r="J202" s="7" t="s">
        <v>7</v>
      </c>
      <c r="K202" s="7" t="s">
        <v>159</v>
      </c>
      <c r="L202" s="8">
        <v>99</v>
      </c>
      <c r="M202" s="8">
        <v>177600</v>
      </c>
      <c r="N202" s="7"/>
      <c r="O202" s="8">
        <v>73083</v>
      </c>
      <c r="P202" s="7"/>
      <c r="Q202" s="8">
        <v>12838</v>
      </c>
      <c r="R202" s="7"/>
      <c r="S202" s="8">
        <v>35814</v>
      </c>
      <c r="T202" s="7"/>
      <c r="U202" s="8">
        <v>175</v>
      </c>
      <c r="V202" s="7"/>
      <c r="W202" s="33">
        <v>299510</v>
      </c>
      <c r="X202" s="7"/>
      <c r="Y202" s="30">
        <v>95</v>
      </c>
      <c r="Z202" s="7"/>
      <c r="AA202" s="30">
        <v>38</v>
      </c>
      <c r="AB202" s="7"/>
      <c r="AC202" s="30">
        <v>8.1</v>
      </c>
      <c r="AD202" s="7"/>
      <c r="AE202" s="30">
        <v>22.2</v>
      </c>
      <c r="AF202" s="7"/>
      <c r="AG202" s="30">
        <v>0.1</v>
      </c>
      <c r="AI202" s="32">
        <v>163.4</v>
      </c>
      <c r="AK202" s="7" t="str">
        <f t="shared" si="3"/>
        <v>No</v>
      </c>
    </row>
    <row r="203" spans="1:37">
      <c r="A203" s="7" t="s">
        <v>410</v>
      </c>
      <c r="B203" s="7" t="s">
        <v>411</v>
      </c>
      <c r="C203" s="7" t="s">
        <v>32</v>
      </c>
      <c r="D203" s="302">
        <v>4041</v>
      </c>
      <c r="E203" s="297">
        <v>40041</v>
      </c>
      <c r="F203" s="7" t="s">
        <v>165</v>
      </c>
      <c r="G203" s="7" t="s">
        <v>158</v>
      </c>
      <c r="H203" s="8">
        <v>2441770</v>
      </c>
      <c r="I203" s="8">
        <v>201</v>
      </c>
      <c r="J203" s="7" t="s">
        <v>7</v>
      </c>
      <c r="K203" s="7" t="s">
        <v>159</v>
      </c>
      <c r="L203" s="8">
        <v>162</v>
      </c>
      <c r="M203" s="8">
        <v>874783</v>
      </c>
      <c r="N203" s="7"/>
      <c r="O203" s="8">
        <v>167017</v>
      </c>
      <c r="P203" s="7"/>
      <c r="Q203" s="8">
        <v>96478</v>
      </c>
      <c r="R203" s="7"/>
      <c r="S203" s="8">
        <v>156936</v>
      </c>
      <c r="T203" s="7"/>
      <c r="U203" s="8">
        <v>29873</v>
      </c>
      <c r="V203" s="7"/>
      <c r="W203" s="33">
        <v>1325087</v>
      </c>
      <c r="X203" s="7"/>
      <c r="Y203" s="30">
        <v>455</v>
      </c>
      <c r="Z203" s="7"/>
      <c r="AA203" s="30">
        <v>100</v>
      </c>
      <c r="AB203" s="7"/>
      <c r="AC203" s="30">
        <v>49</v>
      </c>
      <c r="AD203" s="7"/>
      <c r="AE203" s="30">
        <v>92</v>
      </c>
      <c r="AF203" s="7"/>
      <c r="AG203" s="30">
        <v>15</v>
      </c>
      <c r="AI203" s="32">
        <v>711</v>
      </c>
      <c r="AK203" s="7" t="str">
        <f t="shared" si="3"/>
        <v>No</v>
      </c>
    </row>
    <row r="204" spans="1:37">
      <c r="A204" s="7" t="s">
        <v>410</v>
      </c>
      <c r="B204" s="7" t="s">
        <v>411</v>
      </c>
      <c r="C204" s="7" t="s">
        <v>32</v>
      </c>
      <c r="D204" s="302">
        <v>4041</v>
      </c>
      <c r="E204" s="297">
        <v>40041</v>
      </c>
      <c r="F204" s="7" t="s">
        <v>165</v>
      </c>
      <c r="G204" s="7" t="s">
        <v>158</v>
      </c>
      <c r="H204" s="8">
        <v>2441770</v>
      </c>
      <c r="I204" s="8">
        <v>201</v>
      </c>
      <c r="J204" s="7" t="s">
        <v>10</v>
      </c>
      <c r="K204" s="7" t="s">
        <v>159</v>
      </c>
      <c r="L204" s="8">
        <v>36</v>
      </c>
      <c r="M204" s="8">
        <v>131475</v>
      </c>
      <c r="N204" s="7"/>
      <c r="O204" s="8">
        <v>3616</v>
      </c>
      <c r="P204" s="7"/>
      <c r="Q204" s="8">
        <v>10720</v>
      </c>
      <c r="R204" s="7"/>
      <c r="S204" s="8">
        <v>28599</v>
      </c>
      <c r="T204" s="7"/>
      <c r="U204" s="8">
        <v>0</v>
      </c>
      <c r="V204" s="7"/>
      <c r="W204" s="33">
        <v>174410</v>
      </c>
      <c r="X204" s="7"/>
      <c r="Y204" s="30">
        <v>72</v>
      </c>
      <c r="Z204" s="7"/>
      <c r="AA204" s="30">
        <v>2</v>
      </c>
      <c r="AB204" s="7"/>
      <c r="AC204" s="30">
        <v>6</v>
      </c>
      <c r="AD204" s="7"/>
      <c r="AE204" s="30">
        <v>16</v>
      </c>
      <c r="AF204" s="7"/>
      <c r="AG204" s="30">
        <v>0</v>
      </c>
      <c r="AI204" s="32">
        <v>96</v>
      </c>
      <c r="AK204" s="7" t="str">
        <f t="shared" si="3"/>
        <v>No</v>
      </c>
    </row>
    <row r="205" spans="1:37">
      <c r="A205" s="7" t="s">
        <v>410</v>
      </c>
      <c r="B205" s="7" t="s">
        <v>411</v>
      </c>
      <c r="C205" s="7" t="s">
        <v>32</v>
      </c>
      <c r="D205" s="302">
        <v>4041</v>
      </c>
      <c r="E205" s="297">
        <v>40041</v>
      </c>
      <c r="F205" s="7" t="s">
        <v>165</v>
      </c>
      <c r="G205" s="7" t="s">
        <v>158</v>
      </c>
      <c r="H205" s="8">
        <v>2441770</v>
      </c>
      <c r="I205" s="8">
        <v>201</v>
      </c>
      <c r="J205" s="7" t="s">
        <v>12</v>
      </c>
      <c r="K205" s="7" t="s">
        <v>159</v>
      </c>
      <c r="L205" s="8">
        <v>3</v>
      </c>
      <c r="M205" s="8">
        <v>18854</v>
      </c>
      <c r="N205" s="7"/>
      <c r="O205" s="8">
        <v>15165</v>
      </c>
      <c r="P205" s="7"/>
      <c r="Q205" s="8">
        <v>8529</v>
      </c>
      <c r="R205" s="7"/>
      <c r="S205" s="8">
        <v>0</v>
      </c>
      <c r="T205" s="7"/>
      <c r="U205" s="8">
        <v>0</v>
      </c>
      <c r="V205" s="7"/>
      <c r="W205" s="33">
        <v>42548</v>
      </c>
      <c r="X205" s="7"/>
      <c r="Y205" s="30">
        <v>9</v>
      </c>
      <c r="Z205" s="7"/>
      <c r="AA205" s="30">
        <v>8</v>
      </c>
      <c r="AB205" s="7"/>
      <c r="AC205" s="30">
        <v>5</v>
      </c>
      <c r="AD205" s="7"/>
      <c r="AE205" s="30">
        <v>0</v>
      </c>
      <c r="AF205" s="7"/>
      <c r="AG205" s="30">
        <v>0</v>
      </c>
      <c r="AI205" s="32">
        <v>22</v>
      </c>
      <c r="AK205" s="7" t="str">
        <f t="shared" si="3"/>
        <v>No</v>
      </c>
    </row>
    <row r="206" spans="1:37">
      <c r="A206" s="7" t="s">
        <v>451</v>
      </c>
      <c r="B206" s="7" t="s">
        <v>306</v>
      </c>
      <c r="C206" s="7" t="s">
        <v>17</v>
      </c>
      <c r="D206" s="302">
        <v>9023</v>
      </c>
      <c r="E206" s="297">
        <v>90023</v>
      </c>
      <c r="F206" s="7" t="s">
        <v>401</v>
      </c>
      <c r="G206" s="7" t="s">
        <v>158</v>
      </c>
      <c r="H206" s="8">
        <v>12150996</v>
      </c>
      <c r="I206" s="8">
        <v>197</v>
      </c>
      <c r="J206" s="7" t="s">
        <v>7</v>
      </c>
      <c r="K206" s="7" t="s">
        <v>159</v>
      </c>
      <c r="L206" s="8">
        <v>187</v>
      </c>
      <c r="M206" s="8">
        <v>945607</v>
      </c>
      <c r="N206" s="7"/>
      <c r="O206" s="8">
        <v>215183</v>
      </c>
      <c r="P206" s="7"/>
      <c r="Q206" s="8">
        <v>54103</v>
      </c>
      <c r="R206" s="7"/>
      <c r="S206" s="8">
        <v>138694</v>
      </c>
      <c r="T206" s="7"/>
      <c r="U206" s="8">
        <v>0</v>
      </c>
      <c r="V206" s="7"/>
      <c r="W206" s="33">
        <v>1353587</v>
      </c>
      <c r="X206" s="7"/>
      <c r="Y206" s="30">
        <v>514</v>
      </c>
      <c r="Z206" s="7"/>
      <c r="AA206" s="30">
        <v>111</v>
      </c>
      <c r="AB206" s="7"/>
      <c r="AC206" s="30">
        <v>28</v>
      </c>
      <c r="AD206" s="7"/>
      <c r="AE206" s="30">
        <v>75</v>
      </c>
      <c r="AF206" s="7"/>
      <c r="AG206" s="30">
        <v>0</v>
      </c>
      <c r="AI206" s="32">
        <v>728</v>
      </c>
      <c r="AK206" s="7" t="str">
        <f t="shared" si="3"/>
        <v>No</v>
      </c>
    </row>
    <row r="207" spans="1:37">
      <c r="A207" s="7" t="s">
        <v>633</v>
      </c>
      <c r="B207" s="7" t="s">
        <v>634</v>
      </c>
      <c r="C207" s="7" t="s">
        <v>69</v>
      </c>
      <c r="D207" s="302">
        <v>6019</v>
      </c>
      <c r="E207" s="297">
        <v>60019</v>
      </c>
      <c r="F207" s="7" t="s">
        <v>162</v>
      </c>
      <c r="G207" s="7" t="s">
        <v>158</v>
      </c>
      <c r="H207" s="8">
        <v>741318</v>
      </c>
      <c r="I207" s="8">
        <v>193</v>
      </c>
      <c r="J207" s="7" t="s">
        <v>7</v>
      </c>
      <c r="K207" s="7" t="s">
        <v>159</v>
      </c>
      <c r="L207" s="8">
        <v>131</v>
      </c>
      <c r="M207" s="8">
        <v>584080</v>
      </c>
      <c r="N207" s="7"/>
      <c r="O207" s="8">
        <v>155547</v>
      </c>
      <c r="P207" s="7"/>
      <c r="Q207" s="8">
        <v>19587</v>
      </c>
      <c r="R207" s="7"/>
      <c r="S207" s="8">
        <v>65974</v>
      </c>
      <c r="T207" s="7"/>
      <c r="U207" s="8">
        <v>0</v>
      </c>
      <c r="V207" s="7"/>
      <c r="W207" s="33">
        <v>825188</v>
      </c>
      <c r="X207" s="7"/>
      <c r="Y207" s="30">
        <v>269.2</v>
      </c>
      <c r="Z207" s="7"/>
      <c r="AA207" s="30">
        <v>85</v>
      </c>
      <c r="AB207" s="7"/>
      <c r="AC207" s="30">
        <v>12</v>
      </c>
      <c r="AD207" s="7"/>
      <c r="AE207" s="30">
        <v>34.4</v>
      </c>
      <c r="AF207" s="7"/>
      <c r="AG207" s="30">
        <v>0</v>
      </c>
      <c r="AI207" s="32">
        <v>400.6</v>
      </c>
      <c r="AK207" s="7" t="str">
        <f t="shared" si="3"/>
        <v>No</v>
      </c>
    </row>
    <row r="208" spans="1:37">
      <c r="A208" s="7" t="s">
        <v>633</v>
      </c>
      <c r="B208" s="7" t="s">
        <v>634</v>
      </c>
      <c r="C208" s="7" t="s">
        <v>69</v>
      </c>
      <c r="D208" s="302">
        <v>6019</v>
      </c>
      <c r="E208" s="297">
        <v>60019</v>
      </c>
      <c r="F208" s="7" t="s">
        <v>162</v>
      </c>
      <c r="G208" s="7" t="s">
        <v>158</v>
      </c>
      <c r="H208" s="8">
        <v>741318</v>
      </c>
      <c r="I208" s="8">
        <v>193</v>
      </c>
      <c r="J208" s="7" t="s">
        <v>10</v>
      </c>
      <c r="K208" s="7" t="s">
        <v>159</v>
      </c>
      <c r="L208" s="8">
        <v>62</v>
      </c>
      <c r="M208" s="8">
        <v>172049</v>
      </c>
      <c r="N208" s="7"/>
      <c r="O208" s="8">
        <v>13790</v>
      </c>
      <c r="P208" s="7"/>
      <c r="Q208" s="8">
        <v>4897</v>
      </c>
      <c r="R208" s="7"/>
      <c r="S208" s="8">
        <v>16494</v>
      </c>
      <c r="T208" s="7"/>
      <c r="U208" s="8">
        <v>0</v>
      </c>
      <c r="V208" s="7"/>
      <c r="W208" s="33">
        <v>207230</v>
      </c>
      <c r="X208" s="7"/>
      <c r="Y208" s="30">
        <v>82.8</v>
      </c>
      <c r="Z208" s="7"/>
      <c r="AA208" s="30">
        <v>8</v>
      </c>
      <c r="AB208" s="7"/>
      <c r="AC208" s="30">
        <v>3</v>
      </c>
      <c r="AD208" s="7"/>
      <c r="AE208" s="30">
        <v>8.6</v>
      </c>
      <c r="AF208" s="7"/>
      <c r="AG208" s="30">
        <v>0</v>
      </c>
      <c r="AI208" s="32">
        <v>102.4</v>
      </c>
      <c r="AK208" s="7" t="str">
        <f t="shared" si="3"/>
        <v>No</v>
      </c>
    </row>
    <row r="209" spans="1:37">
      <c r="A209" s="7" t="s">
        <v>374</v>
      </c>
      <c r="B209" s="7" t="s">
        <v>375</v>
      </c>
      <c r="C209" s="7" t="s">
        <v>84</v>
      </c>
      <c r="D209" s="302">
        <v>6007</v>
      </c>
      <c r="E209" s="297">
        <v>60007</v>
      </c>
      <c r="F209" s="7" t="s">
        <v>165</v>
      </c>
      <c r="G209" s="7" t="s">
        <v>158</v>
      </c>
      <c r="H209" s="8">
        <v>5121892</v>
      </c>
      <c r="I209" s="8">
        <v>192</v>
      </c>
      <c r="J209" s="7" t="s">
        <v>7</v>
      </c>
      <c r="K209" s="7" t="s">
        <v>159</v>
      </c>
      <c r="L209" s="8">
        <v>108</v>
      </c>
      <c r="M209" s="8">
        <v>478666</v>
      </c>
      <c r="N209" s="7"/>
      <c r="O209" s="8">
        <v>156873</v>
      </c>
      <c r="P209" s="7"/>
      <c r="Q209" s="8">
        <v>69498</v>
      </c>
      <c r="R209" s="7"/>
      <c r="S209" s="8">
        <v>146390</v>
      </c>
      <c r="T209" s="7"/>
      <c r="U209" s="8">
        <v>0</v>
      </c>
      <c r="V209" s="7"/>
      <c r="W209" s="33">
        <v>851427</v>
      </c>
      <c r="X209" s="7"/>
      <c r="Y209" s="30">
        <v>233</v>
      </c>
      <c r="Z209" s="7"/>
      <c r="AA209" s="30">
        <v>75</v>
      </c>
      <c r="AB209" s="7"/>
      <c r="AC209" s="30">
        <v>33</v>
      </c>
      <c r="AD209" s="7"/>
      <c r="AE209" s="30">
        <v>69</v>
      </c>
      <c r="AF209" s="7"/>
      <c r="AG209" s="30">
        <v>0</v>
      </c>
      <c r="AI209" s="32">
        <v>410</v>
      </c>
      <c r="AK209" s="7" t="str">
        <f t="shared" si="3"/>
        <v>No</v>
      </c>
    </row>
    <row r="210" spans="1:37">
      <c r="A210" s="7" t="s">
        <v>374</v>
      </c>
      <c r="B210" s="7" t="s">
        <v>375</v>
      </c>
      <c r="C210" s="7" t="s">
        <v>84</v>
      </c>
      <c r="D210" s="302">
        <v>6007</v>
      </c>
      <c r="E210" s="297">
        <v>60007</v>
      </c>
      <c r="F210" s="7" t="s">
        <v>165</v>
      </c>
      <c r="G210" s="7" t="s">
        <v>158</v>
      </c>
      <c r="H210" s="8">
        <v>5121892</v>
      </c>
      <c r="I210" s="8">
        <v>192</v>
      </c>
      <c r="J210" s="7" t="s">
        <v>10</v>
      </c>
      <c r="K210" s="7" t="s">
        <v>159</v>
      </c>
      <c r="L210" s="8">
        <v>34</v>
      </c>
      <c r="M210" s="8">
        <v>111264</v>
      </c>
      <c r="N210" s="7"/>
      <c r="O210" s="8">
        <v>18887</v>
      </c>
      <c r="P210" s="7"/>
      <c r="Q210" s="8">
        <v>27716</v>
      </c>
      <c r="R210" s="7" t="s">
        <v>121</v>
      </c>
      <c r="S210" s="8">
        <v>61224</v>
      </c>
      <c r="T210" s="7" t="s">
        <v>121</v>
      </c>
      <c r="U210" s="8">
        <v>0</v>
      </c>
      <c r="V210" s="7"/>
      <c r="W210" s="33">
        <v>219091</v>
      </c>
      <c r="X210" s="7" t="s">
        <v>121</v>
      </c>
      <c r="Y210" s="30">
        <v>51</v>
      </c>
      <c r="Z210" s="7"/>
      <c r="AA210" s="30">
        <v>8</v>
      </c>
      <c r="AB210" s="7"/>
      <c r="AC210" s="30">
        <v>13</v>
      </c>
      <c r="AD210" s="7"/>
      <c r="AE210" s="30">
        <v>29</v>
      </c>
      <c r="AF210" s="7"/>
      <c r="AG210" s="30">
        <v>0</v>
      </c>
      <c r="AI210" s="32">
        <v>101</v>
      </c>
      <c r="AK210" s="7" t="str">
        <f t="shared" si="3"/>
        <v>Yes</v>
      </c>
    </row>
    <row r="211" spans="1:37">
      <c r="A211" s="7" t="s">
        <v>467</v>
      </c>
      <c r="B211" s="7" t="s">
        <v>468</v>
      </c>
      <c r="C211" s="7" t="s">
        <v>84</v>
      </c>
      <c r="D211" s="302">
        <v>6006</v>
      </c>
      <c r="E211" s="297">
        <v>60006</v>
      </c>
      <c r="F211" s="7" t="s">
        <v>162</v>
      </c>
      <c r="G211" s="7" t="s">
        <v>158</v>
      </c>
      <c r="H211" s="8">
        <v>803086</v>
      </c>
      <c r="I211" s="8">
        <v>186</v>
      </c>
      <c r="J211" s="7" t="s">
        <v>7</v>
      </c>
      <c r="K211" s="7" t="s">
        <v>159</v>
      </c>
      <c r="L211" s="8">
        <v>125</v>
      </c>
      <c r="M211" s="8">
        <v>931557</v>
      </c>
      <c r="N211" s="7"/>
      <c r="O211" s="8">
        <v>238689</v>
      </c>
      <c r="P211" s="7"/>
      <c r="Q211" s="8">
        <v>34885</v>
      </c>
      <c r="R211" s="7"/>
      <c r="S211" s="8">
        <v>62283</v>
      </c>
      <c r="T211" s="7"/>
      <c r="U211" s="8">
        <v>0</v>
      </c>
      <c r="V211" s="7"/>
      <c r="W211" s="33">
        <v>1267414</v>
      </c>
      <c r="X211" s="7"/>
      <c r="Y211" s="30">
        <v>452.75</v>
      </c>
      <c r="Z211" s="7"/>
      <c r="AA211" s="30">
        <v>130</v>
      </c>
      <c r="AB211" s="7"/>
      <c r="AC211" s="30">
        <v>19</v>
      </c>
      <c r="AD211" s="7"/>
      <c r="AE211" s="30">
        <v>40</v>
      </c>
      <c r="AF211" s="7"/>
      <c r="AG211" s="30">
        <v>0</v>
      </c>
      <c r="AI211" s="32">
        <v>641.75</v>
      </c>
      <c r="AK211" s="7" t="str">
        <f t="shared" si="3"/>
        <v>No</v>
      </c>
    </row>
    <row r="212" spans="1:37">
      <c r="A212" s="7" t="s">
        <v>703</v>
      </c>
      <c r="B212" s="7" t="s">
        <v>704</v>
      </c>
      <c r="C212" s="7" t="s">
        <v>77</v>
      </c>
      <c r="D212" s="302">
        <v>3027</v>
      </c>
      <c r="E212" s="297">
        <v>30027</v>
      </c>
      <c r="F212" s="7" t="s">
        <v>165</v>
      </c>
      <c r="G212" s="7" t="s">
        <v>158</v>
      </c>
      <c r="H212" s="8">
        <v>232045</v>
      </c>
      <c r="I212" s="8">
        <v>178</v>
      </c>
      <c r="J212" s="7" t="s">
        <v>10</v>
      </c>
      <c r="K212" s="7" t="s">
        <v>159</v>
      </c>
      <c r="L212" s="8">
        <v>103</v>
      </c>
      <c r="M212" s="8">
        <v>112947</v>
      </c>
      <c r="N212" s="7"/>
      <c r="O212" s="8">
        <v>11943</v>
      </c>
      <c r="P212" s="7"/>
      <c r="Q212" s="8">
        <v>199</v>
      </c>
      <c r="R212" s="7"/>
      <c r="S212" s="8">
        <v>6323</v>
      </c>
      <c r="T212" s="7"/>
      <c r="U212" s="8">
        <v>0</v>
      </c>
      <c r="V212" s="7"/>
      <c r="W212" s="33">
        <v>131412</v>
      </c>
      <c r="X212" s="7"/>
      <c r="Y212" s="30">
        <v>66.13</v>
      </c>
      <c r="Z212" s="7"/>
      <c r="AA212" s="30">
        <v>6.62</v>
      </c>
      <c r="AB212" s="7"/>
      <c r="AC212" s="30">
        <v>0.1</v>
      </c>
      <c r="AD212" s="7"/>
      <c r="AE212" s="30">
        <v>3.6</v>
      </c>
      <c r="AF212" s="7"/>
      <c r="AG212" s="30">
        <v>0</v>
      </c>
      <c r="AI212" s="32">
        <v>76.45</v>
      </c>
      <c r="AK212" s="7" t="str">
        <f t="shared" si="3"/>
        <v>No</v>
      </c>
    </row>
    <row r="213" spans="1:37">
      <c r="A213" s="7" t="s">
        <v>491</v>
      </c>
      <c r="B213" s="7" t="s">
        <v>492</v>
      </c>
      <c r="C213" s="7" t="s">
        <v>73</v>
      </c>
      <c r="D213" s="302">
        <v>5017</v>
      </c>
      <c r="E213" s="297">
        <v>50017</v>
      </c>
      <c r="F213" s="7" t="s">
        <v>165</v>
      </c>
      <c r="G213" s="7" t="s">
        <v>158</v>
      </c>
      <c r="H213" s="8">
        <v>724091</v>
      </c>
      <c r="I213" s="8">
        <v>178</v>
      </c>
      <c r="J213" s="7" t="s">
        <v>7</v>
      </c>
      <c r="K213" s="7" t="s">
        <v>159</v>
      </c>
      <c r="L213" s="8">
        <v>98</v>
      </c>
      <c r="M213" s="8">
        <v>586237</v>
      </c>
      <c r="N213" s="7"/>
      <c r="O213" s="8">
        <v>107666</v>
      </c>
      <c r="P213" s="7"/>
      <c r="Q213" s="8">
        <v>23929</v>
      </c>
      <c r="R213" s="7"/>
      <c r="S213" s="8">
        <v>76153</v>
      </c>
      <c r="T213" s="7"/>
      <c r="U213" s="8">
        <v>2227</v>
      </c>
      <c r="V213" s="7"/>
      <c r="W213" s="33">
        <v>796212</v>
      </c>
      <c r="X213" s="7"/>
      <c r="Y213" s="30">
        <v>276.10000000000002</v>
      </c>
      <c r="Z213" s="7"/>
      <c r="AA213" s="30">
        <v>51</v>
      </c>
      <c r="AB213" s="7"/>
      <c r="AC213" s="30">
        <v>13.3</v>
      </c>
      <c r="AD213" s="7"/>
      <c r="AE213" s="30">
        <v>44</v>
      </c>
      <c r="AF213" s="7"/>
      <c r="AG213" s="30">
        <v>1.1000000000000001</v>
      </c>
      <c r="AI213" s="32">
        <v>385.5</v>
      </c>
      <c r="AK213" s="7" t="str">
        <f t="shared" si="3"/>
        <v>No</v>
      </c>
    </row>
    <row r="214" spans="1:37">
      <c r="A214" s="7" t="s">
        <v>491</v>
      </c>
      <c r="B214" s="7" t="s">
        <v>492</v>
      </c>
      <c r="C214" s="7" t="s">
        <v>73</v>
      </c>
      <c r="D214" s="302">
        <v>5017</v>
      </c>
      <c r="E214" s="297">
        <v>50017</v>
      </c>
      <c r="F214" s="7" t="s">
        <v>165</v>
      </c>
      <c r="G214" s="7" t="s">
        <v>158</v>
      </c>
      <c r="H214" s="8">
        <v>724091</v>
      </c>
      <c r="I214" s="8">
        <v>178</v>
      </c>
      <c r="J214" s="7" t="s">
        <v>10</v>
      </c>
      <c r="K214" s="7" t="s">
        <v>159</v>
      </c>
      <c r="L214" s="8">
        <v>54</v>
      </c>
      <c r="M214" s="8">
        <v>251737</v>
      </c>
      <c r="N214" s="7"/>
      <c r="O214" s="8">
        <v>41907</v>
      </c>
      <c r="P214" s="7"/>
      <c r="Q214" s="8">
        <v>12050</v>
      </c>
      <c r="R214" s="7"/>
      <c r="S214" s="8">
        <v>46446</v>
      </c>
      <c r="T214" s="7"/>
      <c r="U214" s="8">
        <v>1268</v>
      </c>
      <c r="V214" s="7"/>
      <c r="W214" s="33">
        <v>353408</v>
      </c>
      <c r="X214" s="7"/>
      <c r="Y214" s="30">
        <v>106.6</v>
      </c>
      <c r="Z214" s="7"/>
      <c r="AA214" s="30">
        <v>19.899999999999999</v>
      </c>
      <c r="AB214" s="7"/>
      <c r="AC214" s="30">
        <v>6.1</v>
      </c>
      <c r="AD214" s="7"/>
      <c r="AE214" s="30">
        <v>23.9</v>
      </c>
      <c r="AF214" s="7"/>
      <c r="AG214" s="30">
        <v>0.8</v>
      </c>
      <c r="AI214" s="32">
        <v>157.30000000000001</v>
      </c>
      <c r="AK214" s="7" t="str">
        <f t="shared" si="3"/>
        <v>No</v>
      </c>
    </row>
    <row r="215" spans="1:37">
      <c r="A215" s="7" t="s">
        <v>703</v>
      </c>
      <c r="B215" s="7" t="s">
        <v>704</v>
      </c>
      <c r="C215" s="7" t="s">
        <v>77</v>
      </c>
      <c r="D215" s="302">
        <v>3027</v>
      </c>
      <c r="E215" s="297">
        <v>30027</v>
      </c>
      <c r="F215" s="7" t="s">
        <v>165</v>
      </c>
      <c r="G215" s="7" t="s">
        <v>158</v>
      </c>
      <c r="H215" s="8">
        <v>232045</v>
      </c>
      <c r="I215" s="8">
        <v>178</v>
      </c>
      <c r="J215" s="7" t="s">
        <v>7</v>
      </c>
      <c r="K215" s="7" t="s">
        <v>159</v>
      </c>
      <c r="L215" s="8">
        <v>35</v>
      </c>
      <c r="M215" s="8">
        <v>144394</v>
      </c>
      <c r="N215" s="7"/>
      <c r="O215" s="8">
        <v>23630</v>
      </c>
      <c r="P215" s="7"/>
      <c r="Q215" s="8">
        <v>1594</v>
      </c>
      <c r="R215" s="7"/>
      <c r="S215" s="8">
        <v>14930</v>
      </c>
      <c r="T215" s="7"/>
      <c r="U215" s="8">
        <v>0</v>
      </c>
      <c r="V215" s="7"/>
      <c r="W215" s="33">
        <v>184548</v>
      </c>
      <c r="X215" s="7"/>
      <c r="Y215" s="30">
        <v>70.92</v>
      </c>
      <c r="Z215" s="7"/>
      <c r="AA215" s="30">
        <v>13.13</v>
      </c>
      <c r="AB215" s="7"/>
      <c r="AC215" s="30">
        <v>0.8</v>
      </c>
      <c r="AD215" s="7"/>
      <c r="AE215" s="30">
        <v>8.5</v>
      </c>
      <c r="AF215" s="7"/>
      <c r="AG215" s="30">
        <v>0</v>
      </c>
      <c r="AI215" s="32">
        <v>93.35</v>
      </c>
      <c r="AK215" s="7" t="str">
        <f t="shared" si="3"/>
        <v>No</v>
      </c>
    </row>
    <row r="216" spans="1:37">
      <c r="A216" s="7" t="s">
        <v>491</v>
      </c>
      <c r="B216" s="7" t="s">
        <v>492</v>
      </c>
      <c r="C216" s="7" t="s">
        <v>73</v>
      </c>
      <c r="D216" s="302">
        <v>5017</v>
      </c>
      <c r="E216" s="297">
        <v>50017</v>
      </c>
      <c r="F216" s="7" t="s">
        <v>165</v>
      </c>
      <c r="G216" s="7" t="s">
        <v>158</v>
      </c>
      <c r="H216" s="8">
        <v>724091</v>
      </c>
      <c r="I216" s="8">
        <v>178</v>
      </c>
      <c r="J216" s="7" t="s">
        <v>25</v>
      </c>
      <c r="K216" s="7" t="s">
        <v>159</v>
      </c>
      <c r="L216" s="8">
        <v>26</v>
      </c>
      <c r="M216" s="8">
        <v>104886</v>
      </c>
      <c r="N216" s="7"/>
      <c r="O216" s="8">
        <v>38809</v>
      </c>
      <c r="P216" s="7"/>
      <c r="Q216" s="8">
        <v>32598</v>
      </c>
      <c r="R216" s="7"/>
      <c r="S216" s="8">
        <v>20579</v>
      </c>
      <c r="T216" s="7"/>
      <c r="U216" s="8">
        <v>967</v>
      </c>
      <c r="V216" s="7"/>
      <c r="W216" s="33">
        <v>197839</v>
      </c>
      <c r="X216" s="7"/>
      <c r="Y216" s="30">
        <v>51.6</v>
      </c>
      <c r="Z216" s="7"/>
      <c r="AA216" s="30">
        <v>19.3</v>
      </c>
      <c r="AB216" s="7"/>
      <c r="AC216" s="30">
        <v>18.899999999999999</v>
      </c>
      <c r="AD216" s="7"/>
      <c r="AE216" s="30">
        <v>11.7</v>
      </c>
      <c r="AF216" s="7"/>
      <c r="AG216" s="30">
        <v>0.6</v>
      </c>
      <c r="AI216" s="32">
        <v>102.1</v>
      </c>
      <c r="AK216" s="7" t="str">
        <f t="shared" si="3"/>
        <v>No</v>
      </c>
    </row>
    <row r="217" spans="1:37">
      <c r="A217" s="7" t="s">
        <v>703</v>
      </c>
      <c r="B217" s="7" t="s">
        <v>704</v>
      </c>
      <c r="C217" s="7" t="s">
        <v>77</v>
      </c>
      <c r="D217" s="302">
        <v>3027</v>
      </c>
      <c r="E217" s="297">
        <v>30027</v>
      </c>
      <c r="F217" s="7" t="s">
        <v>165</v>
      </c>
      <c r="G217" s="7" t="s">
        <v>158</v>
      </c>
      <c r="H217" s="8">
        <v>232045</v>
      </c>
      <c r="I217" s="8">
        <v>178</v>
      </c>
      <c r="J217" s="7" t="s">
        <v>18</v>
      </c>
      <c r="K217" s="7" t="s">
        <v>159</v>
      </c>
      <c r="L217" s="8">
        <v>9</v>
      </c>
      <c r="M217" s="8">
        <v>9885</v>
      </c>
      <c r="N217" s="7"/>
      <c r="O217" s="8">
        <v>2293</v>
      </c>
      <c r="P217" s="7"/>
      <c r="Q217" s="8">
        <v>199</v>
      </c>
      <c r="R217" s="7"/>
      <c r="S217" s="8">
        <v>1581</v>
      </c>
      <c r="T217" s="7"/>
      <c r="U217" s="8">
        <v>0</v>
      </c>
      <c r="V217" s="7"/>
      <c r="W217" s="33">
        <v>13958</v>
      </c>
      <c r="X217" s="7"/>
      <c r="Y217" s="30">
        <v>4.95</v>
      </c>
      <c r="Z217" s="7"/>
      <c r="AA217" s="30">
        <v>1.26</v>
      </c>
      <c r="AB217" s="7"/>
      <c r="AC217" s="30">
        <v>0.1</v>
      </c>
      <c r="AD217" s="7"/>
      <c r="AE217" s="30">
        <v>0.9</v>
      </c>
      <c r="AF217" s="7"/>
      <c r="AG217" s="30">
        <v>0</v>
      </c>
      <c r="AI217" s="32">
        <v>7.21</v>
      </c>
      <c r="AK217" s="7" t="str">
        <f t="shared" si="3"/>
        <v>No</v>
      </c>
    </row>
    <row r="218" spans="1:37">
      <c r="A218" s="7" t="s">
        <v>248</v>
      </c>
      <c r="B218" s="7" t="s">
        <v>249</v>
      </c>
      <c r="C218" s="7" t="s">
        <v>52</v>
      </c>
      <c r="D218" s="302">
        <v>5036</v>
      </c>
      <c r="E218" s="297">
        <v>50036</v>
      </c>
      <c r="F218" s="7" t="s">
        <v>165</v>
      </c>
      <c r="G218" s="7" t="s">
        <v>158</v>
      </c>
      <c r="H218" s="8">
        <v>313532</v>
      </c>
      <c r="I218" s="8">
        <v>176</v>
      </c>
      <c r="J218" s="7" t="s">
        <v>7</v>
      </c>
      <c r="K218" s="7" t="s">
        <v>159</v>
      </c>
      <c r="L218" s="8">
        <v>76</v>
      </c>
      <c r="M218" s="8">
        <v>290400</v>
      </c>
      <c r="N218" s="7"/>
      <c r="O218" s="8">
        <v>57678</v>
      </c>
      <c r="P218" s="7"/>
      <c r="Q218" s="8">
        <v>11625</v>
      </c>
      <c r="R218" s="7"/>
      <c r="S218" s="8">
        <v>45000</v>
      </c>
      <c r="T218" s="7"/>
      <c r="U218" s="8">
        <v>0</v>
      </c>
      <c r="V218" s="7"/>
      <c r="W218" s="33">
        <v>404703</v>
      </c>
      <c r="X218" s="7"/>
      <c r="Y218" s="30">
        <v>132</v>
      </c>
      <c r="Z218" s="7"/>
      <c r="AA218" s="30">
        <v>29</v>
      </c>
      <c r="AB218" s="7"/>
      <c r="AC218" s="30">
        <v>7</v>
      </c>
      <c r="AD218" s="7"/>
      <c r="AE218" s="30">
        <v>29</v>
      </c>
      <c r="AF218" s="7"/>
      <c r="AG218" s="30">
        <v>0</v>
      </c>
      <c r="AI218" s="32">
        <v>197</v>
      </c>
      <c r="AK218" s="7" t="str">
        <f t="shared" si="3"/>
        <v>No</v>
      </c>
    </row>
    <row r="219" spans="1:37">
      <c r="A219" s="7" t="s">
        <v>318</v>
      </c>
      <c r="B219" s="7" t="s">
        <v>319</v>
      </c>
      <c r="C219" s="7" t="s">
        <v>89</v>
      </c>
      <c r="D219" s="302">
        <v>24</v>
      </c>
      <c r="E219" s="297">
        <v>24</v>
      </c>
      <c r="F219" s="7" t="s">
        <v>165</v>
      </c>
      <c r="G219" s="7" t="s">
        <v>158</v>
      </c>
      <c r="H219" s="8">
        <v>1849898</v>
      </c>
      <c r="I219" s="8">
        <v>176</v>
      </c>
      <c r="J219" s="7" t="s">
        <v>7</v>
      </c>
      <c r="K219" s="7" t="s">
        <v>159</v>
      </c>
      <c r="L219" s="8">
        <v>56</v>
      </c>
      <c r="M219" s="8">
        <v>260829</v>
      </c>
      <c r="N219" s="7"/>
      <c r="O219" s="8">
        <v>51600</v>
      </c>
      <c r="P219" s="7"/>
      <c r="Q219" s="8">
        <v>11293</v>
      </c>
      <c r="R219" s="7"/>
      <c r="S219" s="8">
        <v>66476</v>
      </c>
      <c r="T219" s="7"/>
      <c r="U219" s="8">
        <v>1962</v>
      </c>
      <c r="V219" s="7"/>
      <c r="W219" s="33">
        <v>392160</v>
      </c>
      <c r="X219" s="7"/>
      <c r="Y219" s="30">
        <v>142.13</v>
      </c>
      <c r="Z219" s="7"/>
      <c r="AA219" s="30">
        <v>27.5</v>
      </c>
      <c r="AB219" s="7"/>
      <c r="AC219" s="30">
        <v>6.04</v>
      </c>
      <c r="AD219" s="7"/>
      <c r="AE219" s="30">
        <v>38.28</v>
      </c>
      <c r="AF219" s="7"/>
      <c r="AG219" s="30">
        <v>1</v>
      </c>
      <c r="AI219" s="32">
        <v>214.95</v>
      </c>
      <c r="AK219" s="7" t="str">
        <f t="shared" si="3"/>
        <v>No</v>
      </c>
    </row>
    <row r="220" spans="1:37">
      <c r="A220" s="7" t="s">
        <v>318</v>
      </c>
      <c r="B220" s="7" t="s">
        <v>319</v>
      </c>
      <c r="C220" s="7" t="s">
        <v>89</v>
      </c>
      <c r="D220" s="302">
        <v>24</v>
      </c>
      <c r="E220" s="297">
        <v>24</v>
      </c>
      <c r="F220" s="7" t="s">
        <v>165</v>
      </c>
      <c r="G220" s="7" t="s">
        <v>158</v>
      </c>
      <c r="H220" s="8">
        <v>1849898</v>
      </c>
      <c r="I220" s="8">
        <v>176</v>
      </c>
      <c r="J220" s="7" t="s">
        <v>10</v>
      </c>
      <c r="K220" s="7" t="s">
        <v>159</v>
      </c>
      <c r="L220" s="8">
        <v>46</v>
      </c>
      <c r="M220" s="8">
        <v>89088</v>
      </c>
      <c r="N220" s="7"/>
      <c r="O220" s="8">
        <v>11971</v>
      </c>
      <c r="P220" s="7"/>
      <c r="Q220" s="8">
        <v>4749</v>
      </c>
      <c r="R220" s="7"/>
      <c r="S220" s="8">
        <v>28751</v>
      </c>
      <c r="T220" s="7"/>
      <c r="U220" s="8">
        <v>0</v>
      </c>
      <c r="V220" s="7"/>
      <c r="W220" s="33">
        <v>134559</v>
      </c>
      <c r="X220" s="7"/>
      <c r="Y220" s="30">
        <v>50.96</v>
      </c>
      <c r="Z220" s="7"/>
      <c r="AA220" s="30">
        <v>6.71</v>
      </c>
      <c r="AB220" s="7"/>
      <c r="AC220" s="30">
        <v>2.62</v>
      </c>
      <c r="AD220" s="7"/>
      <c r="AE220" s="30">
        <v>16.62</v>
      </c>
      <c r="AF220" s="7"/>
      <c r="AG220" s="30">
        <v>0</v>
      </c>
      <c r="AI220" s="32">
        <v>76.91</v>
      </c>
      <c r="AK220" s="7" t="str">
        <f t="shared" si="3"/>
        <v>No</v>
      </c>
    </row>
    <row r="221" spans="1:37">
      <c r="A221" s="7" t="s">
        <v>318</v>
      </c>
      <c r="B221" s="7" t="s">
        <v>319</v>
      </c>
      <c r="C221" s="7" t="s">
        <v>89</v>
      </c>
      <c r="D221" s="302">
        <v>24</v>
      </c>
      <c r="E221" s="297">
        <v>24</v>
      </c>
      <c r="F221" s="7" t="s">
        <v>165</v>
      </c>
      <c r="G221" s="7" t="s">
        <v>158</v>
      </c>
      <c r="H221" s="8">
        <v>1849898</v>
      </c>
      <c r="I221" s="8">
        <v>176</v>
      </c>
      <c r="J221" s="7" t="s">
        <v>18</v>
      </c>
      <c r="K221" s="7" t="s">
        <v>159</v>
      </c>
      <c r="L221" s="8">
        <v>41</v>
      </c>
      <c r="M221" s="8">
        <v>54880</v>
      </c>
      <c r="N221" s="7"/>
      <c r="O221" s="8">
        <v>10857</v>
      </c>
      <c r="P221" s="7"/>
      <c r="Q221" s="8">
        <v>2376</v>
      </c>
      <c r="R221" s="7"/>
      <c r="S221" s="8">
        <v>13987</v>
      </c>
      <c r="T221" s="7"/>
      <c r="U221" s="8">
        <v>0</v>
      </c>
      <c r="V221" s="7"/>
      <c r="W221" s="33">
        <v>82100</v>
      </c>
      <c r="X221" s="7"/>
      <c r="Y221" s="30">
        <v>29.91</v>
      </c>
      <c r="Z221" s="7"/>
      <c r="AA221" s="30">
        <v>5.79</v>
      </c>
      <c r="AB221" s="7"/>
      <c r="AC221" s="30">
        <v>1.27</v>
      </c>
      <c r="AD221" s="7"/>
      <c r="AE221" s="30">
        <v>8.06</v>
      </c>
      <c r="AF221" s="7"/>
      <c r="AG221" s="30">
        <v>0</v>
      </c>
      <c r="AI221" s="32">
        <v>45.03</v>
      </c>
      <c r="AK221" s="7" t="str">
        <f t="shared" si="3"/>
        <v>No</v>
      </c>
    </row>
    <row r="222" spans="1:37">
      <c r="A222" s="7" t="s">
        <v>248</v>
      </c>
      <c r="B222" s="7" t="s">
        <v>249</v>
      </c>
      <c r="C222" s="7" t="s">
        <v>52</v>
      </c>
      <c r="D222" s="302">
        <v>5036</v>
      </c>
      <c r="E222" s="297">
        <v>50036</v>
      </c>
      <c r="F222" s="7" t="s">
        <v>165</v>
      </c>
      <c r="G222" s="7" t="s">
        <v>158</v>
      </c>
      <c r="H222" s="8">
        <v>313532</v>
      </c>
      <c r="I222" s="8">
        <v>176</v>
      </c>
      <c r="J222" s="7" t="s">
        <v>10</v>
      </c>
      <c r="K222" s="7" t="s">
        <v>159</v>
      </c>
      <c r="L222" s="8">
        <v>37</v>
      </c>
      <c r="M222" s="8">
        <v>72585</v>
      </c>
      <c r="N222" s="7"/>
      <c r="O222" s="8">
        <v>8058</v>
      </c>
      <c r="P222" s="7"/>
      <c r="Q222" s="8">
        <v>0</v>
      </c>
      <c r="R222" s="7"/>
      <c r="S222" s="8">
        <v>16250</v>
      </c>
      <c r="T222" s="7"/>
      <c r="U222" s="8">
        <v>0</v>
      </c>
      <c r="V222" s="7"/>
      <c r="W222" s="33">
        <v>96893</v>
      </c>
      <c r="X222" s="7"/>
      <c r="Y222" s="30">
        <v>35</v>
      </c>
      <c r="Z222" s="7"/>
      <c r="AA222" s="30">
        <v>4</v>
      </c>
      <c r="AB222" s="7"/>
      <c r="AC222" s="30">
        <v>0</v>
      </c>
      <c r="AD222" s="7"/>
      <c r="AE222" s="30">
        <v>8.4499999999999993</v>
      </c>
      <c r="AF222" s="7"/>
      <c r="AG222" s="30">
        <v>0</v>
      </c>
      <c r="AI222" s="32">
        <v>47.45</v>
      </c>
      <c r="AK222" s="7" t="str">
        <f t="shared" si="3"/>
        <v>No</v>
      </c>
    </row>
    <row r="223" spans="1:37">
      <c r="A223" s="7" t="s">
        <v>318</v>
      </c>
      <c r="B223" s="7" t="s">
        <v>319</v>
      </c>
      <c r="C223" s="7" t="s">
        <v>89</v>
      </c>
      <c r="D223" s="302">
        <v>24</v>
      </c>
      <c r="E223" s="297">
        <v>24</v>
      </c>
      <c r="F223" s="7" t="s">
        <v>165</v>
      </c>
      <c r="G223" s="7" t="s">
        <v>158</v>
      </c>
      <c r="H223" s="8">
        <v>1849898</v>
      </c>
      <c r="I223" s="8">
        <v>176</v>
      </c>
      <c r="J223" s="7" t="s">
        <v>8</v>
      </c>
      <c r="K223" s="7" t="s">
        <v>159</v>
      </c>
      <c r="L223" s="8">
        <v>33</v>
      </c>
      <c r="M223" s="8">
        <v>0</v>
      </c>
      <c r="N223" s="7"/>
      <c r="O223" s="8">
        <v>9</v>
      </c>
      <c r="P223" s="7"/>
      <c r="Q223" s="8">
        <v>136</v>
      </c>
      <c r="R223" s="7"/>
      <c r="S223" s="8">
        <v>3762</v>
      </c>
      <c r="T223" s="7"/>
      <c r="U223" s="8">
        <v>0</v>
      </c>
      <c r="V223" s="7"/>
      <c r="W223" s="33">
        <v>3907</v>
      </c>
      <c r="X223" s="7"/>
      <c r="Y223" s="30">
        <v>0</v>
      </c>
      <c r="Z223" s="7"/>
      <c r="AA223" s="30">
        <v>0.01</v>
      </c>
      <c r="AB223" s="7"/>
      <c r="AC223" s="30">
        <v>7.0000000000000007E-2</v>
      </c>
      <c r="AD223" s="7"/>
      <c r="AE223" s="30">
        <v>2.04</v>
      </c>
      <c r="AF223" s="7"/>
      <c r="AG223" s="30">
        <v>0</v>
      </c>
      <c r="AI223" s="32">
        <v>2.12</v>
      </c>
      <c r="AK223" s="7" t="str">
        <f t="shared" si="3"/>
        <v>No</v>
      </c>
    </row>
    <row r="224" spans="1:37">
      <c r="A224" s="7" t="s">
        <v>449</v>
      </c>
      <c r="B224" s="7" t="s">
        <v>450</v>
      </c>
      <c r="C224" s="7" t="s">
        <v>77</v>
      </c>
      <c r="D224" s="302">
        <v>3010</v>
      </c>
      <c r="E224" s="297">
        <v>30010</v>
      </c>
      <c r="F224" s="7" t="s">
        <v>165</v>
      </c>
      <c r="G224" s="7" t="s">
        <v>158</v>
      </c>
      <c r="H224" s="8">
        <v>664651</v>
      </c>
      <c r="I224" s="8">
        <v>175</v>
      </c>
      <c r="J224" s="7" t="s">
        <v>7</v>
      </c>
      <c r="K224" s="7" t="s">
        <v>159</v>
      </c>
      <c r="L224" s="8">
        <v>71</v>
      </c>
      <c r="M224" s="8">
        <v>363095</v>
      </c>
      <c r="N224" s="7"/>
      <c r="O224" s="8">
        <v>55571</v>
      </c>
      <c r="P224" s="7"/>
      <c r="Q224" s="8">
        <v>20</v>
      </c>
      <c r="R224" s="7"/>
      <c r="S224" s="8">
        <v>33417</v>
      </c>
      <c r="T224" s="7"/>
      <c r="U224" s="8">
        <v>0</v>
      </c>
      <c r="V224" s="7"/>
      <c r="W224" s="33">
        <v>452103</v>
      </c>
      <c r="X224" s="7"/>
      <c r="Y224" s="30">
        <v>168</v>
      </c>
      <c r="Z224" s="7"/>
      <c r="AA224" s="30">
        <v>34</v>
      </c>
      <c r="AB224" s="7"/>
      <c r="AC224" s="30">
        <v>1</v>
      </c>
      <c r="AD224" s="7"/>
      <c r="AE224" s="30">
        <v>18</v>
      </c>
      <c r="AF224" s="7"/>
      <c r="AG224" s="30">
        <v>0</v>
      </c>
      <c r="AI224" s="32">
        <v>221</v>
      </c>
      <c r="AK224" s="7" t="str">
        <f t="shared" si="3"/>
        <v>No</v>
      </c>
    </row>
    <row r="225" spans="1:37">
      <c r="A225" s="7" t="s">
        <v>166</v>
      </c>
      <c r="B225" s="7" t="s">
        <v>167</v>
      </c>
      <c r="C225" s="7" t="s">
        <v>17</v>
      </c>
      <c r="D225" s="302">
        <v>9008</v>
      </c>
      <c r="E225" s="297">
        <v>90008</v>
      </c>
      <c r="F225" s="7" t="s">
        <v>162</v>
      </c>
      <c r="G225" s="7" t="s">
        <v>158</v>
      </c>
      <c r="H225" s="8">
        <v>12150996</v>
      </c>
      <c r="I225" s="8">
        <v>173</v>
      </c>
      <c r="J225" s="7" t="s">
        <v>7</v>
      </c>
      <c r="K225" s="7" t="s">
        <v>159</v>
      </c>
      <c r="L225" s="8">
        <v>167</v>
      </c>
      <c r="M225" s="8">
        <v>751486</v>
      </c>
      <c r="N225" s="7"/>
      <c r="O225" s="8">
        <v>135284</v>
      </c>
      <c r="P225" s="7"/>
      <c r="Q225" s="8">
        <v>8095</v>
      </c>
      <c r="R225" s="7"/>
      <c r="S225" s="8">
        <v>54005</v>
      </c>
      <c r="T225" s="7"/>
      <c r="U225" s="8">
        <v>14292</v>
      </c>
      <c r="V225" s="7"/>
      <c r="W225" s="33">
        <v>963162</v>
      </c>
      <c r="X225" s="7"/>
      <c r="Y225" s="30">
        <v>369</v>
      </c>
      <c r="Z225" s="7"/>
      <c r="AA225" s="30">
        <v>80.650000000000006</v>
      </c>
      <c r="AB225" s="7"/>
      <c r="AC225" s="30">
        <v>7.35</v>
      </c>
      <c r="AD225" s="7"/>
      <c r="AE225" s="30">
        <v>26</v>
      </c>
      <c r="AF225" s="7"/>
      <c r="AG225" s="30">
        <v>7.94</v>
      </c>
      <c r="AI225" s="32">
        <v>490.94</v>
      </c>
      <c r="AK225" s="7" t="str">
        <f t="shared" si="3"/>
        <v>No</v>
      </c>
    </row>
    <row r="226" spans="1:37">
      <c r="A226" s="7" t="s">
        <v>689</v>
      </c>
      <c r="B226" s="7" t="s">
        <v>690</v>
      </c>
      <c r="C226" s="7" t="s">
        <v>44</v>
      </c>
      <c r="D226" s="302">
        <v>7015</v>
      </c>
      <c r="E226" s="297">
        <v>70015</v>
      </c>
      <c r="F226" s="7" t="s">
        <v>162</v>
      </c>
      <c r="G226" s="7" t="s">
        <v>158</v>
      </c>
      <c r="H226" s="8">
        <v>472870</v>
      </c>
      <c r="I226" s="8">
        <v>170</v>
      </c>
      <c r="J226" s="7" t="s">
        <v>7</v>
      </c>
      <c r="K226" s="7" t="s">
        <v>159</v>
      </c>
      <c r="L226" s="8">
        <v>38</v>
      </c>
      <c r="M226" s="8">
        <v>144604</v>
      </c>
      <c r="N226" s="7"/>
      <c r="O226" s="8">
        <v>27460</v>
      </c>
      <c r="P226" s="7"/>
      <c r="Q226" s="8">
        <v>4310</v>
      </c>
      <c r="R226" s="7"/>
      <c r="S226" s="8">
        <v>24283</v>
      </c>
      <c r="T226" s="7"/>
      <c r="U226" s="8">
        <v>0</v>
      </c>
      <c r="V226" s="7"/>
      <c r="W226" s="33">
        <v>200657</v>
      </c>
      <c r="X226" s="7"/>
      <c r="Y226" s="30">
        <v>68.650000000000006</v>
      </c>
      <c r="Z226" s="7"/>
      <c r="AA226" s="30">
        <v>13.63</v>
      </c>
      <c r="AB226" s="7"/>
      <c r="AC226" s="30">
        <v>2.11</v>
      </c>
      <c r="AD226" s="7"/>
      <c r="AE226" s="30">
        <v>13.24</v>
      </c>
      <c r="AF226" s="7"/>
      <c r="AG226" s="30">
        <v>0</v>
      </c>
      <c r="AI226" s="32">
        <v>97.63</v>
      </c>
      <c r="AK226" s="7" t="str">
        <f t="shared" si="3"/>
        <v>No</v>
      </c>
    </row>
    <row r="227" spans="1:37">
      <c r="A227" s="7" t="s">
        <v>320</v>
      </c>
      <c r="B227" s="7" t="s">
        <v>321</v>
      </c>
      <c r="C227" s="7" t="s">
        <v>26</v>
      </c>
      <c r="D227" s="302">
        <v>8005</v>
      </c>
      <c r="E227" s="297">
        <v>80005</v>
      </c>
      <c r="F227" s="7" t="s">
        <v>162</v>
      </c>
      <c r="G227" s="7" t="s">
        <v>158</v>
      </c>
      <c r="H227" s="8">
        <v>559409</v>
      </c>
      <c r="I227" s="8">
        <v>170</v>
      </c>
      <c r="J227" s="7" t="s">
        <v>8</v>
      </c>
      <c r="K227" s="7" t="s">
        <v>159</v>
      </c>
      <c r="L227" s="8">
        <v>34</v>
      </c>
      <c r="M227" s="8">
        <v>0</v>
      </c>
      <c r="N227" s="7"/>
      <c r="O227" s="8">
        <v>2594</v>
      </c>
      <c r="P227" s="7"/>
      <c r="Q227" s="8">
        <v>528</v>
      </c>
      <c r="R227" s="7"/>
      <c r="S227" s="8">
        <v>4792</v>
      </c>
      <c r="T227" s="7"/>
      <c r="U227" s="8">
        <v>0</v>
      </c>
      <c r="V227" s="7"/>
      <c r="W227" s="33">
        <v>7914</v>
      </c>
      <c r="X227" s="7"/>
      <c r="Y227" s="30">
        <v>0</v>
      </c>
      <c r="Z227" s="7"/>
      <c r="AA227" s="30">
        <v>1.5</v>
      </c>
      <c r="AB227" s="7"/>
      <c r="AC227" s="30">
        <v>0.33</v>
      </c>
      <c r="AD227" s="7"/>
      <c r="AE227" s="30">
        <v>2.83</v>
      </c>
      <c r="AF227" s="7"/>
      <c r="AG227" s="30">
        <v>0</v>
      </c>
      <c r="AI227" s="32">
        <v>4.66</v>
      </c>
      <c r="AK227" s="7" t="str">
        <f t="shared" si="3"/>
        <v>No</v>
      </c>
    </row>
    <row r="228" spans="1:37">
      <c r="A228" s="7" t="s">
        <v>689</v>
      </c>
      <c r="B228" s="7" t="s">
        <v>690</v>
      </c>
      <c r="C228" s="7" t="s">
        <v>44</v>
      </c>
      <c r="D228" s="302">
        <v>7015</v>
      </c>
      <c r="E228" s="297">
        <v>70015</v>
      </c>
      <c r="F228" s="7" t="s">
        <v>162</v>
      </c>
      <c r="G228" s="7" t="s">
        <v>158</v>
      </c>
      <c r="H228" s="8">
        <v>472870</v>
      </c>
      <c r="I228" s="8">
        <v>170</v>
      </c>
      <c r="J228" s="7" t="s">
        <v>10</v>
      </c>
      <c r="K228" s="7" t="s">
        <v>159</v>
      </c>
      <c r="L228" s="8">
        <v>23</v>
      </c>
      <c r="M228" s="8">
        <v>46139</v>
      </c>
      <c r="N228" s="7"/>
      <c r="O228" s="8">
        <v>3781</v>
      </c>
      <c r="P228" s="7"/>
      <c r="Q228" s="8">
        <v>491</v>
      </c>
      <c r="R228" s="7"/>
      <c r="S228" s="8">
        <v>2683</v>
      </c>
      <c r="T228" s="7"/>
      <c r="U228" s="8">
        <v>0</v>
      </c>
      <c r="V228" s="7"/>
      <c r="W228" s="33">
        <v>53094</v>
      </c>
      <c r="X228" s="7"/>
      <c r="Y228" s="30">
        <v>23.45</v>
      </c>
      <c r="Z228" s="7"/>
      <c r="AA228" s="30">
        <v>2</v>
      </c>
      <c r="AB228" s="7"/>
      <c r="AC228" s="30">
        <v>0.25</v>
      </c>
      <c r="AD228" s="7"/>
      <c r="AE228" s="30">
        <v>1.45</v>
      </c>
      <c r="AF228" s="7"/>
      <c r="AG228" s="30">
        <v>0</v>
      </c>
      <c r="AI228" s="32">
        <v>27.15</v>
      </c>
      <c r="AK228" s="7" t="str">
        <f t="shared" si="3"/>
        <v>No</v>
      </c>
    </row>
    <row r="229" spans="1:37">
      <c r="A229" s="7" t="s">
        <v>413</v>
      </c>
      <c r="B229" s="7" t="s">
        <v>414</v>
      </c>
      <c r="C229" s="7" t="s">
        <v>63</v>
      </c>
      <c r="D229" s="302">
        <v>2126</v>
      </c>
      <c r="E229" s="297">
        <v>20126</v>
      </c>
      <c r="F229" s="7" t="s">
        <v>173</v>
      </c>
      <c r="G229" s="7" t="s">
        <v>158</v>
      </c>
      <c r="H229" s="8">
        <v>18351295</v>
      </c>
      <c r="I229" s="8">
        <v>161</v>
      </c>
      <c r="J229" s="7" t="s">
        <v>18</v>
      </c>
      <c r="K229" s="7" t="s">
        <v>159</v>
      </c>
      <c r="L229" s="8">
        <v>161</v>
      </c>
      <c r="M229" s="8">
        <v>442184</v>
      </c>
      <c r="N229" s="7"/>
      <c r="O229" s="8">
        <v>106200</v>
      </c>
      <c r="P229" s="7"/>
      <c r="Q229" s="8">
        <v>0</v>
      </c>
      <c r="R229" s="7"/>
      <c r="S229" s="8">
        <v>31816</v>
      </c>
      <c r="T229" s="7"/>
      <c r="U229" s="8">
        <v>0</v>
      </c>
      <c r="V229" s="7"/>
      <c r="W229" s="33">
        <v>580200</v>
      </c>
      <c r="X229" s="7"/>
      <c r="Y229" s="30">
        <v>224</v>
      </c>
      <c r="Z229" s="7"/>
      <c r="AA229" s="30">
        <v>54</v>
      </c>
      <c r="AB229" s="7"/>
      <c r="AC229" s="30">
        <v>0</v>
      </c>
      <c r="AD229" s="7"/>
      <c r="AE229" s="30">
        <v>17</v>
      </c>
      <c r="AF229" s="7"/>
      <c r="AG229" s="30">
        <v>0</v>
      </c>
      <c r="AI229" s="32">
        <v>295</v>
      </c>
      <c r="AK229" s="7" t="str">
        <f t="shared" si="3"/>
        <v>No</v>
      </c>
    </row>
    <row r="230" spans="1:37">
      <c r="A230" s="7" t="s">
        <v>201</v>
      </c>
      <c r="B230" s="7" t="s">
        <v>202</v>
      </c>
      <c r="C230" s="7" t="s">
        <v>52</v>
      </c>
      <c r="D230" s="302">
        <v>5040</v>
      </c>
      <c r="E230" s="297">
        <v>50040</v>
      </c>
      <c r="F230" s="7" t="s">
        <v>165</v>
      </c>
      <c r="G230" s="7" t="s">
        <v>158</v>
      </c>
      <c r="H230" s="8">
        <v>306022</v>
      </c>
      <c r="I230" s="8">
        <v>160</v>
      </c>
      <c r="J230" s="7" t="s">
        <v>7</v>
      </c>
      <c r="K230" s="7" t="s">
        <v>159</v>
      </c>
      <c r="L230" s="8">
        <v>84</v>
      </c>
      <c r="M230" s="8">
        <v>317747</v>
      </c>
      <c r="N230" s="7"/>
      <c r="O230" s="8">
        <v>75225</v>
      </c>
      <c r="P230" s="7"/>
      <c r="Q230" s="8">
        <v>8483</v>
      </c>
      <c r="R230" s="7"/>
      <c r="S230" s="8">
        <v>64476</v>
      </c>
      <c r="T230" s="7"/>
      <c r="U230" s="8">
        <v>0</v>
      </c>
      <c r="V230" s="7"/>
      <c r="W230" s="33">
        <v>465931</v>
      </c>
      <c r="X230" s="7"/>
      <c r="Y230" s="30">
        <v>163.4</v>
      </c>
      <c r="Z230" s="7"/>
      <c r="AA230" s="30">
        <v>50.5</v>
      </c>
      <c r="AB230" s="7"/>
      <c r="AC230" s="30">
        <v>4.9000000000000004</v>
      </c>
      <c r="AD230" s="7"/>
      <c r="AE230" s="30">
        <v>37.799999999999997</v>
      </c>
      <c r="AF230" s="7"/>
      <c r="AG230" s="30">
        <v>0</v>
      </c>
      <c r="AI230" s="32">
        <v>256.60000000000002</v>
      </c>
      <c r="AK230" s="7" t="str">
        <f t="shared" si="3"/>
        <v>No</v>
      </c>
    </row>
    <row r="231" spans="1:37">
      <c r="A231" s="7" t="s">
        <v>201</v>
      </c>
      <c r="B231" s="7" t="s">
        <v>202</v>
      </c>
      <c r="C231" s="7" t="s">
        <v>52</v>
      </c>
      <c r="D231" s="302">
        <v>5040</v>
      </c>
      <c r="E231" s="297">
        <v>50040</v>
      </c>
      <c r="F231" s="7" t="s">
        <v>165</v>
      </c>
      <c r="G231" s="7" t="s">
        <v>158</v>
      </c>
      <c r="H231" s="8">
        <v>306022</v>
      </c>
      <c r="I231" s="8">
        <v>160</v>
      </c>
      <c r="J231" s="7" t="s">
        <v>10</v>
      </c>
      <c r="K231" s="7" t="s">
        <v>159</v>
      </c>
      <c r="L231" s="8">
        <v>9</v>
      </c>
      <c r="M231" s="8">
        <v>13757</v>
      </c>
      <c r="N231" s="7"/>
      <c r="O231" s="8">
        <v>1949</v>
      </c>
      <c r="P231" s="7"/>
      <c r="Q231" s="8">
        <v>228</v>
      </c>
      <c r="R231" s="7"/>
      <c r="S231" s="8">
        <v>1221</v>
      </c>
      <c r="T231" s="7"/>
      <c r="U231" s="8">
        <v>0</v>
      </c>
      <c r="V231" s="7"/>
      <c r="W231" s="33">
        <v>17155</v>
      </c>
      <c r="X231" s="7"/>
      <c r="Y231" s="30">
        <v>0</v>
      </c>
      <c r="Z231" s="7"/>
      <c r="AA231" s="30">
        <v>0</v>
      </c>
      <c r="AB231" s="7"/>
      <c r="AC231" s="30">
        <v>0</v>
      </c>
      <c r="AD231" s="7"/>
      <c r="AE231" s="30">
        <v>0</v>
      </c>
      <c r="AF231" s="7"/>
      <c r="AG231" s="30">
        <v>0</v>
      </c>
      <c r="AI231" s="32">
        <v>0</v>
      </c>
      <c r="AK231" s="7" t="str">
        <f t="shared" si="3"/>
        <v>No</v>
      </c>
    </row>
    <row r="232" spans="1:37">
      <c r="A232" s="7" t="s">
        <v>201</v>
      </c>
      <c r="B232" s="7" t="s">
        <v>202</v>
      </c>
      <c r="C232" s="7" t="s">
        <v>52</v>
      </c>
      <c r="D232" s="302">
        <v>5040</v>
      </c>
      <c r="E232" s="297">
        <v>50040</v>
      </c>
      <c r="F232" s="7" t="s">
        <v>165</v>
      </c>
      <c r="G232" s="7" t="s">
        <v>158</v>
      </c>
      <c r="H232" s="8">
        <v>306022</v>
      </c>
      <c r="I232" s="8">
        <v>160</v>
      </c>
      <c r="J232" s="7" t="s">
        <v>18</v>
      </c>
      <c r="K232" s="7" t="s">
        <v>159</v>
      </c>
      <c r="L232" s="8">
        <v>2</v>
      </c>
      <c r="M232" s="8">
        <v>800</v>
      </c>
      <c r="N232" s="7"/>
      <c r="O232" s="8">
        <v>769</v>
      </c>
      <c r="P232" s="7"/>
      <c r="Q232" s="8">
        <v>145</v>
      </c>
      <c r="R232" s="7"/>
      <c r="S232" s="8">
        <v>320</v>
      </c>
      <c r="T232" s="7"/>
      <c r="U232" s="8">
        <v>0</v>
      </c>
      <c r="V232" s="7"/>
      <c r="W232" s="33">
        <v>2034</v>
      </c>
      <c r="X232" s="7"/>
      <c r="Y232" s="30">
        <v>0.5</v>
      </c>
      <c r="Z232" s="7"/>
      <c r="AA232" s="30">
        <v>0.5</v>
      </c>
      <c r="AB232" s="7"/>
      <c r="AC232" s="30">
        <v>0.08</v>
      </c>
      <c r="AD232" s="7"/>
      <c r="AE232" s="30">
        <v>0.2</v>
      </c>
      <c r="AF232" s="7"/>
      <c r="AG232" s="30">
        <v>0</v>
      </c>
      <c r="AI232" s="32">
        <v>1.28</v>
      </c>
      <c r="AK232" s="7" t="str">
        <f t="shared" si="3"/>
        <v>No</v>
      </c>
    </row>
    <row r="233" spans="1:37">
      <c r="A233" s="7" t="s">
        <v>120</v>
      </c>
      <c r="B233" s="7" t="s">
        <v>564</v>
      </c>
      <c r="C233" s="7" t="s">
        <v>58</v>
      </c>
      <c r="D233" s="302">
        <v>4108</v>
      </c>
      <c r="E233" s="297">
        <v>40108</v>
      </c>
      <c r="F233" s="7" t="s">
        <v>165</v>
      </c>
      <c r="G233" s="7" t="s">
        <v>158</v>
      </c>
      <c r="H233" s="8">
        <v>347602</v>
      </c>
      <c r="I233" s="8">
        <v>153</v>
      </c>
      <c r="J233" s="7" t="s">
        <v>8</v>
      </c>
      <c r="K233" s="7" t="s">
        <v>159</v>
      </c>
      <c r="L233" s="8">
        <v>60</v>
      </c>
      <c r="M233" s="8">
        <v>7347</v>
      </c>
      <c r="N233" s="7"/>
      <c r="O233" s="8">
        <v>7313</v>
      </c>
      <c r="P233" s="7"/>
      <c r="Q233" s="8">
        <v>0</v>
      </c>
      <c r="R233" s="7"/>
      <c r="S233" s="8">
        <v>20135</v>
      </c>
      <c r="T233" s="7"/>
      <c r="U233" s="8">
        <v>0</v>
      </c>
      <c r="V233" s="7"/>
      <c r="W233" s="33">
        <v>34795</v>
      </c>
      <c r="X233" s="7"/>
      <c r="Y233" s="30">
        <v>4</v>
      </c>
      <c r="Z233" s="7"/>
      <c r="AA233" s="30">
        <v>4</v>
      </c>
      <c r="AB233" s="7"/>
      <c r="AC233" s="30">
        <v>0</v>
      </c>
      <c r="AD233" s="7"/>
      <c r="AE233" s="30">
        <v>13.5</v>
      </c>
      <c r="AF233" s="7"/>
      <c r="AG233" s="30">
        <v>0</v>
      </c>
      <c r="AI233" s="32">
        <v>21.5</v>
      </c>
      <c r="AK233" s="7" t="str">
        <f t="shared" si="3"/>
        <v>No</v>
      </c>
    </row>
    <row r="234" spans="1:37">
      <c r="A234" s="7" t="s">
        <v>120</v>
      </c>
      <c r="B234" s="7" t="s">
        <v>564</v>
      </c>
      <c r="C234" s="7" t="s">
        <v>58</v>
      </c>
      <c r="D234" s="302">
        <v>4108</v>
      </c>
      <c r="E234" s="297">
        <v>40108</v>
      </c>
      <c r="F234" s="7" t="s">
        <v>165</v>
      </c>
      <c r="G234" s="7" t="s">
        <v>158</v>
      </c>
      <c r="H234" s="8">
        <v>347602</v>
      </c>
      <c r="I234" s="8">
        <v>153</v>
      </c>
      <c r="J234" s="7" t="s">
        <v>7</v>
      </c>
      <c r="K234" s="7" t="s">
        <v>159</v>
      </c>
      <c r="L234" s="8">
        <v>58</v>
      </c>
      <c r="M234" s="8">
        <v>171069</v>
      </c>
      <c r="N234" s="7"/>
      <c r="O234" s="8">
        <v>39697</v>
      </c>
      <c r="P234" s="7"/>
      <c r="Q234" s="8">
        <v>0</v>
      </c>
      <c r="R234" s="7"/>
      <c r="S234" s="8">
        <v>24162</v>
      </c>
      <c r="T234" s="7"/>
      <c r="U234" s="8">
        <v>0</v>
      </c>
      <c r="V234" s="7"/>
      <c r="W234" s="33">
        <v>234928</v>
      </c>
      <c r="X234" s="7"/>
      <c r="Y234" s="30">
        <v>88</v>
      </c>
      <c r="Z234" s="7"/>
      <c r="AA234" s="30">
        <v>21</v>
      </c>
      <c r="AB234" s="7"/>
      <c r="AC234" s="30">
        <v>0</v>
      </c>
      <c r="AD234" s="7"/>
      <c r="AE234" s="30">
        <v>16.5</v>
      </c>
      <c r="AF234" s="7"/>
      <c r="AG234" s="30">
        <v>0</v>
      </c>
      <c r="AI234" s="32">
        <v>125.5</v>
      </c>
      <c r="AK234" s="7" t="str">
        <f t="shared" si="3"/>
        <v>No</v>
      </c>
    </row>
    <row r="235" spans="1:37">
      <c r="A235" s="7" t="s">
        <v>120</v>
      </c>
      <c r="B235" s="7" t="s">
        <v>564</v>
      </c>
      <c r="C235" s="7" t="s">
        <v>58</v>
      </c>
      <c r="D235" s="302">
        <v>4108</v>
      </c>
      <c r="E235" s="297">
        <v>40108</v>
      </c>
      <c r="F235" s="7" t="s">
        <v>165</v>
      </c>
      <c r="G235" s="7" t="s">
        <v>158</v>
      </c>
      <c r="H235" s="8">
        <v>347602</v>
      </c>
      <c r="I235" s="8">
        <v>153</v>
      </c>
      <c r="J235" s="7" t="s">
        <v>10</v>
      </c>
      <c r="K235" s="7" t="s">
        <v>159</v>
      </c>
      <c r="L235" s="8">
        <v>15</v>
      </c>
      <c r="M235" s="8">
        <v>51857</v>
      </c>
      <c r="N235" s="7"/>
      <c r="O235" s="8">
        <v>5223</v>
      </c>
      <c r="P235" s="7"/>
      <c r="Q235" s="8">
        <v>0</v>
      </c>
      <c r="R235" s="7"/>
      <c r="S235" s="8">
        <v>6041</v>
      </c>
      <c r="T235" s="7"/>
      <c r="U235" s="8">
        <v>0</v>
      </c>
      <c r="V235" s="7"/>
      <c r="W235" s="33">
        <v>63121</v>
      </c>
      <c r="X235" s="7"/>
      <c r="Y235" s="30">
        <v>22</v>
      </c>
      <c r="Z235" s="7"/>
      <c r="AA235" s="30">
        <v>3</v>
      </c>
      <c r="AB235" s="7"/>
      <c r="AC235" s="30">
        <v>0</v>
      </c>
      <c r="AD235" s="7"/>
      <c r="AE235" s="30">
        <v>4</v>
      </c>
      <c r="AF235" s="7"/>
      <c r="AG235" s="30">
        <v>0</v>
      </c>
      <c r="AI235" s="32">
        <v>29</v>
      </c>
      <c r="AK235" s="7" t="str">
        <f t="shared" si="3"/>
        <v>No</v>
      </c>
    </row>
    <row r="236" spans="1:37">
      <c r="A236" s="7" t="s">
        <v>385</v>
      </c>
      <c r="B236" s="7" t="s">
        <v>386</v>
      </c>
      <c r="C236" s="7" t="s">
        <v>17</v>
      </c>
      <c r="D236" s="302">
        <v>9016</v>
      </c>
      <c r="E236" s="297">
        <v>90016</v>
      </c>
      <c r="F236" s="7" t="s">
        <v>165</v>
      </c>
      <c r="G236" s="7" t="s">
        <v>158</v>
      </c>
      <c r="H236" s="8">
        <v>3281212</v>
      </c>
      <c r="I236" s="8">
        <v>152</v>
      </c>
      <c r="J236" s="7" t="s">
        <v>7</v>
      </c>
      <c r="K236" s="7" t="s">
        <v>159</v>
      </c>
      <c r="L236" s="8">
        <v>129</v>
      </c>
      <c r="M236" s="8">
        <v>475644</v>
      </c>
      <c r="N236" s="7"/>
      <c r="O236" s="8">
        <v>71396</v>
      </c>
      <c r="P236" s="7"/>
      <c r="Q236" s="8">
        <v>7373</v>
      </c>
      <c r="R236" s="7"/>
      <c r="S236" s="8">
        <v>130802</v>
      </c>
      <c r="T236" s="7"/>
      <c r="U236" s="8">
        <v>541</v>
      </c>
      <c r="V236" s="7"/>
      <c r="W236" s="33">
        <v>685756</v>
      </c>
      <c r="X236" s="7"/>
      <c r="Y236" s="30">
        <v>248</v>
      </c>
      <c r="Z236" s="7"/>
      <c r="AA236" s="30">
        <v>47</v>
      </c>
      <c r="AB236" s="7"/>
      <c r="AC236" s="30">
        <v>4</v>
      </c>
      <c r="AD236" s="7"/>
      <c r="AE236" s="30">
        <v>70</v>
      </c>
      <c r="AF236" s="7"/>
      <c r="AG236" s="30">
        <v>0.25</v>
      </c>
      <c r="AI236" s="32">
        <v>369.25</v>
      </c>
      <c r="AK236" s="7" t="str">
        <f t="shared" si="3"/>
        <v>No</v>
      </c>
    </row>
    <row r="237" spans="1:37">
      <c r="A237" s="7" t="s">
        <v>514</v>
      </c>
      <c r="B237" s="7" t="s">
        <v>156</v>
      </c>
      <c r="C237" s="7" t="s">
        <v>5</v>
      </c>
      <c r="D237" s="302">
        <v>12</v>
      </c>
      <c r="E237" s="297">
        <v>12</v>
      </c>
      <c r="F237" s="7" t="s">
        <v>162</v>
      </c>
      <c r="G237" s="7" t="s">
        <v>158</v>
      </c>
      <c r="H237" s="8">
        <v>251243</v>
      </c>
      <c r="I237" s="8">
        <v>152</v>
      </c>
      <c r="J237" s="7" t="s">
        <v>7</v>
      </c>
      <c r="K237" s="7" t="s">
        <v>159</v>
      </c>
      <c r="L237" s="8">
        <v>43</v>
      </c>
      <c r="M237" s="8">
        <v>189684</v>
      </c>
      <c r="N237" s="7"/>
      <c r="O237" s="8">
        <v>55731</v>
      </c>
      <c r="P237" s="7"/>
      <c r="Q237" s="8">
        <v>6739</v>
      </c>
      <c r="R237" s="7"/>
      <c r="S237" s="8">
        <v>33910</v>
      </c>
      <c r="T237" s="7"/>
      <c r="U237" s="8">
        <v>1690</v>
      </c>
      <c r="V237" s="7"/>
      <c r="W237" s="33">
        <v>287754</v>
      </c>
      <c r="X237" s="7"/>
      <c r="Y237" s="30">
        <v>104</v>
      </c>
      <c r="Z237" s="7"/>
      <c r="AA237" s="30">
        <v>33</v>
      </c>
      <c r="AB237" s="7"/>
      <c r="AC237" s="30">
        <v>4</v>
      </c>
      <c r="AD237" s="7"/>
      <c r="AE237" s="30">
        <v>20</v>
      </c>
      <c r="AF237" s="7"/>
      <c r="AG237" s="30">
        <v>1</v>
      </c>
      <c r="AI237" s="32">
        <v>162</v>
      </c>
      <c r="AK237" s="7" t="str">
        <f t="shared" si="3"/>
        <v>No</v>
      </c>
    </row>
    <row r="238" spans="1:37">
      <c r="A238" s="7" t="s">
        <v>618</v>
      </c>
      <c r="B238" s="7" t="s">
        <v>619</v>
      </c>
      <c r="C238" s="7" t="s">
        <v>32</v>
      </c>
      <c r="D238" s="302">
        <v>4063</v>
      </c>
      <c r="E238" s="297">
        <v>40063</v>
      </c>
      <c r="F238" s="7" t="s">
        <v>162</v>
      </c>
      <c r="G238" s="7" t="s">
        <v>158</v>
      </c>
      <c r="H238" s="8">
        <v>452791</v>
      </c>
      <c r="I238" s="8">
        <v>152</v>
      </c>
      <c r="J238" s="7" t="s">
        <v>7</v>
      </c>
      <c r="K238" s="7" t="s">
        <v>159</v>
      </c>
      <c r="L238" s="8">
        <v>29</v>
      </c>
      <c r="M238" s="8">
        <v>116600</v>
      </c>
      <c r="N238" s="7"/>
      <c r="O238" s="8">
        <v>0</v>
      </c>
      <c r="P238" s="7"/>
      <c r="Q238" s="8">
        <v>0</v>
      </c>
      <c r="R238" s="7"/>
      <c r="S238" s="8">
        <v>9840</v>
      </c>
      <c r="T238" s="7"/>
      <c r="U238" s="8">
        <v>0</v>
      </c>
      <c r="V238" s="7"/>
      <c r="W238" s="33">
        <v>126440</v>
      </c>
      <c r="X238" s="7"/>
      <c r="Y238" s="30">
        <v>53</v>
      </c>
      <c r="Z238" s="7"/>
      <c r="AA238" s="30">
        <v>0</v>
      </c>
      <c r="AB238" s="7"/>
      <c r="AC238" s="30">
        <v>0</v>
      </c>
      <c r="AD238" s="7"/>
      <c r="AE238" s="30">
        <v>5</v>
      </c>
      <c r="AF238" s="7"/>
      <c r="AG238" s="30">
        <v>0</v>
      </c>
      <c r="AI238" s="32">
        <v>58</v>
      </c>
      <c r="AK238" s="7" t="str">
        <f t="shared" si="3"/>
        <v>No</v>
      </c>
    </row>
    <row r="239" spans="1:37">
      <c r="A239" s="7" t="s">
        <v>618</v>
      </c>
      <c r="B239" s="7" t="s">
        <v>619</v>
      </c>
      <c r="C239" s="7" t="s">
        <v>32</v>
      </c>
      <c r="D239" s="302">
        <v>4063</v>
      </c>
      <c r="E239" s="297">
        <v>40063</v>
      </c>
      <c r="F239" s="7" t="s">
        <v>162</v>
      </c>
      <c r="G239" s="7" t="s">
        <v>158</v>
      </c>
      <c r="H239" s="8">
        <v>452791</v>
      </c>
      <c r="I239" s="8">
        <v>152</v>
      </c>
      <c r="J239" s="7" t="s">
        <v>10</v>
      </c>
      <c r="K239" s="7" t="s">
        <v>159</v>
      </c>
      <c r="L239" s="8">
        <v>27</v>
      </c>
      <c r="M239" s="8">
        <v>57120</v>
      </c>
      <c r="N239" s="7"/>
      <c r="O239" s="8">
        <v>0</v>
      </c>
      <c r="P239" s="7"/>
      <c r="Q239" s="8">
        <v>0</v>
      </c>
      <c r="R239" s="7"/>
      <c r="S239" s="8">
        <v>5960</v>
      </c>
      <c r="T239" s="7"/>
      <c r="U239" s="8">
        <v>0</v>
      </c>
      <c r="V239" s="7"/>
      <c r="W239" s="33">
        <v>63080</v>
      </c>
      <c r="X239" s="7"/>
      <c r="Y239" s="30">
        <v>28</v>
      </c>
      <c r="Z239" s="7"/>
      <c r="AA239" s="30">
        <v>0</v>
      </c>
      <c r="AB239" s="7"/>
      <c r="AC239" s="30">
        <v>0</v>
      </c>
      <c r="AD239" s="7"/>
      <c r="AE239" s="30">
        <v>3</v>
      </c>
      <c r="AF239" s="7"/>
      <c r="AG239" s="30">
        <v>0</v>
      </c>
      <c r="AI239" s="32">
        <v>31</v>
      </c>
      <c r="AK239" s="7" t="str">
        <f t="shared" si="3"/>
        <v>No</v>
      </c>
    </row>
    <row r="240" spans="1:37">
      <c r="A240" s="7" t="s">
        <v>385</v>
      </c>
      <c r="B240" s="7" t="s">
        <v>386</v>
      </c>
      <c r="C240" s="7" t="s">
        <v>17</v>
      </c>
      <c r="D240" s="302">
        <v>9016</v>
      </c>
      <c r="E240" s="297">
        <v>90016</v>
      </c>
      <c r="F240" s="7" t="s">
        <v>165</v>
      </c>
      <c r="G240" s="7" t="s">
        <v>158</v>
      </c>
      <c r="H240" s="8">
        <v>3281212</v>
      </c>
      <c r="I240" s="8">
        <v>152</v>
      </c>
      <c r="J240" s="7" t="s">
        <v>19</v>
      </c>
      <c r="K240" s="7" t="s">
        <v>159</v>
      </c>
      <c r="L240" s="8">
        <v>6</v>
      </c>
      <c r="M240" s="8">
        <v>112710</v>
      </c>
      <c r="N240" s="7"/>
      <c r="O240" s="8">
        <v>13727</v>
      </c>
      <c r="P240" s="7"/>
      <c r="Q240" s="8">
        <v>5077</v>
      </c>
      <c r="R240" s="7"/>
      <c r="S240" s="8">
        <v>66268</v>
      </c>
      <c r="T240" s="7"/>
      <c r="U240" s="8">
        <v>838</v>
      </c>
      <c r="V240" s="7"/>
      <c r="W240" s="33">
        <v>198620</v>
      </c>
      <c r="X240" s="7"/>
      <c r="Y240" s="30">
        <v>57</v>
      </c>
      <c r="Z240" s="7"/>
      <c r="AA240" s="30">
        <v>11.5</v>
      </c>
      <c r="AB240" s="7"/>
      <c r="AC240" s="30">
        <v>2.5</v>
      </c>
      <c r="AD240" s="7"/>
      <c r="AE240" s="30">
        <v>33</v>
      </c>
      <c r="AF240" s="7"/>
      <c r="AG240" s="30">
        <v>0.4</v>
      </c>
      <c r="AI240" s="32">
        <v>104.4</v>
      </c>
      <c r="AK240" s="7" t="str">
        <f t="shared" si="3"/>
        <v>No</v>
      </c>
    </row>
    <row r="241" spans="1:37">
      <c r="A241" s="7" t="s">
        <v>472</v>
      </c>
      <c r="B241" s="7" t="s">
        <v>473</v>
      </c>
      <c r="C241" s="7" t="s">
        <v>83</v>
      </c>
      <c r="D241" s="302">
        <v>4003</v>
      </c>
      <c r="E241" s="297">
        <v>40003</v>
      </c>
      <c r="F241" s="7" t="s">
        <v>162</v>
      </c>
      <c r="G241" s="7" t="s">
        <v>158</v>
      </c>
      <c r="H241" s="8">
        <v>1060061</v>
      </c>
      <c r="I241" s="8">
        <v>150</v>
      </c>
      <c r="J241" s="7" t="s">
        <v>7</v>
      </c>
      <c r="K241" s="7" t="s">
        <v>159</v>
      </c>
      <c r="L241" s="8">
        <v>108</v>
      </c>
      <c r="M241" s="8">
        <v>499016</v>
      </c>
      <c r="N241" s="7"/>
      <c r="O241" s="8">
        <v>113508</v>
      </c>
      <c r="P241" s="7"/>
      <c r="Q241" s="8">
        <v>10070</v>
      </c>
      <c r="R241" s="7"/>
      <c r="S241" s="8">
        <v>91288</v>
      </c>
      <c r="T241" s="7"/>
      <c r="U241" s="8">
        <v>0</v>
      </c>
      <c r="V241" s="7"/>
      <c r="W241" s="33">
        <v>713882</v>
      </c>
      <c r="X241" s="7"/>
      <c r="Y241" s="30">
        <v>241</v>
      </c>
      <c r="Z241" s="7"/>
      <c r="AA241" s="30">
        <v>71</v>
      </c>
      <c r="AB241" s="7"/>
      <c r="AC241" s="30">
        <v>6</v>
      </c>
      <c r="AD241" s="7"/>
      <c r="AE241" s="30">
        <v>43.5</v>
      </c>
      <c r="AF241" s="7"/>
      <c r="AG241" s="30">
        <v>0</v>
      </c>
      <c r="AI241" s="32">
        <v>361.5</v>
      </c>
      <c r="AK241" s="7" t="str">
        <f t="shared" si="3"/>
        <v>No</v>
      </c>
    </row>
    <row r="242" spans="1:37">
      <c r="A242" s="7" t="s">
        <v>472</v>
      </c>
      <c r="B242" s="7" t="s">
        <v>473</v>
      </c>
      <c r="C242" s="7" t="s">
        <v>83</v>
      </c>
      <c r="D242" s="302">
        <v>4003</v>
      </c>
      <c r="E242" s="297">
        <v>40003</v>
      </c>
      <c r="F242" s="7" t="s">
        <v>162</v>
      </c>
      <c r="G242" s="7" t="s">
        <v>158</v>
      </c>
      <c r="H242" s="8">
        <v>1060061</v>
      </c>
      <c r="I242" s="8">
        <v>150</v>
      </c>
      <c r="J242" s="7" t="s">
        <v>10</v>
      </c>
      <c r="K242" s="7" t="s">
        <v>159</v>
      </c>
      <c r="L242" s="8">
        <v>42</v>
      </c>
      <c r="M242" s="8">
        <v>133017</v>
      </c>
      <c r="N242" s="7"/>
      <c r="O242" s="8">
        <v>5967</v>
      </c>
      <c r="P242" s="7"/>
      <c r="Q242" s="8">
        <v>43</v>
      </c>
      <c r="R242" s="7"/>
      <c r="S242" s="8">
        <v>4320</v>
      </c>
      <c r="T242" s="7"/>
      <c r="U242" s="8">
        <v>0</v>
      </c>
      <c r="V242" s="7"/>
      <c r="W242" s="33">
        <v>143347</v>
      </c>
      <c r="X242" s="7"/>
      <c r="Y242" s="30">
        <v>71</v>
      </c>
      <c r="Z242" s="7"/>
      <c r="AA242" s="30">
        <v>4</v>
      </c>
      <c r="AB242" s="7"/>
      <c r="AC242" s="30">
        <v>0</v>
      </c>
      <c r="AD242" s="7"/>
      <c r="AE242" s="30">
        <v>2.5</v>
      </c>
      <c r="AF242" s="7"/>
      <c r="AG242" s="30">
        <v>0</v>
      </c>
      <c r="AI242" s="32">
        <v>77.5</v>
      </c>
      <c r="AK242" s="7" t="str">
        <f t="shared" si="3"/>
        <v>No</v>
      </c>
    </row>
    <row r="243" spans="1:37">
      <c r="A243" s="7" t="s">
        <v>472</v>
      </c>
      <c r="B243" s="7" t="s">
        <v>473</v>
      </c>
      <c r="C243" s="7" t="s">
        <v>83</v>
      </c>
      <c r="D243" s="302">
        <v>4003</v>
      </c>
      <c r="E243" s="297">
        <v>40003</v>
      </c>
      <c r="F243" s="7" t="s">
        <v>162</v>
      </c>
      <c r="G243" s="7" t="s">
        <v>158</v>
      </c>
      <c r="H243" s="8">
        <v>1060061</v>
      </c>
      <c r="I243" s="8">
        <v>150</v>
      </c>
      <c r="J243" s="7" t="s">
        <v>12</v>
      </c>
      <c r="K243" s="7" t="s">
        <v>159</v>
      </c>
      <c r="L243" s="8">
        <v>0</v>
      </c>
      <c r="M243" s="8">
        <v>0</v>
      </c>
      <c r="N243" s="7"/>
      <c r="O243" s="8">
        <v>32857</v>
      </c>
      <c r="P243" s="7"/>
      <c r="Q243" s="8">
        <v>0</v>
      </c>
      <c r="R243" s="7"/>
      <c r="S243" s="8">
        <v>9867</v>
      </c>
      <c r="T243" s="7"/>
      <c r="U243" s="8">
        <v>0</v>
      </c>
      <c r="V243" s="7"/>
      <c r="W243" s="33">
        <v>42724</v>
      </c>
      <c r="X243" s="7"/>
      <c r="Y243" s="30">
        <v>0</v>
      </c>
      <c r="Z243" s="7"/>
      <c r="AA243" s="30">
        <v>15</v>
      </c>
      <c r="AB243" s="7"/>
      <c r="AC243" s="30">
        <v>0</v>
      </c>
      <c r="AD243" s="7"/>
      <c r="AE243" s="30">
        <v>5</v>
      </c>
      <c r="AF243" s="7"/>
      <c r="AG243" s="30">
        <v>0</v>
      </c>
      <c r="AI243" s="32">
        <v>20</v>
      </c>
      <c r="AK243" s="7" t="str">
        <f t="shared" si="3"/>
        <v>No</v>
      </c>
    </row>
    <row r="244" spans="1:37">
      <c r="A244" s="7" t="s">
        <v>459</v>
      </c>
      <c r="B244" s="7" t="s">
        <v>460</v>
      </c>
      <c r="C244" s="7" t="s">
        <v>40</v>
      </c>
      <c r="D244" s="302">
        <v>5146</v>
      </c>
      <c r="E244" s="297">
        <v>50146</v>
      </c>
      <c r="F244" s="7" t="s">
        <v>165</v>
      </c>
      <c r="G244" s="7" t="s">
        <v>158</v>
      </c>
      <c r="H244" s="8">
        <v>2150706</v>
      </c>
      <c r="I244" s="8">
        <v>145</v>
      </c>
      <c r="J244" s="7" t="s">
        <v>8</v>
      </c>
      <c r="K244" s="7" t="s">
        <v>159</v>
      </c>
      <c r="L244" s="8">
        <v>52</v>
      </c>
      <c r="M244" s="8">
        <v>0</v>
      </c>
      <c r="N244" s="7"/>
      <c r="O244" s="8">
        <v>2030</v>
      </c>
      <c r="P244" s="7"/>
      <c r="Q244" s="8">
        <v>0</v>
      </c>
      <c r="R244" s="7"/>
      <c r="S244" s="8">
        <v>8769</v>
      </c>
      <c r="T244" s="7"/>
      <c r="U244" s="8">
        <v>0</v>
      </c>
      <c r="V244" s="7"/>
      <c r="W244" s="33">
        <v>10799</v>
      </c>
      <c r="X244" s="7"/>
      <c r="Y244" s="30">
        <v>0</v>
      </c>
      <c r="Z244" s="7"/>
      <c r="AA244" s="30">
        <v>1.1000000000000001</v>
      </c>
      <c r="AB244" s="7"/>
      <c r="AC244" s="30">
        <v>0</v>
      </c>
      <c r="AD244" s="7"/>
      <c r="AE244" s="30">
        <v>3.7</v>
      </c>
      <c r="AF244" s="7"/>
      <c r="AG244" s="30">
        <v>0</v>
      </c>
      <c r="AI244" s="32">
        <v>4.8</v>
      </c>
      <c r="AK244" s="7" t="str">
        <f t="shared" si="3"/>
        <v>No</v>
      </c>
    </row>
    <row r="245" spans="1:37">
      <c r="A245" s="7" t="s">
        <v>379</v>
      </c>
      <c r="B245" s="7" t="s">
        <v>380</v>
      </c>
      <c r="C245" s="7" t="s">
        <v>32</v>
      </c>
      <c r="D245" s="302">
        <v>4030</v>
      </c>
      <c r="E245" s="297">
        <v>40030</v>
      </c>
      <c r="F245" s="7" t="s">
        <v>162</v>
      </c>
      <c r="G245" s="7" t="s">
        <v>158</v>
      </c>
      <c r="H245" s="8">
        <v>187781</v>
      </c>
      <c r="I245" s="8">
        <v>143</v>
      </c>
      <c r="J245" s="7" t="s">
        <v>7</v>
      </c>
      <c r="K245" s="7" t="s">
        <v>159</v>
      </c>
      <c r="L245" s="8">
        <v>108</v>
      </c>
      <c r="M245" s="8">
        <v>455226</v>
      </c>
      <c r="N245" s="7"/>
      <c r="O245" s="8">
        <v>76411</v>
      </c>
      <c r="P245" s="7"/>
      <c r="Q245" s="8">
        <v>8402</v>
      </c>
      <c r="R245" s="7"/>
      <c r="S245" s="8">
        <v>79776</v>
      </c>
      <c r="T245" s="7"/>
      <c r="U245" s="8">
        <v>0</v>
      </c>
      <c r="V245" s="7"/>
      <c r="W245" s="33">
        <v>619815</v>
      </c>
      <c r="X245" s="7"/>
      <c r="Y245" s="30">
        <v>230</v>
      </c>
      <c r="Z245" s="7"/>
      <c r="AA245" s="30">
        <v>43</v>
      </c>
      <c r="AB245" s="7"/>
      <c r="AC245" s="30">
        <v>5</v>
      </c>
      <c r="AD245" s="7"/>
      <c r="AE245" s="30">
        <v>43</v>
      </c>
      <c r="AF245" s="7"/>
      <c r="AG245" s="30">
        <v>0</v>
      </c>
      <c r="AI245" s="32">
        <v>321</v>
      </c>
      <c r="AK245" s="7" t="str">
        <f t="shared" si="3"/>
        <v>No</v>
      </c>
    </row>
    <row r="246" spans="1:37">
      <c r="A246" s="7" t="s">
        <v>257</v>
      </c>
      <c r="B246" s="7" t="s">
        <v>258</v>
      </c>
      <c r="C246" s="7" t="s">
        <v>17</v>
      </c>
      <c r="D246" s="302">
        <v>9078</v>
      </c>
      <c r="E246" s="297">
        <v>90078</v>
      </c>
      <c r="F246" s="7" t="s">
        <v>165</v>
      </c>
      <c r="G246" s="7" t="s">
        <v>158</v>
      </c>
      <c r="H246" s="8">
        <v>615968</v>
      </c>
      <c r="I246" s="8">
        <v>143</v>
      </c>
      <c r="J246" s="7" t="s">
        <v>7</v>
      </c>
      <c r="K246" s="7" t="s">
        <v>159</v>
      </c>
      <c r="L246" s="8">
        <v>93</v>
      </c>
      <c r="M246" s="8">
        <v>327567</v>
      </c>
      <c r="N246" s="7"/>
      <c r="O246" s="8">
        <v>57348</v>
      </c>
      <c r="P246" s="7"/>
      <c r="Q246" s="8">
        <v>9376</v>
      </c>
      <c r="R246" s="7"/>
      <c r="S246" s="8">
        <v>59380</v>
      </c>
      <c r="T246" s="7"/>
      <c r="U246" s="8">
        <v>0</v>
      </c>
      <c r="V246" s="7"/>
      <c r="W246" s="33">
        <v>453671</v>
      </c>
      <c r="X246" s="7"/>
      <c r="Y246" s="30">
        <v>187</v>
      </c>
      <c r="Z246" s="7"/>
      <c r="AA246" s="30">
        <v>32</v>
      </c>
      <c r="AB246" s="7"/>
      <c r="AC246" s="30">
        <v>5</v>
      </c>
      <c r="AD246" s="7"/>
      <c r="AE246" s="30">
        <v>33</v>
      </c>
      <c r="AF246" s="7"/>
      <c r="AG246" s="30">
        <v>0</v>
      </c>
      <c r="AI246" s="32">
        <v>257</v>
      </c>
      <c r="AK246" s="7" t="str">
        <f t="shared" si="3"/>
        <v>No</v>
      </c>
    </row>
    <row r="247" spans="1:37">
      <c r="A247" s="7" t="s">
        <v>27</v>
      </c>
      <c r="B247" s="7" t="s">
        <v>563</v>
      </c>
      <c r="C247" s="7" t="s">
        <v>26</v>
      </c>
      <c r="D247" s="302">
        <v>8109</v>
      </c>
      <c r="E247" s="297">
        <v>80109</v>
      </c>
      <c r="F247" s="7" t="s">
        <v>243</v>
      </c>
      <c r="G247" s="7" t="s">
        <v>158</v>
      </c>
      <c r="H247" s="8">
        <v>2374203</v>
      </c>
      <c r="I247" s="8">
        <v>135</v>
      </c>
      <c r="J247" s="7" t="s">
        <v>8</v>
      </c>
      <c r="K247" s="7" t="s">
        <v>159</v>
      </c>
      <c r="L247" s="8">
        <v>135</v>
      </c>
      <c r="M247" s="8">
        <v>0</v>
      </c>
      <c r="N247" s="7"/>
      <c r="O247" s="8">
        <v>0</v>
      </c>
      <c r="P247" s="7"/>
      <c r="Q247" s="8">
        <v>0</v>
      </c>
      <c r="R247" s="7"/>
      <c r="S247" s="8">
        <v>4450</v>
      </c>
      <c r="T247" s="7"/>
      <c r="U247" s="8">
        <v>0</v>
      </c>
      <c r="V247" s="7"/>
      <c r="W247" s="33">
        <v>4450</v>
      </c>
      <c r="X247" s="7"/>
      <c r="Y247" s="30">
        <v>0</v>
      </c>
      <c r="Z247" s="7"/>
      <c r="AA247" s="30">
        <v>0</v>
      </c>
      <c r="AB247" s="7"/>
      <c r="AC247" s="30">
        <v>0</v>
      </c>
      <c r="AD247" s="7"/>
      <c r="AE247" s="30">
        <v>3</v>
      </c>
      <c r="AF247" s="7"/>
      <c r="AG247" s="30">
        <v>0</v>
      </c>
      <c r="AI247" s="32">
        <v>3</v>
      </c>
      <c r="AK247" s="7" t="str">
        <f t="shared" si="3"/>
        <v>No</v>
      </c>
    </row>
    <row r="248" spans="1:37">
      <c r="A248" s="7" t="s">
        <v>23</v>
      </c>
      <c r="B248" s="7" t="s">
        <v>578</v>
      </c>
      <c r="C248" s="7" t="s">
        <v>17</v>
      </c>
      <c r="D248" s="302">
        <v>9223</v>
      </c>
      <c r="E248" s="297">
        <v>90223</v>
      </c>
      <c r="F248" s="7" t="s">
        <v>165</v>
      </c>
      <c r="G248" s="7" t="s">
        <v>158</v>
      </c>
      <c r="H248" s="8">
        <v>1723634</v>
      </c>
      <c r="I248" s="8">
        <v>134</v>
      </c>
      <c r="J248" s="7" t="s">
        <v>10</v>
      </c>
      <c r="K248" s="7" t="s">
        <v>159</v>
      </c>
      <c r="L248" s="8">
        <v>93</v>
      </c>
      <c r="M248" s="8">
        <v>341324</v>
      </c>
      <c r="N248" s="7"/>
      <c r="O248" s="8">
        <v>20515</v>
      </c>
      <c r="P248" s="7"/>
      <c r="Q248" s="8">
        <v>2175</v>
      </c>
      <c r="R248" s="7"/>
      <c r="S248" s="8">
        <v>41359</v>
      </c>
      <c r="T248" s="7"/>
      <c r="U248" s="8">
        <v>0</v>
      </c>
      <c r="V248" s="7"/>
      <c r="W248" s="33">
        <v>405373</v>
      </c>
      <c r="X248" s="7"/>
      <c r="Y248" s="30">
        <v>172.1</v>
      </c>
      <c r="Z248" s="7"/>
      <c r="AA248" s="30">
        <v>11.7</v>
      </c>
      <c r="AB248" s="7"/>
      <c r="AC248" s="30">
        <v>0.5</v>
      </c>
      <c r="AD248" s="7"/>
      <c r="AE248" s="30">
        <v>22.9</v>
      </c>
      <c r="AF248" s="7"/>
      <c r="AG248" s="30">
        <v>0</v>
      </c>
      <c r="AI248" s="32">
        <v>207.2</v>
      </c>
      <c r="AK248" s="7" t="str">
        <f t="shared" si="3"/>
        <v>No</v>
      </c>
    </row>
    <row r="249" spans="1:37">
      <c r="A249" s="7" t="s">
        <v>338</v>
      </c>
      <c r="B249" s="7" t="s">
        <v>339</v>
      </c>
      <c r="C249" s="7" t="s">
        <v>32</v>
      </c>
      <c r="D249" s="302">
        <v>4032</v>
      </c>
      <c r="E249" s="297">
        <v>40032</v>
      </c>
      <c r="F249" s="7" t="s">
        <v>162</v>
      </c>
      <c r="G249" s="7" t="s">
        <v>158</v>
      </c>
      <c r="H249" s="8">
        <v>349064</v>
      </c>
      <c r="I249" s="8">
        <v>133</v>
      </c>
      <c r="J249" s="7" t="s">
        <v>7</v>
      </c>
      <c r="K249" s="7" t="s">
        <v>159</v>
      </c>
      <c r="L249" s="8">
        <v>54</v>
      </c>
      <c r="M249" s="8">
        <v>222912</v>
      </c>
      <c r="N249" s="7"/>
      <c r="O249" s="8">
        <v>42227</v>
      </c>
      <c r="P249" s="7"/>
      <c r="Q249" s="8">
        <v>19105</v>
      </c>
      <c r="R249" s="7"/>
      <c r="S249" s="8">
        <v>41862</v>
      </c>
      <c r="T249" s="7"/>
      <c r="U249" s="8">
        <v>0</v>
      </c>
      <c r="V249" s="7"/>
      <c r="W249" s="33">
        <v>326106</v>
      </c>
      <c r="X249" s="7"/>
      <c r="Y249" s="30">
        <v>112</v>
      </c>
      <c r="Z249" s="7"/>
      <c r="AA249" s="30">
        <v>21</v>
      </c>
      <c r="AB249" s="7"/>
      <c r="AC249" s="30">
        <v>9</v>
      </c>
      <c r="AD249" s="7"/>
      <c r="AE249" s="30">
        <v>25</v>
      </c>
      <c r="AF249" s="7"/>
      <c r="AG249" s="30">
        <v>0</v>
      </c>
      <c r="AI249" s="32">
        <v>167</v>
      </c>
      <c r="AK249" s="7" t="str">
        <f t="shared" si="3"/>
        <v>No</v>
      </c>
    </row>
    <row r="250" spans="1:37">
      <c r="A250" s="7" t="s">
        <v>338</v>
      </c>
      <c r="B250" s="7" t="s">
        <v>339</v>
      </c>
      <c r="C250" s="7" t="s">
        <v>32</v>
      </c>
      <c r="D250" s="302">
        <v>4032</v>
      </c>
      <c r="E250" s="297">
        <v>40032</v>
      </c>
      <c r="F250" s="7" t="s">
        <v>162</v>
      </c>
      <c r="G250" s="7" t="s">
        <v>158</v>
      </c>
      <c r="H250" s="8">
        <v>349064</v>
      </c>
      <c r="I250" s="8">
        <v>133</v>
      </c>
      <c r="J250" s="7" t="s">
        <v>10</v>
      </c>
      <c r="K250" s="7" t="s">
        <v>159</v>
      </c>
      <c r="L250" s="8">
        <v>49</v>
      </c>
      <c r="M250" s="8">
        <v>123571</v>
      </c>
      <c r="N250" s="7"/>
      <c r="O250" s="8">
        <v>18497</v>
      </c>
      <c r="P250" s="7"/>
      <c r="Q250" s="8">
        <v>1498</v>
      </c>
      <c r="R250" s="7"/>
      <c r="S250" s="8">
        <v>34305</v>
      </c>
      <c r="T250" s="7"/>
      <c r="U250" s="8">
        <v>0</v>
      </c>
      <c r="V250" s="7"/>
      <c r="W250" s="33">
        <v>177871</v>
      </c>
      <c r="X250" s="7"/>
      <c r="Y250" s="30">
        <v>71</v>
      </c>
      <c r="Z250" s="7"/>
      <c r="AA250" s="30">
        <v>12</v>
      </c>
      <c r="AB250" s="7"/>
      <c r="AC250" s="30">
        <v>0.9</v>
      </c>
      <c r="AD250" s="7"/>
      <c r="AE250" s="30">
        <v>19</v>
      </c>
      <c r="AF250" s="7"/>
      <c r="AG250" s="30">
        <v>0</v>
      </c>
      <c r="AI250" s="32">
        <v>102.9</v>
      </c>
      <c r="AK250" s="7" t="str">
        <f t="shared" si="3"/>
        <v>No</v>
      </c>
    </row>
    <row r="251" spans="1:37">
      <c r="A251" s="7" t="s">
        <v>377</v>
      </c>
      <c r="B251" s="7" t="s">
        <v>378</v>
      </c>
      <c r="C251" s="7" t="s">
        <v>17</v>
      </c>
      <c r="D251" s="302">
        <v>9027</v>
      </c>
      <c r="E251" s="297">
        <v>90027</v>
      </c>
      <c r="F251" s="7" t="s">
        <v>162</v>
      </c>
      <c r="G251" s="7" t="s">
        <v>158</v>
      </c>
      <c r="H251" s="8">
        <v>654628</v>
      </c>
      <c r="I251" s="8">
        <v>129</v>
      </c>
      <c r="J251" s="7" t="s">
        <v>7</v>
      </c>
      <c r="K251" s="7" t="s">
        <v>159</v>
      </c>
      <c r="L251" s="8">
        <v>80</v>
      </c>
      <c r="M251" s="8">
        <v>453170</v>
      </c>
      <c r="N251" s="7"/>
      <c r="O251" s="8">
        <v>86273</v>
      </c>
      <c r="P251" s="7"/>
      <c r="Q251" s="8">
        <v>14810</v>
      </c>
      <c r="R251" s="7"/>
      <c r="S251" s="8">
        <v>51185</v>
      </c>
      <c r="T251" s="7"/>
      <c r="U251" s="8">
        <v>0</v>
      </c>
      <c r="V251" s="7"/>
      <c r="W251" s="33">
        <v>605438</v>
      </c>
      <c r="X251" s="7"/>
      <c r="Y251" s="30">
        <v>236</v>
      </c>
      <c r="Z251" s="7"/>
      <c r="AA251" s="30">
        <v>48</v>
      </c>
      <c r="AB251" s="7"/>
      <c r="AC251" s="30">
        <v>8</v>
      </c>
      <c r="AD251" s="7"/>
      <c r="AE251" s="30">
        <v>25</v>
      </c>
      <c r="AF251" s="7"/>
      <c r="AG251" s="30">
        <v>0</v>
      </c>
      <c r="AI251" s="32">
        <v>317</v>
      </c>
      <c r="AK251" s="7" t="str">
        <f t="shared" si="3"/>
        <v>No</v>
      </c>
    </row>
    <row r="252" spans="1:37">
      <c r="A252" s="7" t="s">
        <v>174</v>
      </c>
      <c r="B252" s="7" t="s">
        <v>175</v>
      </c>
      <c r="C252" s="7" t="s">
        <v>48</v>
      </c>
      <c r="D252" s="302">
        <v>3085</v>
      </c>
      <c r="E252" s="297">
        <v>30085</v>
      </c>
      <c r="F252" s="7" t="s">
        <v>162</v>
      </c>
      <c r="G252" s="7" t="s">
        <v>158</v>
      </c>
      <c r="H252" s="8">
        <v>4586770</v>
      </c>
      <c r="I252" s="8">
        <v>128</v>
      </c>
      <c r="J252" s="7" t="s">
        <v>10</v>
      </c>
      <c r="K252" s="7" t="s">
        <v>159</v>
      </c>
      <c r="L252" s="8">
        <v>52</v>
      </c>
      <c r="M252" s="8">
        <v>52291</v>
      </c>
      <c r="N252" s="7"/>
      <c r="O252" s="8">
        <v>3219</v>
      </c>
      <c r="P252" s="7"/>
      <c r="Q252" s="8">
        <v>2972</v>
      </c>
      <c r="R252" s="7"/>
      <c r="S252" s="8">
        <v>12922</v>
      </c>
      <c r="T252" s="7"/>
      <c r="U252" s="8">
        <v>0</v>
      </c>
      <c r="V252" s="7"/>
      <c r="W252" s="33">
        <v>71404</v>
      </c>
      <c r="X252" s="7"/>
      <c r="Y252" s="30">
        <v>27.75</v>
      </c>
      <c r="Z252" s="7"/>
      <c r="AA252" s="30">
        <v>1.95</v>
      </c>
      <c r="AB252" s="7"/>
      <c r="AC252" s="30">
        <v>1.8</v>
      </c>
      <c r="AD252" s="7"/>
      <c r="AE252" s="30">
        <v>7.83</v>
      </c>
      <c r="AF252" s="7"/>
      <c r="AG252" s="30">
        <v>0</v>
      </c>
      <c r="AI252" s="32">
        <v>39.33</v>
      </c>
      <c r="AK252" s="7" t="str">
        <f t="shared" si="3"/>
        <v>No</v>
      </c>
    </row>
    <row r="253" spans="1:37">
      <c r="A253" s="7" t="s">
        <v>1110</v>
      </c>
      <c r="B253" s="7" t="s">
        <v>409</v>
      </c>
      <c r="C253" s="7" t="s">
        <v>84</v>
      </c>
      <c r="D253" s="302">
        <v>6084</v>
      </c>
      <c r="E253" s="297">
        <v>60084</v>
      </c>
      <c r="F253" s="7" t="s">
        <v>243</v>
      </c>
      <c r="G253" s="7" t="s">
        <v>158</v>
      </c>
      <c r="H253" s="8">
        <v>5121892</v>
      </c>
      <c r="I253" s="8">
        <v>127</v>
      </c>
      <c r="J253" s="7" t="s">
        <v>8</v>
      </c>
      <c r="K253" s="7" t="s">
        <v>159</v>
      </c>
      <c r="L253" s="8">
        <v>127</v>
      </c>
      <c r="M253" s="8">
        <v>0</v>
      </c>
      <c r="N253" s="7"/>
      <c r="O253" s="8">
        <v>0</v>
      </c>
      <c r="P253" s="7"/>
      <c r="Q253" s="8">
        <v>0</v>
      </c>
      <c r="R253" s="7"/>
      <c r="S253" s="8">
        <v>5542</v>
      </c>
      <c r="T253" s="7"/>
      <c r="U253" s="8">
        <v>0</v>
      </c>
      <c r="V253" s="7"/>
      <c r="W253" s="33">
        <v>5542</v>
      </c>
      <c r="X253" s="7"/>
      <c r="Y253" s="30">
        <v>0</v>
      </c>
      <c r="Z253" s="7"/>
      <c r="AA253" s="30">
        <v>0</v>
      </c>
      <c r="AB253" s="7"/>
      <c r="AC253" s="30">
        <v>0</v>
      </c>
      <c r="AD253" s="7"/>
      <c r="AE253" s="30">
        <v>3</v>
      </c>
      <c r="AF253" s="7"/>
      <c r="AG253" s="30">
        <v>0</v>
      </c>
      <c r="AI253" s="32">
        <v>3</v>
      </c>
      <c r="AK253" s="7" t="str">
        <f t="shared" si="3"/>
        <v>No</v>
      </c>
    </row>
    <row r="254" spans="1:37">
      <c r="A254" s="7" t="s">
        <v>168</v>
      </c>
      <c r="B254" s="7" t="s">
        <v>169</v>
      </c>
      <c r="C254" s="7" t="s">
        <v>84</v>
      </c>
      <c r="D254" s="302">
        <v>6091</v>
      </c>
      <c r="E254" s="297">
        <v>60091</v>
      </c>
      <c r="F254" s="7" t="s">
        <v>165</v>
      </c>
      <c r="G254" s="7" t="s">
        <v>158</v>
      </c>
      <c r="H254" s="8">
        <v>217630</v>
      </c>
      <c r="I254" s="8">
        <v>122</v>
      </c>
      <c r="J254" s="7" t="s">
        <v>10</v>
      </c>
      <c r="K254" s="7" t="s">
        <v>159</v>
      </c>
      <c r="L254" s="8">
        <v>108</v>
      </c>
      <c r="M254" s="8">
        <v>231548</v>
      </c>
      <c r="N254" s="7"/>
      <c r="O254" s="8">
        <v>15138</v>
      </c>
      <c r="P254" s="7"/>
      <c r="Q254" s="8">
        <v>7746</v>
      </c>
      <c r="R254" s="7"/>
      <c r="S254" s="8">
        <v>19808</v>
      </c>
      <c r="T254" s="7"/>
      <c r="U254" s="8">
        <v>0</v>
      </c>
      <c r="V254" s="7"/>
      <c r="W254" s="33">
        <v>274240</v>
      </c>
      <c r="X254" s="7"/>
      <c r="Y254" s="30">
        <v>112.79</v>
      </c>
      <c r="Z254" s="7"/>
      <c r="AA254" s="30">
        <v>6.2</v>
      </c>
      <c r="AB254" s="7"/>
      <c r="AC254" s="30">
        <v>4.34</v>
      </c>
      <c r="AD254" s="7"/>
      <c r="AE254" s="30">
        <v>10.37</v>
      </c>
      <c r="AF254" s="7"/>
      <c r="AG254" s="30">
        <v>0</v>
      </c>
      <c r="AI254" s="32">
        <v>133.69999999999999</v>
      </c>
      <c r="AK254" s="7" t="str">
        <f t="shared" si="3"/>
        <v>No</v>
      </c>
    </row>
    <row r="255" spans="1:37">
      <c r="A255" s="7" t="s">
        <v>168</v>
      </c>
      <c r="B255" s="7" t="s">
        <v>169</v>
      </c>
      <c r="C255" s="7" t="s">
        <v>84</v>
      </c>
      <c r="D255" s="302">
        <v>6091</v>
      </c>
      <c r="E255" s="297">
        <v>60091</v>
      </c>
      <c r="F255" s="7" t="s">
        <v>165</v>
      </c>
      <c r="G255" s="7" t="s">
        <v>158</v>
      </c>
      <c r="H255" s="8">
        <v>217630</v>
      </c>
      <c r="I255" s="8">
        <v>122</v>
      </c>
      <c r="J255" s="7" t="s">
        <v>7</v>
      </c>
      <c r="K255" s="7" t="s">
        <v>159</v>
      </c>
      <c r="L255" s="8">
        <v>14</v>
      </c>
      <c r="M255" s="8">
        <v>80736</v>
      </c>
      <c r="N255" s="7"/>
      <c r="O255" s="8">
        <v>8071</v>
      </c>
      <c r="P255" s="7"/>
      <c r="Q255" s="8">
        <v>4415</v>
      </c>
      <c r="R255" s="7"/>
      <c r="S255" s="8">
        <v>7056</v>
      </c>
      <c r="T255" s="7"/>
      <c r="U255" s="8">
        <v>0</v>
      </c>
      <c r="V255" s="7"/>
      <c r="W255" s="33">
        <v>100278</v>
      </c>
      <c r="X255" s="7"/>
      <c r="Y255" s="30">
        <v>37.21</v>
      </c>
      <c r="Z255" s="7"/>
      <c r="AA255" s="30">
        <v>3.8</v>
      </c>
      <c r="AB255" s="7"/>
      <c r="AC255" s="30">
        <v>2.66</v>
      </c>
      <c r="AD255" s="7"/>
      <c r="AE255" s="30">
        <v>3.6</v>
      </c>
      <c r="AF255" s="7"/>
      <c r="AG255" s="30">
        <v>0</v>
      </c>
      <c r="AI255" s="32">
        <v>47.27</v>
      </c>
      <c r="AK255" s="7" t="str">
        <f t="shared" si="3"/>
        <v>No</v>
      </c>
    </row>
    <row r="256" spans="1:37">
      <c r="A256" s="7" t="s">
        <v>269</v>
      </c>
      <c r="B256" s="7" t="s">
        <v>270</v>
      </c>
      <c r="C256" s="7" t="s">
        <v>40</v>
      </c>
      <c r="D256" s="302">
        <v>5060</v>
      </c>
      <c r="E256" s="297">
        <v>50060</v>
      </c>
      <c r="F256" s="7" t="s">
        <v>165</v>
      </c>
      <c r="G256" s="7" t="s">
        <v>158</v>
      </c>
      <c r="H256" s="8">
        <v>145361</v>
      </c>
      <c r="I256" s="8">
        <v>120</v>
      </c>
      <c r="J256" s="7" t="s">
        <v>7</v>
      </c>
      <c r="K256" s="7" t="s">
        <v>159</v>
      </c>
      <c r="L256" s="8">
        <v>97</v>
      </c>
      <c r="M256" s="8">
        <v>266939</v>
      </c>
      <c r="N256" s="7"/>
      <c r="O256" s="8">
        <v>71627</v>
      </c>
      <c r="P256" s="7"/>
      <c r="Q256" s="8">
        <v>9068</v>
      </c>
      <c r="R256" s="7"/>
      <c r="S256" s="8">
        <v>29819</v>
      </c>
      <c r="T256" s="7"/>
      <c r="U256" s="8">
        <v>0</v>
      </c>
      <c r="V256" s="7"/>
      <c r="W256" s="33">
        <v>377453</v>
      </c>
      <c r="X256" s="7"/>
      <c r="Y256" s="30">
        <v>153.30000000000001</v>
      </c>
      <c r="Z256" s="7"/>
      <c r="AA256" s="30">
        <v>39</v>
      </c>
      <c r="AB256" s="7"/>
      <c r="AC256" s="30">
        <v>5</v>
      </c>
      <c r="AD256" s="7"/>
      <c r="AE256" s="30">
        <v>16</v>
      </c>
      <c r="AF256" s="7"/>
      <c r="AG256" s="30">
        <v>0</v>
      </c>
      <c r="AI256" s="32">
        <v>213.3</v>
      </c>
      <c r="AK256" s="7" t="str">
        <f t="shared" si="3"/>
        <v>No</v>
      </c>
    </row>
    <row r="257" spans="1:37">
      <c r="A257" s="7" t="s">
        <v>269</v>
      </c>
      <c r="B257" s="7" t="s">
        <v>270</v>
      </c>
      <c r="C257" s="7" t="s">
        <v>40</v>
      </c>
      <c r="D257" s="302">
        <v>5060</v>
      </c>
      <c r="E257" s="297">
        <v>50060</v>
      </c>
      <c r="F257" s="7" t="s">
        <v>165</v>
      </c>
      <c r="G257" s="7" t="s">
        <v>158</v>
      </c>
      <c r="H257" s="8">
        <v>145361</v>
      </c>
      <c r="I257" s="8">
        <v>120</v>
      </c>
      <c r="J257" s="7" t="s">
        <v>10</v>
      </c>
      <c r="K257" s="7" t="s">
        <v>159</v>
      </c>
      <c r="L257" s="8">
        <v>8</v>
      </c>
      <c r="M257" s="8">
        <v>15046</v>
      </c>
      <c r="N257" s="7"/>
      <c r="O257" s="8">
        <v>2587</v>
      </c>
      <c r="P257" s="7"/>
      <c r="Q257" s="8">
        <v>473</v>
      </c>
      <c r="R257" s="7"/>
      <c r="S257" s="8">
        <v>1440</v>
      </c>
      <c r="T257" s="7"/>
      <c r="U257" s="8">
        <v>0</v>
      </c>
      <c r="V257" s="7"/>
      <c r="W257" s="33">
        <v>19546</v>
      </c>
      <c r="X257" s="7"/>
      <c r="Y257" s="30">
        <v>7.9</v>
      </c>
      <c r="Z257" s="7"/>
      <c r="AA257" s="30">
        <v>1.5</v>
      </c>
      <c r="AB257" s="7"/>
      <c r="AC257" s="30">
        <v>0.15</v>
      </c>
      <c r="AD257" s="7"/>
      <c r="AE257" s="30">
        <v>0.8</v>
      </c>
      <c r="AF257" s="7"/>
      <c r="AG257" s="30">
        <v>0</v>
      </c>
      <c r="AI257" s="32">
        <v>10.35</v>
      </c>
      <c r="AK257" s="7" t="str">
        <f t="shared" si="3"/>
        <v>No</v>
      </c>
    </row>
    <row r="258" spans="1:37">
      <c r="A258" s="7" t="s">
        <v>779</v>
      </c>
      <c r="B258" s="7" t="s">
        <v>343</v>
      </c>
      <c r="C258" s="7" t="s">
        <v>40</v>
      </c>
      <c r="D258" s="302">
        <v>5211</v>
      </c>
      <c r="E258" s="297">
        <v>50211</v>
      </c>
      <c r="F258" s="7" t="s">
        <v>165</v>
      </c>
      <c r="G258" s="7" t="s">
        <v>158</v>
      </c>
      <c r="H258" s="8">
        <v>67821</v>
      </c>
      <c r="I258" s="8">
        <v>119</v>
      </c>
      <c r="J258" s="7" t="s">
        <v>7</v>
      </c>
      <c r="K258" s="7" t="s">
        <v>159</v>
      </c>
      <c r="L258" s="8">
        <v>119</v>
      </c>
      <c r="M258" s="8">
        <v>316113</v>
      </c>
      <c r="N258" s="7"/>
      <c r="O258" s="8">
        <v>37128</v>
      </c>
      <c r="P258" s="7"/>
      <c r="Q258" s="8">
        <v>0</v>
      </c>
      <c r="R258" s="7"/>
      <c r="S258" s="8">
        <v>47773</v>
      </c>
      <c r="T258" s="7"/>
      <c r="U258" s="8">
        <v>0</v>
      </c>
      <c r="V258" s="7"/>
      <c r="W258" s="33">
        <v>401014</v>
      </c>
      <c r="X258" s="7"/>
      <c r="Y258" s="30">
        <v>174</v>
      </c>
      <c r="Z258" s="7"/>
      <c r="AA258" s="30">
        <v>19</v>
      </c>
      <c r="AB258" s="7"/>
      <c r="AC258" s="30">
        <v>0</v>
      </c>
      <c r="AD258" s="7"/>
      <c r="AE258" s="30">
        <v>27</v>
      </c>
      <c r="AF258" s="7"/>
      <c r="AG258" s="30">
        <v>0</v>
      </c>
      <c r="AI258" s="32">
        <v>220</v>
      </c>
      <c r="AK258" s="7" t="str">
        <f t="shared" ref="AK258:AK321" si="4">IF(AJ258&amp;AH258&amp;AF258&amp;AD258&amp;AB258&amp;Z258&amp;X258&amp;V258&amp;T258&amp;R258&amp;P258&amp;N258&lt;&gt;"","Yes","No")</f>
        <v>No</v>
      </c>
    </row>
    <row r="259" spans="1:37">
      <c r="A259" s="7" t="s">
        <v>482</v>
      </c>
      <c r="B259" s="7" t="s">
        <v>483</v>
      </c>
      <c r="C259" s="7" t="s">
        <v>79</v>
      </c>
      <c r="D259" s="302">
        <v>4086</v>
      </c>
      <c r="E259" s="297">
        <v>40086</v>
      </c>
      <c r="F259" s="7" t="s">
        <v>165</v>
      </c>
      <c r="G259" s="7" t="s">
        <v>158</v>
      </c>
      <c r="H259" s="8">
        <v>2148346</v>
      </c>
      <c r="I259" s="8">
        <v>118</v>
      </c>
      <c r="J259" s="7" t="s">
        <v>7</v>
      </c>
      <c r="K259" s="7" t="s">
        <v>159</v>
      </c>
      <c r="L259" s="8">
        <v>88</v>
      </c>
      <c r="M259" s="8">
        <v>663555</v>
      </c>
      <c r="N259" s="7"/>
      <c r="O259" s="8">
        <v>342192</v>
      </c>
      <c r="P259" s="7"/>
      <c r="Q259" s="8">
        <v>113076</v>
      </c>
      <c r="R259" s="7"/>
      <c r="S259" s="8">
        <v>182126</v>
      </c>
      <c r="T259" s="7"/>
      <c r="U259" s="8">
        <v>0</v>
      </c>
      <c r="V259" s="7"/>
      <c r="W259" s="33">
        <v>1300949</v>
      </c>
      <c r="X259" s="7"/>
      <c r="Y259" s="30">
        <v>354</v>
      </c>
      <c r="Z259" s="7"/>
      <c r="AA259" s="30">
        <v>188</v>
      </c>
      <c r="AB259" s="7"/>
      <c r="AC259" s="30">
        <v>67</v>
      </c>
      <c r="AD259" s="7"/>
      <c r="AE259" s="30">
        <v>104</v>
      </c>
      <c r="AF259" s="7"/>
      <c r="AG259" s="30">
        <v>0</v>
      </c>
      <c r="AI259" s="32">
        <v>713</v>
      </c>
      <c r="AK259" s="7" t="str">
        <f t="shared" si="4"/>
        <v>No</v>
      </c>
    </row>
    <row r="260" spans="1:37">
      <c r="A260" s="7" t="s">
        <v>482</v>
      </c>
      <c r="B260" s="7" t="s">
        <v>483</v>
      </c>
      <c r="C260" s="7" t="s">
        <v>79</v>
      </c>
      <c r="D260" s="302">
        <v>4086</v>
      </c>
      <c r="E260" s="297">
        <v>40086</v>
      </c>
      <c r="F260" s="7" t="s">
        <v>165</v>
      </c>
      <c r="G260" s="7" t="s">
        <v>158</v>
      </c>
      <c r="H260" s="8">
        <v>2148346</v>
      </c>
      <c r="I260" s="8">
        <v>118</v>
      </c>
      <c r="J260" s="7" t="s">
        <v>10</v>
      </c>
      <c r="K260" s="7" t="s">
        <v>159</v>
      </c>
      <c r="L260" s="8">
        <v>30</v>
      </c>
      <c r="M260" s="8">
        <v>154377</v>
      </c>
      <c r="N260" s="7"/>
      <c r="O260" s="8">
        <v>20518</v>
      </c>
      <c r="P260" s="7"/>
      <c r="Q260" s="8">
        <v>6205</v>
      </c>
      <c r="R260" s="7"/>
      <c r="S260" s="8">
        <v>10629</v>
      </c>
      <c r="T260" s="7"/>
      <c r="U260" s="8">
        <v>0</v>
      </c>
      <c r="V260" s="7"/>
      <c r="W260" s="33">
        <v>191729</v>
      </c>
      <c r="X260" s="7"/>
      <c r="Y260" s="30">
        <v>85</v>
      </c>
      <c r="Z260" s="7"/>
      <c r="AA260" s="30">
        <v>13</v>
      </c>
      <c r="AB260" s="7"/>
      <c r="AC260" s="30">
        <v>3</v>
      </c>
      <c r="AD260" s="7"/>
      <c r="AE260" s="30">
        <v>7</v>
      </c>
      <c r="AF260" s="7"/>
      <c r="AG260" s="30">
        <v>0</v>
      </c>
      <c r="AI260" s="32">
        <v>108</v>
      </c>
      <c r="AK260" s="7" t="str">
        <f t="shared" si="4"/>
        <v>No</v>
      </c>
    </row>
    <row r="261" spans="1:37">
      <c r="A261" s="7" t="s">
        <v>593</v>
      </c>
      <c r="B261" s="7" t="s">
        <v>594</v>
      </c>
      <c r="C261" s="7" t="s">
        <v>17</v>
      </c>
      <c r="D261" s="302">
        <v>9006</v>
      </c>
      <c r="E261" s="297">
        <v>90006</v>
      </c>
      <c r="F261" s="7" t="s">
        <v>165</v>
      </c>
      <c r="G261" s="7" t="s">
        <v>158</v>
      </c>
      <c r="H261" s="8">
        <v>163703</v>
      </c>
      <c r="I261" s="8">
        <v>117</v>
      </c>
      <c r="J261" s="7" t="s">
        <v>7</v>
      </c>
      <c r="K261" s="7" t="s">
        <v>159</v>
      </c>
      <c r="L261" s="8">
        <v>67</v>
      </c>
      <c r="M261" s="8">
        <v>298598</v>
      </c>
      <c r="N261" s="7"/>
      <c r="O261" s="8">
        <v>55577</v>
      </c>
      <c r="P261" s="7"/>
      <c r="Q261" s="8">
        <v>25325</v>
      </c>
      <c r="R261" s="7"/>
      <c r="S261" s="8">
        <v>64449</v>
      </c>
      <c r="T261" s="7"/>
      <c r="U261" s="8">
        <v>280</v>
      </c>
      <c r="V261" s="7"/>
      <c r="W261" s="33">
        <v>444229</v>
      </c>
      <c r="X261" s="7"/>
      <c r="Y261" s="30">
        <v>145.4</v>
      </c>
      <c r="Z261" s="7"/>
      <c r="AA261" s="30">
        <v>28.4</v>
      </c>
      <c r="AB261" s="7"/>
      <c r="AC261" s="30">
        <v>14.1</v>
      </c>
      <c r="AD261" s="7"/>
      <c r="AE261" s="30">
        <v>36.9</v>
      </c>
      <c r="AF261" s="7"/>
      <c r="AG261" s="30">
        <v>0.2</v>
      </c>
      <c r="AI261" s="32">
        <v>225</v>
      </c>
      <c r="AK261" s="7" t="str">
        <f t="shared" si="4"/>
        <v>No</v>
      </c>
    </row>
    <row r="262" spans="1:37">
      <c r="A262" s="7" t="s">
        <v>593</v>
      </c>
      <c r="B262" s="7" t="s">
        <v>594</v>
      </c>
      <c r="C262" s="7" t="s">
        <v>17</v>
      </c>
      <c r="D262" s="302">
        <v>9006</v>
      </c>
      <c r="E262" s="297">
        <v>90006</v>
      </c>
      <c r="F262" s="7" t="s">
        <v>165</v>
      </c>
      <c r="G262" s="7" t="s">
        <v>158</v>
      </c>
      <c r="H262" s="8">
        <v>163703</v>
      </c>
      <c r="I262" s="8">
        <v>117</v>
      </c>
      <c r="J262" s="7" t="s">
        <v>10</v>
      </c>
      <c r="K262" s="7" t="s">
        <v>159</v>
      </c>
      <c r="L262" s="8">
        <v>29</v>
      </c>
      <c r="M262" s="8">
        <v>90670</v>
      </c>
      <c r="N262" s="7"/>
      <c r="O262" s="8">
        <v>3411</v>
      </c>
      <c r="P262" s="7"/>
      <c r="Q262" s="8">
        <v>0</v>
      </c>
      <c r="R262" s="7"/>
      <c r="S262" s="8">
        <v>1908</v>
      </c>
      <c r="T262" s="7"/>
      <c r="U262" s="8">
        <v>0</v>
      </c>
      <c r="V262" s="7"/>
      <c r="W262" s="33">
        <v>95989</v>
      </c>
      <c r="X262" s="7"/>
      <c r="Y262" s="30">
        <v>48</v>
      </c>
      <c r="Z262" s="7"/>
      <c r="AA262" s="30">
        <v>1.8</v>
      </c>
      <c r="AB262" s="7"/>
      <c r="AC262" s="30">
        <v>0</v>
      </c>
      <c r="AD262" s="7"/>
      <c r="AE262" s="30">
        <v>1</v>
      </c>
      <c r="AF262" s="7"/>
      <c r="AG262" s="30">
        <v>0</v>
      </c>
      <c r="AI262" s="32">
        <v>50.8</v>
      </c>
      <c r="AK262" s="7" t="str">
        <f t="shared" si="4"/>
        <v>No</v>
      </c>
    </row>
    <row r="263" spans="1:37">
      <c r="A263" s="7" t="s">
        <v>593</v>
      </c>
      <c r="B263" s="7" t="s">
        <v>594</v>
      </c>
      <c r="C263" s="7" t="s">
        <v>17</v>
      </c>
      <c r="D263" s="302">
        <v>9006</v>
      </c>
      <c r="E263" s="297">
        <v>90006</v>
      </c>
      <c r="F263" s="7" t="s">
        <v>165</v>
      </c>
      <c r="G263" s="7" t="s">
        <v>158</v>
      </c>
      <c r="H263" s="8">
        <v>163703</v>
      </c>
      <c r="I263" s="8">
        <v>117</v>
      </c>
      <c r="J263" s="7" t="s">
        <v>18</v>
      </c>
      <c r="K263" s="7" t="s">
        <v>159</v>
      </c>
      <c r="L263" s="8">
        <v>15</v>
      </c>
      <c r="M263" s="8">
        <v>40294</v>
      </c>
      <c r="N263" s="7"/>
      <c r="O263" s="8">
        <v>7500</v>
      </c>
      <c r="P263" s="7"/>
      <c r="Q263" s="8">
        <v>3417</v>
      </c>
      <c r="R263" s="7"/>
      <c r="S263" s="8">
        <v>8697</v>
      </c>
      <c r="T263" s="7"/>
      <c r="U263" s="8">
        <v>0</v>
      </c>
      <c r="V263" s="7"/>
      <c r="W263" s="33">
        <v>59908</v>
      </c>
      <c r="X263" s="7"/>
      <c r="Y263" s="30">
        <v>19.600000000000001</v>
      </c>
      <c r="Z263" s="7"/>
      <c r="AA263" s="30">
        <v>3.8</v>
      </c>
      <c r="AB263" s="7"/>
      <c r="AC263" s="30">
        <v>1.9</v>
      </c>
      <c r="AD263" s="7"/>
      <c r="AE263" s="30">
        <v>5</v>
      </c>
      <c r="AF263" s="7"/>
      <c r="AG263" s="30">
        <v>0</v>
      </c>
      <c r="AI263" s="32">
        <v>30.3</v>
      </c>
      <c r="AK263" s="7" t="str">
        <f t="shared" si="4"/>
        <v>No</v>
      </c>
    </row>
    <row r="264" spans="1:37">
      <c r="A264" s="7" t="s">
        <v>364</v>
      </c>
      <c r="B264" s="7" t="s">
        <v>365</v>
      </c>
      <c r="C264" s="7" t="s">
        <v>77</v>
      </c>
      <c r="D264" s="302">
        <v>3013</v>
      </c>
      <c r="E264" s="297">
        <v>30013</v>
      </c>
      <c r="F264" s="7" t="s">
        <v>165</v>
      </c>
      <c r="G264" s="7" t="s">
        <v>158</v>
      </c>
      <c r="H264" s="8">
        <v>196611</v>
      </c>
      <c r="I264" s="8">
        <v>116</v>
      </c>
      <c r="J264" s="7" t="s">
        <v>7</v>
      </c>
      <c r="K264" s="7" t="s">
        <v>159</v>
      </c>
      <c r="L264" s="8">
        <v>61</v>
      </c>
      <c r="M264" s="8">
        <v>217250</v>
      </c>
      <c r="N264" s="7"/>
      <c r="O264" s="8">
        <v>34016</v>
      </c>
      <c r="P264" s="7"/>
      <c r="Q264" s="8">
        <v>16046</v>
      </c>
      <c r="R264" s="7"/>
      <c r="S264" s="8">
        <v>20208</v>
      </c>
      <c r="T264" s="7"/>
      <c r="U264" s="8">
        <v>0</v>
      </c>
      <c r="V264" s="7"/>
      <c r="W264" s="33">
        <v>287520</v>
      </c>
      <c r="X264" s="7"/>
      <c r="Y264" s="30">
        <v>108</v>
      </c>
      <c r="Z264" s="7"/>
      <c r="AA264" s="30">
        <v>18</v>
      </c>
      <c r="AB264" s="7"/>
      <c r="AC264" s="30">
        <v>8</v>
      </c>
      <c r="AD264" s="7"/>
      <c r="AE264" s="30">
        <v>10</v>
      </c>
      <c r="AF264" s="7"/>
      <c r="AG264" s="30">
        <v>0</v>
      </c>
      <c r="AI264" s="32">
        <v>144</v>
      </c>
      <c r="AK264" s="7" t="str">
        <f t="shared" si="4"/>
        <v>No</v>
      </c>
    </row>
    <row r="265" spans="1:37">
      <c r="A265" s="7" t="s">
        <v>364</v>
      </c>
      <c r="B265" s="7" t="s">
        <v>365</v>
      </c>
      <c r="C265" s="7" t="s">
        <v>77</v>
      </c>
      <c r="D265" s="302">
        <v>3013</v>
      </c>
      <c r="E265" s="297">
        <v>30013</v>
      </c>
      <c r="F265" s="7" t="s">
        <v>165</v>
      </c>
      <c r="G265" s="7" t="s">
        <v>158</v>
      </c>
      <c r="H265" s="8">
        <v>196611</v>
      </c>
      <c r="I265" s="8">
        <v>116</v>
      </c>
      <c r="J265" s="7" t="s">
        <v>10</v>
      </c>
      <c r="K265" s="7" t="s">
        <v>159</v>
      </c>
      <c r="L265" s="8">
        <v>55</v>
      </c>
      <c r="M265" s="8">
        <v>103927</v>
      </c>
      <c r="N265" s="7"/>
      <c r="O265" s="8">
        <v>12621</v>
      </c>
      <c r="P265" s="7"/>
      <c r="Q265" s="8">
        <v>1083</v>
      </c>
      <c r="R265" s="7"/>
      <c r="S265" s="8">
        <v>12910</v>
      </c>
      <c r="T265" s="7"/>
      <c r="U265" s="8">
        <v>0</v>
      </c>
      <c r="V265" s="7"/>
      <c r="W265" s="33">
        <v>130541</v>
      </c>
      <c r="X265" s="7"/>
      <c r="Y265" s="30">
        <v>45</v>
      </c>
      <c r="Z265" s="7"/>
      <c r="AA265" s="30">
        <v>4</v>
      </c>
      <c r="AB265" s="7"/>
      <c r="AC265" s="30">
        <v>1</v>
      </c>
      <c r="AD265" s="7"/>
      <c r="AE265" s="30">
        <v>7</v>
      </c>
      <c r="AF265" s="7"/>
      <c r="AG265" s="30">
        <v>0</v>
      </c>
      <c r="AI265" s="32">
        <v>57</v>
      </c>
      <c r="AK265" s="7" t="str">
        <f t="shared" si="4"/>
        <v>No</v>
      </c>
    </row>
    <row r="266" spans="1:37">
      <c r="A266" s="7" t="s">
        <v>267</v>
      </c>
      <c r="B266" s="7" t="s">
        <v>268</v>
      </c>
      <c r="C266" s="7" t="s">
        <v>77</v>
      </c>
      <c r="D266" s="302">
        <v>3054</v>
      </c>
      <c r="E266" s="297">
        <v>30054</v>
      </c>
      <c r="F266" s="7" t="s">
        <v>165</v>
      </c>
      <c r="G266" s="7" t="s">
        <v>158</v>
      </c>
      <c r="H266" s="8">
        <v>87454</v>
      </c>
      <c r="I266" s="8">
        <v>114</v>
      </c>
      <c r="J266" s="7" t="s">
        <v>7</v>
      </c>
      <c r="K266" s="7" t="s">
        <v>159</v>
      </c>
      <c r="L266" s="8">
        <v>61</v>
      </c>
      <c r="M266" s="8">
        <v>233576</v>
      </c>
      <c r="N266" s="7"/>
      <c r="O266" s="8">
        <v>34393</v>
      </c>
      <c r="P266" s="7"/>
      <c r="Q266" s="8">
        <v>4826</v>
      </c>
      <c r="R266" s="7"/>
      <c r="S266" s="8">
        <v>18072</v>
      </c>
      <c r="T266" s="7"/>
      <c r="U266" s="8">
        <v>0</v>
      </c>
      <c r="V266" s="7"/>
      <c r="W266" s="33">
        <v>290867</v>
      </c>
      <c r="X266" s="7"/>
      <c r="Y266" s="30">
        <v>139.30000000000001</v>
      </c>
      <c r="Z266" s="7"/>
      <c r="AA266" s="30">
        <v>20.2</v>
      </c>
      <c r="AB266" s="7"/>
      <c r="AC266" s="30">
        <v>2.64</v>
      </c>
      <c r="AD266" s="7"/>
      <c r="AE266" s="30">
        <v>12.3</v>
      </c>
      <c r="AF266" s="7"/>
      <c r="AG266" s="30">
        <v>0</v>
      </c>
      <c r="AI266" s="32">
        <v>174.44</v>
      </c>
      <c r="AK266" s="7" t="str">
        <f t="shared" si="4"/>
        <v>No</v>
      </c>
    </row>
    <row r="267" spans="1:37">
      <c r="A267" s="7" t="s">
        <v>725</v>
      </c>
      <c r="B267" s="7" t="s">
        <v>726</v>
      </c>
      <c r="C267" s="7" t="s">
        <v>84</v>
      </c>
      <c r="D267" s="302">
        <v>6101</v>
      </c>
      <c r="E267" s="297">
        <v>60101</v>
      </c>
      <c r="F267" s="7" t="s">
        <v>165</v>
      </c>
      <c r="G267" s="7" t="s">
        <v>158</v>
      </c>
      <c r="H267" s="8">
        <v>366174</v>
      </c>
      <c r="I267" s="8">
        <v>114</v>
      </c>
      <c r="J267" s="7" t="s">
        <v>7</v>
      </c>
      <c r="K267" s="7" t="s">
        <v>159</v>
      </c>
      <c r="L267" s="8">
        <v>50</v>
      </c>
      <c r="M267" s="8">
        <v>156209</v>
      </c>
      <c r="N267" s="7"/>
      <c r="O267" s="8">
        <v>28227</v>
      </c>
      <c r="P267" s="7"/>
      <c r="Q267" s="8">
        <v>1659</v>
      </c>
      <c r="R267" s="7"/>
      <c r="S267" s="8">
        <v>31802</v>
      </c>
      <c r="T267" s="7"/>
      <c r="U267" s="8">
        <v>0</v>
      </c>
      <c r="V267" s="7"/>
      <c r="W267" s="33">
        <v>217897</v>
      </c>
      <c r="X267" s="7"/>
      <c r="Y267" s="30">
        <v>90.96</v>
      </c>
      <c r="Z267" s="7"/>
      <c r="AA267" s="30">
        <v>12.25</v>
      </c>
      <c r="AB267" s="7"/>
      <c r="AC267" s="30">
        <v>0.87</v>
      </c>
      <c r="AD267" s="7"/>
      <c r="AE267" s="30">
        <v>18.600000000000001</v>
      </c>
      <c r="AF267" s="7"/>
      <c r="AG267" s="30">
        <v>0</v>
      </c>
      <c r="AI267" s="32">
        <v>122.68</v>
      </c>
      <c r="AK267" s="7" t="str">
        <f t="shared" si="4"/>
        <v>No</v>
      </c>
    </row>
    <row r="268" spans="1:37">
      <c r="A268" s="7" t="s">
        <v>267</v>
      </c>
      <c r="B268" s="7" t="s">
        <v>268</v>
      </c>
      <c r="C268" s="7" t="s">
        <v>77</v>
      </c>
      <c r="D268" s="302">
        <v>3054</v>
      </c>
      <c r="E268" s="297">
        <v>30054</v>
      </c>
      <c r="F268" s="7" t="s">
        <v>165</v>
      </c>
      <c r="G268" s="7" t="s">
        <v>158</v>
      </c>
      <c r="H268" s="8">
        <v>87454</v>
      </c>
      <c r="I268" s="8">
        <v>114</v>
      </c>
      <c r="J268" s="7" t="s">
        <v>8</v>
      </c>
      <c r="K268" s="7" t="s">
        <v>159</v>
      </c>
      <c r="L268" s="8">
        <v>43</v>
      </c>
      <c r="M268" s="8">
        <v>2831</v>
      </c>
      <c r="N268" s="7"/>
      <c r="O268" s="8">
        <v>4760</v>
      </c>
      <c r="P268" s="7"/>
      <c r="Q268" s="8">
        <v>668</v>
      </c>
      <c r="R268" s="7"/>
      <c r="S268" s="8">
        <v>2501</v>
      </c>
      <c r="T268" s="7"/>
      <c r="U268" s="8">
        <v>0</v>
      </c>
      <c r="V268" s="7"/>
      <c r="W268" s="33">
        <v>10760</v>
      </c>
      <c r="X268" s="7"/>
      <c r="Y268" s="30">
        <v>1.7</v>
      </c>
      <c r="Z268" s="7"/>
      <c r="AA268" s="30">
        <v>2.8</v>
      </c>
      <c r="AB268" s="7"/>
      <c r="AC268" s="30">
        <v>0.36</v>
      </c>
      <c r="AD268" s="7"/>
      <c r="AE268" s="30">
        <v>1.7</v>
      </c>
      <c r="AF268" s="7"/>
      <c r="AG268" s="30">
        <v>0</v>
      </c>
      <c r="AI268" s="32">
        <v>6.56</v>
      </c>
      <c r="AK268" s="7" t="str">
        <f t="shared" si="4"/>
        <v>No</v>
      </c>
    </row>
    <row r="269" spans="1:37">
      <c r="A269" s="7" t="s">
        <v>725</v>
      </c>
      <c r="B269" s="7" t="s">
        <v>726</v>
      </c>
      <c r="C269" s="7" t="s">
        <v>84</v>
      </c>
      <c r="D269" s="302">
        <v>6101</v>
      </c>
      <c r="E269" s="297">
        <v>60101</v>
      </c>
      <c r="F269" s="7" t="s">
        <v>165</v>
      </c>
      <c r="G269" s="7" t="s">
        <v>158</v>
      </c>
      <c r="H269" s="8">
        <v>366174</v>
      </c>
      <c r="I269" s="8">
        <v>114</v>
      </c>
      <c r="J269" s="7" t="s">
        <v>10</v>
      </c>
      <c r="K269" s="7" t="s">
        <v>159</v>
      </c>
      <c r="L269" s="8">
        <v>14</v>
      </c>
      <c r="M269" s="8">
        <v>33547</v>
      </c>
      <c r="N269" s="7"/>
      <c r="O269" s="8">
        <v>4039</v>
      </c>
      <c r="P269" s="7"/>
      <c r="Q269" s="8">
        <v>237</v>
      </c>
      <c r="R269" s="7"/>
      <c r="S269" s="8">
        <v>4337</v>
      </c>
      <c r="T269" s="7"/>
      <c r="U269" s="8">
        <v>0</v>
      </c>
      <c r="V269" s="7"/>
      <c r="W269" s="33">
        <v>42160</v>
      </c>
      <c r="X269" s="7"/>
      <c r="Y269" s="30">
        <v>19.04</v>
      </c>
      <c r="Z269" s="7"/>
      <c r="AA269" s="30">
        <v>1.75</v>
      </c>
      <c r="AB269" s="7"/>
      <c r="AC269" s="30">
        <v>0.13</v>
      </c>
      <c r="AD269" s="7"/>
      <c r="AE269" s="30">
        <v>2.5</v>
      </c>
      <c r="AF269" s="7"/>
      <c r="AG269" s="30">
        <v>0</v>
      </c>
      <c r="AI269" s="32">
        <v>23.42</v>
      </c>
      <c r="AK269" s="7" t="str">
        <f t="shared" si="4"/>
        <v>No</v>
      </c>
    </row>
    <row r="270" spans="1:37">
      <c r="A270" s="7" t="s">
        <v>657</v>
      </c>
      <c r="B270" s="7" t="s">
        <v>658</v>
      </c>
      <c r="C270" s="7" t="s">
        <v>45</v>
      </c>
      <c r="D270" s="302">
        <v>4019</v>
      </c>
      <c r="E270" s="297">
        <v>40019</v>
      </c>
      <c r="F270" s="7" t="s">
        <v>165</v>
      </c>
      <c r="G270" s="7" t="s">
        <v>158</v>
      </c>
      <c r="H270" s="8">
        <v>1624827</v>
      </c>
      <c r="I270" s="8">
        <v>113</v>
      </c>
      <c r="J270" s="7" t="s">
        <v>7</v>
      </c>
      <c r="K270" s="7" t="s">
        <v>159</v>
      </c>
      <c r="L270" s="8">
        <v>91</v>
      </c>
      <c r="M270" s="8">
        <v>318253</v>
      </c>
      <c r="N270" s="7"/>
      <c r="O270" s="8">
        <v>75065</v>
      </c>
      <c r="P270" s="7"/>
      <c r="Q270" s="8">
        <v>6397</v>
      </c>
      <c r="R270" s="7"/>
      <c r="S270" s="8">
        <v>30774</v>
      </c>
      <c r="T270" s="7"/>
      <c r="U270" s="8">
        <v>0</v>
      </c>
      <c r="V270" s="7"/>
      <c r="W270" s="33">
        <v>430489</v>
      </c>
      <c r="X270" s="7"/>
      <c r="Y270" s="30">
        <v>155</v>
      </c>
      <c r="Z270" s="7"/>
      <c r="AA270" s="30">
        <v>38.299999999999997</v>
      </c>
      <c r="AB270" s="7"/>
      <c r="AC270" s="30">
        <v>3</v>
      </c>
      <c r="AD270" s="7"/>
      <c r="AE270" s="30">
        <v>15.3</v>
      </c>
      <c r="AF270" s="7"/>
      <c r="AG270" s="30">
        <v>0</v>
      </c>
      <c r="AI270" s="32">
        <v>211.6</v>
      </c>
      <c r="AK270" s="7" t="str">
        <f t="shared" si="4"/>
        <v>No</v>
      </c>
    </row>
    <row r="271" spans="1:37">
      <c r="A271" s="7" t="s">
        <v>657</v>
      </c>
      <c r="B271" s="7" t="s">
        <v>658</v>
      </c>
      <c r="C271" s="7" t="s">
        <v>45</v>
      </c>
      <c r="D271" s="302">
        <v>4019</v>
      </c>
      <c r="E271" s="297">
        <v>40019</v>
      </c>
      <c r="F271" s="7" t="s">
        <v>165</v>
      </c>
      <c r="G271" s="7" t="s">
        <v>158</v>
      </c>
      <c r="H271" s="8">
        <v>1624827</v>
      </c>
      <c r="I271" s="8">
        <v>113</v>
      </c>
      <c r="J271" s="7" t="s">
        <v>10</v>
      </c>
      <c r="K271" s="7" t="s">
        <v>159</v>
      </c>
      <c r="L271" s="8">
        <v>22</v>
      </c>
      <c r="M271" s="8">
        <v>62842</v>
      </c>
      <c r="N271" s="7"/>
      <c r="O271" s="8">
        <v>2666</v>
      </c>
      <c r="P271" s="7"/>
      <c r="Q271" s="8">
        <v>1546</v>
      </c>
      <c r="R271" s="7"/>
      <c r="S271" s="8">
        <v>7440</v>
      </c>
      <c r="T271" s="7"/>
      <c r="U271" s="8">
        <v>0</v>
      </c>
      <c r="V271" s="7"/>
      <c r="W271" s="33">
        <v>74494</v>
      </c>
      <c r="X271" s="7"/>
      <c r="Y271" s="30">
        <v>32</v>
      </c>
      <c r="Z271" s="7"/>
      <c r="AA271" s="30">
        <v>1.5</v>
      </c>
      <c r="AB271" s="7"/>
      <c r="AC271" s="30">
        <v>0.6</v>
      </c>
      <c r="AD271" s="7"/>
      <c r="AE271" s="30">
        <v>3.7</v>
      </c>
      <c r="AF271" s="7"/>
      <c r="AG271" s="30">
        <v>0</v>
      </c>
      <c r="AI271" s="32">
        <v>37.799999999999997</v>
      </c>
      <c r="AK271" s="7" t="str">
        <f t="shared" si="4"/>
        <v>No</v>
      </c>
    </row>
    <row r="272" spans="1:37">
      <c r="A272" s="7" t="s">
        <v>659</v>
      </c>
      <c r="B272" s="7" t="s">
        <v>660</v>
      </c>
      <c r="C272" s="7" t="s">
        <v>60</v>
      </c>
      <c r="D272" s="302">
        <v>7002</v>
      </c>
      <c r="E272" s="297">
        <v>70002</v>
      </c>
      <c r="F272" s="7" t="s">
        <v>165</v>
      </c>
      <c r="G272" s="7" t="s">
        <v>158</v>
      </c>
      <c r="H272" s="8">
        <v>725008</v>
      </c>
      <c r="I272" s="8">
        <v>112</v>
      </c>
      <c r="J272" s="7" t="s">
        <v>7</v>
      </c>
      <c r="K272" s="7" t="s">
        <v>159</v>
      </c>
      <c r="L272" s="8">
        <v>90</v>
      </c>
      <c r="M272" s="8">
        <v>328585</v>
      </c>
      <c r="N272" s="7"/>
      <c r="O272" s="8">
        <v>53894</v>
      </c>
      <c r="P272" s="7"/>
      <c r="Q272" s="8">
        <v>26161</v>
      </c>
      <c r="R272" s="7"/>
      <c r="S272" s="8">
        <v>53044</v>
      </c>
      <c r="T272" s="7"/>
      <c r="U272" s="8">
        <v>0</v>
      </c>
      <c r="V272" s="7"/>
      <c r="W272" s="33">
        <v>461684</v>
      </c>
      <c r="X272" s="7"/>
      <c r="Y272" s="30">
        <v>149</v>
      </c>
      <c r="Z272" s="7"/>
      <c r="AA272" s="30">
        <v>30</v>
      </c>
      <c r="AB272" s="7"/>
      <c r="AC272" s="30">
        <v>16</v>
      </c>
      <c r="AD272" s="7"/>
      <c r="AE272" s="30">
        <v>30</v>
      </c>
      <c r="AF272" s="7"/>
      <c r="AG272" s="30">
        <v>0</v>
      </c>
      <c r="AI272" s="32">
        <v>225</v>
      </c>
      <c r="AK272" s="7" t="str">
        <f t="shared" si="4"/>
        <v>No</v>
      </c>
    </row>
    <row r="273" spans="1:37">
      <c r="A273" s="7" t="s">
        <v>659</v>
      </c>
      <c r="B273" s="7" t="s">
        <v>660</v>
      </c>
      <c r="C273" s="7" t="s">
        <v>60</v>
      </c>
      <c r="D273" s="302">
        <v>7002</v>
      </c>
      <c r="E273" s="297">
        <v>70002</v>
      </c>
      <c r="F273" s="7" t="s">
        <v>165</v>
      </c>
      <c r="G273" s="7" t="s">
        <v>158</v>
      </c>
      <c r="H273" s="8">
        <v>725008</v>
      </c>
      <c r="I273" s="8">
        <v>112</v>
      </c>
      <c r="J273" s="7" t="s">
        <v>10</v>
      </c>
      <c r="K273" s="7" t="s">
        <v>159</v>
      </c>
      <c r="L273" s="8">
        <v>22</v>
      </c>
      <c r="M273" s="8">
        <v>65148</v>
      </c>
      <c r="N273" s="7"/>
      <c r="O273" s="8">
        <v>1875</v>
      </c>
      <c r="P273" s="7"/>
      <c r="Q273" s="8">
        <v>3925</v>
      </c>
      <c r="R273" s="7"/>
      <c r="S273" s="8">
        <v>5553</v>
      </c>
      <c r="T273" s="7"/>
      <c r="U273" s="8">
        <v>0</v>
      </c>
      <c r="V273" s="7"/>
      <c r="W273" s="33">
        <v>76501</v>
      </c>
      <c r="X273" s="7"/>
      <c r="Y273" s="30">
        <v>27</v>
      </c>
      <c r="Z273" s="7"/>
      <c r="AA273" s="30">
        <v>1</v>
      </c>
      <c r="AB273" s="7"/>
      <c r="AC273" s="30">
        <v>2</v>
      </c>
      <c r="AD273" s="7"/>
      <c r="AE273" s="30">
        <v>3</v>
      </c>
      <c r="AF273" s="7"/>
      <c r="AG273" s="30">
        <v>0</v>
      </c>
      <c r="AI273" s="32">
        <v>33</v>
      </c>
      <c r="AK273" s="7" t="str">
        <f t="shared" si="4"/>
        <v>No</v>
      </c>
    </row>
    <row r="274" spans="1:37">
      <c r="A274" s="7" t="s">
        <v>342</v>
      </c>
      <c r="B274" s="7" t="s">
        <v>343</v>
      </c>
      <c r="C274" s="7" t="s">
        <v>77</v>
      </c>
      <c r="D274" s="302">
        <v>3014</v>
      </c>
      <c r="E274" s="297">
        <v>30014</v>
      </c>
      <c r="F274" s="7" t="s">
        <v>165</v>
      </c>
      <c r="G274" s="7" t="s">
        <v>158</v>
      </c>
      <c r="H274" s="8">
        <v>444474</v>
      </c>
      <c r="I274" s="8">
        <v>111</v>
      </c>
      <c r="J274" s="7" t="s">
        <v>7</v>
      </c>
      <c r="K274" s="7" t="s">
        <v>159</v>
      </c>
      <c r="L274" s="8">
        <v>63</v>
      </c>
      <c r="M274" s="8">
        <v>216299</v>
      </c>
      <c r="N274" s="7"/>
      <c r="O274" s="8">
        <v>56058</v>
      </c>
      <c r="P274" s="7"/>
      <c r="Q274" s="8">
        <v>7744</v>
      </c>
      <c r="R274" s="7"/>
      <c r="S274" s="8">
        <v>21958</v>
      </c>
      <c r="T274" s="7"/>
      <c r="U274" s="8">
        <v>0</v>
      </c>
      <c r="V274" s="7"/>
      <c r="W274" s="33">
        <v>302059</v>
      </c>
      <c r="X274" s="7"/>
      <c r="Y274" s="30">
        <v>107.45</v>
      </c>
      <c r="Z274" s="7"/>
      <c r="AA274" s="30">
        <v>24.4</v>
      </c>
      <c r="AB274" s="7"/>
      <c r="AC274" s="30">
        <v>3.34</v>
      </c>
      <c r="AD274" s="7"/>
      <c r="AE274" s="30">
        <v>10.87</v>
      </c>
      <c r="AF274" s="7"/>
      <c r="AG274" s="30">
        <v>0</v>
      </c>
      <c r="AI274" s="32">
        <v>146.06</v>
      </c>
      <c r="AK274" s="7" t="str">
        <f t="shared" si="4"/>
        <v>No</v>
      </c>
    </row>
    <row r="275" spans="1:37">
      <c r="A275" s="7" t="s">
        <v>342</v>
      </c>
      <c r="B275" s="7" t="s">
        <v>343</v>
      </c>
      <c r="C275" s="7" t="s">
        <v>77</v>
      </c>
      <c r="D275" s="302">
        <v>3014</v>
      </c>
      <c r="E275" s="297">
        <v>30014</v>
      </c>
      <c r="F275" s="7" t="s">
        <v>165</v>
      </c>
      <c r="G275" s="7" t="s">
        <v>158</v>
      </c>
      <c r="H275" s="8">
        <v>444474</v>
      </c>
      <c r="I275" s="8">
        <v>111</v>
      </c>
      <c r="J275" s="7" t="s">
        <v>10</v>
      </c>
      <c r="K275" s="7" t="s">
        <v>159</v>
      </c>
      <c r="L275" s="8">
        <v>27</v>
      </c>
      <c r="M275" s="8">
        <v>77256</v>
      </c>
      <c r="N275" s="7"/>
      <c r="O275" s="8">
        <v>7131</v>
      </c>
      <c r="P275" s="7"/>
      <c r="Q275" s="8">
        <v>989</v>
      </c>
      <c r="R275" s="7"/>
      <c r="S275" s="8">
        <v>2110</v>
      </c>
      <c r="T275" s="7"/>
      <c r="U275" s="8">
        <v>0</v>
      </c>
      <c r="V275" s="7"/>
      <c r="W275" s="33">
        <v>87486</v>
      </c>
      <c r="X275" s="7"/>
      <c r="Y275" s="30">
        <v>39.840000000000003</v>
      </c>
      <c r="Z275" s="7"/>
      <c r="AA275" s="30">
        <v>3.12</v>
      </c>
      <c r="AB275" s="7"/>
      <c r="AC275" s="30">
        <v>0.45</v>
      </c>
      <c r="AD275" s="7"/>
      <c r="AE275" s="30">
        <v>0.95</v>
      </c>
      <c r="AF275" s="7"/>
      <c r="AG275" s="30">
        <v>0</v>
      </c>
      <c r="AI275" s="32">
        <v>44.36</v>
      </c>
      <c r="AK275" s="7" t="str">
        <f t="shared" si="4"/>
        <v>No</v>
      </c>
    </row>
    <row r="276" spans="1:37">
      <c r="A276" s="7" t="s">
        <v>655</v>
      </c>
      <c r="B276" s="7" t="s">
        <v>656</v>
      </c>
      <c r="C276" s="7" t="s">
        <v>45</v>
      </c>
      <c r="D276" s="302">
        <v>4017</v>
      </c>
      <c r="E276" s="297">
        <v>40017</v>
      </c>
      <c r="F276" s="7" t="s">
        <v>165</v>
      </c>
      <c r="G276" s="7" t="s">
        <v>158</v>
      </c>
      <c r="H276" s="8">
        <v>290263</v>
      </c>
      <c r="I276" s="8">
        <v>108</v>
      </c>
      <c r="J276" s="7" t="s">
        <v>7</v>
      </c>
      <c r="K276" s="7" t="s">
        <v>159</v>
      </c>
      <c r="L276" s="8">
        <v>54</v>
      </c>
      <c r="M276" s="8">
        <v>240118</v>
      </c>
      <c r="N276" s="7"/>
      <c r="O276" s="8">
        <v>72093</v>
      </c>
      <c r="P276" s="7"/>
      <c r="Q276" s="8">
        <v>7724</v>
      </c>
      <c r="R276" s="7"/>
      <c r="S276" s="8">
        <v>25603</v>
      </c>
      <c r="T276" s="7"/>
      <c r="U276" s="8">
        <v>0</v>
      </c>
      <c r="V276" s="7"/>
      <c r="W276" s="33">
        <v>345538</v>
      </c>
      <c r="X276" s="7"/>
      <c r="Y276" s="30">
        <v>121</v>
      </c>
      <c r="Z276" s="7"/>
      <c r="AA276" s="30">
        <v>44</v>
      </c>
      <c r="AB276" s="7"/>
      <c r="AC276" s="30">
        <v>4</v>
      </c>
      <c r="AD276" s="7"/>
      <c r="AE276" s="30">
        <v>13</v>
      </c>
      <c r="AF276" s="7"/>
      <c r="AG276" s="30">
        <v>0</v>
      </c>
      <c r="AI276" s="32">
        <v>182</v>
      </c>
      <c r="AK276" s="7" t="str">
        <f t="shared" si="4"/>
        <v>No</v>
      </c>
    </row>
    <row r="277" spans="1:37">
      <c r="A277" s="7" t="s">
        <v>506</v>
      </c>
      <c r="B277" s="7" t="s">
        <v>507</v>
      </c>
      <c r="C277" s="7" t="s">
        <v>17</v>
      </c>
      <c r="D277" s="302">
        <v>9041</v>
      </c>
      <c r="E277" s="297">
        <v>90041</v>
      </c>
      <c r="F277" s="7" t="s">
        <v>162</v>
      </c>
      <c r="G277" s="7" t="s">
        <v>158</v>
      </c>
      <c r="H277" s="8">
        <v>12150996</v>
      </c>
      <c r="I277" s="8">
        <v>107</v>
      </c>
      <c r="J277" s="7" t="s">
        <v>7</v>
      </c>
      <c r="K277" s="7" t="s">
        <v>159</v>
      </c>
      <c r="L277" s="8">
        <v>62</v>
      </c>
      <c r="M277" s="8">
        <v>184826</v>
      </c>
      <c r="N277" s="7"/>
      <c r="O277" s="8">
        <v>44731</v>
      </c>
      <c r="P277" s="7"/>
      <c r="Q277" s="8">
        <v>14304</v>
      </c>
      <c r="R277" s="7"/>
      <c r="S277" s="8">
        <v>17292</v>
      </c>
      <c r="T277" s="7"/>
      <c r="U277" s="8">
        <v>0</v>
      </c>
      <c r="V277" s="7"/>
      <c r="W277" s="33">
        <v>261153</v>
      </c>
      <c r="X277" s="7"/>
      <c r="Y277" s="30">
        <v>106</v>
      </c>
      <c r="Z277" s="7"/>
      <c r="AA277" s="30">
        <v>26</v>
      </c>
      <c r="AB277" s="7"/>
      <c r="AC277" s="30">
        <v>8</v>
      </c>
      <c r="AD277" s="7"/>
      <c r="AE277" s="30">
        <v>10</v>
      </c>
      <c r="AF277" s="7"/>
      <c r="AG277" s="30">
        <v>0</v>
      </c>
      <c r="AI277" s="32">
        <v>150</v>
      </c>
      <c r="AK277" s="7" t="str">
        <f t="shared" si="4"/>
        <v>No</v>
      </c>
    </row>
    <row r="278" spans="1:37">
      <c r="A278" s="7" t="s">
        <v>508</v>
      </c>
      <c r="B278" s="7" t="s">
        <v>509</v>
      </c>
      <c r="C278" s="7" t="s">
        <v>17</v>
      </c>
      <c r="D278" s="302">
        <v>9062</v>
      </c>
      <c r="E278" s="297">
        <v>90062</v>
      </c>
      <c r="F278" s="7" t="s">
        <v>165</v>
      </c>
      <c r="G278" s="7" t="s">
        <v>158</v>
      </c>
      <c r="H278" s="8">
        <v>114237</v>
      </c>
      <c r="I278" s="8">
        <v>105</v>
      </c>
      <c r="J278" s="7" t="s">
        <v>7</v>
      </c>
      <c r="K278" s="7" t="s">
        <v>159</v>
      </c>
      <c r="L278" s="8">
        <v>51</v>
      </c>
      <c r="M278" s="8">
        <v>276688</v>
      </c>
      <c r="N278" s="7"/>
      <c r="O278" s="8">
        <v>58139</v>
      </c>
      <c r="P278" s="7"/>
      <c r="Q278" s="8">
        <v>10535</v>
      </c>
      <c r="R278" s="7"/>
      <c r="S278" s="8">
        <v>51102</v>
      </c>
      <c r="T278" s="7"/>
      <c r="U278" s="8">
        <v>0</v>
      </c>
      <c r="V278" s="7"/>
      <c r="W278" s="33">
        <v>396464</v>
      </c>
      <c r="X278" s="7"/>
      <c r="Y278" s="30">
        <v>142.5</v>
      </c>
      <c r="Z278" s="7"/>
      <c r="AA278" s="30">
        <v>30.6</v>
      </c>
      <c r="AB278" s="7"/>
      <c r="AC278" s="30">
        <v>5.2</v>
      </c>
      <c r="AD278" s="7"/>
      <c r="AE278" s="30">
        <v>27.1</v>
      </c>
      <c r="AF278" s="7"/>
      <c r="AG278" s="30">
        <v>0</v>
      </c>
      <c r="AI278" s="32">
        <v>205.4</v>
      </c>
      <c r="AK278" s="7" t="str">
        <f t="shared" si="4"/>
        <v>No</v>
      </c>
    </row>
    <row r="279" spans="1:37">
      <c r="A279" s="7" t="s">
        <v>508</v>
      </c>
      <c r="B279" s="7" t="s">
        <v>509</v>
      </c>
      <c r="C279" s="7" t="s">
        <v>17</v>
      </c>
      <c r="D279" s="302">
        <v>9062</v>
      </c>
      <c r="E279" s="297">
        <v>90062</v>
      </c>
      <c r="F279" s="7" t="s">
        <v>165</v>
      </c>
      <c r="G279" s="7" t="s">
        <v>158</v>
      </c>
      <c r="H279" s="8">
        <v>114237</v>
      </c>
      <c r="I279" s="8">
        <v>105</v>
      </c>
      <c r="J279" s="7" t="s">
        <v>18</v>
      </c>
      <c r="K279" s="7" t="s">
        <v>159</v>
      </c>
      <c r="L279" s="8">
        <v>7</v>
      </c>
      <c r="M279" s="8">
        <v>39837</v>
      </c>
      <c r="N279" s="7"/>
      <c r="O279" s="8">
        <v>8371</v>
      </c>
      <c r="P279" s="7"/>
      <c r="Q279" s="8">
        <v>1517</v>
      </c>
      <c r="R279" s="7"/>
      <c r="S279" s="8">
        <v>7358</v>
      </c>
      <c r="T279" s="7"/>
      <c r="U279" s="8">
        <v>0</v>
      </c>
      <c r="V279" s="7"/>
      <c r="W279" s="33">
        <v>57083</v>
      </c>
      <c r="X279" s="7"/>
      <c r="Y279" s="30">
        <v>20.5</v>
      </c>
      <c r="Z279" s="7"/>
      <c r="AA279" s="30">
        <v>4.4000000000000004</v>
      </c>
      <c r="AB279" s="7"/>
      <c r="AC279" s="30">
        <v>0.8</v>
      </c>
      <c r="AD279" s="7"/>
      <c r="AE279" s="30">
        <v>3.9</v>
      </c>
      <c r="AF279" s="7"/>
      <c r="AG279" s="30">
        <v>0</v>
      </c>
      <c r="AI279" s="32">
        <v>29.6</v>
      </c>
      <c r="AK279" s="7" t="str">
        <f t="shared" si="4"/>
        <v>No</v>
      </c>
    </row>
    <row r="280" spans="1:37">
      <c r="A280" s="7" t="s">
        <v>597</v>
      </c>
      <c r="B280" s="7" t="s">
        <v>598</v>
      </c>
      <c r="C280" s="7" t="s">
        <v>32</v>
      </c>
      <c r="D280" s="302">
        <v>4046</v>
      </c>
      <c r="E280" s="297">
        <v>40046</v>
      </c>
      <c r="F280" s="7" t="s">
        <v>162</v>
      </c>
      <c r="G280" s="7" t="s">
        <v>158</v>
      </c>
      <c r="H280" s="8">
        <v>643260</v>
      </c>
      <c r="I280" s="8">
        <v>104</v>
      </c>
      <c r="J280" s="7" t="s">
        <v>7</v>
      </c>
      <c r="K280" s="7" t="s">
        <v>159</v>
      </c>
      <c r="L280" s="8">
        <v>49</v>
      </c>
      <c r="M280" s="8">
        <v>327030</v>
      </c>
      <c r="N280" s="7"/>
      <c r="O280" s="8">
        <v>26511</v>
      </c>
      <c r="P280" s="7"/>
      <c r="Q280" s="8">
        <v>6419</v>
      </c>
      <c r="R280" s="7"/>
      <c r="S280" s="8">
        <v>18577</v>
      </c>
      <c r="T280" s="7"/>
      <c r="U280" s="8">
        <v>0</v>
      </c>
      <c r="V280" s="7"/>
      <c r="W280" s="33">
        <v>378537</v>
      </c>
      <c r="X280" s="7"/>
      <c r="Y280" s="30">
        <v>175.7</v>
      </c>
      <c r="Z280" s="7"/>
      <c r="AA280" s="30">
        <v>12.1</v>
      </c>
      <c r="AB280" s="7"/>
      <c r="AC280" s="30">
        <v>2.89</v>
      </c>
      <c r="AD280" s="7"/>
      <c r="AE280" s="30">
        <v>8.5399999999999991</v>
      </c>
      <c r="AF280" s="7"/>
      <c r="AG280" s="30">
        <v>0</v>
      </c>
      <c r="AI280" s="32">
        <v>199.23</v>
      </c>
      <c r="AK280" s="7" t="str">
        <f t="shared" si="4"/>
        <v>No</v>
      </c>
    </row>
    <row r="281" spans="1:37">
      <c r="A281" s="7" t="s">
        <v>587</v>
      </c>
      <c r="B281" s="7" t="s">
        <v>588</v>
      </c>
      <c r="C281" s="7" t="s">
        <v>17</v>
      </c>
      <c r="D281" s="302">
        <v>9012</v>
      </c>
      <c r="E281" s="297">
        <v>90012</v>
      </c>
      <c r="F281" s="7" t="s">
        <v>165</v>
      </c>
      <c r="G281" s="7" t="s">
        <v>158</v>
      </c>
      <c r="H281" s="8">
        <v>370583</v>
      </c>
      <c r="I281" s="8">
        <v>104</v>
      </c>
      <c r="J281" s="7" t="s">
        <v>7</v>
      </c>
      <c r="K281" s="7" t="s">
        <v>159</v>
      </c>
      <c r="L281" s="8">
        <v>48</v>
      </c>
      <c r="M281" s="8">
        <v>183768</v>
      </c>
      <c r="N281" s="7"/>
      <c r="O281" s="8">
        <v>58516</v>
      </c>
      <c r="P281" s="7"/>
      <c r="Q281" s="8">
        <v>28532</v>
      </c>
      <c r="R281" s="7"/>
      <c r="S281" s="8">
        <v>72668</v>
      </c>
      <c r="T281" s="7"/>
      <c r="U281" s="8">
        <v>13185</v>
      </c>
      <c r="V281" s="7"/>
      <c r="W281" s="33">
        <v>356669</v>
      </c>
      <c r="X281" s="7"/>
      <c r="Y281" s="30">
        <v>92</v>
      </c>
      <c r="Z281" s="7"/>
      <c r="AA281" s="30">
        <v>30</v>
      </c>
      <c r="AB281" s="7"/>
      <c r="AC281" s="30">
        <v>15</v>
      </c>
      <c r="AD281" s="7"/>
      <c r="AE281" s="30">
        <v>33</v>
      </c>
      <c r="AF281" s="7"/>
      <c r="AG281" s="30">
        <v>8</v>
      </c>
      <c r="AI281" s="32">
        <v>178</v>
      </c>
      <c r="AK281" s="7" t="str">
        <f t="shared" si="4"/>
        <v>No</v>
      </c>
    </row>
    <row r="282" spans="1:37">
      <c r="A282" s="7" t="s">
        <v>597</v>
      </c>
      <c r="B282" s="7" t="s">
        <v>598</v>
      </c>
      <c r="C282" s="7" t="s">
        <v>32</v>
      </c>
      <c r="D282" s="302">
        <v>4046</v>
      </c>
      <c r="E282" s="297">
        <v>40046</v>
      </c>
      <c r="F282" s="7" t="s">
        <v>162</v>
      </c>
      <c r="G282" s="7" t="s">
        <v>158</v>
      </c>
      <c r="H282" s="8">
        <v>643260</v>
      </c>
      <c r="I282" s="8">
        <v>104</v>
      </c>
      <c r="J282" s="7" t="s">
        <v>10</v>
      </c>
      <c r="K282" s="7" t="s">
        <v>159</v>
      </c>
      <c r="L282" s="8">
        <v>14</v>
      </c>
      <c r="M282" s="8">
        <v>23056</v>
      </c>
      <c r="N282" s="7"/>
      <c r="O282" s="8">
        <v>6361</v>
      </c>
      <c r="P282" s="7"/>
      <c r="Q282" s="8">
        <v>564</v>
      </c>
      <c r="R282" s="7"/>
      <c r="S282" s="8">
        <v>787</v>
      </c>
      <c r="T282" s="7"/>
      <c r="U282" s="8">
        <v>0</v>
      </c>
      <c r="V282" s="7"/>
      <c r="W282" s="33">
        <v>30768</v>
      </c>
      <c r="X282" s="7"/>
      <c r="Y282" s="30">
        <v>10.45</v>
      </c>
      <c r="Z282" s="7"/>
      <c r="AA282" s="30">
        <v>2.82</v>
      </c>
      <c r="AB282" s="7"/>
      <c r="AC282" s="30">
        <v>0.23</v>
      </c>
      <c r="AD282" s="7"/>
      <c r="AE282" s="30">
        <v>3.15</v>
      </c>
      <c r="AF282" s="7"/>
      <c r="AG282" s="30">
        <v>0</v>
      </c>
      <c r="AI282" s="32">
        <v>16.649999999999999</v>
      </c>
      <c r="AK282" s="7" t="str">
        <f t="shared" si="4"/>
        <v>No</v>
      </c>
    </row>
    <row r="283" spans="1:37">
      <c r="A283" s="7" t="s">
        <v>597</v>
      </c>
      <c r="B283" s="7" t="s">
        <v>598</v>
      </c>
      <c r="C283" s="7" t="s">
        <v>32</v>
      </c>
      <c r="D283" s="302">
        <v>4046</v>
      </c>
      <c r="E283" s="297">
        <v>40046</v>
      </c>
      <c r="F283" s="7" t="s">
        <v>162</v>
      </c>
      <c r="G283" s="7" t="s">
        <v>158</v>
      </c>
      <c r="H283" s="8">
        <v>643260</v>
      </c>
      <c r="I283" s="8">
        <v>104</v>
      </c>
      <c r="J283" s="7" t="s">
        <v>18</v>
      </c>
      <c r="K283" s="7" t="s">
        <v>159</v>
      </c>
      <c r="L283" s="8">
        <v>5</v>
      </c>
      <c r="M283" s="8">
        <v>20103</v>
      </c>
      <c r="N283" s="7"/>
      <c r="O283" s="8">
        <v>2171</v>
      </c>
      <c r="P283" s="7"/>
      <c r="Q283" s="8">
        <v>1277</v>
      </c>
      <c r="R283" s="7"/>
      <c r="S283" s="8">
        <v>2194</v>
      </c>
      <c r="T283" s="7"/>
      <c r="U283" s="8">
        <v>0</v>
      </c>
      <c r="V283" s="7"/>
      <c r="W283" s="33">
        <v>25745</v>
      </c>
      <c r="X283" s="7"/>
      <c r="Y283" s="30">
        <v>9.77</v>
      </c>
      <c r="Z283" s="7"/>
      <c r="AA283" s="30">
        <v>0.92</v>
      </c>
      <c r="AB283" s="7"/>
      <c r="AC283" s="30">
        <v>0.5</v>
      </c>
      <c r="AD283" s="7"/>
      <c r="AE283" s="30">
        <v>0.93</v>
      </c>
      <c r="AF283" s="7"/>
      <c r="AG283" s="30">
        <v>0</v>
      </c>
      <c r="AI283" s="32">
        <v>12.12</v>
      </c>
      <c r="AK283" s="7" t="str">
        <f t="shared" si="4"/>
        <v>No</v>
      </c>
    </row>
    <row r="284" spans="1:37">
      <c r="A284" s="7" t="s">
        <v>699</v>
      </c>
      <c r="B284" s="7" t="s">
        <v>700</v>
      </c>
      <c r="C284" s="7" t="s">
        <v>47</v>
      </c>
      <c r="D284" s="302">
        <v>1014</v>
      </c>
      <c r="E284" s="297">
        <v>10014</v>
      </c>
      <c r="F284" s="7" t="s">
        <v>165</v>
      </c>
      <c r="G284" s="7" t="s">
        <v>158</v>
      </c>
      <c r="H284" s="8">
        <v>486514</v>
      </c>
      <c r="I284" s="8">
        <v>103</v>
      </c>
      <c r="J284" s="7" t="s">
        <v>7</v>
      </c>
      <c r="K284" s="7" t="s">
        <v>159</v>
      </c>
      <c r="L284" s="8">
        <v>44</v>
      </c>
      <c r="M284" s="8">
        <v>215611</v>
      </c>
      <c r="N284" s="7"/>
      <c r="O284" s="8">
        <v>55436</v>
      </c>
      <c r="P284" s="7"/>
      <c r="Q284" s="8">
        <v>8139</v>
      </c>
      <c r="R284" s="7"/>
      <c r="S284" s="8">
        <v>26264</v>
      </c>
      <c r="T284" s="7"/>
      <c r="U284" s="8">
        <v>0</v>
      </c>
      <c r="V284" s="7"/>
      <c r="W284" s="33">
        <v>305450</v>
      </c>
      <c r="X284" s="7"/>
      <c r="Y284" s="30">
        <v>100.9</v>
      </c>
      <c r="Z284" s="7"/>
      <c r="AA284" s="30">
        <v>25</v>
      </c>
      <c r="AB284" s="7"/>
      <c r="AC284" s="30">
        <v>4.8</v>
      </c>
      <c r="AD284" s="7"/>
      <c r="AE284" s="30">
        <v>12.8</v>
      </c>
      <c r="AF284" s="7"/>
      <c r="AG284" s="30">
        <v>0</v>
      </c>
      <c r="AI284" s="32">
        <v>143.5</v>
      </c>
      <c r="AK284" s="7" t="str">
        <f t="shared" si="4"/>
        <v>No</v>
      </c>
    </row>
    <row r="285" spans="1:37">
      <c r="A285" s="7" t="s">
        <v>699</v>
      </c>
      <c r="B285" s="7" t="s">
        <v>700</v>
      </c>
      <c r="C285" s="7" t="s">
        <v>47</v>
      </c>
      <c r="D285" s="302">
        <v>1014</v>
      </c>
      <c r="E285" s="297">
        <v>10014</v>
      </c>
      <c r="F285" s="7" t="s">
        <v>165</v>
      </c>
      <c r="G285" s="7" t="s">
        <v>158</v>
      </c>
      <c r="H285" s="8">
        <v>486514</v>
      </c>
      <c r="I285" s="8">
        <v>103</v>
      </c>
      <c r="J285" s="7" t="s">
        <v>10</v>
      </c>
      <c r="K285" s="7" t="s">
        <v>159</v>
      </c>
      <c r="L285" s="8">
        <v>10</v>
      </c>
      <c r="M285" s="8">
        <v>27818</v>
      </c>
      <c r="N285" s="7"/>
      <c r="O285" s="8">
        <v>4697</v>
      </c>
      <c r="P285" s="7"/>
      <c r="Q285" s="8">
        <v>401</v>
      </c>
      <c r="R285" s="7"/>
      <c r="S285" s="8">
        <v>3646</v>
      </c>
      <c r="T285" s="7"/>
      <c r="U285" s="8">
        <v>0</v>
      </c>
      <c r="V285" s="7"/>
      <c r="W285" s="33">
        <v>36562</v>
      </c>
      <c r="X285" s="7"/>
      <c r="Y285" s="30">
        <v>11.6</v>
      </c>
      <c r="Z285" s="7"/>
      <c r="AA285" s="30">
        <v>2.7</v>
      </c>
      <c r="AB285" s="7"/>
      <c r="AC285" s="30">
        <v>0.2</v>
      </c>
      <c r="AD285" s="7"/>
      <c r="AE285" s="30">
        <v>1.9</v>
      </c>
      <c r="AF285" s="7"/>
      <c r="AG285" s="30">
        <v>0</v>
      </c>
      <c r="AI285" s="32">
        <v>16.399999999999999</v>
      </c>
      <c r="AK285" s="7" t="str">
        <f t="shared" si="4"/>
        <v>No</v>
      </c>
    </row>
    <row r="286" spans="1:37">
      <c r="A286" s="7" t="s">
        <v>631</v>
      </c>
      <c r="B286" s="7" t="s">
        <v>632</v>
      </c>
      <c r="C286" s="7" t="s">
        <v>63</v>
      </c>
      <c r="D286" s="302">
        <v>2128</v>
      </c>
      <c r="E286" s="297">
        <v>20128</v>
      </c>
      <c r="F286" s="7" t="s">
        <v>173</v>
      </c>
      <c r="G286" s="7" t="s">
        <v>158</v>
      </c>
      <c r="H286" s="8">
        <v>18351295</v>
      </c>
      <c r="I286" s="8">
        <v>102</v>
      </c>
      <c r="J286" s="7" t="s">
        <v>18</v>
      </c>
      <c r="K286" s="7" t="s">
        <v>159</v>
      </c>
      <c r="L286" s="8">
        <v>102</v>
      </c>
      <c r="M286" s="8">
        <v>263595</v>
      </c>
      <c r="N286" s="7"/>
      <c r="O286" s="8">
        <v>91467</v>
      </c>
      <c r="P286" s="7"/>
      <c r="Q286" s="8">
        <v>0</v>
      </c>
      <c r="R286" s="7"/>
      <c r="S286" s="8">
        <v>46810</v>
      </c>
      <c r="T286" s="7"/>
      <c r="U286" s="8">
        <v>0</v>
      </c>
      <c r="V286" s="7"/>
      <c r="W286" s="33">
        <v>401872</v>
      </c>
      <c r="X286" s="7"/>
      <c r="Y286" s="30">
        <v>143</v>
      </c>
      <c r="Z286" s="7"/>
      <c r="AA286" s="30">
        <v>32</v>
      </c>
      <c r="AB286" s="7"/>
      <c r="AC286" s="30">
        <v>0</v>
      </c>
      <c r="AD286" s="7"/>
      <c r="AE286" s="30">
        <v>23</v>
      </c>
      <c r="AF286" s="7"/>
      <c r="AG286" s="30">
        <v>0</v>
      </c>
      <c r="AI286" s="32">
        <v>198</v>
      </c>
      <c r="AK286" s="7" t="str">
        <f t="shared" si="4"/>
        <v>No</v>
      </c>
    </row>
    <row r="287" spans="1:37">
      <c r="A287" s="7" t="s">
        <v>334</v>
      </c>
      <c r="B287" s="7" t="s">
        <v>335</v>
      </c>
      <c r="C287" s="7" t="s">
        <v>84</v>
      </c>
      <c r="D287" s="302">
        <v>6051</v>
      </c>
      <c r="E287" s="297">
        <v>60051</v>
      </c>
      <c r="F287" s="7" t="s">
        <v>165</v>
      </c>
      <c r="G287" s="7" t="s">
        <v>158</v>
      </c>
      <c r="H287" s="8">
        <v>320069</v>
      </c>
      <c r="I287" s="8">
        <v>102</v>
      </c>
      <c r="J287" s="7" t="s">
        <v>7</v>
      </c>
      <c r="K287" s="7" t="s">
        <v>159</v>
      </c>
      <c r="L287" s="8">
        <v>58</v>
      </c>
      <c r="M287" s="8">
        <v>287006</v>
      </c>
      <c r="N287" s="7"/>
      <c r="O287" s="8">
        <v>74512</v>
      </c>
      <c r="P287" s="7"/>
      <c r="Q287" s="8">
        <v>26710</v>
      </c>
      <c r="R287" s="7"/>
      <c r="S287" s="8">
        <v>43631</v>
      </c>
      <c r="T287" s="7"/>
      <c r="U287" s="8">
        <v>0</v>
      </c>
      <c r="V287" s="7"/>
      <c r="W287" s="33">
        <v>431859</v>
      </c>
      <c r="X287" s="7"/>
      <c r="Y287" s="30">
        <v>152.80000000000001</v>
      </c>
      <c r="Z287" s="7"/>
      <c r="AA287" s="30">
        <v>42</v>
      </c>
      <c r="AB287" s="7"/>
      <c r="AC287" s="30">
        <v>19.5</v>
      </c>
      <c r="AD287" s="7"/>
      <c r="AE287" s="30">
        <v>28</v>
      </c>
      <c r="AF287" s="7"/>
      <c r="AG287" s="30">
        <v>0</v>
      </c>
      <c r="AI287" s="32">
        <v>242.3</v>
      </c>
      <c r="AK287" s="7" t="str">
        <f t="shared" si="4"/>
        <v>No</v>
      </c>
    </row>
    <row r="288" spans="1:37">
      <c r="A288" s="7" t="s">
        <v>334</v>
      </c>
      <c r="B288" s="7" t="s">
        <v>335</v>
      </c>
      <c r="C288" s="7" t="s">
        <v>84</v>
      </c>
      <c r="D288" s="302">
        <v>6051</v>
      </c>
      <c r="E288" s="297">
        <v>60051</v>
      </c>
      <c r="F288" s="7" t="s">
        <v>165</v>
      </c>
      <c r="G288" s="7" t="s">
        <v>158</v>
      </c>
      <c r="H288" s="8">
        <v>320069</v>
      </c>
      <c r="I288" s="8">
        <v>102</v>
      </c>
      <c r="J288" s="7" t="s">
        <v>10</v>
      </c>
      <c r="K288" s="7" t="s">
        <v>159</v>
      </c>
      <c r="L288" s="8">
        <v>1</v>
      </c>
      <c r="M288" s="8">
        <v>2186</v>
      </c>
      <c r="N288" s="7"/>
      <c r="O288" s="8">
        <v>59</v>
      </c>
      <c r="P288" s="7"/>
      <c r="Q288" s="8">
        <v>19</v>
      </c>
      <c r="R288" s="7"/>
      <c r="S288" s="8">
        <v>483</v>
      </c>
      <c r="T288" s="7"/>
      <c r="U288" s="8">
        <v>0</v>
      </c>
      <c r="V288" s="7"/>
      <c r="W288" s="33">
        <v>2747</v>
      </c>
      <c r="X288" s="7"/>
      <c r="Y288" s="30">
        <v>2.1</v>
      </c>
      <c r="Z288" s="7"/>
      <c r="AA288" s="30">
        <v>0.03</v>
      </c>
      <c r="AB288" s="7"/>
      <c r="AC288" s="30">
        <v>0.01</v>
      </c>
      <c r="AD288" s="7"/>
      <c r="AE288" s="30">
        <v>0.26</v>
      </c>
      <c r="AF288" s="7"/>
      <c r="AG288" s="30">
        <v>0</v>
      </c>
      <c r="AI288" s="32">
        <v>2.4</v>
      </c>
      <c r="AK288" s="7" t="str">
        <f t="shared" si="4"/>
        <v>No</v>
      </c>
    </row>
    <row r="289" spans="1:37">
      <c r="A289" s="7" t="s">
        <v>687</v>
      </c>
      <c r="B289" s="7" t="s">
        <v>688</v>
      </c>
      <c r="C289" s="7" t="s">
        <v>89</v>
      </c>
      <c r="D289" s="302">
        <v>21</v>
      </c>
      <c r="E289" s="297">
        <v>21</v>
      </c>
      <c r="F289" s="7" t="s">
        <v>165</v>
      </c>
      <c r="G289" s="7" t="s">
        <v>158</v>
      </c>
      <c r="H289" s="8">
        <v>114473</v>
      </c>
      <c r="I289" s="8">
        <v>101</v>
      </c>
      <c r="J289" s="7" t="s">
        <v>7</v>
      </c>
      <c r="K289" s="7" t="s">
        <v>159</v>
      </c>
      <c r="L289" s="8">
        <v>44</v>
      </c>
      <c r="M289" s="8">
        <v>209561</v>
      </c>
      <c r="N289" s="7"/>
      <c r="O289" s="8">
        <v>32044</v>
      </c>
      <c r="P289" s="7"/>
      <c r="Q289" s="8">
        <v>8287</v>
      </c>
      <c r="R289" s="7"/>
      <c r="S289" s="8">
        <v>30739</v>
      </c>
      <c r="T289" s="7"/>
      <c r="U289" s="8">
        <v>2436</v>
      </c>
      <c r="V289" s="7"/>
      <c r="W289" s="33">
        <v>283067</v>
      </c>
      <c r="X289" s="7"/>
      <c r="Y289" s="30">
        <v>125.29</v>
      </c>
      <c r="Z289" s="7"/>
      <c r="AA289" s="30">
        <v>17.75</v>
      </c>
      <c r="AB289" s="7"/>
      <c r="AC289" s="30">
        <v>4.3099999999999996</v>
      </c>
      <c r="AD289" s="7"/>
      <c r="AE289" s="30">
        <v>17.45</v>
      </c>
      <c r="AF289" s="7"/>
      <c r="AG289" s="30">
        <v>1.35</v>
      </c>
      <c r="AI289" s="32">
        <v>166.15</v>
      </c>
      <c r="AK289" s="7" t="str">
        <f t="shared" si="4"/>
        <v>No</v>
      </c>
    </row>
    <row r="290" spans="1:37">
      <c r="A290" s="7" t="s">
        <v>687</v>
      </c>
      <c r="B290" s="7" t="s">
        <v>688</v>
      </c>
      <c r="C290" s="7" t="s">
        <v>89</v>
      </c>
      <c r="D290" s="302">
        <v>21</v>
      </c>
      <c r="E290" s="297">
        <v>21</v>
      </c>
      <c r="F290" s="7" t="s">
        <v>165</v>
      </c>
      <c r="G290" s="7" t="s">
        <v>158</v>
      </c>
      <c r="H290" s="8">
        <v>114473</v>
      </c>
      <c r="I290" s="8">
        <v>101</v>
      </c>
      <c r="J290" s="7" t="s">
        <v>10</v>
      </c>
      <c r="K290" s="7" t="s">
        <v>159</v>
      </c>
      <c r="L290" s="8">
        <v>30</v>
      </c>
      <c r="M290" s="8">
        <v>107607</v>
      </c>
      <c r="N290" s="7"/>
      <c r="O290" s="8">
        <v>9340</v>
      </c>
      <c r="P290" s="7"/>
      <c r="Q290" s="8">
        <v>2214</v>
      </c>
      <c r="R290" s="7"/>
      <c r="S290" s="8">
        <v>14614</v>
      </c>
      <c r="T290" s="7"/>
      <c r="U290" s="8">
        <v>0</v>
      </c>
      <c r="V290" s="7"/>
      <c r="W290" s="33">
        <v>133775</v>
      </c>
      <c r="X290" s="7"/>
      <c r="Y290" s="30">
        <v>57.36</v>
      </c>
      <c r="Z290" s="7"/>
      <c r="AA290" s="30">
        <v>5.25</v>
      </c>
      <c r="AB290" s="7"/>
      <c r="AC290" s="30">
        <v>1.1599999999999999</v>
      </c>
      <c r="AD290" s="7"/>
      <c r="AE290" s="30">
        <v>8.2899999999999991</v>
      </c>
      <c r="AF290" s="7"/>
      <c r="AG290" s="30">
        <v>0</v>
      </c>
      <c r="AI290" s="32">
        <v>72.06</v>
      </c>
      <c r="AK290" s="7" t="str">
        <f t="shared" si="4"/>
        <v>No</v>
      </c>
    </row>
    <row r="291" spans="1:37">
      <c r="A291" s="7" t="s">
        <v>687</v>
      </c>
      <c r="B291" s="7" t="s">
        <v>688</v>
      </c>
      <c r="C291" s="7" t="s">
        <v>89</v>
      </c>
      <c r="D291" s="302">
        <v>21</v>
      </c>
      <c r="E291" s="297">
        <v>21</v>
      </c>
      <c r="F291" s="7" t="s">
        <v>165</v>
      </c>
      <c r="G291" s="7" t="s">
        <v>158</v>
      </c>
      <c r="H291" s="8">
        <v>114473</v>
      </c>
      <c r="I291" s="8">
        <v>101</v>
      </c>
      <c r="J291" s="7" t="s">
        <v>8</v>
      </c>
      <c r="K291" s="7" t="s">
        <v>159</v>
      </c>
      <c r="L291" s="8">
        <v>25</v>
      </c>
      <c r="M291" s="8">
        <v>0</v>
      </c>
      <c r="N291" s="7"/>
      <c r="O291" s="8">
        <v>921</v>
      </c>
      <c r="P291" s="7"/>
      <c r="Q291" s="8">
        <v>69</v>
      </c>
      <c r="R291" s="7"/>
      <c r="S291" s="8">
        <v>458</v>
      </c>
      <c r="T291" s="7"/>
      <c r="U291" s="8">
        <v>0</v>
      </c>
      <c r="V291" s="7"/>
      <c r="W291" s="33">
        <v>1448</v>
      </c>
      <c r="X291" s="7"/>
      <c r="Y291" s="30">
        <v>0</v>
      </c>
      <c r="Z291" s="7"/>
      <c r="AA291" s="30">
        <v>0.5</v>
      </c>
      <c r="AB291" s="7"/>
      <c r="AC291" s="30">
        <v>0.04</v>
      </c>
      <c r="AD291" s="7"/>
      <c r="AE291" s="30">
        <v>0.25</v>
      </c>
      <c r="AF291" s="7"/>
      <c r="AG291" s="30">
        <v>0</v>
      </c>
      <c r="AI291" s="32">
        <v>0.79</v>
      </c>
      <c r="AK291" s="7" t="str">
        <f t="shared" si="4"/>
        <v>No</v>
      </c>
    </row>
    <row r="292" spans="1:37">
      <c r="A292" s="7" t="s">
        <v>221</v>
      </c>
      <c r="B292" s="7" t="s">
        <v>222</v>
      </c>
      <c r="C292" s="7" t="s">
        <v>9</v>
      </c>
      <c r="D292" s="302">
        <v>4042</v>
      </c>
      <c r="E292" s="297">
        <v>40042</v>
      </c>
      <c r="F292" s="7" t="s">
        <v>165</v>
      </c>
      <c r="G292" s="7" t="s">
        <v>158</v>
      </c>
      <c r="H292" s="8">
        <v>749495</v>
      </c>
      <c r="I292" s="8">
        <v>100</v>
      </c>
      <c r="J292" s="7" t="s">
        <v>7</v>
      </c>
      <c r="K292" s="7" t="s">
        <v>159</v>
      </c>
      <c r="L292" s="8">
        <v>70</v>
      </c>
      <c r="M292" s="8">
        <v>258611</v>
      </c>
      <c r="N292" s="7"/>
      <c r="O292" s="8">
        <v>107867</v>
      </c>
      <c r="P292" s="7"/>
      <c r="Q292" s="8">
        <v>21699</v>
      </c>
      <c r="R292" s="7"/>
      <c r="S292" s="8">
        <v>73665</v>
      </c>
      <c r="T292" s="7"/>
      <c r="U292" s="8">
        <v>0</v>
      </c>
      <c r="V292" s="7"/>
      <c r="W292" s="33">
        <v>461842</v>
      </c>
      <c r="X292" s="7"/>
      <c r="Y292" s="30">
        <v>153</v>
      </c>
      <c r="Z292" s="7"/>
      <c r="AA292" s="30">
        <v>56</v>
      </c>
      <c r="AB292" s="7"/>
      <c r="AC292" s="30">
        <v>11</v>
      </c>
      <c r="AD292" s="7"/>
      <c r="AE292" s="30">
        <v>41</v>
      </c>
      <c r="AF292" s="7"/>
      <c r="AG292" s="30">
        <v>0</v>
      </c>
      <c r="AI292" s="32">
        <v>261</v>
      </c>
      <c r="AK292" s="7" t="str">
        <f t="shared" si="4"/>
        <v>No</v>
      </c>
    </row>
    <row r="293" spans="1:37">
      <c r="A293" s="7" t="s">
        <v>221</v>
      </c>
      <c r="B293" s="7" t="s">
        <v>222</v>
      </c>
      <c r="C293" s="7" t="s">
        <v>9</v>
      </c>
      <c r="D293" s="302">
        <v>4042</v>
      </c>
      <c r="E293" s="297">
        <v>40042</v>
      </c>
      <c r="F293" s="7" t="s">
        <v>165</v>
      </c>
      <c r="G293" s="7" t="s">
        <v>158</v>
      </c>
      <c r="H293" s="8">
        <v>749495</v>
      </c>
      <c r="I293" s="8">
        <v>100</v>
      </c>
      <c r="J293" s="7" t="s">
        <v>10</v>
      </c>
      <c r="K293" s="7" t="s">
        <v>159</v>
      </c>
      <c r="L293" s="8">
        <v>30</v>
      </c>
      <c r="M293" s="8">
        <v>97040</v>
      </c>
      <c r="N293" s="7"/>
      <c r="O293" s="8">
        <v>13332</v>
      </c>
      <c r="P293" s="7"/>
      <c r="Q293" s="8">
        <v>5425</v>
      </c>
      <c r="R293" s="7"/>
      <c r="S293" s="8">
        <v>10045</v>
      </c>
      <c r="T293" s="7"/>
      <c r="U293" s="8">
        <v>0</v>
      </c>
      <c r="V293" s="7"/>
      <c r="W293" s="33">
        <v>125842</v>
      </c>
      <c r="X293" s="7"/>
      <c r="Y293" s="30">
        <v>49</v>
      </c>
      <c r="Z293" s="7"/>
      <c r="AA293" s="30">
        <v>7</v>
      </c>
      <c r="AB293" s="7"/>
      <c r="AC293" s="30">
        <v>3</v>
      </c>
      <c r="AD293" s="7"/>
      <c r="AE293" s="30">
        <v>6</v>
      </c>
      <c r="AF293" s="7"/>
      <c r="AG293" s="30">
        <v>0</v>
      </c>
      <c r="AI293" s="32">
        <v>65</v>
      </c>
      <c r="AK293" s="7" t="str">
        <f t="shared" si="4"/>
        <v>No</v>
      </c>
    </row>
    <row r="294" spans="1:37">
      <c r="A294" s="7" t="s">
        <v>1124</v>
      </c>
      <c r="B294" s="7" t="s">
        <v>285</v>
      </c>
      <c r="C294" s="7" t="s">
        <v>86</v>
      </c>
      <c r="D294" s="302">
        <v>3071</v>
      </c>
      <c r="E294" s="297">
        <v>30071</v>
      </c>
      <c r="F294" s="7" t="s">
        <v>162</v>
      </c>
      <c r="G294" s="7" t="s">
        <v>158</v>
      </c>
      <c r="H294" s="8">
        <v>4586770</v>
      </c>
      <c r="I294" s="8">
        <v>99</v>
      </c>
      <c r="J294" s="7" t="s">
        <v>7</v>
      </c>
      <c r="K294" s="7" t="s">
        <v>159</v>
      </c>
      <c r="L294" s="8">
        <v>66</v>
      </c>
      <c r="M294" s="8">
        <v>267017</v>
      </c>
      <c r="N294" s="7"/>
      <c r="O294" s="8">
        <v>42321</v>
      </c>
      <c r="P294" s="7"/>
      <c r="Q294" s="8">
        <v>2010</v>
      </c>
      <c r="R294" s="7"/>
      <c r="S294" s="8">
        <v>22988</v>
      </c>
      <c r="T294" s="7"/>
      <c r="U294" s="8">
        <v>0</v>
      </c>
      <c r="V294" s="7"/>
      <c r="W294" s="33">
        <v>334336</v>
      </c>
      <c r="X294" s="7"/>
      <c r="Y294" s="30">
        <v>123</v>
      </c>
      <c r="Z294" s="7"/>
      <c r="AA294" s="30">
        <v>23</v>
      </c>
      <c r="AB294" s="7"/>
      <c r="AC294" s="30">
        <v>1</v>
      </c>
      <c r="AD294" s="7"/>
      <c r="AE294" s="30">
        <v>11</v>
      </c>
      <c r="AF294" s="7"/>
      <c r="AG294" s="30">
        <v>0</v>
      </c>
      <c r="AI294" s="32">
        <v>158</v>
      </c>
      <c r="AK294" s="7" t="str">
        <f t="shared" si="4"/>
        <v>No</v>
      </c>
    </row>
    <row r="295" spans="1:37">
      <c r="A295" s="7" t="s">
        <v>330</v>
      </c>
      <c r="B295" s="7" t="s">
        <v>329</v>
      </c>
      <c r="C295" s="7" t="s">
        <v>28</v>
      </c>
      <c r="D295" s="302">
        <v>1055</v>
      </c>
      <c r="E295" s="297">
        <v>10055</v>
      </c>
      <c r="F295" s="7" t="s">
        <v>157</v>
      </c>
      <c r="G295" s="7" t="s">
        <v>158</v>
      </c>
      <c r="H295" s="8">
        <v>562839</v>
      </c>
      <c r="I295" s="8">
        <v>98</v>
      </c>
      <c r="J295" s="7" t="s">
        <v>7</v>
      </c>
      <c r="K295" s="7" t="s">
        <v>159</v>
      </c>
      <c r="L295" s="8">
        <v>98</v>
      </c>
      <c r="M295" s="8">
        <v>491131</v>
      </c>
      <c r="N295" s="7"/>
      <c r="O295" s="8">
        <v>115158</v>
      </c>
      <c r="P295" s="7"/>
      <c r="Q295" s="8">
        <v>20331</v>
      </c>
      <c r="R295" s="7"/>
      <c r="S295" s="8">
        <v>45751</v>
      </c>
      <c r="T295" s="7"/>
      <c r="U295" s="8">
        <v>0</v>
      </c>
      <c r="V295" s="7"/>
      <c r="W295" s="33">
        <v>672371</v>
      </c>
      <c r="X295" s="7"/>
      <c r="Y295" s="30">
        <v>233</v>
      </c>
      <c r="Z295" s="7"/>
      <c r="AA295" s="30">
        <v>55</v>
      </c>
      <c r="AB295" s="7"/>
      <c r="AC295" s="30">
        <v>10</v>
      </c>
      <c r="AD295" s="7"/>
      <c r="AE295" s="30">
        <v>24</v>
      </c>
      <c r="AF295" s="7"/>
      <c r="AG295" s="30">
        <v>0</v>
      </c>
      <c r="AI295" s="32">
        <v>322</v>
      </c>
      <c r="AK295" s="7" t="str">
        <f t="shared" si="4"/>
        <v>No</v>
      </c>
    </row>
    <row r="296" spans="1:37">
      <c r="A296" s="7" t="s">
        <v>447</v>
      </c>
      <c r="B296" s="7" t="s">
        <v>448</v>
      </c>
      <c r="C296" s="7" t="s">
        <v>32</v>
      </c>
      <c r="D296" s="302">
        <v>4028</v>
      </c>
      <c r="E296" s="297">
        <v>40028</v>
      </c>
      <c r="F296" s="7" t="s">
        <v>162</v>
      </c>
      <c r="G296" s="7" t="s">
        <v>158</v>
      </c>
      <c r="H296" s="8">
        <v>530290</v>
      </c>
      <c r="I296" s="8">
        <v>98</v>
      </c>
      <c r="J296" s="7" t="s">
        <v>7</v>
      </c>
      <c r="K296" s="7" t="s">
        <v>159</v>
      </c>
      <c r="L296" s="8">
        <v>48</v>
      </c>
      <c r="M296" s="8">
        <v>289235</v>
      </c>
      <c r="N296" s="7"/>
      <c r="O296" s="8">
        <v>46610</v>
      </c>
      <c r="P296" s="7"/>
      <c r="Q296" s="8">
        <v>11347</v>
      </c>
      <c r="R296" s="7"/>
      <c r="S296" s="8">
        <v>23437</v>
      </c>
      <c r="T296" s="7"/>
      <c r="U296" s="8">
        <v>0</v>
      </c>
      <c r="V296" s="7"/>
      <c r="W296" s="33">
        <v>370629</v>
      </c>
      <c r="X296" s="7"/>
      <c r="Y296" s="30">
        <v>146</v>
      </c>
      <c r="Z296" s="7"/>
      <c r="AA296" s="30">
        <v>23</v>
      </c>
      <c r="AB296" s="7"/>
      <c r="AC296" s="30">
        <v>6</v>
      </c>
      <c r="AD296" s="7"/>
      <c r="AE296" s="30">
        <v>12</v>
      </c>
      <c r="AF296" s="7"/>
      <c r="AG296" s="30">
        <v>0</v>
      </c>
      <c r="AI296" s="32">
        <v>187</v>
      </c>
      <c r="AK296" s="7" t="str">
        <f t="shared" si="4"/>
        <v>No</v>
      </c>
    </row>
    <row r="297" spans="1:37">
      <c r="A297" s="7" t="s">
        <v>447</v>
      </c>
      <c r="B297" s="7" t="s">
        <v>448</v>
      </c>
      <c r="C297" s="7" t="s">
        <v>32</v>
      </c>
      <c r="D297" s="302">
        <v>4028</v>
      </c>
      <c r="E297" s="297">
        <v>40028</v>
      </c>
      <c r="F297" s="7" t="s">
        <v>162</v>
      </c>
      <c r="G297" s="7" t="s">
        <v>158</v>
      </c>
      <c r="H297" s="8">
        <v>530290</v>
      </c>
      <c r="I297" s="8">
        <v>98</v>
      </c>
      <c r="J297" s="7" t="s">
        <v>10</v>
      </c>
      <c r="K297" s="7" t="s">
        <v>159</v>
      </c>
      <c r="L297" s="8">
        <v>38</v>
      </c>
      <c r="M297" s="8">
        <v>119449</v>
      </c>
      <c r="N297" s="7"/>
      <c r="O297" s="8">
        <v>7433</v>
      </c>
      <c r="P297" s="7"/>
      <c r="Q297" s="8">
        <v>0</v>
      </c>
      <c r="R297" s="7"/>
      <c r="S297" s="8">
        <v>12057</v>
      </c>
      <c r="T297" s="7"/>
      <c r="U297" s="8">
        <v>0</v>
      </c>
      <c r="V297" s="7"/>
      <c r="W297" s="33">
        <v>138939</v>
      </c>
      <c r="X297" s="7"/>
      <c r="Y297" s="30">
        <v>57</v>
      </c>
      <c r="Z297" s="7"/>
      <c r="AA297" s="30">
        <v>4</v>
      </c>
      <c r="AB297" s="7"/>
      <c r="AC297" s="30">
        <v>0</v>
      </c>
      <c r="AD297" s="7"/>
      <c r="AE297" s="30">
        <v>6.5</v>
      </c>
      <c r="AF297" s="7"/>
      <c r="AG297" s="30">
        <v>0</v>
      </c>
      <c r="AI297" s="32">
        <v>67.5</v>
      </c>
      <c r="AK297" s="7" t="str">
        <f t="shared" si="4"/>
        <v>No</v>
      </c>
    </row>
    <row r="298" spans="1:37">
      <c r="A298" s="7" t="s">
        <v>215</v>
      </c>
      <c r="B298" s="7" t="s">
        <v>216</v>
      </c>
      <c r="C298" s="7" t="s">
        <v>77</v>
      </c>
      <c r="D298" s="302">
        <v>3024</v>
      </c>
      <c r="E298" s="297">
        <v>30024</v>
      </c>
      <c r="F298" s="7" t="s">
        <v>165</v>
      </c>
      <c r="G298" s="7" t="s">
        <v>158</v>
      </c>
      <c r="H298" s="8">
        <v>266254</v>
      </c>
      <c r="I298" s="8">
        <v>97</v>
      </c>
      <c r="J298" s="7" t="s">
        <v>7</v>
      </c>
      <c r="K298" s="7" t="s">
        <v>159</v>
      </c>
      <c r="L298" s="8">
        <v>44</v>
      </c>
      <c r="M298" s="8">
        <v>142577</v>
      </c>
      <c r="N298" s="7"/>
      <c r="O298" s="8">
        <v>17097</v>
      </c>
      <c r="P298" s="7"/>
      <c r="Q298" s="8">
        <v>7966</v>
      </c>
      <c r="R298" s="7"/>
      <c r="S298" s="8">
        <v>22080</v>
      </c>
      <c r="T298" s="7"/>
      <c r="U298" s="8">
        <v>0</v>
      </c>
      <c r="V298" s="7"/>
      <c r="W298" s="33">
        <v>189720</v>
      </c>
      <c r="X298" s="7"/>
      <c r="Y298" s="30">
        <v>78</v>
      </c>
      <c r="Z298" s="7"/>
      <c r="AA298" s="30">
        <v>8.4</v>
      </c>
      <c r="AB298" s="7"/>
      <c r="AC298" s="30">
        <v>6</v>
      </c>
      <c r="AD298" s="7"/>
      <c r="AE298" s="30">
        <v>11.5</v>
      </c>
      <c r="AF298" s="7"/>
      <c r="AG298" s="30">
        <v>0</v>
      </c>
      <c r="AI298" s="32">
        <v>103.9</v>
      </c>
      <c r="AK298" s="7" t="str">
        <f t="shared" si="4"/>
        <v>No</v>
      </c>
    </row>
    <row r="299" spans="1:37">
      <c r="A299" s="7" t="s">
        <v>215</v>
      </c>
      <c r="B299" s="7" t="s">
        <v>216</v>
      </c>
      <c r="C299" s="7" t="s">
        <v>77</v>
      </c>
      <c r="D299" s="302">
        <v>3024</v>
      </c>
      <c r="E299" s="297">
        <v>30024</v>
      </c>
      <c r="F299" s="7" t="s">
        <v>165</v>
      </c>
      <c r="G299" s="7" t="s">
        <v>158</v>
      </c>
      <c r="H299" s="8">
        <v>266254</v>
      </c>
      <c r="I299" s="8">
        <v>97</v>
      </c>
      <c r="J299" s="7" t="s">
        <v>10</v>
      </c>
      <c r="K299" s="7" t="s">
        <v>159</v>
      </c>
      <c r="L299" s="8">
        <v>34</v>
      </c>
      <c r="M299" s="8">
        <v>73186</v>
      </c>
      <c r="N299" s="7"/>
      <c r="O299" s="8">
        <v>11398</v>
      </c>
      <c r="P299" s="7"/>
      <c r="Q299" s="8">
        <v>4525</v>
      </c>
      <c r="R299" s="7"/>
      <c r="S299" s="8">
        <v>20160</v>
      </c>
      <c r="T299" s="7"/>
      <c r="U299" s="8">
        <v>0</v>
      </c>
      <c r="V299" s="7"/>
      <c r="W299" s="33">
        <v>109269</v>
      </c>
      <c r="X299" s="7"/>
      <c r="Y299" s="30">
        <v>35</v>
      </c>
      <c r="Z299" s="7"/>
      <c r="AA299" s="30">
        <v>5.6</v>
      </c>
      <c r="AB299" s="7"/>
      <c r="AC299" s="30">
        <v>4</v>
      </c>
      <c r="AD299" s="7"/>
      <c r="AE299" s="30">
        <v>10.5</v>
      </c>
      <c r="AF299" s="7"/>
      <c r="AG299" s="30">
        <v>0</v>
      </c>
      <c r="AI299" s="32">
        <v>55.1</v>
      </c>
      <c r="AK299" s="7" t="str">
        <f t="shared" si="4"/>
        <v>No</v>
      </c>
    </row>
    <row r="300" spans="1:37">
      <c r="A300" s="7" t="s">
        <v>271</v>
      </c>
      <c r="B300" s="7" t="s">
        <v>272</v>
      </c>
      <c r="C300" s="7" t="s">
        <v>58</v>
      </c>
      <c r="D300" s="302">
        <v>4051</v>
      </c>
      <c r="E300" s="297">
        <v>40051</v>
      </c>
      <c r="F300" s="7" t="s">
        <v>162</v>
      </c>
      <c r="G300" s="7" t="s">
        <v>158</v>
      </c>
      <c r="H300" s="8">
        <v>347602</v>
      </c>
      <c r="I300" s="8">
        <v>96</v>
      </c>
      <c r="J300" s="7" t="s">
        <v>7</v>
      </c>
      <c r="K300" s="7" t="s">
        <v>159</v>
      </c>
      <c r="L300" s="8">
        <v>81</v>
      </c>
      <c r="M300" s="8">
        <v>274690</v>
      </c>
      <c r="N300" s="7"/>
      <c r="O300" s="8">
        <v>49227</v>
      </c>
      <c r="P300" s="7"/>
      <c r="Q300" s="8">
        <v>2155</v>
      </c>
      <c r="R300" s="7"/>
      <c r="S300" s="8">
        <v>24122</v>
      </c>
      <c r="T300" s="7"/>
      <c r="U300" s="8">
        <v>0</v>
      </c>
      <c r="V300" s="7"/>
      <c r="W300" s="33">
        <v>350194</v>
      </c>
      <c r="X300" s="7"/>
      <c r="Y300" s="30">
        <v>132</v>
      </c>
      <c r="Z300" s="7"/>
      <c r="AA300" s="30">
        <v>24.36</v>
      </c>
      <c r="AB300" s="7"/>
      <c r="AC300" s="30">
        <v>1</v>
      </c>
      <c r="AD300" s="7"/>
      <c r="AE300" s="30">
        <v>11.5</v>
      </c>
      <c r="AF300" s="7"/>
      <c r="AG300" s="30">
        <v>0</v>
      </c>
      <c r="AI300" s="32">
        <v>168.86</v>
      </c>
      <c r="AK300" s="7" t="str">
        <f t="shared" si="4"/>
        <v>No</v>
      </c>
    </row>
    <row r="301" spans="1:37">
      <c r="A301" s="7" t="s">
        <v>560</v>
      </c>
      <c r="B301" s="7" t="s">
        <v>561</v>
      </c>
      <c r="C301" s="7" t="s">
        <v>77</v>
      </c>
      <c r="D301" s="302">
        <v>3018</v>
      </c>
      <c r="E301" s="297">
        <v>30018</v>
      </c>
      <c r="F301" s="7" t="s">
        <v>165</v>
      </c>
      <c r="G301" s="7" t="s">
        <v>158</v>
      </c>
      <c r="H301" s="8">
        <v>402004</v>
      </c>
      <c r="I301" s="8">
        <v>96</v>
      </c>
      <c r="J301" s="7" t="s">
        <v>7</v>
      </c>
      <c r="K301" s="7" t="s">
        <v>159</v>
      </c>
      <c r="L301" s="8">
        <v>34</v>
      </c>
      <c r="M301" s="8">
        <v>122115</v>
      </c>
      <c r="N301" s="7"/>
      <c r="O301" s="8">
        <v>20556</v>
      </c>
      <c r="P301" s="7"/>
      <c r="Q301" s="8">
        <v>4723</v>
      </c>
      <c r="R301" s="7"/>
      <c r="S301" s="8">
        <v>11230</v>
      </c>
      <c r="T301" s="7"/>
      <c r="U301" s="8">
        <v>500</v>
      </c>
      <c r="V301" s="7"/>
      <c r="W301" s="33">
        <v>159124</v>
      </c>
      <c r="X301" s="7"/>
      <c r="Y301" s="30">
        <v>66</v>
      </c>
      <c r="Z301" s="7"/>
      <c r="AA301" s="30">
        <v>13</v>
      </c>
      <c r="AB301" s="7"/>
      <c r="AC301" s="30">
        <v>3</v>
      </c>
      <c r="AD301" s="7"/>
      <c r="AE301" s="30">
        <v>6.7</v>
      </c>
      <c r="AF301" s="7"/>
      <c r="AG301" s="30">
        <v>0.3</v>
      </c>
      <c r="AI301" s="32">
        <v>89</v>
      </c>
      <c r="AK301" s="7" t="str">
        <f t="shared" si="4"/>
        <v>No</v>
      </c>
    </row>
    <row r="302" spans="1:37">
      <c r="A302" s="7" t="s">
        <v>271</v>
      </c>
      <c r="B302" s="7" t="s">
        <v>272</v>
      </c>
      <c r="C302" s="7" t="s">
        <v>58</v>
      </c>
      <c r="D302" s="302">
        <v>4051</v>
      </c>
      <c r="E302" s="297">
        <v>40051</v>
      </c>
      <c r="F302" s="7" t="s">
        <v>162</v>
      </c>
      <c r="G302" s="7" t="s">
        <v>158</v>
      </c>
      <c r="H302" s="8">
        <v>347602</v>
      </c>
      <c r="I302" s="8">
        <v>96</v>
      </c>
      <c r="J302" s="7" t="s">
        <v>10</v>
      </c>
      <c r="K302" s="7" t="s">
        <v>159</v>
      </c>
      <c r="L302" s="8">
        <v>15</v>
      </c>
      <c r="M302" s="8">
        <v>47022</v>
      </c>
      <c r="N302" s="7"/>
      <c r="O302" s="8">
        <v>9335</v>
      </c>
      <c r="P302" s="7"/>
      <c r="Q302" s="8">
        <v>341</v>
      </c>
      <c r="R302" s="7"/>
      <c r="S302" s="8">
        <v>4457</v>
      </c>
      <c r="T302" s="7"/>
      <c r="U302" s="8">
        <v>0</v>
      </c>
      <c r="V302" s="7"/>
      <c r="W302" s="33">
        <v>61155</v>
      </c>
      <c r="X302" s="7"/>
      <c r="Y302" s="30">
        <v>23</v>
      </c>
      <c r="Z302" s="7"/>
      <c r="AA302" s="30">
        <v>4.6399999999999997</v>
      </c>
      <c r="AB302" s="7"/>
      <c r="AC302" s="30">
        <v>0.16</v>
      </c>
      <c r="AD302" s="7"/>
      <c r="AE302" s="30">
        <v>2.5</v>
      </c>
      <c r="AF302" s="7"/>
      <c r="AG302" s="30">
        <v>0</v>
      </c>
      <c r="AI302" s="32">
        <v>30.3</v>
      </c>
      <c r="AK302" s="7" t="str">
        <f t="shared" si="4"/>
        <v>No</v>
      </c>
    </row>
    <row r="303" spans="1:37">
      <c r="A303" s="7" t="s">
        <v>74</v>
      </c>
      <c r="B303" s="7" t="s">
        <v>439</v>
      </c>
      <c r="C303" s="7" t="s">
        <v>73</v>
      </c>
      <c r="D303" s="302">
        <v>5117</v>
      </c>
      <c r="E303" s="297">
        <v>50117</v>
      </c>
      <c r="F303" s="7" t="s">
        <v>165</v>
      </c>
      <c r="G303" s="7" t="s">
        <v>158</v>
      </c>
      <c r="H303" s="8">
        <v>1780673</v>
      </c>
      <c r="I303" s="8">
        <v>95</v>
      </c>
      <c r="J303" s="7" t="s">
        <v>10</v>
      </c>
      <c r="K303" s="7" t="s">
        <v>159</v>
      </c>
      <c r="L303" s="8">
        <v>72</v>
      </c>
      <c r="M303" s="8">
        <v>124973</v>
      </c>
      <c r="N303" s="7"/>
      <c r="O303" s="8">
        <v>13960</v>
      </c>
      <c r="P303" s="7"/>
      <c r="Q303" s="8">
        <v>3615</v>
      </c>
      <c r="R303" s="7"/>
      <c r="S303" s="8">
        <v>21055</v>
      </c>
      <c r="T303" s="7"/>
      <c r="U303" s="8">
        <v>0</v>
      </c>
      <c r="V303" s="7"/>
      <c r="W303" s="33">
        <v>163603</v>
      </c>
      <c r="X303" s="7"/>
      <c r="Y303" s="30">
        <v>60</v>
      </c>
      <c r="Z303" s="7"/>
      <c r="AA303" s="30">
        <v>7</v>
      </c>
      <c r="AB303" s="7"/>
      <c r="AC303" s="30">
        <v>2</v>
      </c>
      <c r="AD303" s="7"/>
      <c r="AE303" s="30">
        <v>12</v>
      </c>
      <c r="AF303" s="7"/>
      <c r="AG303" s="30">
        <v>0</v>
      </c>
      <c r="AI303" s="32">
        <v>81</v>
      </c>
      <c r="AK303" s="7" t="str">
        <f t="shared" si="4"/>
        <v>No</v>
      </c>
    </row>
    <row r="304" spans="1:37">
      <c r="A304" s="7" t="s">
        <v>74</v>
      </c>
      <c r="B304" s="7" t="s">
        <v>439</v>
      </c>
      <c r="C304" s="7" t="s">
        <v>73</v>
      </c>
      <c r="D304" s="302">
        <v>5117</v>
      </c>
      <c r="E304" s="297">
        <v>50117</v>
      </c>
      <c r="F304" s="7" t="s">
        <v>165</v>
      </c>
      <c r="G304" s="7" t="s">
        <v>158</v>
      </c>
      <c r="H304" s="8">
        <v>1780673</v>
      </c>
      <c r="I304" s="8">
        <v>95</v>
      </c>
      <c r="J304" s="7" t="s">
        <v>18</v>
      </c>
      <c r="K304" s="7" t="s">
        <v>159</v>
      </c>
      <c r="L304" s="8">
        <v>13</v>
      </c>
      <c r="M304" s="8">
        <v>29464</v>
      </c>
      <c r="N304" s="7"/>
      <c r="O304" s="8">
        <v>4230</v>
      </c>
      <c r="P304" s="7"/>
      <c r="Q304" s="8">
        <v>750</v>
      </c>
      <c r="R304" s="7"/>
      <c r="S304" s="8">
        <v>4079</v>
      </c>
      <c r="T304" s="7"/>
      <c r="U304" s="8">
        <v>0</v>
      </c>
      <c r="V304" s="7"/>
      <c r="W304" s="33">
        <v>38523</v>
      </c>
      <c r="X304" s="7"/>
      <c r="Y304" s="30">
        <v>14</v>
      </c>
      <c r="Z304" s="7"/>
      <c r="AA304" s="30">
        <v>2.5</v>
      </c>
      <c r="AB304" s="7"/>
      <c r="AC304" s="30">
        <v>0.5</v>
      </c>
      <c r="AD304" s="7"/>
      <c r="AE304" s="30">
        <v>2</v>
      </c>
      <c r="AF304" s="7"/>
      <c r="AG304" s="30">
        <v>0</v>
      </c>
      <c r="AI304" s="32">
        <v>19</v>
      </c>
      <c r="AK304" s="7" t="str">
        <f t="shared" si="4"/>
        <v>No</v>
      </c>
    </row>
    <row r="305" spans="1:37">
      <c r="A305" s="7" t="s">
        <v>74</v>
      </c>
      <c r="B305" s="7" t="s">
        <v>439</v>
      </c>
      <c r="C305" s="7" t="s">
        <v>73</v>
      </c>
      <c r="D305" s="302">
        <v>5117</v>
      </c>
      <c r="E305" s="297">
        <v>50117</v>
      </c>
      <c r="F305" s="7" t="s">
        <v>165</v>
      </c>
      <c r="G305" s="7" t="s">
        <v>158</v>
      </c>
      <c r="H305" s="8">
        <v>1780673</v>
      </c>
      <c r="I305" s="8">
        <v>95</v>
      </c>
      <c r="J305" s="7" t="s">
        <v>7</v>
      </c>
      <c r="K305" s="7" t="s">
        <v>159</v>
      </c>
      <c r="L305" s="8">
        <v>10</v>
      </c>
      <c r="M305" s="8">
        <v>45279</v>
      </c>
      <c r="N305" s="7"/>
      <c r="O305" s="8">
        <v>3807</v>
      </c>
      <c r="P305" s="7"/>
      <c r="Q305" s="8">
        <v>750</v>
      </c>
      <c r="R305" s="7"/>
      <c r="S305" s="8">
        <v>3958</v>
      </c>
      <c r="T305" s="7"/>
      <c r="U305" s="8">
        <v>0</v>
      </c>
      <c r="V305" s="7"/>
      <c r="W305" s="33">
        <v>53794</v>
      </c>
      <c r="X305" s="7"/>
      <c r="Y305" s="30">
        <v>24</v>
      </c>
      <c r="Z305" s="7"/>
      <c r="AA305" s="30">
        <v>2.5</v>
      </c>
      <c r="AB305" s="7"/>
      <c r="AC305" s="30">
        <v>0.5</v>
      </c>
      <c r="AD305" s="7"/>
      <c r="AE305" s="30">
        <v>2</v>
      </c>
      <c r="AF305" s="7"/>
      <c r="AG305" s="30">
        <v>0</v>
      </c>
      <c r="AI305" s="32">
        <v>29</v>
      </c>
      <c r="AK305" s="7" t="str">
        <f t="shared" si="4"/>
        <v>No</v>
      </c>
    </row>
    <row r="306" spans="1:37">
      <c r="A306" s="7" t="s">
        <v>489</v>
      </c>
      <c r="B306" s="7" t="s">
        <v>490</v>
      </c>
      <c r="C306" s="7" t="s">
        <v>75</v>
      </c>
      <c r="D306" s="302">
        <v>6018</v>
      </c>
      <c r="E306" s="297">
        <v>60018</v>
      </c>
      <c r="F306" s="7" t="s">
        <v>162</v>
      </c>
      <c r="G306" s="7" t="s">
        <v>158</v>
      </c>
      <c r="H306" s="8">
        <v>655479</v>
      </c>
      <c r="I306" s="8">
        <v>93</v>
      </c>
      <c r="J306" s="7" t="s">
        <v>7</v>
      </c>
      <c r="K306" s="7" t="s">
        <v>159</v>
      </c>
      <c r="L306" s="8">
        <v>53</v>
      </c>
      <c r="M306" s="8">
        <v>261190</v>
      </c>
      <c r="N306" s="7"/>
      <c r="O306" s="8">
        <v>59533</v>
      </c>
      <c r="P306" s="7"/>
      <c r="Q306" s="8">
        <v>0</v>
      </c>
      <c r="R306" s="7"/>
      <c r="S306" s="8">
        <v>60504</v>
      </c>
      <c r="T306" s="7"/>
      <c r="U306" s="8">
        <v>0</v>
      </c>
      <c r="V306" s="7"/>
      <c r="W306" s="33">
        <v>381227</v>
      </c>
      <c r="X306" s="7"/>
      <c r="Y306" s="30">
        <v>114</v>
      </c>
      <c r="Z306" s="7"/>
      <c r="AA306" s="30">
        <v>28</v>
      </c>
      <c r="AB306" s="7"/>
      <c r="AC306" s="30">
        <v>0</v>
      </c>
      <c r="AD306" s="7"/>
      <c r="AE306" s="30">
        <v>34</v>
      </c>
      <c r="AF306" s="7"/>
      <c r="AG306" s="30">
        <v>0</v>
      </c>
      <c r="AI306" s="32">
        <v>176</v>
      </c>
      <c r="AK306" s="7" t="str">
        <f t="shared" si="4"/>
        <v>No</v>
      </c>
    </row>
    <row r="307" spans="1:37">
      <c r="A307" s="7" t="s">
        <v>29</v>
      </c>
      <c r="B307" s="7" t="s">
        <v>527</v>
      </c>
      <c r="C307" s="7" t="s">
        <v>28</v>
      </c>
      <c r="D307" s="302">
        <v>1057</v>
      </c>
      <c r="E307" s="297">
        <v>10057</v>
      </c>
      <c r="F307" s="7" t="s">
        <v>165</v>
      </c>
      <c r="G307" s="7" t="s">
        <v>158</v>
      </c>
      <c r="H307" s="8">
        <v>923311</v>
      </c>
      <c r="I307" s="8">
        <v>92</v>
      </c>
      <c r="J307" s="7" t="s">
        <v>7</v>
      </c>
      <c r="K307" s="7" t="s">
        <v>159</v>
      </c>
      <c r="L307" s="8">
        <v>44</v>
      </c>
      <c r="M307" s="8">
        <v>106399</v>
      </c>
      <c r="N307" s="7"/>
      <c r="O307" s="8">
        <v>18953</v>
      </c>
      <c r="P307" s="7"/>
      <c r="Q307" s="8">
        <v>2153</v>
      </c>
      <c r="R307" s="7"/>
      <c r="S307" s="8">
        <v>9290</v>
      </c>
      <c r="T307" s="7"/>
      <c r="U307" s="8">
        <v>0</v>
      </c>
      <c r="V307" s="7"/>
      <c r="W307" s="33">
        <v>136795</v>
      </c>
      <c r="X307" s="7"/>
      <c r="Y307" s="30">
        <v>54.9</v>
      </c>
      <c r="Z307" s="7"/>
      <c r="AA307" s="30">
        <v>10.199999999999999</v>
      </c>
      <c r="AB307" s="7"/>
      <c r="AC307" s="30">
        <v>1.1000000000000001</v>
      </c>
      <c r="AD307" s="7"/>
      <c r="AE307" s="30">
        <v>5.3</v>
      </c>
      <c r="AF307" s="7"/>
      <c r="AG307" s="30">
        <v>0</v>
      </c>
      <c r="AI307" s="32">
        <v>71.5</v>
      </c>
      <c r="AK307" s="7" t="str">
        <f t="shared" si="4"/>
        <v>No</v>
      </c>
    </row>
    <row r="308" spans="1:37">
      <c r="A308" s="7" t="s">
        <v>29</v>
      </c>
      <c r="B308" s="7" t="s">
        <v>527</v>
      </c>
      <c r="C308" s="7" t="s">
        <v>28</v>
      </c>
      <c r="D308" s="302">
        <v>1057</v>
      </c>
      <c r="E308" s="297">
        <v>10057</v>
      </c>
      <c r="F308" s="7" t="s">
        <v>165</v>
      </c>
      <c r="G308" s="7" t="s">
        <v>158</v>
      </c>
      <c r="H308" s="8">
        <v>923311</v>
      </c>
      <c r="I308" s="8">
        <v>92</v>
      </c>
      <c r="J308" s="7" t="s">
        <v>10</v>
      </c>
      <c r="K308" s="7" t="s">
        <v>159</v>
      </c>
      <c r="L308" s="8">
        <v>20</v>
      </c>
      <c r="M308" s="8">
        <v>34331</v>
      </c>
      <c r="N308" s="7"/>
      <c r="O308" s="8">
        <v>5234</v>
      </c>
      <c r="P308" s="7"/>
      <c r="Q308" s="8">
        <v>676</v>
      </c>
      <c r="R308" s="7"/>
      <c r="S308" s="8">
        <v>2920</v>
      </c>
      <c r="T308" s="7"/>
      <c r="U308" s="8">
        <v>0</v>
      </c>
      <c r="V308" s="7"/>
      <c r="W308" s="33">
        <v>43161</v>
      </c>
      <c r="X308" s="7"/>
      <c r="Y308" s="30">
        <v>16.399999999999999</v>
      </c>
      <c r="Z308" s="7"/>
      <c r="AA308" s="30">
        <v>2.8</v>
      </c>
      <c r="AB308" s="7"/>
      <c r="AC308" s="30">
        <v>0.4</v>
      </c>
      <c r="AD308" s="7"/>
      <c r="AE308" s="30">
        <v>1.7</v>
      </c>
      <c r="AF308" s="7"/>
      <c r="AG308" s="30">
        <v>0</v>
      </c>
      <c r="AI308" s="32">
        <v>21.3</v>
      </c>
      <c r="AK308" s="7" t="str">
        <f t="shared" si="4"/>
        <v>No</v>
      </c>
    </row>
    <row r="309" spans="1:37">
      <c r="A309" s="7" t="s">
        <v>92</v>
      </c>
      <c r="B309" s="7" t="s">
        <v>180</v>
      </c>
      <c r="C309" s="7" t="s">
        <v>89</v>
      </c>
      <c r="D309" s="302">
        <v>44</v>
      </c>
      <c r="E309" s="297">
        <v>44</v>
      </c>
      <c r="F309" s="7" t="s">
        <v>165</v>
      </c>
      <c r="G309" s="7" t="s">
        <v>158</v>
      </c>
      <c r="H309" s="8">
        <v>62966</v>
      </c>
      <c r="I309" s="8">
        <v>90</v>
      </c>
      <c r="J309" s="7" t="s">
        <v>8</v>
      </c>
      <c r="K309" s="7" t="s">
        <v>159</v>
      </c>
      <c r="L309" s="8">
        <v>50</v>
      </c>
      <c r="M309" s="8">
        <v>0</v>
      </c>
      <c r="N309" s="7"/>
      <c r="O309" s="8">
        <v>2080</v>
      </c>
      <c r="P309" s="7"/>
      <c r="Q309" s="8">
        <v>776</v>
      </c>
      <c r="R309" s="7"/>
      <c r="S309" s="8">
        <v>2067</v>
      </c>
      <c r="T309" s="7"/>
      <c r="U309" s="8">
        <v>0</v>
      </c>
      <c r="V309" s="7"/>
      <c r="W309" s="33">
        <v>4923</v>
      </c>
      <c r="X309" s="7"/>
      <c r="Y309" s="30">
        <v>0</v>
      </c>
      <c r="Z309" s="7"/>
      <c r="AA309" s="30">
        <v>1.1499999999999999</v>
      </c>
      <c r="AB309" s="7"/>
      <c r="AC309" s="30">
        <v>0.42</v>
      </c>
      <c r="AD309" s="7"/>
      <c r="AE309" s="30">
        <v>1.1499999999999999</v>
      </c>
      <c r="AF309" s="7"/>
      <c r="AG309" s="30">
        <v>0</v>
      </c>
      <c r="AI309" s="32">
        <v>2.72</v>
      </c>
      <c r="AK309" s="7" t="str">
        <f t="shared" si="4"/>
        <v>No</v>
      </c>
    </row>
    <row r="310" spans="1:37">
      <c r="A310" s="7" t="s">
        <v>92</v>
      </c>
      <c r="B310" s="7" t="s">
        <v>180</v>
      </c>
      <c r="C310" s="7" t="s">
        <v>89</v>
      </c>
      <c r="D310" s="302">
        <v>44</v>
      </c>
      <c r="E310" s="297">
        <v>44</v>
      </c>
      <c r="F310" s="7" t="s">
        <v>165</v>
      </c>
      <c r="G310" s="7" t="s">
        <v>158</v>
      </c>
      <c r="H310" s="8">
        <v>62966</v>
      </c>
      <c r="I310" s="8">
        <v>90</v>
      </c>
      <c r="J310" s="7" t="s">
        <v>10</v>
      </c>
      <c r="K310" s="7" t="s">
        <v>159</v>
      </c>
      <c r="L310" s="8">
        <v>20</v>
      </c>
      <c r="M310" s="8">
        <v>40918</v>
      </c>
      <c r="N310" s="7"/>
      <c r="O310" s="8">
        <v>7275</v>
      </c>
      <c r="P310" s="7"/>
      <c r="Q310" s="8">
        <v>3462</v>
      </c>
      <c r="R310" s="7"/>
      <c r="S310" s="8">
        <v>13122</v>
      </c>
      <c r="T310" s="7"/>
      <c r="U310" s="8">
        <v>0</v>
      </c>
      <c r="V310" s="7"/>
      <c r="W310" s="33">
        <v>64777</v>
      </c>
      <c r="X310" s="7"/>
      <c r="Y310" s="30">
        <v>24.6</v>
      </c>
      <c r="Z310" s="7"/>
      <c r="AA310" s="30">
        <v>3.79</v>
      </c>
      <c r="AB310" s="7"/>
      <c r="AC310" s="30">
        <v>1.84</v>
      </c>
      <c r="AD310" s="7"/>
      <c r="AE310" s="30">
        <v>7.33</v>
      </c>
      <c r="AF310" s="7"/>
      <c r="AG310" s="30">
        <v>0</v>
      </c>
      <c r="AI310" s="32">
        <v>37.56</v>
      </c>
      <c r="AK310" s="7" t="str">
        <f t="shared" si="4"/>
        <v>No</v>
      </c>
    </row>
    <row r="311" spans="1:37">
      <c r="A311" s="7" t="s">
        <v>92</v>
      </c>
      <c r="B311" s="7" t="s">
        <v>180</v>
      </c>
      <c r="C311" s="7" t="s">
        <v>89</v>
      </c>
      <c r="D311" s="302">
        <v>44</v>
      </c>
      <c r="E311" s="297">
        <v>44</v>
      </c>
      <c r="F311" s="7" t="s">
        <v>165</v>
      </c>
      <c r="G311" s="7" t="s">
        <v>158</v>
      </c>
      <c r="H311" s="8">
        <v>62966</v>
      </c>
      <c r="I311" s="8">
        <v>90</v>
      </c>
      <c r="J311" s="7" t="s">
        <v>7</v>
      </c>
      <c r="K311" s="7" t="s">
        <v>159</v>
      </c>
      <c r="L311" s="8">
        <v>15</v>
      </c>
      <c r="M311" s="8">
        <v>44459</v>
      </c>
      <c r="N311" s="7"/>
      <c r="O311" s="8">
        <v>13344</v>
      </c>
      <c r="P311" s="7"/>
      <c r="Q311" s="8">
        <v>3977</v>
      </c>
      <c r="R311" s="7"/>
      <c r="S311" s="8">
        <v>13312</v>
      </c>
      <c r="T311" s="7"/>
      <c r="U311" s="8">
        <v>0</v>
      </c>
      <c r="V311" s="7"/>
      <c r="W311" s="33">
        <v>75092</v>
      </c>
      <c r="X311" s="7"/>
      <c r="Y311" s="30">
        <v>25.39</v>
      </c>
      <c r="Z311" s="7"/>
      <c r="AA311" s="30">
        <v>7.11</v>
      </c>
      <c r="AB311" s="7"/>
      <c r="AC311" s="30">
        <v>2.21</v>
      </c>
      <c r="AD311" s="7"/>
      <c r="AE311" s="30">
        <v>7.92</v>
      </c>
      <c r="AF311" s="7"/>
      <c r="AG311" s="30">
        <v>0</v>
      </c>
      <c r="AI311" s="32">
        <v>42.63</v>
      </c>
      <c r="AK311" s="7" t="str">
        <f t="shared" si="4"/>
        <v>No</v>
      </c>
    </row>
    <row r="312" spans="1:37">
      <c r="A312" s="7" t="s">
        <v>92</v>
      </c>
      <c r="B312" s="7" t="s">
        <v>180</v>
      </c>
      <c r="C312" s="7" t="s">
        <v>89</v>
      </c>
      <c r="D312" s="302">
        <v>44</v>
      </c>
      <c r="E312" s="297">
        <v>44</v>
      </c>
      <c r="F312" s="7" t="s">
        <v>165</v>
      </c>
      <c r="G312" s="7" t="s">
        <v>158</v>
      </c>
      <c r="H312" s="8">
        <v>62966</v>
      </c>
      <c r="I312" s="8">
        <v>90</v>
      </c>
      <c r="J312" s="7" t="s">
        <v>18</v>
      </c>
      <c r="K312" s="7" t="s">
        <v>159</v>
      </c>
      <c r="L312" s="8">
        <v>5</v>
      </c>
      <c r="M312" s="8">
        <v>8468</v>
      </c>
      <c r="N312" s="7"/>
      <c r="O312" s="8">
        <v>2542</v>
      </c>
      <c r="P312" s="7"/>
      <c r="Q312" s="8">
        <v>757</v>
      </c>
      <c r="R312" s="7"/>
      <c r="S312" s="8">
        <v>2536</v>
      </c>
      <c r="T312" s="7"/>
      <c r="U312" s="8">
        <v>0</v>
      </c>
      <c r="V312" s="7"/>
      <c r="W312" s="33">
        <v>14303</v>
      </c>
      <c r="X312" s="7"/>
      <c r="Y312" s="30">
        <v>4.82</v>
      </c>
      <c r="Z312" s="7"/>
      <c r="AA312" s="30">
        <v>1.35</v>
      </c>
      <c r="AB312" s="7"/>
      <c r="AC312" s="30">
        <v>0.42</v>
      </c>
      <c r="AD312" s="7"/>
      <c r="AE312" s="30">
        <v>1.51</v>
      </c>
      <c r="AF312" s="7"/>
      <c r="AG312" s="30">
        <v>0</v>
      </c>
      <c r="AI312" s="32">
        <v>8.1</v>
      </c>
      <c r="AK312" s="7" t="str">
        <f t="shared" si="4"/>
        <v>No</v>
      </c>
    </row>
    <row r="313" spans="1:37">
      <c r="A313" s="7" t="s">
        <v>282</v>
      </c>
      <c r="B313" s="7" t="s">
        <v>283</v>
      </c>
      <c r="C313" s="7" t="s">
        <v>84</v>
      </c>
      <c r="D313" s="302">
        <v>6010</v>
      </c>
      <c r="E313" s="297">
        <v>60010</v>
      </c>
      <c r="F313" s="7" t="s">
        <v>162</v>
      </c>
      <c r="G313" s="7" t="s">
        <v>158</v>
      </c>
      <c r="H313" s="8">
        <v>237356</v>
      </c>
      <c r="I313" s="8">
        <v>89</v>
      </c>
      <c r="J313" s="7" t="s">
        <v>7</v>
      </c>
      <c r="K313" s="7" t="s">
        <v>159</v>
      </c>
      <c r="L313" s="8">
        <v>60</v>
      </c>
      <c r="M313" s="8">
        <v>118754</v>
      </c>
      <c r="N313" s="7"/>
      <c r="O313" s="8">
        <v>56481</v>
      </c>
      <c r="P313" s="7"/>
      <c r="Q313" s="8">
        <v>4169</v>
      </c>
      <c r="R313" s="7"/>
      <c r="S313" s="8">
        <v>14778</v>
      </c>
      <c r="T313" s="7"/>
      <c r="U313" s="8">
        <v>0</v>
      </c>
      <c r="V313" s="7"/>
      <c r="W313" s="33">
        <v>194182</v>
      </c>
      <c r="X313" s="7"/>
      <c r="Y313" s="30">
        <v>59</v>
      </c>
      <c r="Z313" s="7"/>
      <c r="AA313" s="30">
        <v>28</v>
      </c>
      <c r="AB313" s="7"/>
      <c r="AC313" s="30">
        <v>2.1</v>
      </c>
      <c r="AD313" s="7"/>
      <c r="AE313" s="30">
        <v>7.2</v>
      </c>
      <c r="AF313" s="7"/>
      <c r="AG313" s="30">
        <v>0</v>
      </c>
      <c r="AI313" s="32">
        <v>96.3</v>
      </c>
      <c r="AK313" s="7" t="str">
        <f t="shared" si="4"/>
        <v>No</v>
      </c>
    </row>
    <row r="314" spans="1:37">
      <c r="A314" s="7" t="s">
        <v>282</v>
      </c>
      <c r="B314" s="7" t="s">
        <v>283</v>
      </c>
      <c r="C314" s="7" t="s">
        <v>84</v>
      </c>
      <c r="D314" s="302">
        <v>6010</v>
      </c>
      <c r="E314" s="297">
        <v>60010</v>
      </c>
      <c r="F314" s="7" t="s">
        <v>162</v>
      </c>
      <c r="G314" s="7" t="s">
        <v>158</v>
      </c>
      <c r="H314" s="8">
        <v>237356</v>
      </c>
      <c r="I314" s="8">
        <v>89</v>
      </c>
      <c r="J314" s="7" t="s">
        <v>10</v>
      </c>
      <c r="K314" s="7" t="s">
        <v>159</v>
      </c>
      <c r="L314" s="8">
        <v>29</v>
      </c>
      <c r="M314" s="8">
        <v>65226</v>
      </c>
      <c r="N314" s="7"/>
      <c r="O314" s="8">
        <v>17907</v>
      </c>
      <c r="P314" s="7"/>
      <c r="Q314" s="8">
        <v>2575</v>
      </c>
      <c r="R314" s="7"/>
      <c r="S314" s="8">
        <v>4551</v>
      </c>
      <c r="T314" s="7"/>
      <c r="U314" s="8">
        <v>0</v>
      </c>
      <c r="V314" s="7"/>
      <c r="W314" s="33">
        <v>90259</v>
      </c>
      <c r="X314" s="7"/>
      <c r="Y314" s="30">
        <v>32</v>
      </c>
      <c r="Z314" s="7"/>
      <c r="AA314" s="30">
        <v>9</v>
      </c>
      <c r="AB314" s="7"/>
      <c r="AC314" s="30">
        <v>1.4</v>
      </c>
      <c r="AD314" s="7"/>
      <c r="AE314" s="30">
        <v>2.2999999999999998</v>
      </c>
      <c r="AF314" s="7"/>
      <c r="AG314" s="30">
        <v>0</v>
      </c>
      <c r="AI314" s="32">
        <v>44.7</v>
      </c>
      <c r="AK314" s="7" t="str">
        <f t="shared" si="4"/>
        <v>No</v>
      </c>
    </row>
    <row r="315" spans="1:37">
      <c r="A315" s="7" t="s">
        <v>544</v>
      </c>
      <c r="B315" s="7" t="s">
        <v>545</v>
      </c>
      <c r="C315" s="7" t="s">
        <v>32</v>
      </c>
      <c r="D315" s="302">
        <v>4074</v>
      </c>
      <c r="E315" s="297">
        <v>40074</v>
      </c>
      <c r="F315" s="7" t="s">
        <v>162</v>
      </c>
      <c r="G315" s="7" t="s">
        <v>158</v>
      </c>
      <c r="H315" s="8">
        <v>2441770</v>
      </c>
      <c r="I315" s="8">
        <v>89</v>
      </c>
      <c r="J315" s="7" t="s">
        <v>7</v>
      </c>
      <c r="K315" s="7" t="s">
        <v>159</v>
      </c>
      <c r="L315" s="8">
        <v>21</v>
      </c>
      <c r="M315" s="8">
        <v>104391</v>
      </c>
      <c r="N315" s="7"/>
      <c r="O315" s="8">
        <v>5695</v>
      </c>
      <c r="P315" s="7"/>
      <c r="Q315" s="8">
        <v>1174</v>
      </c>
      <c r="R315" s="7"/>
      <c r="S315" s="8">
        <v>7426</v>
      </c>
      <c r="T315" s="7"/>
      <c r="U315" s="8">
        <v>0</v>
      </c>
      <c r="V315" s="7"/>
      <c r="W315" s="33">
        <v>118686</v>
      </c>
      <c r="X315" s="7"/>
      <c r="Y315" s="30">
        <v>57.23</v>
      </c>
      <c r="Z315" s="7"/>
      <c r="AA315" s="30">
        <v>3.79</v>
      </c>
      <c r="AB315" s="7"/>
      <c r="AC315" s="30">
        <v>0.78</v>
      </c>
      <c r="AD315" s="7"/>
      <c r="AE315" s="30">
        <v>4.95</v>
      </c>
      <c r="AF315" s="7"/>
      <c r="AG315" s="30">
        <v>0</v>
      </c>
      <c r="AI315" s="32">
        <v>66.75</v>
      </c>
      <c r="AK315" s="7" t="str">
        <f t="shared" si="4"/>
        <v>No</v>
      </c>
    </row>
    <row r="316" spans="1:37">
      <c r="A316" s="7" t="s">
        <v>544</v>
      </c>
      <c r="B316" s="7" t="s">
        <v>545</v>
      </c>
      <c r="C316" s="7" t="s">
        <v>32</v>
      </c>
      <c r="D316" s="302">
        <v>4074</v>
      </c>
      <c r="E316" s="297">
        <v>40074</v>
      </c>
      <c r="F316" s="7" t="s">
        <v>162</v>
      </c>
      <c r="G316" s="7" t="s">
        <v>158</v>
      </c>
      <c r="H316" s="8">
        <v>2441770</v>
      </c>
      <c r="I316" s="8">
        <v>89</v>
      </c>
      <c r="J316" s="7" t="s">
        <v>10</v>
      </c>
      <c r="K316" s="7" t="s">
        <v>159</v>
      </c>
      <c r="L316" s="8">
        <v>11</v>
      </c>
      <c r="M316" s="8">
        <v>21664</v>
      </c>
      <c r="N316" s="7"/>
      <c r="O316" s="8">
        <v>654</v>
      </c>
      <c r="P316" s="7"/>
      <c r="Q316" s="8">
        <v>366</v>
      </c>
      <c r="R316" s="7"/>
      <c r="S316" s="8">
        <v>1052</v>
      </c>
      <c r="T316" s="7"/>
      <c r="U316" s="8">
        <v>0</v>
      </c>
      <c r="V316" s="7"/>
      <c r="W316" s="33">
        <v>23736</v>
      </c>
      <c r="X316" s="7"/>
      <c r="Y316" s="30">
        <v>11.88</v>
      </c>
      <c r="Z316" s="7"/>
      <c r="AA316" s="30">
        <v>0.43</v>
      </c>
      <c r="AB316" s="7"/>
      <c r="AC316" s="30">
        <v>0.24</v>
      </c>
      <c r="AD316" s="7"/>
      <c r="AE316" s="30">
        <v>0.7</v>
      </c>
      <c r="AF316" s="7"/>
      <c r="AG316" s="30">
        <v>0</v>
      </c>
      <c r="AI316" s="32">
        <v>13.25</v>
      </c>
      <c r="AK316" s="7" t="str">
        <f t="shared" si="4"/>
        <v>No</v>
      </c>
    </row>
    <row r="317" spans="1:37">
      <c r="A317" s="7" t="s">
        <v>760</v>
      </c>
      <c r="B317" s="7" t="s">
        <v>632</v>
      </c>
      <c r="C317" s="7" t="s">
        <v>63</v>
      </c>
      <c r="D317" s="302">
        <v>2196</v>
      </c>
      <c r="E317" s="297">
        <v>20196</v>
      </c>
      <c r="F317" s="7" t="s">
        <v>162</v>
      </c>
      <c r="G317" s="7" t="s">
        <v>158</v>
      </c>
      <c r="H317" s="8">
        <v>18351295</v>
      </c>
      <c r="I317" s="8">
        <v>88</v>
      </c>
      <c r="J317" s="7" t="s">
        <v>10</v>
      </c>
      <c r="K317" s="7" t="s">
        <v>159</v>
      </c>
      <c r="L317" s="8">
        <v>75</v>
      </c>
      <c r="M317" s="8">
        <v>86321</v>
      </c>
      <c r="N317" s="7"/>
      <c r="O317" s="8">
        <v>0</v>
      </c>
      <c r="P317" s="7"/>
      <c r="Q317" s="8">
        <v>0</v>
      </c>
      <c r="R317" s="7"/>
      <c r="S317" s="8">
        <v>8435</v>
      </c>
      <c r="T317" s="7"/>
      <c r="U317" s="8">
        <v>0</v>
      </c>
      <c r="V317" s="7"/>
      <c r="W317" s="33">
        <v>94756</v>
      </c>
      <c r="X317" s="7"/>
      <c r="Y317" s="30">
        <v>41</v>
      </c>
      <c r="Z317" s="7"/>
      <c r="AA317" s="30">
        <v>0</v>
      </c>
      <c r="AB317" s="7"/>
      <c r="AC317" s="30">
        <v>0</v>
      </c>
      <c r="AD317" s="7"/>
      <c r="AE317" s="30">
        <v>5</v>
      </c>
      <c r="AF317" s="7"/>
      <c r="AG317" s="30">
        <v>0</v>
      </c>
      <c r="AI317" s="32">
        <v>46</v>
      </c>
      <c r="AK317" s="7" t="str">
        <f t="shared" si="4"/>
        <v>No</v>
      </c>
    </row>
    <row r="318" spans="1:37">
      <c r="A318" s="7" t="s">
        <v>635</v>
      </c>
      <c r="B318" s="7" t="s">
        <v>636</v>
      </c>
      <c r="C318" s="7" t="s">
        <v>17</v>
      </c>
      <c r="D318" s="302">
        <v>9079</v>
      </c>
      <c r="E318" s="297">
        <v>90079</v>
      </c>
      <c r="F318" s="7" t="s">
        <v>165</v>
      </c>
      <c r="G318" s="7" t="s">
        <v>158</v>
      </c>
      <c r="H318" s="8">
        <v>345580</v>
      </c>
      <c r="I318" s="8">
        <v>88</v>
      </c>
      <c r="J318" s="7" t="s">
        <v>7</v>
      </c>
      <c r="K318" s="7" t="s">
        <v>159</v>
      </c>
      <c r="L318" s="8">
        <v>57</v>
      </c>
      <c r="M318" s="8">
        <v>284317</v>
      </c>
      <c r="N318" s="7"/>
      <c r="O318" s="8">
        <v>61438</v>
      </c>
      <c r="P318" s="7"/>
      <c r="Q318" s="8">
        <v>4522</v>
      </c>
      <c r="R318" s="7"/>
      <c r="S318" s="8">
        <v>101420</v>
      </c>
      <c r="T318" s="7"/>
      <c r="U318" s="8">
        <v>0</v>
      </c>
      <c r="V318" s="7"/>
      <c r="W318" s="33">
        <v>451697</v>
      </c>
      <c r="X318" s="7"/>
      <c r="Y318" s="30">
        <v>161.4</v>
      </c>
      <c r="Z318" s="7"/>
      <c r="AA318" s="30">
        <v>37</v>
      </c>
      <c r="AB318" s="7"/>
      <c r="AC318" s="30">
        <v>2.68</v>
      </c>
      <c r="AD318" s="7"/>
      <c r="AE318" s="30">
        <v>60.05</v>
      </c>
      <c r="AF318" s="7"/>
      <c r="AG318" s="30">
        <v>0</v>
      </c>
      <c r="AI318" s="32">
        <v>261.13</v>
      </c>
      <c r="AK318" s="7" t="str">
        <f t="shared" si="4"/>
        <v>No</v>
      </c>
    </row>
    <row r="319" spans="1:37">
      <c r="A319" s="7" t="s">
        <v>635</v>
      </c>
      <c r="B319" s="7" t="s">
        <v>636</v>
      </c>
      <c r="C319" s="7" t="s">
        <v>17</v>
      </c>
      <c r="D319" s="302">
        <v>9079</v>
      </c>
      <c r="E319" s="297">
        <v>90079</v>
      </c>
      <c r="F319" s="7" t="s">
        <v>165</v>
      </c>
      <c r="G319" s="7" t="s">
        <v>158</v>
      </c>
      <c r="H319" s="8">
        <v>345580</v>
      </c>
      <c r="I319" s="8">
        <v>88</v>
      </c>
      <c r="J319" s="7" t="s">
        <v>10</v>
      </c>
      <c r="K319" s="7" t="s">
        <v>159</v>
      </c>
      <c r="L319" s="8">
        <v>31</v>
      </c>
      <c r="M319" s="8">
        <v>115616</v>
      </c>
      <c r="N319" s="7"/>
      <c r="O319" s="8">
        <v>15775</v>
      </c>
      <c r="P319" s="7"/>
      <c r="Q319" s="8">
        <v>2227</v>
      </c>
      <c r="R319" s="7"/>
      <c r="S319" s="8">
        <v>6535</v>
      </c>
      <c r="T319" s="7"/>
      <c r="U319" s="8">
        <v>0</v>
      </c>
      <c r="V319" s="7"/>
      <c r="W319" s="33">
        <v>140153</v>
      </c>
      <c r="X319" s="7"/>
      <c r="Y319" s="30">
        <v>55.6</v>
      </c>
      <c r="Z319" s="7"/>
      <c r="AA319" s="30">
        <v>9</v>
      </c>
      <c r="AB319" s="7"/>
      <c r="AC319" s="30">
        <v>1.32</v>
      </c>
      <c r="AD319" s="7"/>
      <c r="AE319" s="30">
        <v>3.95</v>
      </c>
      <c r="AF319" s="7"/>
      <c r="AG319" s="30">
        <v>0</v>
      </c>
      <c r="AI319" s="32">
        <v>69.87</v>
      </c>
      <c r="AK319" s="7" t="str">
        <f t="shared" si="4"/>
        <v>No</v>
      </c>
    </row>
    <row r="320" spans="1:37">
      <c r="A320" s="7" t="s">
        <v>760</v>
      </c>
      <c r="B320" s="7" t="s">
        <v>632</v>
      </c>
      <c r="C320" s="7" t="s">
        <v>63</v>
      </c>
      <c r="D320" s="302">
        <v>2196</v>
      </c>
      <c r="E320" s="297">
        <v>20196</v>
      </c>
      <c r="F320" s="7" t="s">
        <v>162</v>
      </c>
      <c r="G320" s="7" t="s">
        <v>158</v>
      </c>
      <c r="H320" s="8">
        <v>18351295</v>
      </c>
      <c r="I320" s="8">
        <v>88</v>
      </c>
      <c r="J320" s="7" t="s">
        <v>7</v>
      </c>
      <c r="K320" s="7" t="s">
        <v>159</v>
      </c>
      <c r="L320" s="8">
        <v>13</v>
      </c>
      <c r="M320" s="8">
        <v>41078</v>
      </c>
      <c r="N320" s="7"/>
      <c r="O320" s="8">
        <v>0</v>
      </c>
      <c r="P320" s="7"/>
      <c r="Q320" s="8">
        <v>0</v>
      </c>
      <c r="R320" s="7"/>
      <c r="S320" s="8">
        <v>6748</v>
      </c>
      <c r="T320" s="7"/>
      <c r="U320" s="8">
        <v>0</v>
      </c>
      <c r="V320" s="7"/>
      <c r="W320" s="33">
        <v>47826</v>
      </c>
      <c r="X320" s="7"/>
      <c r="Y320" s="30">
        <v>22</v>
      </c>
      <c r="Z320" s="7"/>
      <c r="AA320" s="30">
        <v>0</v>
      </c>
      <c r="AB320" s="7"/>
      <c r="AC320" s="30">
        <v>0</v>
      </c>
      <c r="AD320" s="7"/>
      <c r="AE320" s="30">
        <v>4</v>
      </c>
      <c r="AF320" s="7"/>
      <c r="AG320" s="30">
        <v>0</v>
      </c>
      <c r="AI320" s="32">
        <v>26</v>
      </c>
      <c r="AK320" s="7" t="str">
        <f t="shared" si="4"/>
        <v>No</v>
      </c>
    </row>
    <row r="321" spans="1:37">
      <c r="A321" s="7" t="s">
        <v>589</v>
      </c>
      <c r="B321" s="7" t="s">
        <v>590</v>
      </c>
      <c r="C321" s="7" t="s">
        <v>17</v>
      </c>
      <c r="D321" s="302">
        <v>9020</v>
      </c>
      <c r="E321" s="297">
        <v>90020</v>
      </c>
      <c r="F321" s="7" t="s">
        <v>165</v>
      </c>
      <c r="G321" s="7" t="s">
        <v>158</v>
      </c>
      <c r="H321" s="8">
        <v>195861</v>
      </c>
      <c r="I321" s="8">
        <v>87</v>
      </c>
      <c r="J321" s="7" t="s">
        <v>7</v>
      </c>
      <c r="K321" s="7" t="s">
        <v>159</v>
      </c>
      <c r="L321" s="8">
        <v>87</v>
      </c>
      <c r="M321" s="8">
        <v>302322</v>
      </c>
      <c r="N321" s="7"/>
      <c r="O321" s="8">
        <v>36026</v>
      </c>
      <c r="P321" s="7"/>
      <c r="Q321" s="8">
        <v>5491</v>
      </c>
      <c r="R321" s="7"/>
      <c r="S321" s="8">
        <v>33007</v>
      </c>
      <c r="T321" s="7"/>
      <c r="U321" s="8">
        <v>894</v>
      </c>
      <c r="V321" s="7"/>
      <c r="W321" s="33">
        <v>377740</v>
      </c>
      <c r="X321" s="7"/>
      <c r="Y321" s="30">
        <v>161</v>
      </c>
      <c r="Z321" s="7"/>
      <c r="AA321" s="30">
        <v>21.5</v>
      </c>
      <c r="AB321" s="7"/>
      <c r="AC321" s="30">
        <v>3</v>
      </c>
      <c r="AD321" s="7"/>
      <c r="AE321" s="30">
        <v>19</v>
      </c>
      <c r="AF321" s="7"/>
      <c r="AG321" s="30">
        <v>0.5</v>
      </c>
      <c r="AI321" s="32">
        <v>205</v>
      </c>
      <c r="AK321" s="7" t="str">
        <f t="shared" si="4"/>
        <v>No</v>
      </c>
    </row>
    <row r="322" spans="1:37">
      <c r="A322" s="7" t="s">
        <v>750</v>
      </c>
      <c r="B322" s="7" t="s">
        <v>634</v>
      </c>
      <c r="C322" s="7" t="s">
        <v>69</v>
      </c>
      <c r="D322" s="302">
        <v>6111</v>
      </c>
      <c r="E322" s="297">
        <v>60111</v>
      </c>
      <c r="F322" s="7" t="s">
        <v>165</v>
      </c>
      <c r="G322" s="7" t="s">
        <v>158</v>
      </c>
      <c r="H322" s="8">
        <v>741318</v>
      </c>
      <c r="I322" s="8">
        <v>87</v>
      </c>
      <c r="J322" s="7" t="s">
        <v>10</v>
      </c>
      <c r="K322" s="7" t="s">
        <v>159</v>
      </c>
      <c r="L322" s="8">
        <v>22</v>
      </c>
      <c r="M322" s="8">
        <v>48400</v>
      </c>
      <c r="N322" s="7"/>
      <c r="O322" s="8">
        <v>0</v>
      </c>
      <c r="P322" s="7"/>
      <c r="Q322" s="8">
        <v>0</v>
      </c>
      <c r="R322" s="7"/>
      <c r="S322" s="8">
        <v>8461</v>
      </c>
      <c r="T322" s="7"/>
      <c r="U322" s="8">
        <v>0</v>
      </c>
      <c r="V322" s="7"/>
      <c r="W322" s="33">
        <v>56861</v>
      </c>
      <c r="X322" s="7"/>
      <c r="Y322" s="30">
        <v>22</v>
      </c>
      <c r="Z322" s="7"/>
      <c r="AA322" s="30">
        <v>0</v>
      </c>
      <c r="AB322" s="7"/>
      <c r="AC322" s="30">
        <v>0</v>
      </c>
      <c r="AD322" s="7"/>
      <c r="AE322" s="30">
        <v>4</v>
      </c>
      <c r="AF322" s="7"/>
      <c r="AG322" s="30">
        <v>0</v>
      </c>
      <c r="AI322" s="32">
        <v>26</v>
      </c>
      <c r="AK322" s="7" t="str">
        <f t="shared" ref="AK322:AK385" si="5">IF(AJ322&amp;AH322&amp;AF322&amp;AD322&amp;AB322&amp;Z322&amp;X322&amp;V322&amp;T322&amp;R322&amp;P322&amp;N322&lt;&gt;"","Yes","No")</f>
        <v>No</v>
      </c>
    </row>
    <row r="323" spans="1:37">
      <c r="A323" s="7" t="s">
        <v>750</v>
      </c>
      <c r="B323" s="7" t="s">
        <v>634</v>
      </c>
      <c r="C323" s="7" t="s">
        <v>69</v>
      </c>
      <c r="D323" s="302">
        <v>6111</v>
      </c>
      <c r="E323" s="297">
        <v>60111</v>
      </c>
      <c r="F323" s="7" t="s">
        <v>165</v>
      </c>
      <c r="G323" s="7" t="s">
        <v>158</v>
      </c>
      <c r="H323" s="8">
        <v>741318</v>
      </c>
      <c r="I323" s="8">
        <v>87</v>
      </c>
      <c r="J323" s="7" t="s">
        <v>18</v>
      </c>
      <c r="K323" s="7" t="s">
        <v>159</v>
      </c>
      <c r="L323" s="8">
        <v>2</v>
      </c>
      <c r="M323" s="8">
        <v>2840</v>
      </c>
      <c r="N323" s="7"/>
      <c r="O323" s="8">
        <v>0</v>
      </c>
      <c r="P323" s="7"/>
      <c r="Q323" s="8">
        <v>0</v>
      </c>
      <c r="R323" s="7"/>
      <c r="S323" s="8">
        <v>389</v>
      </c>
      <c r="T323" s="7"/>
      <c r="U323" s="8">
        <v>0</v>
      </c>
      <c r="V323" s="7"/>
      <c r="W323" s="33">
        <v>3229</v>
      </c>
      <c r="X323" s="7"/>
      <c r="Y323" s="30">
        <v>1.5</v>
      </c>
      <c r="Z323" s="7"/>
      <c r="AA323" s="30">
        <v>0</v>
      </c>
      <c r="AB323" s="7"/>
      <c r="AC323" s="30">
        <v>0</v>
      </c>
      <c r="AD323" s="7"/>
      <c r="AE323" s="30">
        <v>0.2</v>
      </c>
      <c r="AF323" s="7"/>
      <c r="AG323" s="30">
        <v>0</v>
      </c>
      <c r="AI323" s="32">
        <v>1.7</v>
      </c>
      <c r="AK323" s="7" t="str">
        <f t="shared" si="5"/>
        <v>No</v>
      </c>
    </row>
    <row r="324" spans="1:37">
      <c r="A324" s="7" t="s">
        <v>750</v>
      </c>
      <c r="B324" s="7" t="s">
        <v>634</v>
      </c>
      <c r="C324" s="7" t="s">
        <v>69</v>
      </c>
      <c r="D324" s="302">
        <v>6111</v>
      </c>
      <c r="E324" s="297">
        <v>60111</v>
      </c>
      <c r="F324" s="7" t="s">
        <v>165</v>
      </c>
      <c r="G324" s="7" t="s">
        <v>158</v>
      </c>
      <c r="H324" s="8">
        <v>741318</v>
      </c>
      <c r="I324" s="8">
        <v>87</v>
      </c>
      <c r="J324" s="7" t="s">
        <v>7</v>
      </c>
      <c r="K324" s="7" t="s">
        <v>159</v>
      </c>
      <c r="L324" s="8">
        <v>2</v>
      </c>
      <c r="M324" s="8">
        <v>2765</v>
      </c>
      <c r="N324" s="7"/>
      <c r="O324" s="8">
        <v>0</v>
      </c>
      <c r="P324" s="7"/>
      <c r="Q324" s="8">
        <v>0</v>
      </c>
      <c r="R324" s="7"/>
      <c r="S324" s="8">
        <v>314</v>
      </c>
      <c r="T324" s="7"/>
      <c r="U324" s="8">
        <v>0</v>
      </c>
      <c r="V324" s="7"/>
      <c r="W324" s="33">
        <v>3079</v>
      </c>
      <c r="X324" s="7"/>
      <c r="Y324" s="30">
        <v>1.5</v>
      </c>
      <c r="Z324" s="7"/>
      <c r="AA324" s="30">
        <v>0</v>
      </c>
      <c r="AB324" s="7"/>
      <c r="AC324" s="30">
        <v>0</v>
      </c>
      <c r="AD324" s="7"/>
      <c r="AE324" s="30">
        <v>0.2</v>
      </c>
      <c r="AF324" s="7"/>
      <c r="AG324" s="30">
        <v>0</v>
      </c>
      <c r="AI324" s="32">
        <v>1.7</v>
      </c>
      <c r="AK324" s="7" t="str">
        <f t="shared" si="5"/>
        <v>No</v>
      </c>
    </row>
    <row r="325" spans="1:37">
      <c r="A325" s="7" t="s">
        <v>313</v>
      </c>
      <c r="B325" s="7" t="s">
        <v>314</v>
      </c>
      <c r="C325" s="7" t="s">
        <v>32</v>
      </c>
      <c r="D325" s="302">
        <v>4036</v>
      </c>
      <c r="E325" s="297">
        <v>40036</v>
      </c>
      <c r="F325" s="7" t="s">
        <v>162</v>
      </c>
      <c r="G325" s="7" t="s">
        <v>158</v>
      </c>
      <c r="H325" s="8">
        <v>240223</v>
      </c>
      <c r="I325" s="8">
        <v>86</v>
      </c>
      <c r="J325" s="7" t="s">
        <v>7</v>
      </c>
      <c r="K325" s="7" t="s">
        <v>159</v>
      </c>
      <c r="L325" s="8">
        <v>68</v>
      </c>
      <c r="M325" s="8">
        <v>240115</v>
      </c>
      <c r="N325" s="7"/>
      <c r="O325" s="8">
        <v>31605</v>
      </c>
      <c r="P325" s="7"/>
      <c r="Q325" s="8">
        <v>20783</v>
      </c>
      <c r="R325" s="7"/>
      <c r="S325" s="8">
        <v>12594</v>
      </c>
      <c r="T325" s="7" t="s">
        <v>121</v>
      </c>
      <c r="U325" s="8">
        <v>0</v>
      </c>
      <c r="V325" s="7"/>
      <c r="W325" s="33">
        <v>305097</v>
      </c>
      <c r="X325" s="7" t="s">
        <v>121</v>
      </c>
      <c r="Y325" s="30">
        <v>111</v>
      </c>
      <c r="Z325" s="7"/>
      <c r="AA325" s="30">
        <v>15</v>
      </c>
      <c r="AB325" s="7"/>
      <c r="AC325" s="30">
        <v>10</v>
      </c>
      <c r="AD325" s="7"/>
      <c r="AE325" s="30">
        <v>6</v>
      </c>
      <c r="AF325" s="7"/>
      <c r="AG325" s="30">
        <v>0</v>
      </c>
      <c r="AI325" s="32">
        <v>142</v>
      </c>
      <c r="AK325" s="7" t="str">
        <f t="shared" si="5"/>
        <v>Yes</v>
      </c>
    </row>
    <row r="326" spans="1:37">
      <c r="A326" s="7" t="s">
        <v>313</v>
      </c>
      <c r="B326" s="7" t="s">
        <v>314</v>
      </c>
      <c r="C326" s="7" t="s">
        <v>32</v>
      </c>
      <c r="D326" s="302">
        <v>4036</v>
      </c>
      <c r="E326" s="297">
        <v>40036</v>
      </c>
      <c r="F326" s="7" t="s">
        <v>162</v>
      </c>
      <c r="G326" s="7" t="s">
        <v>158</v>
      </c>
      <c r="H326" s="8">
        <v>240223</v>
      </c>
      <c r="I326" s="8">
        <v>86</v>
      </c>
      <c r="J326" s="7" t="s">
        <v>10</v>
      </c>
      <c r="K326" s="7" t="s">
        <v>159</v>
      </c>
      <c r="L326" s="8">
        <v>18</v>
      </c>
      <c r="M326" s="8">
        <v>27564</v>
      </c>
      <c r="N326" s="7"/>
      <c r="O326" s="8">
        <v>4350</v>
      </c>
      <c r="P326" s="7" t="s">
        <v>121</v>
      </c>
      <c r="Q326" s="8">
        <v>26280</v>
      </c>
      <c r="R326" s="7" t="s">
        <v>121</v>
      </c>
      <c r="S326" s="8">
        <v>8164</v>
      </c>
      <c r="T326" s="7" t="s">
        <v>121</v>
      </c>
      <c r="U326" s="8">
        <v>0</v>
      </c>
      <c r="V326" s="7"/>
      <c r="W326" s="33">
        <v>66358</v>
      </c>
      <c r="X326" s="7" t="s">
        <v>121</v>
      </c>
      <c r="Y326" s="30">
        <v>13</v>
      </c>
      <c r="Z326" s="7"/>
      <c r="AA326" s="30">
        <v>2</v>
      </c>
      <c r="AB326" s="7"/>
      <c r="AC326" s="30">
        <v>12</v>
      </c>
      <c r="AD326" s="7"/>
      <c r="AE326" s="30">
        <v>6</v>
      </c>
      <c r="AF326" s="7"/>
      <c r="AG326" s="30">
        <v>0</v>
      </c>
      <c r="AI326" s="32">
        <v>33</v>
      </c>
      <c r="AK326" s="7" t="str">
        <f t="shared" si="5"/>
        <v>Yes</v>
      </c>
    </row>
    <row r="327" spans="1:37">
      <c r="A327" s="7" t="s">
        <v>39</v>
      </c>
      <c r="B327" s="7" t="s">
        <v>176</v>
      </c>
      <c r="C327" s="7" t="s">
        <v>38</v>
      </c>
      <c r="D327" s="302">
        <v>7041</v>
      </c>
      <c r="E327" s="297">
        <v>70041</v>
      </c>
      <c r="F327" s="7" t="s">
        <v>162</v>
      </c>
      <c r="G327" s="7" t="s">
        <v>158</v>
      </c>
      <c r="H327" s="8">
        <v>60438</v>
      </c>
      <c r="I327" s="8">
        <v>84</v>
      </c>
      <c r="J327" s="7" t="s">
        <v>7</v>
      </c>
      <c r="K327" s="7" t="s">
        <v>159</v>
      </c>
      <c r="L327" s="8">
        <v>77</v>
      </c>
      <c r="M327" s="8">
        <v>55911</v>
      </c>
      <c r="N327" s="7"/>
      <c r="O327" s="8">
        <v>18433</v>
      </c>
      <c r="P327" s="7"/>
      <c r="Q327" s="8">
        <v>830</v>
      </c>
      <c r="R327" s="7"/>
      <c r="S327" s="8">
        <v>14632</v>
      </c>
      <c r="T327" s="7"/>
      <c r="U327" s="8">
        <v>0</v>
      </c>
      <c r="V327" s="7"/>
      <c r="W327" s="33">
        <v>89806</v>
      </c>
      <c r="X327" s="7"/>
      <c r="Y327" s="30">
        <v>28</v>
      </c>
      <c r="Z327" s="7"/>
      <c r="AA327" s="30">
        <v>9.5</v>
      </c>
      <c r="AB327" s="7"/>
      <c r="AC327" s="30">
        <v>0.5</v>
      </c>
      <c r="AD327" s="7"/>
      <c r="AE327" s="30">
        <v>7.9</v>
      </c>
      <c r="AF327" s="7"/>
      <c r="AG327" s="30">
        <v>0</v>
      </c>
      <c r="AI327" s="32">
        <v>45.9</v>
      </c>
      <c r="AK327" s="7" t="str">
        <f t="shared" si="5"/>
        <v>No</v>
      </c>
    </row>
    <row r="328" spans="1:37">
      <c r="A328" s="7" t="s">
        <v>315</v>
      </c>
      <c r="B328" s="7" t="s">
        <v>316</v>
      </c>
      <c r="C328" s="7" t="s">
        <v>17</v>
      </c>
      <c r="D328" s="302">
        <v>9010</v>
      </c>
      <c r="E328" s="297">
        <v>90010</v>
      </c>
      <c r="F328" s="7" t="s">
        <v>162</v>
      </c>
      <c r="G328" s="7" t="s">
        <v>158</v>
      </c>
      <c r="H328" s="8">
        <v>12150996</v>
      </c>
      <c r="I328" s="8">
        <v>84</v>
      </c>
      <c r="J328" s="7" t="s">
        <v>7</v>
      </c>
      <c r="K328" s="7" t="s">
        <v>159</v>
      </c>
      <c r="L328" s="8">
        <v>48</v>
      </c>
      <c r="M328" s="8">
        <v>225766</v>
      </c>
      <c r="N328" s="7"/>
      <c r="O328" s="8">
        <v>46495</v>
      </c>
      <c r="P328" s="7"/>
      <c r="Q328" s="8">
        <v>0</v>
      </c>
      <c r="R328" s="7"/>
      <c r="S328" s="8">
        <v>15173</v>
      </c>
      <c r="T328" s="7"/>
      <c r="U328" s="8">
        <v>0</v>
      </c>
      <c r="V328" s="7"/>
      <c r="W328" s="33">
        <v>287434</v>
      </c>
      <c r="X328" s="7"/>
      <c r="Y328" s="30">
        <v>108.5</v>
      </c>
      <c r="Z328" s="7"/>
      <c r="AA328" s="30">
        <v>22.4</v>
      </c>
      <c r="AB328" s="7"/>
      <c r="AC328" s="30">
        <v>0</v>
      </c>
      <c r="AD328" s="7"/>
      <c r="AE328" s="30">
        <v>7.3</v>
      </c>
      <c r="AF328" s="7"/>
      <c r="AG328" s="30">
        <v>0</v>
      </c>
      <c r="AI328" s="32">
        <v>138.19999999999999</v>
      </c>
      <c r="AK328" s="7" t="str">
        <f t="shared" si="5"/>
        <v>No</v>
      </c>
    </row>
    <row r="329" spans="1:37">
      <c r="A329" s="7" t="s">
        <v>641</v>
      </c>
      <c r="B329" s="7" t="s">
        <v>642</v>
      </c>
      <c r="C329" s="7" t="s">
        <v>28</v>
      </c>
      <c r="D329" s="302">
        <v>1049</v>
      </c>
      <c r="E329" s="297">
        <v>10049</v>
      </c>
      <c r="F329" s="7" t="s">
        <v>165</v>
      </c>
      <c r="G329" s="7" t="s">
        <v>158</v>
      </c>
      <c r="H329" s="8">
        <v>562839</v>
      </c>
      <c r="I329" s="8">
        <v>82</v>
      </c>
      <c r="J329" s="7" t="s">
        <v>10</v>
      </c>
      <c r="K329" s="7" t="s">
        <v>159</v>
      </c>
      <c r="L329" s="8">
        <v>80</v>
      </c>
      <c r="M329" s="8">
        <v>168134</v>
      </c>
      <c r="N329" s="7"/>
      <c r="O329" s="8">
        <v>8197</v>
      </c>
      <c r="P329" s="7"/>
      <c r="Q329" s="8">
        <v>4770</v>
      </c>
      <c r="R329" s="7"/>
      <c r="S329" s="8">
        <v>18981</v>
      </c>
      <c r="T329" s="7"/>
      <c r="U329" s="8">
        <v>1385</v>
      </c>
      <c r="V329" s="7"/>
      <c r="W329" s="33">
        <v>201467</v>
      </c>
      <c r="X329" s="7"/>
      <c r="Y329" s="30">
        <v>96</v>
      </c>
      <c r="Z329" s="7"/>
      <c r="AA329" s="30">
        <v>5</v>
      </c>
      <c r="AB329" s="7"/>
      <c r="AC329" s="30">
        <v>3</v>
      </c>
      <c r="AD329" s="7"/>
      <c r="AE329" s="30">
        <v>13</v>
      </c>
      <c r="AF329" s="7"/>
      <c r="AG329" s="30">
        <v>1</v>
      </c>
      <c r="AI329" s="32">
        <v>118</v>
      </c>
      <c r="AK329" s="7" t="str">
        <f t="shared" si="5"/>
        <v>No</v>
      </c>
    </row>
    <row r="330" spans="1:37">
      <c r="A330" s="7" t="s">
        <v>383</v>
      </c>
      <c r="B330" s="7" t="s">
        <v>384</v>
      </c>
      <c r="C330" s="7" t="s">
        <v>17</v>
      </c>
      <c r="D330" s="302">
        <v>9004</v>
      </c>
      <c r="E330" s="297">
        <v>90004</v>
      </c>
      <c r="F330" s="7" t="s">
        <v>165</v>
      </c>
      <c r="G330" s="7" t="s">
        <v>158</v>
      </c>
      <c r="H330" s="8">
        <v>523994</v>
      </c>
      <c r="I330" s="8">
        <v>82</v>
      </c>
      <c r="J330" s="7" t="s">
        <v>7</v>
      </c>
      <c r="K330" s="7" t="s">
        <v>159</v>
      </c>
      <c r="L330" s="8">
        <v>66</v>
      </c>
      <c r="M330" s="8">
        <v>157119</v>
      </c>
      <c r="N330" s="7"/>
      <c r="O330" s="8">
        <v>89901</v>
      </c>
      <c r="P330" s="7"/>
      <c r="Q330" s="8">
        <v>10396</v>
      </c>
      <c r="R330" s="7"/>
      <c r="S330" s="8">
        <v>49690</v>
      </c>
      <c r="T330" s="7"/>
      <c r="U330" s="8">
        <v>0</v>
      </c>
      <c r="V330" s="7"/>
      <c r="W330" s="33">
        <v>307106</v>
      </c>
      <c r="X330" s="7"/>
      <c r="Y330" s="30">
        <v>80.03</v>
      </c>
      <c r="Z330" s="7"/>
      <c r="AA330" s="30">
        <v>52</v>
      </c>
      <c r="AB330" s="7"/>
      <c r="AC330" s="30">
        <v>5</v>
      </c>
      <c r="AD330" s="7"/>
      <c r="AE330" s="30">
        <v>27</v>
      </c>
      <c r="AF330" s="7"/>
      <c r="AG330" s="30">
        <v>0</v>
      </c>
      <c r="AI330" s="32">
        <v>164.03</v>
      </c>
      <c r="AK330" s="7" t="str">
        <f t="shared" si="5"/>
        <v>No</v>
      </c>
    </row>
    <row r="331" spans="1:37">
      <c r="A331" s="7" t="s">
        <v>396</v>
      </c>
      <c r="B331" s="7" t="s">
        <v>397</v>
      </c>
      <c r="C331" s="7" t="s">
        <v>40</v>
      </c>
      <c r="D331" s="302">
        <v>5056</v>
      </c>
      <c r="E331" s="297">
        <v>50056</v>
      </c>
      <c r="F331" s="7" t="s">
        <v>165</v>
      </c>
      <c r="G331" s="7" t="s">
        <v>158</v>
      </c>
      <c r="H331" s="8">
        <v>266921</v>
      </c>
      <c r="I331" s="8">
        <v>82</v>
      </c>
      <c r="J331" s="7" t="s">
        <v>7</v>
      </c>
      <c r="K331" s="7" t="s">
        <v>159</v>
      </c>
      <c r="L331" s="8">
        <v>45</v>
      </c>
      <c r="M331" s="8">
        <v>200965</v>
      </c>
      <c r="N331" s="7"/>
      <c r="O331" s="8">
        <v>65011</v>
      </c>
      <c r="P331" s="7"/>
      <c r="Q331" s="8">
        <v>6037</v>
      </c>
      <c r="R331" s="7"/>
      <c r="S331" s="8">
        <v>29070</v>
      </c>
      <c r="T331" s="7"/>
      <c r="U331" s="8">
        <v>0</v>
      </c>
      <c r="V331" s="7"/>
      <c r="W331" s="33">
        <v>301083</v>
      </c>
      <c r="X331" s="7"/>
      <c r="Y331" s="30">
        <v>108</v>
      </c>
      <c r="Z331" s="7"/>
      <c r="AA331" s="30">
        <v>37</v>
      </c>
      <c r="AB331" s="7"/>
      <c r="AC331" s="30">
        <v>3</v>
      </c>
      <c r="AD331" s="7"/>
      <c r="AE331" s="30">
        <v>15</v>
      </c>
      <c r="AF331" s="7"/>
      <c r="AG331" s="30">
        <v>0</v>
      </c>
      <c r="AI331" s="32">
        <v>163</v>
      </c>
      <c r="AK331" s="7" t="str">
        <f t="shared" si="5"/>
        <v>No</v>
      </c>
    </row>
    <row r="332" spans="1:37">
      <c r="A332" s="7" t="s">
        <v>383</v>
      </c>
      <c r="B332" s="7" t="s">
        <v>384</v>
      </c>
      <c r="C332" s="7" t="s">
        <v>17</v>
      </c>
      <c r="D332" s="302">
        <v>9004</v>
      </c>
      <c r="E332" s="297">
        <v>90004</v>
      </c>
      <c r="F332" s="7" t="s">
        <v>165</v>
      </c>
      <c r="G332" s="7" t="s">
        <v>158</v>
      </c>
      <c r="H332" s="8">
        <v>523994</v>
      </c>
      <c r="I332" s="8">
        <v>82</v>
      </c>
      <c r="J332" s="7" t="s">
        <v>10</v>
      </c>
      <c r="K332" s="7" t="s">
        <v>159</v>
      </c>
      <c r="L332" s="8">
        <v>16</v>
      </c>
      <c r="M332" s="8">
        <v>8375</v>
      </c>
      <c r="N332" s="7"/>
      <c r="O332" s="8">
        <v>2175</v>
      </c>
      <c r="P332" s="7"/>
      <c r="Q332" s="8">
        <v>0</v>
      </c>
      <c r="R332" s="7"/>
      <c r="S332" s="8">
        <v>1618</v>
      </c>
      <c r="T332" s="7"/>
      <c r="U332" s="8">
        <v>0</v>
      </c>
      <c r="V332" s="7"/>
      <c r="W332" s="33">
        <v>12168</v>
      </c>
      <c r="X332" s="7"/>
      <c r="Y332" s="30">
        <v>5</v>
      </c>
      <c r="Z332" s="7"/>
      <c r="AA332" s="30">
        <v>1</v>
      </c>
      <c r="AB332" s="7"/>
      <c r="AC332" s="30">
        <v>0</v>
      </c>
      <c r="AD332" s="7"/>
      <c r="AE332" s="30">
        <v>1</v>
      </c>
      <c r="AF332" s="7"/>
      <c r="AG332" s="30">
        <v>0</v>
      </c>
      <c r="AI332" s="32">
        <v>7</v>
      </c>
      <c r="AK332" s="7" t="str">
        <f t="shared" si="5"/>
        <v>No</v>
      </c>
    </row>
    <row r="333" spans="1:37">
      <c r="A333" s="7" t="s">
        <v>641</v>
      </c>
      <c r="B333" s="7" t="s">
        <v>642</v>
      </c>
      <c r="C333" s="7" t="s">
        <v>28</v>
      </c>
      <c r="D333" s="302">
        <v>1049</v>
      </c>
      <c r="E333" s="297">
        <v>10049</v>
      </c>
      <c r="F333" s="7" t="s">
        <v>165</v>
      </c>
      <c r="G333" s="7" t="s">
        <v>158</v>
      </c>
      <c r="H333" s="8">
        <v>562839</v>
      </c>
      <c r="I333" s="8">
        <v>82</v>
      </c>
      <c r="J333" s="7" t="s">
        <v>7</v>
      </c>
      <c r="K333" s="7" t="s">
        <v>159</v>
      </c>
      <c r="L333" s="8">
        <v>2</v>
      </c>
      <c r="M333" s="8">
        <v>50</v>
      </c>
      <c r="N333" s="7"/>
      <c r="O333" s="8">
        <v>128</v>
      </c>
      <c r="P333" s="7"/>
      <c r="Q333" s="8">
        <v>22</v>
      </c>
      <c r="R333" s="7"/>
      <c r="S333" s="8">
        <v>298</v>
      </c>
      <c r="T333" s="7"/>
      <c r="U333" s="8">
        <v>0</v>
      </c>
      <c r="V333" s="7"/>
      <c r="W333" s="33">
        <v>498</v>
      </c>
      <c r="X333" s="7"/>
      <c r="Y333" s="30">
        <v>0.05</v>
      </c>
      <c r="Z333" s="7"/>
      <c r="AA333" s="30">
        <v>0.2</v>
      </c>
      <c r="AB333" s="7"/>
      <c r="AC333" s="30">
        <v>0.05</v>
      </c>
      <c r="AD333" s="7"/>
      <c r="AE333" s="30">
        <v>0.5</v>
      </c>
      <c r="AF333" s="7"/>
      <c r="AG333" s="30">
        <v>0</v>
      </c>
      <c r="AI333" s="32">
        <v>0.8</v>
      </c>
      <c r="AK333" s="7" t="str">
        <f t="shared" si="5"/>
        <v>No</v>
      </c>
    </row>
    <row r="334" spans="1:37">
      <c r="A334" s="7" t="s">
        <v>122</v>
      </c>
      <c r="B334" s="7" t="s">
        <v>781</v>
      </c>
      <c r="C334" s="7" t="s">
        <v>70</v>
      </c>
      <c r="D334" s="302">
        <v>2217</v>
      </c>
      <c r="E334" s="297">
        <v>20217</v>
      </c>
      <c r="F334" s="7" t="s">
        <v>173</v>
      </c>
      <c r="G334" s="7" t="s">
        <v>158</v>
      </c>
      <c r="H334" s="8">
        <v>18351295</v>
      </c>
      <c r="I334" s="8">
        <v>80</v>
      </c>
      <c r="J334" s="7" t="s">
        <v>18</v>
      </c>
      <c r="K334" s="7" t="s">
        <v>159</v>
      </c>
      <c r="L334" s="8">
        <v>80</v>
      </c>
      <c r="M334" s="8">
        <v>255758</v>
      </c>
      <c r="N334" s="7"/>
      <c r="O334" s="8">
        <v>35214</v>
      </c>
      <c r="P334" s="7"/>
      <c r="Q334" s="8">
        <v>5115</v>
      </c>
      <c r="R334" s="7"/>
      <c r="S334" s="8">
        <v>27388</v>
      </c>
      <c r="T334" s="7"/>
      <c r="U334" s="8">
        <v>0</v>
      </c>
      <c r="V334" s="7"/>
      <c r="W334" s="33">
        <v>323475</v>
      </c>
      <c r="X334" s="7"/>
      <c r="Y334" s="30">
        <v>152.4</v>
      </c>
      <c r="Z334" s="7"/>
      <c r="AA334" s="30">
        <v>17.7</v>
      </c>
      <c r="AB334" s="7"/>
      <c r="AC334" s="30">
        <v>2.2999999999999998</v>
      </c>
      <c r="AD334" s="7"/>
      <c r="AE334" s="30">
        <v>14</v>
      </c>
      <c r="AF334" s="7"/>
      <c r="AG334" s="30">
        <v>0</v>
      </c>
      <c r="AI334" s="32">
        <v>186.4</v>
      </c>
      <c r="AK334" s="7" t="str">
        <f t="shared" si="5"/>
        <v>No</v>
      </c>
    </row>
    <row r="335" spans="1:37">
      <c r="A335" s="7" t="s">
        <v>277</v>
      </c>
      <c r="B335" s="7" t="s">
        <v>278</v>
      </c>
      <c r="C335" s="7" t="s">
        <v>83</v>
      </c>
      <c r="D335" s="302">
        <v>4001</v>
      </c>
      <c r="E335" s="297">
        <v>40001</v>
      </c>
      <c r="F335" s="7" t="s">
        <v>162</v>
      </c>
      <c r="G335" s="7" t="s">
        <v>158</v>
      </c>
      <c r="H335" s="8">
        <v>381112</v>
      </c>
      <c r="I335" s="8">
        <v>80</v>
      </c>
      <c r="J335" s="7" t="s">
        <v>7</v>
      </c>
      <c r="K335" s="7" t="s">
        <v>159</v>
      </c>
      <c r="L335" s="8">
        <v>60</v>
      </c>
      <c r="M335" s="8">
        <v>191878</v>
      </c>
      <c r="N335" s="7"/>
      <c r="O335" s="8">
        <v>43320</v>
      </c>
      <c r="P335" s="7"/>
      <c r="Q335" s="8">
        <v>3620</v>
      </c>
      <c r="R335" s="7"/>
      <c r="S335" s="8">
        <v>43927</v>
      </c>
      <c r="T335" s="7"/>
      <c r="U335" s="8">
        <v>572</v>
      </c>
      <c r="V335" s="7"/>
      <c r="W335" s="33">
        <v>283317</v>
      </c>
      <c r="X335" s="7"/>
      <c r="Y335" s="30">
        <v>89</v>
      </c>
      <c r="Z335" s="7"/>
      <c r="AA335" s="30">
        <v>22.6</v>
      </c>
      <c r="AB335" s="7"/>
      <c r="AC335" s="30">
        <v>2</v>
      </c>
      <c r="AD335" s="7"/>
      <c r="AE335" s="30">
        <v>23.85</v>
      </c>
      <c r="AF335" s="7"/>
      <c r="AG335" s="30">
        <v>0.33</v>
      </c>
      <c r="AI335" s="32">
        <v>137.78</v>
      </c>
      <c r="AK335" s="7" t="str">
        <f t="shared" si="5"/>
        <v>No</v>
      </c>
    </row>
    <row r="336" spans="1:37">
      <c r="A336" s="7" t="s">
        <v>740</v>
      </c>
      <c r="B336" s="7" t="s">
        <v>741</v>
      </c>
      <c r="C336" s="7" t="s">
        <v>58</v>
      </c>
      <c r="D336" s="302">
        <v>4173</v>
      </c>
      <c r="E336" s="297">
        <v>40173</v>
      </c>
      <c r="F336" s="7" t="s">
        <v>165</v>
      </c>
      <c r="G336" s="7" t="s">
        <v>158</v>
      </c>
      <c r="H336" s="8">
        <v>311810</v>
      </c>
      <c r="I336" s="8">
        <v>80</v>
      </c>
      <c r="J336" s="7" t="s">
        <v>8</v>
      </c>
      <c r="K336" s="7" t="s">
        <v>159</v>
      </c>
      <c r="L336" s="8">
        <v>54</v>
      </c>
      <c r="M336" s="8">
        <v>0</v>
      </c>
      <c r="N336" s="7"/>
      <c r="O336" s="8">
        <v>0</v>
      </c>
      <c r="P336" s="7"/>
      <c r="Q336" s="8">
        <v>0</v>
      </c>
      <c r="R336" s="7"/>
      <c r="S336" s="8">
        <v>6629</v>
      </c>
      <c r="T336" s="7"/>
      <c r="U336" s="8">
        <v>0</v>
      </c>
      <c r="V336" s="7"/>
      <c r="W336" s="33">
        <v>6629</v>
      </c>
      <c r="X336" s="7"/>
      <c r="Y336" s="30">
        <v>0</v>
      </c>
      <c r="Z336" s="7"/>
      <c r="AA336" s="30">
        <v>0</v>
      </c>
      <c r="AB336" s="7"/>
      <c r="AC336" s="30">
        <v>0</v>
      </c>
      <c r="AD336" s="7"/>
      <c r="AE336" s="30">
        <v>4</v>
      </c>
      <c r="AF336" s="7"/>
      <c r="AG336" s="30">
        <v>0</v>
      </c>
      <c r="AI336" s="32">
        <v>4</v>
      </c>
      <c r="AK336" s="7" t="str">
        <f t="shared" si="5"/>
        <v>No</v>
      </c>
    </row>
    <row r="337" spans="1:37">
      <c r="A337" s="7" t="s">
        <v>275</v>
      </c>
      <c r="B337" s="7" t="s">
        <v>276</v>
      </c>
      <c r="C337" s="7" t="s">
        <v>36</v>
      </c>
      <c r="D337" s="302">
        <v>4025</v>
      </c>
      <c r="E337" s="297">
        <v>40025</v>
      </c>
      <c r="F337" s="7" t="s">
        <v>165</v>
      </c>
      <c r="G337" s="7" t="s">
        <v>158</v>
      </c>
      <c r="H337" s="8">
        <v>260677</v>
      </c>
      <c r="I337" s="8">
        <v>80</v>
      </c>
      <c r="J337" s="7" t="s">
        <v>7</v>
      </c>
      <c r="K337" s="7" t="s">
        <v>159</v>
      </c>
      <c r="L337" s="8">
        <v>52</v>
      </c>
      <c r="M337" s="8">
        <v>225680</v>
      </c>
      <c r="N337" s="7"/>
      <c r="O337" s="8">
        <v>32160</v>
      </c>
      <c r="P337" s="7"/>
      <c r="Q337" s="8">
        <v>21943</v>
      </c>
      <c r="R337" s="7"/>
      <c r="S337" s="8">
        <v>65636</v>
      </c>
      <c r="T337" s="7"/>
      <c r="U337" s="8">
        <v>0</v>
      </c>
      <c r="V337" s="7"/>
      <c r="W337" s="33">
        <v>345419</v>
      </c>
      <c r="X337" s="7"/>
      <c r="Y337" s="30">
        <v>117</v>
      </c>
      <c r="Z337" s="7"/>
      <c r="AA337" s="30">
        <v>17</v>
      </c>
      <c r="AB337" s="7"/>
      <c r="AC337" s="30">
        <v>12</v>
      </c>
      <c r="AD337" s="7"/>
      <c r="AE337" s="30">
        <v>34</v>
      </c>
      <c r="AF337" s="7"/>
      <c r="AG337" s="30">
        <v>0</v>
      </c>
      <c r="AI337" s="32">
        <v>180</v>
      </c>
      <c r="AK337" s="7" t="str">
        <f t="shared" si="5"/>
        <v>No</v>
      </c>
    </row>
    <row r="338" spans="1:37">
      <c r="A338" s="7" t="s">
        <v>275</v>
      </c>
      <c r="B338" s="7" t="s">
        <v>276</v>
      </c>
      <c r="C338" s="7" t="s">
        <v>36</v>
      </c>
      <c r="D338" s="302">
        <v>4025</v>
      </c>
      <c r="E338" s="297">
        <v>40025</v>
      </c>
      <c r="F338" s="7" t="s">
        <v>165</v>
      </c>
      <c r="G338" s="7" t="s">
        <v>158</v>
      </c>
      <c r="H338" s="8">
        <v>260677</v>
      </c>
      <c r="I338" s="8">
        <v>80</v>
      </c>
      <c r="J338" s="7" t="s">
        <v>10</v>
      </c>
      <c r="K338" s="7" t="s">
        <v>159</v>
      </c>
      <c r="L338" s="8">
        <v>20</v>
      </c>
      <c r="M338" s="8">
        <v>62336</v>
      </c>
      <c r="N338" s="7"/>
      <c r="O338" s="8">
        <v>3922</v>
      </c>
      <c r="P338" s="7"/>
      <c r="Q338" s="8">
        <v>3935</v>
      </c>
      <c r="R338" s="7"/>
      <c r="S338" s="8">
        <v>7848</v>
      </c>
      <c r="T338" s="7"/>
      <c r="U338" s="8">
        <v>0</v>
      </c>
      <c r="V338" s="7"/>
      <c r="W338" s="33">
        <v>78041</v>
      </c>
      <c r="X338" s="7"/>
      <c r="Y338" s="30">
        <v>32</v>
      </c>
      <c r="Z338" s="7"/>
      <c r="AA338" s="30">
        <v>2</v>
      </c>
      <c r="AB338" s="7"/>
      <c r="AC338" s="30">
        <v>2</v>
      </c>
      <c r="AD338" s="7"/>
      <c r="AE338" s="30">
        <v>4</v>
      </c>
      <c r="AF338" s="7"/>
      <c r="AG338" s="30">
        <v>0</v>
      </c>
      <c r="AI338" s="32">
        <v>40</v>
      </c>
      <c r="AK338" s="7" t="str">
        <f t="shared" si="5"/>
        <v>No</v>
      </c>
    </row>
    <row r="339" spans="1:37">
      <c r="A339" s="7" t="s">
        <v>277</v>
      </c>
      <c r="B339" s="7" t="s">
        <v>278</v>
      </c>
      <c r="C339" s="7" t="s">
        <v>83</v>
      </c>
      <c r="D339" s="302">
        <v>4001</v>
      </c>
      <c r="E339" s="297">
        <v>40001</v>
      </c>
      <c r="F339" s="7" t="s">
        <v>162</v>
      </c>
      <c r="G339" s="7" t="s">
        <v>158</v>
      </c>
      <c r="H339" s="8">
        <v>381112</v>
      </c>
      <c r="I339" s="8">
        <v>80</v>
      </c>
      <c r="J339" s="7" t="s">
        <v>10</v>
      </c>
      <c r="K339" s="7" t="s">
        <v>159</v>
      </c>
      <c r="L339" s="8">
        <v>15</v>
      </c>
      <c r="M339" s="8">
        <v>12313</v>
      </c>
      <c r="N339" s="7"/>
      <c r="O339" s="8">
        <v>5190</v>
      </c>
      <c r="P339" s="7"/>
      <c r="Q339" s="8">
        <v>0</v>
      </c>
      <c r="R339" s="7"/>
      <c r="S339" s="8">
        <v>15118</v>
      </c>
      <c r="T339" s="7"/>
      <c r="U339" s="8">
        <v>572</v>
      </c>
      <c r="V339" s="7"/>
      <c r="W339" s="33">
        <v>33193</v>
      </c>
      <c r="X339" s="7"/>
      <c r="Y339" s="30">
        <v>7</v>
      </c>
      <c r="Z339" s="7"/>
      <c r="AA339" s="30">
        <v>2.4</v>
      </c>
      <c r="AB339" s="7"/>
      <c r="AC339" s="30">
        <v>0</v>
      </c>
      <c r="AD339" s="7"/>
      <c r="AE339" s="30">
        <v>8.84</v>
      </c>
      <c r="AF339" s="7"/>
      <c r="AG339" s="30">
        <v>0.33</v>
      </c>
      <c r="AI339" s="32">
        <v>18.57</v>
      </c>
      <c r="AK339" s="7" t="str">
        <f t="shared" si="5"/>
        <v>No</v>
      </c>
    </row>
    <row r="340" spans="1:37">
      <c r="A340" s="7" t="s">
        <v>275</v>
      </c>
      <c r="B340" s="7" t="s">
        <v>276</v>
      </c>
      <c r="C340" s="7" t="s">
        <v>36</v>
      </c>
      <c r="D340" s="302">
        <v>4025</v>
      </c>
      <c r="E340" s="297">
        <v>40025</v>
      </c>
      <c r="F340" s="7" t="s">
        <v>165</v>
      </c>
      <c r="G340" s="7" t="s">
        <v>158</v>
      </c>
      <c r="H340" s="8">
        <v>260677</v>
      </c>
      <c r="I340" s="8">
        <v>80</v>
      </c>
      <c r="J340" s="7" t="s">
        <v>19</v>
      </c>
      <c r="K340" s="7" t="s">
        <v>159</v>
      </c>
      <c r="L340" s="8">
        <v>2</v>
      </c>
      <c r="M340" s="8">
        <v>9633</v>
      </c>
      <c r="N340" s="7"/>
      <c r="O340" s="8">
        <v>3896</v>
      </c>
      <c r="P340" s="7"/>
      <c r="Q340" s="8">
        <v>0</v>
      </c>
      <c r="R340" s="7"/>
      <c r="S340" s="8">
        <v>1920</v>
      </c>
      <c r="T340" s="7"/>
      <c r="U340" s="8">
        <v>0</v>
      </c>
      <c r="V340" s="7"/>
      <c r="W340" s="33">
        <v>15449</v>
      </c>
      <c r="X340" s="7"/>
      <c r="Y340" s="30">
        <v>5</v>
      </c>
      <c r="Z340" s="7"/>
      <c r="AA340" s="30">
        <v>2</v>
      </c>
      <c r="AB340" s="7"/>
      <c r="AC340" s="30">
        <v>0</v>
      </c>
      <c r="AD340" s="7"/>
      <c r="AE340" s="30">
        <v>1</v>
      </c>
      <c r="AF340" s="7"/>
      <c r="AG340" s="30">
        <v>0</v>
      </c>
      <c r="AI340" s="32">
        <v>8</v>
      </c>
      <c r="AK340" s="7" t="str">
        <f t="shared" si="5"/>
        <v>No</v>
      </c>
    </row>
    <row r="341" spans="1:37">
      <c r="A341" s="7" t="s">
        <v>277</v>
      </c>
      <c r="B341" s="7" t="s">
        <v>278</v>
      </c>
      <c r="C341" s="7" t="s">
        <v>83</v>
      </c>
      <c r="D341" s="302">
        <v>4001</v>
      </c>
      <c r="E341" s="297">
        <v>40001</v>
      </c>
      <c r="F341" s="7" t="s">
        <v>162</v>
      </c>
      <c r="G341" s="7" t="s">
        <v>158</v>
      </c>
      <c r="H341" s="8">
        <v>381112</v>
      </c>
      <c r="I341" s="8">
        <v>80</v>
      </c>
      <c r="J341" s="7" t="s">
        <v>78</v>
      </c>
      <c r="K341" s="7" t="s">
        <v>159</v>
      </c>
      <c r="L341" s="8">
        <v>2</v>
      </c>
      <c r="M341" s="8">
        <v>15090</v>
      </c>
      <c r="N341" s="7"/>
      <c r="O341" s="8">
        <v>2891</v>
      </c>
      <c r="P341" s="7"/>
      <c r="Q341" s="8">
        <v>0</v>
      </c>
      <c r="R341" s="7"/>
      <c r="S341" s="8">
        <v>5959</v>
      </c>
      <c r="T341" s="7"/>
      <c r="U341" s="8">
        <v>572</v>
      </c>
      <c r="V341" s="7"/>
      <c r="W341" s="33">
        <v>24512</v>
      </c>
      <c r="X341" s="7"/>
      <c r="Y341" s="30">
        <v>6</v>
      </c>
      <c r="Z341" s="7"/>
      <c r="AA341" s="30">
        <v>1</v>
      </c>
      <c r="AB341" s="7"/>
      <c r="AC341" s="30">
        <v>0</v>
      </c>
      <c r="AD341" s="7"/>
      <c r="AE341" s="30">
        <v>3.33</v>
      </c>
      <c r="AF341" s="7"/>
      <c r="AG341" s="30">
        <v>0.33</v>
      </c>
      <c r="AI341" s="32">
        <v>10.66</v>
      </c>
      <c r="AK341" s="7" t="str">
        <f t="shared" si="5"/>
        <v>No</v>
      </c>
    </row>
    <row r="342" spans="1:37">
      <c r="A342" s="7" t="s">
        <v>753</v>
      </c>
      <c r="B342" s="7" t="s">
        <v>662</v>
      </c>
      <c r="C342" s="7" t="s">
        <v>45</v>
      </c>
      <c r="D342" s="302">
        <v>4196</v>
      </c>
      <c r="E342" s="297">
        <v>40196</v>
      </c>
      <c r="F342" s="7" t="s">
        <v>195</v>
      </c>
      <c r="G342" s="7" t="s">
        <v>158</v>
      </c>
      <c r="H342" s="8">
        <v>972546</v>
      </c>
      <c r="I342" s="8">
        <v>79</v>
      </c>
      <c r="J342" s="7" t="s">
        <v>8</v>
      </c>
      <c r="K342" s="7" t="s">
        <v>159</v>
      </c>
      <c r="L342" s="8">
        <v>79</v>
      </c>
      <c r="M342" s="8">
        <v>744</v>
      </c>
      <c r="N342" s="7"/>
      <c r="O342" s="8">
        <v>0</v>
      </c>
      <c r="P342" s="7"/>
      <c r="Q342" s="8">
        <v>0</v>
      </c>
      <c r="R342" s="7"/>
      <c r="S342" s="8">
        <v>8439</v>
      </c>
      <c r="T342" s="7"/>
      <c r="U342" s="8">
        <v>0</v>
      </c>
      <c r="V342" s="7"/>
      <c r="W342" s="33">
        <v>9183</v>
      </c>
      <c r="X342" s="7"/>
      <c r="Y342" s="30">
        <v>0.5</v>
      </c>
      <c r="Z342" s="7"/>
      <c r="AA342" s="30">
        <v>0</v>
      </c>
      <c r="AB342" s="7"/>
      <c r="AC342" s="30">
        <v>0</v>
      </c>
      <c r="AD342" s="7"/>
      <c r="AE342" s="30">
        <v>5.5</v>
      </c>
      <c r="AF342" s="7"/>
      <c r="AG342" s="30">
        <v>0</v>
      </c>
      <c r="AI342" s="32">
        <v>6</v>
      </c>
      <c r="AK342" s="7" t="str">
        <f t="shared" si="5"/>
        <v>No</v>
      </c>
    </row>
    <row r="343" spans="1:37">
      <c r="A343" s="7" t="s">
        <v>1125</v>
      </c>
      <c r="B343" s="7" t="s">
        <v>1126</v>
      </c>
      <c r="C343" s="7" t="s">
        <v>45</v>
      </c>
      <c r="D343" s="302" t="s">
        <v>1127</v>
      </c>
      <c r="E343" s="297">
        <v>41105</v>
      </c>
      <c r="F343" s="7" t="s">
        <v>187</v>
      </c>
      <c r="G343" s="7" t="s">
        <v>158</v>
      </c>
      <c r="H343" s="8">
        <v>70543</v>
      </c>
      <c r="I343" s="8">
        <v>78</v>
      </c>
      <c r="J343" s="7" t="s">
        <v>10</v>
      </c>
      <c r="K343" s="7" t="s">
        <v>159</v>
      </c>
      <c r="L343" s="8">
        <v>78</v>
      </c>
      <c r="M343" s="8">
        <v>122764</v>
      </c>
      <c r="N343" s="7"/>
      <c r="O343" s="8">
        <v>8068</v>
      </c>
      <c r="P343" s="7"/>
      <c r="Q343" s="8">
        <v>3835</v>
      </c>
      <c r="R343" s="7"/>
      <c r="S343" s="8">
        <v>13787</v>
      </c>
      <c r="T343" s="7"/>
      <c r="U343" s="8">
        <v>0</v>
      </c>
      <c r="V343" s="7"/>
      <c r="W343" s="33">
        <v>148454</v>
      </c>
      <c r="X343" s="7" t="s">
        <v>121</v>
      </c>
      <c r="Y343" s="30">
        <v>70</v>
      </c>
      <c r="Z343" s="7"/>
      <c r="AA343" s="30">
        <v>6</v>
      </c>
      <c r="AB343" s="7"/>
      <c r="AC343" s="30">
        <v>2</v>
      </c>
      <c r="AD343" s="7"/>
      <c r="AE343" s="30">
        <v>9</v>
      </c>
      <c r="AF343" s="7"/>
      <c r="AG343" s="30">
        <v>0</v>
      </c>
      <c r="AI343" s="32">
        <v>87</v>
      </c>
      <c r="AK343" s="7" t="str">
        <f t="shared" si="5"/>
        <v>Yes</v>
      </c>
    </row>
    <row r="344" spans="1:37">
      <c r="A344" s="7" t="s">
        <v>552</v>
      </c>
      <c r="B344" s="7" t="s">
        <v>553</v>
      </c>
      <c r="C344" s="7" t="s">
        <v>63</v>
      </c>
      <c r="D344" s="302">
        <v>2075</v>
      </c>
      <c r="E344" s="297">
        <v>20075</v>
      </c>
      <c r="F344" s="7" t="s">
        <v>165</v>
      </c>
      <c r="G344" s="7" t="s">
        <v>158</v>
      </c>
      <c r="H344" s="8">
        <v>5441567</v>
      </c>
      <c r="I344" s="8">
        <v>78</v>
      </c>
      <c r="J344" s="7" t="s">
        <v>20</v>
      </c>
      <c r="K344" s="7" t="s">
        <v>159</v>
      </c>
      <c r="L344" s="8">
        <v>78</v>
      </c>
      <c r="M344" s="8">
        <v>264350</v>
      </c>
      <c r="N344" s="7"/>
      <c r="O344" s="8">
        <v>111625</v>
      </c>
      <c r="P344" s="7"/>
      <c r="Q344" s="8">
        <v>199363</v>
      </c>
      <c r="R344" s="7"/>
      <c r="S344" s="8">
        <v>58172</v>
      </c>
      <c r="T344" s="7"/>
      <c r="U344" s="8">
        <v>30017</v>
      </c>
      <c r="V344" s="7"/>
      <c r="W344" s="33">
        <v>663527</v>
      </c>
      <c r="X344" s="7"/>
      <c r="Y344" s="30">
        <v>134</v>
      </c>
      <c r="Z344" s="7"/>
      <c r="AA344" s="30">
        <v>68</v>
      </c>
      <c r="AB344" s="7"/>
      <c r="AC344" s="30">
        <v>95</v>
      </c>
      <c r="AD344" s="7"/>
      <c r="AE344" s="30">
        <v>34</v>
      </c>
      <c r="AF344" s="7"/>
      <c r="AG344" s="30">
        <v>18</v>
      </c>
      <c r="AI344" s="32">
        <v>349</v>
      </c>
      <c r="AK344" s="7" t="str">
        <f t="shared" si="5"/>
        <v>No</v>
      </c>
    </row>
    <row r="345" spans="1:37">
      <c r="A345" s="7" t="s">
        <v>251</v>
      </c>
      <c r="B345" s="7" t="s">
        <v>252</v>
      </c>
      <c r="C345" s="7" t="s">
        <v>46</v>
      </c>
      <c r="D345" s="302">
        <v>6022</v>
      </c>
      <c r="E345" s="297">
        <v>60022</v>
      </c>
      <c r="F345" s="7" t="s">
        <v>165</v>
      </c>
      <c r="G345" s="7" t="s">
        <v>158</v>
      </c>
      <c r="H345" s="8">
        <v>594309</v>
      </c>
      <c r="I345" s="8">
        <v>78</v>
      </c>
      <c r="J345" s="7" t="s">
        <v>7</v>
      </c>
      <c r="K345" s="7" t="s">
        <v>159</v>
      </c>
      <c r="L345" s="8">
        <v>60</v>
      </c>
      <c r="M345" s="8">
        <v>358399</v>
      </c>
      <c r="N345" s="7"/>
      <c r="O345" s="8">
        <v>88693</v>
      </c>
      <c r="P345" s="7"/>
      <c r="Q345" s="8">
        <v>30422</v>
      </c>
      <c r="R345" s="7"/>
      <c r="S345" s="8">
        <v>77147</v>
      </c>
      <c r="T345" s="7"/>
      <c r="U345" s="8">
        <v>0</v>
      </c>
      <c r="V345" s="7"/>
      <c r="W345" s="33">
        <v>554661</v>
      </c>
      <c r="X345" s="7"/>
      <c r="Y345" s="30">
        <v>170</v>
      </c>
      <c r="Z345" s="7"/>
      <c r="AA345" s="30">
        <v>41</v>
      </c>
      <c r="AB345" s="7"/>
      <c r="AC345" s="30">
        <v>14</v>
      </c>
      <c r="AD345" s="7"/>
      <c r="AE345" s="30">
        <v>35</v>
      </c>
      <c r="AF345" s="7"/>
      <c r="AG345" s="30">
        <v>0</v>
      </c>
      <c r="AI345" s="32">
        <v>260</v>
      </c>
      <c r="AK345" s="7" t="str">
        <f t="shared" si="5"/>
        <v>No</v>
      </c>
    </row>
    <row r="346" spans="1:37">
      <c r="A346" s="7" t="s">
        <v>437</v>
      </c>
      <c r="B346" s="7" t="s">
        <v>438</v>
      </c>
      <c r="C346" s="7" t="s">
        <v>83</v>
      </c>
      <c r="D346" s="302">
        <v>4002</v>
      </c>
      <c r="E346" s="297">
        <v>40002</v>
      </c>
      <c r="F346" s="7" t="s">
        <v>162</v>
      </c>
      <c r="G346" s="7" t="s">
        <v>158</v>
      </c>
      <c r="H346" s="8">
        <v>558696</v>
      </c>
      <c r="I346" s="8">
        <v>78</v>
      </c>
      <c r="J346" s="7" t="s">
        <v>7</v>
      </c>
      <c r="K346" s="7" t="s">
        <v>159</v>
      </c>
      <c r="L346" s="8">
        <v>59</v>
      </c>
      <c r="M346" s="8">
        <v>303135</v>
      </c>
      <c r="N346" s="7"/>
      <c r="O346" s="8">
        <v>76628</v>
      </c>
      <c r="P346" s="7"/>
      <c r="Q346" s="8">
        <v>1850</v>
      </c>
      <c r="R346" s="7"/>
      <c r="S346" s="8">
        <v>32036</v>
      </c>
      <c r="T346" s="7"/>
      <c r="U346" s="8">
        <v>0</v>
      </c>
      <c r="V346" s="7"/>
      <c r="W346" s="33">
        <v>413649</v>
      </c>
      <c r="X346" s="7"/>
      <c r="Y346" s="30">
        <v>170</v>
      </c>
      <c r="Z346" s="7"/>
      <c r="AA346" s="30">
        <v>41</v>
      </c>
      <c r="AB346" s="7"/>
      <c r="AC346" s="30">
        <v>0.9</v>
      </c>
      <c r="AD346" s="7"/>
      <c r="AE346" s="30">
        <v>15.1</v>
      </c>
      <c r="AF346" s="7"/>
      <c r="AG346" s="30">
        <v>0</v>
      </c>
      <c r="AI346" s="32">
        <v>227</v>
      </c>
      <c r="AK346" s="7" t="str">
        <f t="shared" si="5"/>
        <v>No</v>
      </c>
    </row>
    <row r="347" spans="1:37">
      <c r="A347" s="7" t="s">
        <v>61</v>
      </c>
      <c r="B347" s="7" t="s">
        <v>625</v>
      </c>
      <c r="C347" s="7" t="s">
        <v>60</v>
      </c>
      <c r="D347" s="302">
        <v>7001</v>
      </c>
      <c r="E347" s="297">
        <v>70001</v>
      </c>
      <c r="F347" s="7" t="s">
        <v>162</v>
      </c>
      <c r="G347" s="7" t="s">
        <v>158</v>
      </c>
      <c r="H347" s="8">
        <v>258719</v>
      </c>
      <c r="I347" s="8">
        <v>78</v>
      </c>
      <c r="J347" s="7" t="s">
        <v>7</v>
      </c>
      <c r="K347" s="7" t="s">
        <v>159</v>
      </c>
      <c r="L347" s="8">
        <v>56</v>
      </c>
      <c r="M347" s="8">
        <v>164440</v>
      </c>
      <c r="N347" s="7"/>
      <c r="O347" s="8">
        <v>34897</v>
      </c>
      <c r="P347" s="7"/>
      <c r="Q347" s="8">
        <v>0</v>
      </c>
      <c r="R347" s="7"/>
      <c r="S347" s="8">
        <v>19422</v>
      </c>
      <c r="T347" s="7"/>
      <c r="U347" s="8">
        <v>0</v>
      </c>
      <c r="V347" s="7"/>
      <c r="W347" s="33">
        <v>218759</v>
      </c>
      <c r="X347" s="7"/>
      <c r="Y347" s="30">
        <v>81.8</v>
      </c>
      <c r="Z347" s="7"/>
      <c r="AA347" s="30">
        <v>17.8</v>
      </c>
      <c r="AB347" s="7"/>
      <c r="AC347" s="30">
        <v>0</v>
      </c>
      <c r="AD347" s="7"/>
      <c r="AE347" s="30">
        <v>9.1999999999999993</v>
      </c>
      <c r="AF347" s="7"/>
      <c r="AG347" s="30">
        <v>0</v>
      </c>
      <c r="AI347" s="32">
        <v>108.8</v>
      </c>
      <c r="AK347" s="7" t="str">
        <f t="shared" si="5"/>
        <v>No</v>
      </c>
    </row>
    <row r="348" spans="1:37">
      <c r="A348" s="7" t="s">
        <v>437</v>
      </c>
      <c r="B348" s="7" t="s">
        <v>438</v>
      </c>
      <c r="C348" s="7" t="s">
        <v>83</v>
      </c>
      <c r="D348" s="302">
        <v>4002</v>
      </c>
      <c r="E348" s="297">
        <v>40002</v>
      </c>
      <c r="F348" s="7" t="s">
        <v>162</v>
      </c>
      <c r="G348" s="7" t="s">
        <v>158</v>
      </c>
      <c r="H348" s="8">
        <v>558696</v>
      </c>
      <c r="I348" s="8">
        <v>78</v>
      </c>
      <c r="J348" s="7" t="s">
        <v>10</v>
      </c>
      <c r="K348" s="7" t="s">
        <v>159</v>
      </c>
      <c r="L348" s="8">
        <v>19</v>
      </c>
      <c r="M348" s="8">
        <v>44381</v>
      </c>
      <c r="N348" s="7"/>
      <c r="O348" s="8">
        <v>6663</v>
      </c>
      <c r="P348" s="7"/>
      <c r="Q348" s="8">
        <v>200</v>
      </c>
      <c r="R348" s="7"/>
      <c r="S348" s="8">
        <v>2786</v>
      </c>
      <c r="T348" s="7"/>
      <c r="U348" s="8">
        <v>0</v>
      </c>
      <c r="V348" s="7"/>
      <c r="W348" s="33">
        <v>54030</v>
      </c>
      <c r="X348" s="7"/>
      <c r="Y348" s="30">
        <v>24.7</v>
      </c>
      <c r="Z348" s="7"/>
      <c r="AA348" s="30">
        <v>3.6</v>
      </c>
      <c r="AB348" s="7"/>
      <c r="AC348" s="30">
        <v>0.1</v>
      </c>
      <c r="AD348" s="7"/>
      <c r="AE348" s="30">
        <v>1</v>
      </c>
      <c r="AF348" s="7"/>
      <c r="AG348" s="30">
        <v>0</v>
      </c>
      <c r="AI348" s="32">
        <v>29.4</v>
      </c>
      <c r="AK348" s="7" t="str">
        <f t="shared" si="5"/>
        <v>No</v>
      </c>
    </row>
    <row r="349" spans="1:37">
      <c r="A349" s="7" t="s">
        <v>456</v>
      </c>
      <c r="B349" s="7" t="s">
        <v>457</v>
      </c>
      <c r="C349" s="7" t="s">
        <v>47</v>
      </c>
      <c r="D349" s="302">
        <v>1005</v>
      </c>
      <c r="E349" s="297">
        <v>10005</v>
      </c>
      <c r="F349" s="7" t="s">
        <v>165</v>
      </c>
      <c r="G349" s="7" t="s">
        <v>158</v>
      </c>
      <c r="H349" s="8">
        <v>4181019</v>
      </c>
      <c r="I349" s="8">
        <v>78</v>
      </c>
      <c r="J349" s="7" t="s">
        <v>10</v>
      </c>
      <c r="K349" s="7" t="s">
        <v>159</v>
      </c>
      <c r="L349" s="8">
        <v>18</v>
      </c>
      <c r="M349" s="8">
        <v>12779</v>
      </c>
      <c r="N349" s="7"/>
      <c r="O349" s="8">
        <v>0</v>
      </c>
      <c r="P349" s="7"/>
      <c r="Q349" s="8">
        <v>0</v>
      </c>
      <c r="R349" s="7"/>
      <c r="S349" s="8">
        <v>553</v>
      </c>
      <c r="T349" s="7"/>
      <c r="U349" s="8">
        <v>0</v>
      </c>
      <c r="V349" s="7"/>
      <c r="W349" s="33">
        <v>13332</v>
      </c>
      <c r="X349" s="7"/>
      <c r="Y349" s="30">
        <v>7.3</v>
      </c>
      <c r="Z349" s="7"/>
      <c r="AA349" s="30">
        <v>0</v>
      </c>
      <c r="AB349" s="7"/>
      <c r="AC349" s="30">
        <v>0</v>
      </c>
      <c r="AD349" s="7"/>
      <c r="AE349" s="30">
        <v>0.3</v>
      </c>
      <c r="AF349" s="7"/>
      <c r="AG349" s="30">
        <v>0</v>
      </c>
      <c r="AI349" s="32">
        <v>7.6</v>
      </c>
      <c r="AK349" s="7" t="str">
        <f t="shared" si="5"/>
        <v>No</v>
      </c>
    </row>
    <row r="350" spans="1:37">
      <c r="A350" s="7" t="s">
        <v>61</v>
      </c>
      <c r="B350" s="7" t="s">
        <v>625</v>
      </c>
      <c r="C350" s="7" t="s">
        <v>60</v>
      </c>
      <c r="D350" s="302">
        <v>7001</v>
      </c>
      <c r="E350" s="297">
        <v>70001</v>
      </c>
      <c r="F350" s="7" t="s">
        <v>162</v>
      </c>
      <c r="G350" s="7" t="s">
        <v>158</v>
      </c>
      <c r="H350" s="8">
        <v>258719</v>
      </c>
      <c r="I350" s="8">
        <v>78</v>
      </c>
      <c r="J350" s="7" t="s">
        <v>10</v>
      </c>
      <c r="K350" s="7" t="s">
        <v>159</v>
      </c>
      <c r="L350" s="8">
        <v>9</v>
      </c>
      <c r="M350" s="8">
        <v>24840</v>
      </c>
      <c r="N350" s="7"/>
      <c r="O350" s="8">
        <v>5583</v>
      </c>
      <c r="P350" s="7"/>
      <c r="Q350" s="8">
        <v>0</v>
      </c>
      <c r="R350" s="7"/>
      <c r="S350" s="8">
        <v>3277</v>
      </c>
      <c r="T350" s="7"/>
      <c r="U350" s="8">
        <v>0</v>
      </c>
      <c r="V350" s="7"/>
      <c r="W350" s="33">
        <v>33700</v>
      </c>
      <c r="X350" s="7"/>
      <c r="Y350" s="30">
        <v>12.4</v>
      </c>
      <c r="Z350" s="7"/>
      <c r="AA350" s="30">
        <v>2.8</v>
      </c>
      <c r="AB350" s="7"/>
      <c r="AC350" s="30">
        <v>0</v>
      </c>
      <c r="AD350" s="7"/>
      <c r="AE350" s="30">
        <v>1.6</v>
      </c>
      <c r="AF350" s="7"/>
      <c r="AG350" s="30">
        <v>0</v>
      </c>
      <c r="AI350" s="32">
        <v>16.8</v>
      </c>
      <c r="AK350" s="7" t="str">
        <f t="shared" si="5"/>
        <v>No</v>
      </c>
    </row>
    <row r="351" spans="1:37">
      <c r="A351" s="7" t="s">
        <v>263</v>
      </c>
      <c r="B351" s="7" t="s">
        <v>264</v>
      </c>
      <c r="C351" s="7" t="s">
        <v>75</v>
      </c>
      <c r="D351" s="302">
        <v>6017</v>
      </c>
      <c r="E351" s="297">
        <v>60017</v>
      </c>
      <c r="F351" s="7" t="s">
        <v>162</v>
      </c>
      <c r="G351" s="7" t="s">
        <v>158</v>
      </c>
      <c r="H351" s="8">
        <v>861505</v>
      </c>
      <c r="I351" s="8">
        <v>77</v>
      </c>
      <c r="J351" s="7" t="s">
        <v>7</v>
      </c>
      <c r="K351" s="7" t="s">
        <v>159</v>
      </c>
      <c r="L351" s="8">
        <v>48</v>
      </c>
      <c r="M351" s="8">
        <v>217699</v>
      </c>
      <c r="N351" s="7"/>
      <c r="O351" s="8">
        <v>64466</v>
      </c>
      <c r="P351" s="7"/>
      <c r="Q351" s="8">
        <v>16667</v>
      </c>
      <c r="R351" s="7"/>
      <c r="S351" s="8">
        <v>45885</v>
      </c>
      <c r="T351" s="7"/>
      <c r="U351" s="8">
        <v>0</v>
      </c>
      <c r="V351" s="7"/>
      <c r="W351" s="33">
        <v>344717</v>
      </c>
      <c r="X351" s="7"/>
      <c r="Y351" s="30">
        <v>123.4</v>
      </c>
      <c r="Z351" s="7"/>
      <c r="AA351" s="30">
        <v>38.4</v>
      </c>
      <c r="AB351" s="7"/>
      <c r="AC351" s="30">
        <v>9.9</v>
      </c>
      <c r="AD351" s="7"/>
      <c r="AE351" s="30">
        <v>30.52</v>
      </c>
      <c r="AF351" s="7"/>
      <c r="AG351" s="30">
        <v>0</v>
      </c>
      <c r="AI351" s="32">
        <v>202.22</v>
      </c>
      <c r="AK351" s="7" t="str">
        <f t="shared" si="5"/>
        <v>No</v>
      </c>
    </row>
    <row r="352" spans="1:37">
      <c r="A352" s="7" t="s">
        <v>458</v>
      </c>
      <c r="B352" s="7" t="s">
        <v>184</v>
      </c>
      <c r="C352" s="7" t="s">
        <v>77</v>
      </c>
      <c r="D352" s="302">
        <v>3015</v>
      </c>
      <c r="E352" s="297">
        <v>30015</v>
      </c>
      <c r="F352" s="7" t="s">
        <v>165</v>
      </c>
      <c r="G352" s="7" t="s">
        <v>158</v>
      </c>
      <c r="H352" s="8">
        <v>381502</v>
      </c>
      <c r="I352" s="8">
        <v>77</v>
      </c>
      <c r="J352" s="7" t="s">
        <v>10</v>
      </c>
      <c r="K352" s="7" t="s">
        <v>159</v>
      </c>
      <c r="L352" s="8">
        <v>45</v>
      </c>
      <c r="M352" s="8">
        <v>62357</v>
      </c>
      <c r="N352" s="7"/>
      <c r="O352" s="8">
        <v>4598</v>
      </c>
      <c r="P352" s="7"/>
      <c r="Q352" s="8">
        <v>0</v>
      </c>
      <c r="R352" s="7"/>
      <c r="S352" s="8">
        <v>6578</v>
      </c>
      <c r="T352" s="7"/>
      <c r="U352" s="8">
        <v>0</v>
      </c>
      <c r="V352" s="7"/>
      <c r="W352" s="33">
        <v>73533</v>
      </c>
      <c r="X352" s="7"/>
      <c r="Y352" s="30">
        <v>24</v>
      </c>
      <c r="Z352" s="7"/>
      <c r="AA352" s="30">
        <v>2</v>
      </c>
      <c r="AB352" s="7"/>
      <c r="AC352" s="30">
        <v>0</v>
      </c>
      <c r="AD352" s="7"/>
      <c r="AE352" s="30">
        <v>4</v>
      </c>
      <c r="AF352" s="7"/>
      <c r="AG352" s="30">
        <v>0</v>
      </c>
      <c r="AI352" s="32">
        <v>30</v>
      </c>
      <c r="AK352" s="7" t="str">
        <f t="shared" si="5"/>
        <v>No</v>
      </c>
    </row>
    <row r="353" spans="1:37">
      <c r="A353" s="7" t="s">
        <v>458</v>
      </c>
      <c r="B353" s="7" t="s">
        <v>184</v>
      </c>
      <c r="C353" s="7" t="s">
        <v>77</v>
      </c>
      <c r="D353" s="302">
        <v>3015</v>
      </c>
      <c r="E353" s="297">
        <v>30015</v>
      </c>
      <c r="F353" s="7" t="s">
        <v>165</v>
      </c>
      <c r="G353" s="7" t="s">
        <v>158</v>
      </c>
      <c r="H353" s="8">
        <v>381502</v>
      </c>
      <c r="I353" s="8">
        <v>77</v>
      </c>
      <c r="J353" s="7" t="s">
        <v>7</v>
      </c>
      <c r="K353" s="7" t="s">
        <v>159</v>
      </c>
      <c r="L353" s="8">
        <v>32</v>
      </c>
      <c r="M353" s="8">
        <v>109569</v>
      </c>
      <c r="N353" s="7"/>
      <c r="O353" s="8">
        <v>31107</v>
      </c>
      <c r="P353" s="7"/>
      <c r="Q353" s="8">
        <v>1336</v>
      </c>
      <c r="R353" s="7"/>
      <c r="S353" s="8">
        <v>21405</v>
      </c>
      <c r="T353" s="7"/>
      <c r="U353" s="8">
        <v>0</v>
      </c>
      <c r="V353" s="7"/>
      <c r="W353" s="33">
        <v>163417</v>
      </c>
      <c r="X353" s="7"/>
      <c r="Y353" s="30">
        <v>52.73</v>
      </c>
      <c r="Z353" s="7"/>
      <c r="AA353" s="30">
        <v>18.57</v>
      </c>
      <c r="AB353" s="7"/>
      <c r="AC353" s="30">
        <v>1.07</v>
      </c>
      <c r="AD353" s="7"/>
      <c r="AE353" s="30">
        <v>11.03</v>
      </c>
      <c r="AF353" s="7"/>
      <c r="AG353" s="30">
        <v>0</v>
      </c>
      <c r="AI353" s="32">
        <v>83.4</v>
      </c>
      <c r="AK353" s="7" t="str">
        <f t="shared" si="5"/>
        <v>No</v>
      </c>
    </row>
    <row r="354" spans="1:37">
      <c r="A354" s="7" t="s">
        <v>263</v>
      </c>
      <c r="B354" s="7" t="s">
        <v>264</v>
      </c>
      <c r="C354" s="7" t="s">
        <v>75</v>
      </c>
      <c r="D354" s="302">
        <v>6017</v>
      </c>
      <c r="E354" s="297">
        <v>60017</v>
      </c>
      <c r="F354" s="7" t="s">
        <v>162</v>
      </c>
      <c r="G354" s="7" t="s">
        <v>158</v>
      </c>
      <c r="H354" s="8">
        <v>861505</v>
      </c>
      <c r="I354" s="8">
        <v>77</v>
      </c>
      <c r="J354" s="7" t="s">
        <v>10</v>
      </c>
      <c r="K354" s="7" t="s">
        <v>159</v>
      </c>
      <c r="L354" s="8">
        <v>17</v>
      </c>
      <c r="M354" s="8">
        <v>37630</v>
      </c>
      <c r="N354" s="7"/>
      <c r="O354" s="8">
        <v>16117</v>
      </c>
      <c r="P354" s="7"/>
      <c r="Q354" s="8">
        <v>1852</v>
      </c>
      <c r="R354" s="7"/>
      <c r="S354" s="8">
        <v>7948</v>
      </c>
      <c r="T354" s="7"/>
      <c r="U354" s="8">
        <v>0</v>
      </c>
      <c r="V354" s="7"/>
      <c r="W354" s="33">
        <v>63547</v>
      </c>
      <c r="X354" s="7"/>
      <c r="Y354" s="30">
        <v>18.600000000000001</v>
      </c>
      <c r="Z354" s="7"/>
      <c r="AA354" s="30">
        <v>9.6</v>
      </c>
      <c r="AB354" s="7"/>
      <c r="AC354" s="30">
        <v>1.1000000000000001</v>
      </c>
      <c r="AD354" s="7"/>
      <c r="AE354" s="30">
        <v>4.53</v>
      </c>
      <c r="AF354" s="7"/>
      <c r="AG354" s="30">
        <v>0</v>
      </c>
      <c r="AI354" s="32">
        <v>33.83</v>
      </c>
      <c r="AK354" s="7" t="str">
        <f t="shared" si="5"/>
        <v>No</v>
      </c>
    </row>
    <row r="355" spans="1:37">
      <c r="A355" s="7" t="s">
        <v>68</v>
      </c>
      <c r="B355" s="7" t="s">
        <v>172</v>
      </c>
      <c r="C355" s="7" t="s">
        <v>63</v>
      </c>
      <c r="D355" s="302">
        <v>2149</v>
      </c>
      <c r="E355" s="297">
        <v>20149</v>
      </c>
      <c r="F355" s="7" t="s">
        <v>173</v>
      </c>
      <c r="G355" s="7" t="s">
        <v>158</v>
      </c>
      <c r="H355" s="8">
        <v>18351295</v>
      </c>
      <c r="I355" s="8">
        <v>75</v>
      </c>
      <c r="J355" s="7" t="s">
        <v>18</v>
      </c>
      <c r="K355" s="7" t="s">
        <v>159</v>
      </c>
      <c r="L355" s="8">
        <v>75</v>
      </c>
      <c r="M355" s="8">
        <v>284716</v>
      </c>
      <c r="N355" s="7"/>
      <c r="O355" s="8">
        <v>49280</v>
      </c>
      <c r="P355" s="7"/>
      <c r="Q355" s="8">
        <v>0</v>
      </c>
      <c r="R355" s="7"/>
      <c r="S355" s="8">
        <v>5395</v>
      </c>
      <c r="T355" s="7"/>
      <c r="U355" s="8">
        <v>0</v>
      </c>
      <c r="V355" s="7"/>
      <c r="W355" s="33">
        <v>339391</v>
      </c>
      <c r="X355" s="7"/>
      <c r="Y355" s="30">
        <v>131</v>
      </c>
      <c r="Z355" s="7"/>
      <c r="AA355" s="30">
        <v>24</v>
      </c>
      <c r="AB355" s="7"/>
      <c r="AC355" s="30">
        <v>0</v>
      </c>
      <c r="AD355" s="7"/>
      <c r="AE355" s="30">
        <v>3</v>
      </c>
      <c r="AF355" s="7"/>
      <c r="AG355" s="30">
        <v>0</v>
      </c>
      <c r="AI355" s="32">
        <v>158</v>
      </c>
      <c r="AK355" s="7" t="str">
        <f t="shared" si="5"/>
        <v>No</v>
      </c>
    </row>
    <row r="356" spans="1:37">
      <c r="A356" s="7" t="s">
        <v>231</v>
      </c>
      <c r="B356" s="7" t="s">
        <v>232</v>
      </c>
      <c r="C356" s="7" t="s">
        <v>84</v>
      </c>
      <c r="D356" s="302">
        <v>6059</v>
      </c>
      <c r="E356" s="297">
        <v>60059</v>
      </c>
      <c r="F356" s="7" t="s">
        <v>165</v>
      </c>
      <c r="G356" s="7" t="s">
        <v>158</v>
      </c>
      <c r="H356" s="8">
        <v>171345</v>
      </c>
      <c r="I356" s="8">
        <v>75</v>
      </c>
      <c r="J356" s="7" t="s">
        <v>10</v>
      </c>
      <c r="K356" s="7" t="s">
        <v>159</v>
      </c>
      <c r="L356" s="8">
        <v>48</v>
      </c>
      <c r="M356" s="8">
        <v>54432</v>
      </c>
      <c r="N356" s="7"/>
      <c r="O356" s="8">
        <v>16601</v>
      </c>
      <c r="P356" s="7"/>
      <c r="Q356" s="8">
        <v>0</v>
      </c>
      <c r="R356" s="7"/>
      <c r="S356" s="8">
        <v>14986</v>
      </c>
      <c r="T356" s="7"/>
      <c r="U356" s="8">
        <v>0</v>
      </c>
      <c r="V356" s="7"/>
      <c r="W356" s="33">
        <v>86019</v>
      </c>
      <c r="X356" s="7"/>
      <c r="Y356" s="30">
        <v>27</v>
      </c>
      <c r="Z356" s="7"/>
      <c r="AA356" s="30">
        <v>8</v>
      </c>
      <c r="AB356" s="7"/>
      <c r="AC356" s="30">
        <v>0</v>
      </c>
      <c r="AD356" s="7"/>
      <c r="AE356" s="30">
        <v>8</v>
      </c>
      <c r="AF356" s="7"/>
      <c r="AG356" s="30">
        <v>0</v>
      </c>
      <c r="AI356" s="32">
        <v>43</v>
      </c>
      <c r="AK356" s="7" t="str">
        <f t="shared" si="5"/>
        <v>No</v>
      </c>
    </row>
    <row r="357" spans="1:37">
      <c r="A357" s="7" t="s">
        <v>231</v>
      </c>
      <c r="B357" s="7" t="s">
        <v>232</v>
      </c>
      <c r="C357" s="7" t="s">
        <v>84</v>
      </c>
      <c r="D357" s="302">
        <v>6059</v>
      </c>
      <c r="E357" s="297">
        <v>60059</v>
      </c>
      <c r="F357" s="7" t="s">
        <v>165</v>
      </c>
      <c r="G357" s="7" t="s">
        <v>158</v>
      </c>
      <c r="H357" s="8">
        <v>171345</v>
      </c>
      <c r="I357" s="8">
        <v>75</v>
      </c>
      <c r="J357" s="7" t="s">
        <v>7</v>
      </c>
      <c r="K357" s="7" t="s">
        <v>159</v>
      </c>
      <c r="L357" s="8">
        <v>27</v>
      </c>
      <c r="M357" s="8">
        <v>72662</v>
      </c>
      <c r="N357" s="7"/>
      <c r="O357" s="8">
        <v>19780</v>
      </c>
      <c r="P357" s="7"/>
      <c r="Q357" s="8">
        <v>0</v>
      </c>
      <c r="R357" s="7"/>
      <c r="S357" s="8">
        <v>17567</v>
      </c>
      <c r="T357" s="7"/>
      <c r="U357" s="8">
        <v>0</v>
      </c>
      <c r="V357" s="7"/>
      <c r="W357" s="33">
        <v>110009</v>
      </c>
      <c r="X357" s="7"/>
      <c r="Y357" s="30">
        <v>35</v>
      </c>
      <c r="Z357" s="7"/>
      <c r="AA357" s="30">
        <v>10</v>
      </c>
      <c r="AB357" s="7"/>
      <c r="AC357" s="30">
        <v>0</v>
      </c>
      <c r="AD357" s="7"/>
      <c r="AE357" s="30">
        <v>10</v>
      </c>
      <c r="AF357" s="7"/>
      <c r="AG357" s="30">
        <v>0</v>
      </c>
      <c r="AI357" s="32">
        <v>55</v>
      </c>
      <c r="AK357" s="7" t="str">
        <f t="shared" si="5"/>
        <v>No</v>
      </c>
    </row>
    <row r="358" spans="1:37">
      <c r="A358" s="7" t="s">
        <v>67</v>
      </c>
      <c r="B358" s="7" t="s">
        <v>731</v>
      </c>
      <c r="C358" s="7" t="s">
        <v>63</v>
      </c>
      <c r="D358" s="302">
        <v>2190</v>
      </c>
      <c r="E358" s="297">
        <v>20190</v>
      </c>
      <c r="F358" s="7" t="s">
        <v>173</v>
      </c>
      <c r="G358" s="7" t="s">
        <v>158</v>
      </c>
      <c r="H358" s="8">
        <v>18351295</v>
      </c>
      <c r="I358" s="8">
        <v>74</v>
      </c>
      <c r="J358" s="7" t="s">
        <v>7</v>
      </c>
      <c r="K358" s="7" t="s">
        <v>159</v>
      </c>
      <c r="L358" s="8">
        <v>62</v>
      </c>
      <c r="M358" s="8">
        <v>110215</v>
      </c>
      <c r="N358" s="7"/>
      <c r="O358" s="8">
        <v>20900</v>
      </c>
      <c r="P358" s="7"/>
      <c r="Q358" s="8">
        <v>7500</v>
      </c>
      <c r="R358" s="7"/>
      <c r="S358" s="8">
        <v>14250</v>
      </c>
      <c r="T358" s="7"/>
      <c r="U358" s="8">
        <v>0</v>
      </c>
      <c r="V358" s="7"/>
      <c r="W358" s="33">
        <v>152865</v>
      </c>
      <c r="X358" s="7"/>
      <c r="Y358" s="30">
        <v>56</v>
      </c>
      <c r="Z358" s="7"/>
      <c r="AA358" s="30">
        <v>11</v>
      </c>
      <c r="AB358" s="7"/>
      <c r="AC358" s="30">
        <v>4</v>
      </c>
      <c r="AD358" s="7"/>
      <c r="AE358" s="30">
        <v>7</v>
      </c>
      <c r="AF358" s="7"/>
      <c r="AG358" s="30">
        <v>0</v>
      </c>
      <c r="AI358" s="32">
        <v>78</v>
      </c>
      <c r="AK358" s="7" t="str">
        <f t="shared" si="5"/>
        <v>No</v>
      </c>
    </row>
    <row r="359" spans="1:37">
      <c r="A359" s="7" t="s">
        <v>281</v>
      </c>
      <c r="B359" s="7" t="s">
        <v>180</v>
      </c>
      <c r="C359" s="7" t="s">
        <v>88</v>
      </c>
      <c r="D359" s="302">
        <v>1066</v>
      </c>
      <c r="E359" s="297">
        <v>10066</v>
      </c>
      <c r="F359" s="7" t="s">
        <v>165</v>
      </c>
      <c r="G359" s="7" t="s">
        <v>158</v>
      </c>
      <c r="H359" s="8">
        <v>108740</v>
      </c>
      <c r="I359" s="8">
        <v>74</v>
      </c>
      <c r="J359" s="7" t="s">
        <v>7</v>
      </c>
      <c r="K359" s="7" t="s">
        <v>159</v>
      </c>
      <c r="L359" s="8">
        <v>40</v>
      </c>
      <c r="M359" s="8">
        <v>132056</v>
      </c>
      <c r="N359" s="7"/>
      <c r="O359" s="8">
        <v>25815</v>
      </c>
      <c r="P359" s="7"/>
      <c r="Q359" s="8">
        <v>577</v>
      </c>
      <c r="R359" s="7"/>
      <c r="S359" s="8">
        <v>24162</v>
      </c>
      <c r="T359" s="7"/>
      <c r="U359" s="8">
        <v>861</v>
      </c>
      <c r="V359" s="7"/>
      <c r="W359" s="33">
        <v>183471</v>
      </c>
      <c r="X359" s="7"/>
      <c r="Y359" s="30">
        <v>61</v>
      </c>
      <c r="Z359" s="7"/>
      <c r="AA359" s="30">
        <v>12</v>
      </c>
      <c r="AB359" s="7"/>
      <c r="AC359" s="30">
        <v>0.3</v>
      </c>
      <c r="AD359" s="7"/>
      <c r="AE359" s="30">
        <v>13.5</v>
      </c>
      <c r="AF359" s="7"/>
      <c r="AG359" s="30">
        <v>0.5</v>
      </c>
      <c r="AI359" s="32">
        <v>87.3</v>
      </c>
      <c r="AK359" s="7" t="str">
        <f t="shared" si="5"/>
        <v>No</v>
      </c>
    </row>
    <row r="360" spans="1:37">
      <c r="A360" s="7" t="s">
        <v>125</v>
      </c>
      <c r="B360" s="7" t="s">
        <v>286</v>
      </c>
      <c r="C360" s="7" t="s">
        <v>93</v>
      </c>
      <c r="D360" s="302">
        <v>5001</v>
      </c>
      <c r="E360" s="297">
        <v>50001</v>
      </c>
      <c r="F360" s="7" t="s">
        <v>162</v>
      </c>
      <c r="G360" s="7" t="s">
        <v>158</v>
      </c>
      <c r="H360" s="8">
        <v>216154</v>
      </c>
      <c r="I360" s="8">
        <v>74</v>
      </c>
      <c r="J360" s="7" t="s">
        <v>7</v>
      </c>
      <c r="K360" s="7" t="s">
        <v>159</v>
      </c>
      <c r="L360" s="8">
        <v>21</v>
      </c>
      <c r="M360" s="8">
        <v>75901</v>
      </c>
      <c r="N360" s="7"/>
      <c r="O360" s="8">
        <v>7969</v>
      </c>
      <c r="P360" s="7"/>
      <c r="Q360" s="8">
        <v>0</v>
      </c>
      <c r="R360" s="7"/>
      <c r="S360" s="8">
        <v>13580</v>
      </c>
      <c r="T360" s="7"/>
      <c r="U360" s="8">
        <v>0</v>
      </c>
      <c r="V360" s="7"/>
      <c r="W360" s="33">
        <v>97450</v>
      </c>
      <c r="X360" s="7"/>
      <c r="Y360" s="30">
        <v>38</v>
      </c>
      <c r="Z360" s="7"/>
      <c r="AA360" s="30">
        <v>4</v>
      </c>
      <c r="AB360" s="7"/>
      <c r="AC360" s="30">
        <v>0</v>
      </c>
      <c r="AD360" s="7"/>
      <c r="AE360" s="30">
        <v>7</v>
      </c>
      <c r="AF360" s="7"/>
      <c r="AG360" s="30">
        <v>0</v>
      </c>
      <c r="AI360" s="32">
        <v>49</v>
      </c>
      <c r="AK360" s="7" t="str">
        <f t="shared" si="5"/>
        <v>No</v>
      </c>
    </row>
    <row r="361" spans="1:37">
      <c r="A361" s="7" t="s">
        <v>281</v>
      </c>
      <c r="B361" s="7" t="s">
        <v>180</v>
      </c>
      <c r="C361" s="7" t="s">
        <v>88</v>
      </c>
      <c r="D361" s="302">
        <v>1066</v>
      </c>
      <c r="E361" s="297">
        <v>10066</v>
      </c>
      <c r="F361" s="7" t="s">
        <v>165</v>
      </c>
      <c r="G361" s="7" t="s">
        <v>158</v>
      </c>
      <c r="H361" s="8">
        <v>108740</v>
      </c>
      <c r="I361" s="8">
        <v>74</v>
      </c>
      <c r="J361" s="7" t="s">
        <v>18</v>
      </c>
      <c r="K361" s="7" t="s">
        <v>159</v>
      </c>
      <c r="L361" s="8">
        <v>14</v>
      </c>
      <c r="M361" s="8">
        <v>24742</v>
      </c>
      <c r="N361" s="7"/>
      <c r="O361" s="8">
        <v>12458</v>
      </c>
      <c r="P361" s="7"/>
      <c r="Q361" s="8">
        <v>109</v>
      </c>
      <c r="R361" s="7"/>
      <c r="S361" s="8">
        <v>4527</v>
      </c>
      <c r="T361" s="7"/>
      <c r="U361" s="8">
        <v>161</v>
      </c>
      <c r="V361" s="7"/>
      <c r="W361" s="33">
        <v>41997</v>
      </c>
      <c r="X361" s="7"/>
      <c r="Y361" s="30">
        <v>11</v>
      </c>
      <c r="Z361" s="7"/>
      <c r="AA361" s="30">
        <v>6</v>
      </c>
      <c r="AB361" s="7"/>
      <c r="AC361" s="30">
        <v>7.0000000000000007E-2</v>
      </c>
      <c r="AD361" s="7"/>
      <c r="AE361" s="30">
        <v>2.5</v>
      </c>
      <c r="AF361" s="7"/>
      <c r="AG361" s="30">
        <v>0.1</v>
      </c>
      <c r="AI361" s="32">
        <v>19.670000000000002</v>
      </c>
      <c r="AK361" s="7" t="str">
        <f t="shared" si="5"/>
        <v>No</v>
      </c>
    </row>
    <row r="362" spans="1:37">
      <c r="A362" s="7" t="s">
        <v>67</v>
      </c>
      <c r="B362" s="7" t="s">
        <v>731</v>
      </c>
      <c r="C362" s="7" t="s">
        <v>63</v>
      </c>
      <c r="D362" s="302">
        <v>2190</v>
      </c>
      <c r="E362" s="297">
        <v>20190</v>
      </c>
      <c r="F362" s="7" t="s">
        <v>173</v>
      </c>
      <c r="G362" s="7" t="s">
        <v>158</v>
      </c>
      <c r="H362" s="8">
        <v>18351295</v>
      </c>
      <c r="I362" s="8">
        <v>74</v>
      </c>
      <c r="J362" s="7" t="s">
        <v>19</v>
      </c>
      <c r="K362" s="7" t="s">
        <v>159</v>
      </c>
      <c r="L362" s="8">
        <v>12</v>
      </c>
      <c r="M362" s="8">
        <v>118000</v>
      </c>
      <c r="N362" s="7"/>
      <c r="O362" s="8">
        <v>22900</v>
      </c>
      <c r="P362" s="7"/>
      <c r="Q362" s="8">
        <v>6000</v>
      </c>
      <c r="R362" s="7"/>
      <c r="S362" s="8">
        <v>58000</v>
      </c>
      <c r="T362" s="7"/>
      <c r="U362" s="8">
        <v>0</v>
      </c>
      <c r="V362" s="7"/>
      <c r="W362" s="33">
        <v>204900</v>
      </c>
      <c r="X362" s="7"/>
      <c r="Y362" s="30">
        <v>58</v>
      </c>
      <c r="Z362" s="7"/>
      <c r="AA362" s="30">
        <v>12</v>
      </c>
      <c r="AB362" s="7"/>
      <c r="AC362" s="30">
        <v>3</v>
      </c>
      <c r="AD362" s="7"/>
      <c r="AE362" s="30">
        <v>36</v>
      </c>
      <c r="AF362" s="7"/>
      <c r="AG362" s="30">
        <v>0</v>
      </c>
      <c r="AI362" s="32">
        <v>109</v>
      </c>
      <c r="AK362" s="7" t="str">
        <f t="shared" si="5"/>
        <v>No</v>
      </c>
    </row>
    <row r="363" spans="1:37">
      <c r="A363" s="7" t="s">
        <v>501</v>
      </c>
      <c r="B363" s="7" t="s">
        <v>502</v>
      </c>
      <c r="C363" s="7" t="s">
        <v>56</v>
      </c>
      <c r="D363" s="302">
        <v>4014</v>
      </c>
      <c r="E363" s="297">
        <v>40014</v>
      </c>
      <c r="F363" s="7" t="s">
        <v>165</v>
      </c>
      <c r="G363" s="7" t="s">
        <v>158</v>
      </c>
      <c r="H363" s="8">
        <v>208948</v>
      </c>
      <c r="I363" s="8">
        <v>72</v>
      </c>
      <c r="J363" s="7" t="s">
        <v>7</v>
      </c>
      <c r="K363" s="7" t="s">
        <v>159</v>
      </c>
      <c r="L363" s="8">
        <v>17</v>
      </c>
      <c r="M363" s="8">
        <v>93612</v>
      </c>
      <c r="N363" s="7"/>
      <c r="O363" s="8">
        <v>16055</v>
      </c>
      <c r="P363" s="7"/>
      <c r="Q363" s="8">
        <v>3393</v>
      </c>
      <c r="R363" s="7"/>
      <c r="S363" s="8">
        <v>30849</v>
      </c>
      <c r="T363" s="7"/>
      <c r="U363" s="8">
        <v>0</v>
      </c>
      <c r="V363" s="7"/>
      <c r="W363" s="33">
        <v>143909</v>
      </c>
      <c r="X363" s="7"/>
      <c r="Y363" s="30">
        <v>48</v>
      </c>
      <c r="Z363" s="7"/>
      <c r="AA363" s="30">
        <v>7.7</v>
      </c>
      <c r="AB363" s="7"/>
      <c r="AC363" s="30">
        <v>1.46</v>
      </c>
      <c r="AD363" s="7"/>
      <c r="AE363" s="30">
        <v>15.35</v>
      </c>
      <c r="AF363" s="7"/>
      <c r="AG363" s="30">
        <v>0</v>
      </c>
      <c r="AI363" s="32">
        <v>72.510000000000005</v>
      </c>
      <c r="AK363" s="7" t="str">
        <f t="shared" si="5"/>
        <v>No</v>
      </c>
    </row>
    <row r="364" spans="1:37">
      <c r="A364" s="7" t="s">
        <v>501</v>
      </c>
      <c r="B364" s="7" t="s">
        <v>502</v>
      </c>
      <c r="C364" s="7" t="s">
        <v>56</v>
      </c>
      <c r="D364" s="302">
        <v>4014</v>
      </c>
      <c r="E364" s="297">
        <v>40014</v>
      </c>
      <c r="F364" s="7" t="s">
        <v>165</v>
      </c>
      <c r="G364" s="7" t="s">
        <v>158</v>
      </c>
      <c r="H364" s="8">
        <v>208948</v>
      </c>
      <c r="I364" s="8">
        <v>72</v>
      </c>
      <c r="J364" s="7" t="s">
        <v>10</v>
      </c>
      <c r="K364" s="7" t="s">
        <v>159</v>
      </c>
      <c r="L364" s="8">
        <v>15</v>
      </c>
      <c r="M364" s="8">
        <v>27466</v>
      </c>
      <c r="N364" s="7"/>
      <c r="O364" s="8">
        <v>4796</v>
      </c>
      <c r="P364" s="7"/>
      <c r="Q364" s="8">
        <v>1014</v>
      </c>
      <c r="R364" s="7"/>
      <c r="S364" s="8">
        <v>7607</v>
      </c>
      <c r="T364" s="7"/>
      <c r="U364" s="8">
        <v>0</v>
      </c>
      <c r="V364" s="7"/>
      <c r="W364" s="33">
        <v>40883</v>
      </c>
      <c r="X364" s="7"/>
      <c r="Y364" s="30">
        <v>15</v>
      </c>
      <c r="Z364" s="7"/>
      <c r="AA364" s="30">
        <v>2.0699999999999998</v>
      </c>
      <c r="AB364" s="7"/>
      <c r="AC364" s="30">
        <v>0.46</v>
      </c>
      <c r="AD364" s="7"/>
      <c r="AE364" s="30">
        <v>3</v>
      </c>
      <c r="AF364" s="7"/>
      <c r="AG364" s="30">
        <v>0</v>
      </c>
      <c r="AI364" s="32">
        <v>20.53</v>
      </c>
      <c r="AK364" s="7" t="str">
        <f t="shared" si="5"/>
        <v>No</v>
      </c>
    </row>
    <row r="365" spans="1:37">
      <c r="A365" s="7" t="s">
        <v>751</v>
      </c>
      <c r="B365" s="7" t="s">
        <v>752</v>
      </c>
      <c r="C365" s="7" t="s">
        <v>84</v>
      </c>
      <c r="D365" s="302">
        <v>6114</v>
      </c>
      <c r="E365" s="297">
        <v>60114</v>
      </c>
      <c r="F365" s="7" t="s">
        <v>162</v>
      </c>
      <c r="G365" s="7" t="s">
        <v>158</v>
      </c>
      <c r="H365" s="8">
        <v>5121892</v>
      </c>
      <c r="I365" s="8">
        <v>71</v>
      </c>
      <c r="J365" s="7" t="s">
        <v>10</v>
      </c>
      <c r="K365" s="7" t="s">
        <v>159</v>
      </c>
      <c r="L365" s="8">
        <v>66</v>
      </c>
      <c r="M365" s="8">
        <v>138305</v>
      </c>
      <c r="N365" s="7"/>
      <c r="O365" s="8">
        <v>6889</v>
      </c>
      <c r="P365" s="7"/>
      <c r="Q365" s="8">
        <v>0</v>
      </c>
      <c r="R365" s="7"/>
      <c r="S365" s="8">
        <v>19457</v>
      </c>
      <c r="T365" s="7"/>
      <c r="U365" s="8">
        <v>0</v>
      </c>
      <c r="V365" s="7"/>
      <c r="W365" s="33">
        <v>164651</v>
      </c>
      <c r="X365" s="7"/>
      <c r="Y365" s="30">
        <v>63</v>
      </c>
      <c r="Z365" s="7"/>
      <c r="AA365" s="30">
        <v>3.6</v>
      </c>
      <c r="AB365" s="7"/>
      <c r="AC365" s="30">
        <v>0</v>
      </c>
      <c r="AD365" s="7"/>
      <c r="AE365" s="30">
        <v>9.9</v>
      </c>
      <c r="AF365" s="7"/>
      <c r="AG365" s="30">
        <v>0</v>
      </c>
      <c r="AI365" s="32">
        <v>76.5</v>
      </c>
      <c r="AK365" s="7" t="str">
        <f t="shared" si="5"/>
        <v>No</v>
      </c>
    </row>
    <row r="366" spans="1:37">
      <c r="A366" s="7" t="s">
        <v>255</v>
      </c>
      <c r="B366" s="7" t="s">
        <v>256</v>
      </c>
      <c r="C366" s="7" t="s">
        <v>6</v>
      </c>
      <c r="D366" s="302">
        <v>6033</v>
      </c>
      <c r="E366" s="297">
        <v>60033</v>
      </c>
      <c r="F366" s="7" t="s">
        <v>165</v>
      </c>
      <c r="G366" s="7" t="s">
        <v>158</v>
      </c>
      <c r="H366" s="8">
        <v>431388</v>
      </c>
      <c r="I366" s="8">
        <v>71</v>
      </c>
      <c r="J366" s="7" t="s">
        <v>7</v>
      </c>
      <c r="K366" s="7" t="s">
        <v>159</v>
      </c>
      <c r="L366" s="8">
        <v>49</v>
      </c>
      <c r="M366" s="8">
        <v>232041</v>
      </c>
      <c r="N366" s="7"/>
      <c r="O366" s="8">
        <v>57325</v>
      </c>
      <c r="P366" s="7"/>
      <c r="Q366" s="8">
        <v>0</v>
      </c>
      <c r="R366" s="7"/>
      <c r="S366" s="8">
        <v>26613</v>
      </c>
      <c r="T366" s="7"/>
      <c r="U366" s="8">
        <v>1872</v>
      </c>
      <c r="V366" s="7"/>
      <c r="W366" s="33">
        <v>317851</v>
      </c>
      <c r="X366" s="7"/>
      <c r="Y366" s="30">
        <v>110</v>
      </c>
      <c r="Z366" s="7"/>
      <c r="AA366" s="30">
        <v>28.7</v>
      </c>
      <c r="AB366" s="7"/>
      <c r="AC366" s="30">
        <v>0</v>
      </c>
      <c r="AD366" s="7"/>
      <c r="AE366" s="30">
        <v>15</v>
      </c>
      <c r="AF366" s="7"/>
      <c r="AG366" s="30">
        <v>1</v>
      </c>
      <c r="AI366" s="32">
        <v>154.69999999999999</v>
      </c>
      <c r="AK366" s="7" t="str">
        <f t="shared" si="5"/>
        <v>No</v>
      </c>
    </row>
    <row r="367" spans="1:37">
      <c r="A367" s="7" t="s">
        <v>255</v>
      </c>
      <c r="B367" s="7" t="s">
        <v>256</v>
      </c>
      <c r="C367" s="7" t="s">
        <v>6</v>
      </c>
      <c r="D367" s="302">
        <v>6033</v>
      </c>
      <c r="E367" s="297">
        <v>60033</v>
      </c>
      <c r="F367" s="7" t="s">
        <v>165</v>
      </c>
      <c r="G367" s="7" t="s">
        <v>158</v>
      </c>
      <c r="H367" s="8">
        <v>431388</v>
      </c>
      <c r="I367" s="8">
        <v>71</v>
      </c>
      <c r="J367" s="7" t="s">
        <v>10</v>
      </c>
      <c r="K367" s="7" t="s">
        <v>159</v>
      </c>
      <c r="L367" s="8">
        <v>19</v>
      </c>
      <c r="M367" s="8">
        <v>50676</v>
      </c>
      <c r="N367" s="7"/>
      <c r="O367" s="8">
        <v>2210</v>
      </c>
      <c r="P367" s="7"/>
      <c r="Q367" s="8">
        <v>0</v>
      </c>
      <c r="R367" s="7"/>
      <c r="S367" s="8">
        <v>5687</v>
      </c>
      <c r="T367" s="7"/>
      <c r="U367" s="8">
        <v>0</v>
      </c>
      <c r="V367" s="7"/>
      <c r="W367" s="33">
        <v>58573</v>
      </c>
      <c r="X367" s="7"/>
      <c r="Y367" s="30">
        <v>27</v>
      </c>
      <c r="Z367" s="7"/>
      <c r="AA367" s="30">
        <v>1.3</v>
      </c>
      <c r="AB367" s="7"/>
      <c r="AC367" s="30">
        <v>0</v>
      </c>
      <c r="AD367" s="7"/>
      <c r="AE367" s="30">
        <v>3</v>
      </c>
      <c r="AF367" s="7"/>
      <c r="AG367" s="30">
        <v>0</v>
      </c>
      <c r="AI367" s="32">
        <v>31.3</v>
      </c>
      <c r="AK367" s="7" t="str">
        <f t="shared" si="5"/>
        <v>No</v>
      </c>
    </row>
    <row r="368" spans="1:37">
      <c r="A368" s="7" t="s">
        <v>665</v>
      </c>
      <c r="B368" s="7" t="s">
        <v>666</v>
      </c>
      <c r="C368" s="7" t="s">
        <v>70</v>
      </c>
      <c r="D368" s="302">
        <v>2084</v>
      </c>
      <c r="E368" s="297">
        <v>20084</v>
      </c>
      <c r="F368" s="7" t="s">
        <v>162</v>
      </c>
      <c r="G368" s="7" t="s">
        <v>158</v>
      </c>
      <c r="H368" s="8">
        <v>18351295</v>
      </c>
      <c r="I368" s="8">
        <v>71</v>
      </c>
      <c r="J368" s="7" t="s">
        <v>10</v>
      </c>
      <c r="K368" s="7" t="s">
        <v>159</v>
      </c>
      <c r="L368" s="8">
        <v>19</v>
      </c>
      <c r="M368" s="8">
        <v>37902</v>
      </c>
      <c r="N368" s="7"/>
      <c r="O368" s="8">
        <v>0</v>
      </c>
      <c r="P368" s="7"/>
      <c r="Q368" s="8">
        <v>0</v>
      </c>
      <c r="R368" s="7"/>
      <c r="S368" s="8">
        <v>3484</v>
      </c>
      <c r="T368" s="7"/>
      <c r="U368" s="8">
        <v>0</v>
      </c>
      <c r="V368" s="7"/>
      <c r="W368" s="33">
        <v>41386</v>
      </c>
      <c r="X368" s="7"/>
      <c r="Y368" s="30">
        <v>27</v>
      </c>
      <c r="Z368" s="7"/>
      <c r="AA368" s="30">
        <v>0</v>
      </c>
      <c r="AB368" s="7"/>
      <c r="AC368" s="30">
        <v>0</v>
      </c>
      <c r="AD368" s="7"/>
      <c r="AE368" s="30">
        <v>2</v>
      </c>
      <c r="AF368" s="7"/>
      <c r="AG368" s="30">
        <v>0</v>
      </c>
      <c r="AI368" s="32">
        <v>29</v>
      </c>
      <c r="AK368" s="7" t="str">
        <f t="shared" si="5"/>
        <v>No</v>
      </c>
    </row>
    <row r="369" spans="1:37">
      <c r="A369" s="7" t="s">
        <v>751</v>
      </c>
      <c r="B369" s="7" t="s">
        <v>752</v>
      </c>
      <c r="C369" s="7" t="s">
        <v>84</v>
      </c>
      <c r="D369" s="302">
        <v>6114</v>
      </c>
      <c r="E369" s="297">
        <v>60114</v>
      </c>
      <c r="F369" s="7" t="s">
        <v>162</v>
      </c>
      <c r="G369" s="7" t="s">
        <v>158</v>
      </c>
      <c r="H369" s="8">
        <v>5121892</v>
      </c>
      <c r="I369" s="8">
        <v>71</v>
      </c>
      <c r="J369" s="7" t="s">
        <v>18</v>
      </c>
      <c r="K369" s="7" t="s">
        <v>159</v>
      </c>
      <c r="L369" s="8">
        <v>4</v>
      </c>
      <c r="M369" s="8">
        <v>10757</v>
      </c>
      <c r="N369" s="7"/>
      <c r="O369" s="8">
        <v>536</v>
      </c>
      <c r="P369" s="7"/>
      <c r="Q369" s="8">
        <v>0</v>
      </c>
      <c r="R369" s="7"/>
      <c r="S369" s="8">
        <v>1513</v>
      </c>
      <c r="T369" s="7"/>
      <c r="U369" s="8">
        <v>0</v>
      </c>
      <c r="V369" s="7"/>
      <c r="W369" s="33">
        <v>12806</v>
      </c>
      <c r="X369" s="7"/>
      <c r="Y369" s="30">
        <v>4.9000000000000004</v>
      </c>
      <c r="Z369" s="7"/>
      <c r="AA369" s="30">
        <v>0.28000000000000003</v>
      </c>
      <c r="AB369" s="7"/>
      <c r="AC369" s="30">
        <v>0</v>
      </c>
      <c r="AD369" s="7"/>
      <c r="AE369" s="30">
        <v>0.77</v>
      </c>
      <c r="AF369" s="7"/>
      <c r="AG369" s="30">
        <v>0</v>
      </c>
      <c r="AI369" s="32">
        <v>5.95</v>
      </c>
      <c r="AK369" s="7" t="str">
        <f t="shared" si="5"/>
        <v>No</v>
      </c>
    </row>
    <row r="370" spans="1:37">
      <c r="A370" s="7" t="s">
        <v>255</v>
      </c>
      <c r="B370" s="7" t="s">
        <v>256</v>
      </c>
      <c r="C370" s="7" t="s">
        <v>6</v>
      </c>
      <c r="D370" s="302">
        <v>6033</v>
      </c>
      <c r="E370" s="297">
        <v>60033</v>
      </c>
      <c r="F370" s="7" t="s">
        <v>165</v>
      </c>
      <c r="G370" s="7" t="s">
        <v>158</v>
      </c>
      <c r="H370" s="8">
        <v>431388</v>
      </c>
      <c r="I370" s="8">
        <v>71</v>
      </c>
      <c r="J370" s="7" t="s">
        <v>12</v>
      </c>
      <c r="K370" s="7" t="s">
        <v>159</v>
      </c>
      <c r="L370" s="8">
        <v>3</v>
      </c>
      <c r="M370" s="8">
        <v>17859</v>
      </c>
      <c r="N370" s="7"/>
      <c r="O370" s="8">
        <v>4002</v>
      </c>
      <c r="P370" s="7"/>
      <c r="Q370" s="8">
        <v>0</v>
      </c>
      <c r="R370" s="7"/>
      <c r="S370" s="8">
        <v>1035</v>
      </c>
      <c r="T370" s="7"/>
      <c r="U370" s="8">
        <v>0</v>
      </c>
      <c r="V370" s="7"/>
      <c r="W370" s="33">
        <v>22896</v>
      </c>
      <c r="X370" s="7"/>
      <c r="Y370" s="30">
        <v>8.6999999999999993</v>
      </c>
      <c r="Z370" s="7"/>
      <c r="AA370" s="30">
        <v>2.6</v>
      </c>
      <c r="AB370" s="7"/>
      <c r="AC370" s="30">
        <v>0</v>
      </c>
      <c r="AD370" s="7"/>
      <c r="AE370" s="30">
        <v>0.7</v>
      </c>
      <c r="AF370" s="7"/>
      <c r="AG370" s="30">
        <v>0</v>
      </c>
      <c r="AI370" s="32">
        <v>12</v>
      </c>
      <c r="AK370" s="7" t="str">
        <f t="shared" si="5"/>
        <v>No</v>
      </c>
    </row>
    <row r="371" spans="1:37">
      <c r="A371" s="7" t="s">
        <v>751</v>
      </c>
      <c r="B371" s="7" t="s">
        <v>752</v>
      </c>
      <c r="C371" s="7" t="s">
        <v>84</v>
      </c>
      <c r="D371" s="302">
        <v>6114</v>
      </c>
      <c r="E371" s="297">
        <v>60114</v>
      </c>
      <c r="F371" s="7" t="s">
        <v>162</v>
      </c>
      <c r="G371" s="7" t="s">
        <v>158</v>
      </c>
      <c r="H371" s="8">
        <v>5121892</v>
      </c>
      <c r="I371" s="8">
        <v>71</v>
      </c>
      <c r="J371" s="7" t="s">
        <v>7</v>
      </c>
      <c r="K371" s="7" t="s">
        <v>159</v>
      </c>
      <c r="L371" s="8">
        <v>1</v>
      </c>
      <c r="M371" s="8">
        <v>4610</v>
      </c>
      <c r="N371" s="7"/>
      <c r="O371" s="8">
        <v>230</v>
      </c>
      <c r="P371" s="7"/>
      <c r="Q371" s="8">
        <v>0</v>
      </c>
      <c r="R371" s="7"/>
      <c r="S371" s="8">
        <v>649</v>
      </c>
      <c r="T371" s="7"/>
      <c r="U371" s="8">
        <v>0</v>
      </c>
      <c r="V371" s="7"/>
      <c r="W371" s="33">
        <v>5489</v>
      </c>
      <c r="X371" s="7"/>
      <c r="Y371" s="30">
        <v>2.1</v>
      </c>
      <c r="Z371" s="7"/>
      <c r="AA371" s="30">
        <v>0.12</v>
      </c>
      <c r="AB371" s="7"/>
      <c r="AC371" s="30">
        <v>0</v>
      </c>
      <c r="AD371" s="7"/>
      <c r="AE371" s="30">
        <v>0.33</v>
      </c>
      <c r="AF371" s="7"/>
      <c r="AG371" s="30">
        <v>0</v>
      </c>
      <c r="AI371" s="32">
        <v>2.5499999999999998</v>
      </c>
      <c r="AK371" s="7" t="str">
        <f t="shared" si="5"/>
        <v>No</v>
      </c>
    </row>
    <row r="372" spans="1:37">
      <c r="A372" s="7" t="s">
        <v>523</v>
      </c>
      <c r="B372" s="7" t="s">
        <v>524</v>
      </c>
      <c r="C372" s="7" t="s">
        <v>42</v>
      </c>
      <c r="D372" s="302">
        <v>5104</v>
      </c>
      <c r="E372" s="297">
        <v>50104</v>
      </c>
      <c r="F372" s="7" t="s">
        <v>165</v>
      </c>
      <c r="G372" s="7" t="s">
        <v>158</v>
      </c>
      <c r="H372" s="8">
        <v>8608208</v>
      </c>
      <c r="I372" s="8">
        <v>70</v>
      </c>
      <c r="J372" s="7" t="s">
        <v>41</v>
      </c>
      <c r="K372" s="7" t="s">
        <v>159</v>
      </c>
      <c r="L372" s="8">
        <v>70</v>
      </c>
      <c r="M372" s="8">
        <v>256060</v>
      </c>
      <c r="N372" s="7"/>
      <c r="O372" s="8">
        <v>223744</v>
      </c>
      <c r="P372" s="7"/>
      <c r="Q372" s="8">
        <v>105982</v>
      </c>
      <c r="R372" s="7"/>
      <c r="S372" s="8">
        <v>52363</v>
      </c>
      <c r="T372" s="7"/>
      <c r="U372" s="8">
        <v>45116</v>
      </c>
      <c r="V372" s="7"/>
      <c r="W372" s="33">
        <v>683265</v>
      </c>
      <c r="X372" s="7"/>
      <c r="Y372" s="30">
        <v>117</v>
      </c>
      <c r="Z372" s="7"/>
      <c r="AA372" s="30">
        <v>112</v>
      </c>
      <c r="AB372" s="7"/>
      <c r="AC372" s="30">
        <v>52</v>
      </c>
      <c r="AD372" s="7"/>
      <c r="AE372" s="30">
        <v>29</v>
      </c>
      <c r="AF372" s="7"/>
      <c r="AG372" s="30">
        <v>21</v>
      </c>
      <c r="AI372" s="32">
        <v>331</v>
      </c>
      <c r="AK372" s="7" t="str">
        <f t="shared" si="5"/>
        <v>No</v>
      </c>
    </row>
    <row r="373" spans="1:37">
      <c r="A373" s="7" t="s">
        <v>1100</v>
      </c>
      <c r="B373" s="7" t="s">
        <v>1101</v>
      </c>
      <c r="C373" s="7" t="s">
        <v>63</v>
      </c>
      <c r="D373" s="302">
        <v>2209</v>
      </c>
      <c r="E373" s="297">
        <v>20209</v>
      </c>
      <c r="F373" s="7" t="s">
        <v>162</v>
      </c>
      <c r="G373" s="7" t="s">
        <v>158</v>
      </c>
      <c r="H373" s="8">
        <v>18351295</v>
      </c>
      <c r="I373" s="8">
        <v>70</v>
      </c>
      <c r="J373" s="7" t="s">
        <v>10</v>
      </c>
      <c r="K373" s="7" t="s">
        <v>159</v>
      </c>
      <c r="L373" s="8">
        <v>60</v>
      </c>
      <c r="M373" s="8">
        <v>129824</v>
      </c>
      <c r="N373" s="7"/>
      <c r="O373" s="8">
        <v>0</v>
      </c>
      <c r="P373" s="7"/>
      <c r="Q373" s="8">
        <v>0</v>
      </c>
      <c r="R373" s="7"/>
      <c r="S373" s="8">
        <v>12779</v>
      </c>
      <c r="T373" s="7"/>
      <c r="U373" s="8">
        <v>0</v>
      </c>
      <c r="V373" s="7"/>
      <c r="W373" s="33">
        <v>142603</v>
      </c>
      <c r="X373" s="7"/>
      <c r="Y373" s="30">
        <v>68</v>
      </c>
      <c r="Z373" s="7"/>
      <c r="AA373" s="30">
        <v>0</v>
      </c>
      <c r="AB373" s="7"/>
      <c r="AC373" s="30">
        <v>0</v>
      </c>
      <c r="AD373" s="7"/>
      <c r="AE373" s="30">
        <v>6.9</v>
      </c>
      <c r="AF373" s="7"/>
      <c r="AG373" s="30">
        <v>0</v>
      </c>
      <c r="AI373" s="32">
        <v>74.900000000000006</v>
      </c>
      <c r="AK373" s="7" t="str">
        <f t="shared" si="5"/>
        <v>No</v>
      </c>
    </row>
    <row r="374" spans="1:37">
      <c r="A374" s="7" t="s">
        <v>1100</v>
      </c>
      <c r="B374" s="7" t="s">
        <v>1101</v>
      </c>
      <c r="C374" s="7" t="s">
        <v>63</v>
      </c>
      <c r="D374" s="302">
        <v>2209</v>
      </c>
      <c r="E374" s="297">
        <v>20209</v>
      </c>
      <c r="F374" s="7" t="s">
        <v>162</v>
      </c>
      <c r="G374" s="7" t="s">
        <v>158</v>
      </c>
      <c r="H374" s="8">
        <v>18351295</v>
      </c>
      <c r="I374" s="8">
        <v>70</v>
      </c>
      <c r="J374" s="7" t="s">
        <v>7</v>
      </c>
      <c r="K374" s="7" t="s">
        <v>159</v>
      </c>
      <c r="L374" s="8">
        <v>10</v>
      </c>
      <c r="M374" s="8">
        <v>44001</v>
      </c>
      <c r="N374" s="7"/>
      <c r="O374" s="8">
        <v>0</v>
      </c>
      <c r="P374" s="7"/>
      <c r="Q374" s="8">
        <v>0</v>
      </c>
      <c r="R374" s="7"/>
      <c r="S374" s="8">
        <v>2163</v>
      </c>
      <c r="T374" s="7"/>
      <c r="U374" s="8">
        <v>0</v>
      </c>
      <c r="V374" s="7"/>
      <c r="W374" s="33">
        <v>46164</v>
      </c>
      <c r="X374" s="7"/>
      <c r="Y374" s="30">
        <v>22</v>
      </c>
      <c r="Z374" s="7"/>
      <c r="AA374" s="30">
        <v>0</v>
      </c>
      <c r="AB374" s="7"/>
      <c r="AC374" s="30">
        <v>0</v>
      </c>
      <c r="AD374" s="7"/>
      <c r="AE374" s="30">
        <v>1.1000000000000001</v>
      </c>
      <c r="AF374" s="7"/>
      <c r="AG374" s="30">
        <v>0</v>
      </c>
      <c r="AI374" s="32">
        <v>23.1</v>
      </c>
      <c r="AK374" s="7" t="str">
        <f t="shared" si="5"/>
        <v>No</v>
      </c>
    </row>
    <row r="375" spans="1:37">
      <c r="A375" s="7" t="s">
        <v>756</v>
      </c>
      <c r="B375" s="7" t="s">
        <v>757</v>
      </c>
      <c r="C375" s="7" t="s">
        <v>63</v>
      </c>
      <c r="D375" s="302">
        <v>2192</v>
      </c>
      <c r="E375" s="297">
        <v>20192</v>
      </c>
      <c r="F375" s="7" t="s">
        <v>162</v>
      </c>
      <c r="G375" s="7" t="s">
        <v>158</v>
      </c>
      <c r="H375" s="8">
        <v>18351295</v>
      </c>
      <c r="I375" s="8">
        <v>69</v>
      </c>
      <c r="J375" s="7" t="s">
        <v>10</v>
      </c>
      <c r="K375" s="7" t="s">
        <v>159</v>
      </c>
      <c r="L375" s="8">
        <v>65</v>
      </c>
      <c r="M375" s="8">
        <v>117328</v>
      </c>
      <c r="N375" s="7"/>
      <c r="O375" s="8">
        <v>2158</v>
      </c>
      <c r="P375" s="7"/>
      <c r="Q375" s="8">
        <v>0</v>
      </c>
      <c r="R375" s="7"/>
      <c r="S375" s="8">
        <v>10263</v>
      </c>
      <c r="T375" s="7"/>
      <c r="U375" s="8">
        <v>0</v>
      </c>
      <c r="V375" s="7"/>
      <c r="W375" s="33">
        <v>129749</v>
      </c>
      <c r="X375" s="7"/>
      <c r="Y375" s="30">
        <v>79</v>
      </c>
      <c r="Z375" s="7"/>
      <c r="AA375" s="30">
        <v>0.9</v>
      </c>
      <c r="AB375" s="7"/>
      <c r="AC375" s="30">
        <v>0</v>
      </c>
      <c r="AD375" s="7"/>
      <c r="AE375" s="30">
        <v>6.5</v>
      </c>
      <c r="AF375" s="7"/>
      <c r="AG375" s="30">
        <v>0</v>
      </c>
      <c r="AI375" s="32">
        <v>86.4</v>
      </c>
      <c r="AK375" s="7" t="str">
        <f t="shared" si="5"/>
        <v>No</v>
      </c>
    </row>
    <row r="376" spans="1:37">
      <c r="A376" s="7" t="s">
        <v>428</v>
      </c>
      <c r="B376" s="7" t="s">
        <v>429</v>
      </c>
      <c r="C376" s="7" t="s">
        <v>52</v>
      </c>
      <c r="D376" s="302">
        <v>5035</v>
      </c>
      <c r="E376" s="297">
        <v>50035</v>
      </c>
      <c r="F376" s="7" t="s">
        <v>162</v>
      </c>
      <c r="G376" s="7" t="s">
        <v>158</v>
      </c>
      <c r="H376" s="8">
        <v>209703</v>
      </c>
      <c r="I376" s="8">
        <v>69</v>
      </c>
      <c r="J376" s="7" t="s">
        <v>7</v>
      </c>
      <c r="K376" s="7" t="s">
        <v>159</v>
      </c>
      <c r="L376" s="8">
        <v>28</v>
      </c>
      <c r="M376" s="8">
        <v>104427</v>
      </c>
      <c r="N376" s="7"/>
      <c r="O376" s="8">
        <v>27603</v>
      </c>
      <c r="P376" s="7"/>
      <c r="Q376" s="8">
        <v>1173</v>
      </c>
      <c r="R376" s="7"/>
      <c r="S376" s="8">
        <v>5580</v>
      </c>
      <c r="T376" s="7"/>
      <c r="U376" s="8">
        <v>2008</v>
      </c>
      <c r="V376" s="7"/>
      <c r="W376" s="33">
        <v>140791</v>
      </c>
      <c r="X376" s="7"/>
      <c r="Y376" s="30">
        <v>72.900000000000006</v>
      </c>
      <c r="Z376" s="7"/>
      <c r="AA376" s="30">
        <v>18.8</v>
      </c>
      <c r="AB376" s="7"/>
      <c r="AC376" s="30">
        <v>0</v>
      </c>
      <c r="AD376" s="7"/>
      <c r="AE376" s="30">
        <v>4.2</v>
      </c>
      <c r="AF376" s="7"/>
      <c r="AG376" s="30">
        <v>1.8</v>
      </c>
      <c r="AI376" s="32">
        <v>97.7</v>
      </c>
      <c r="AK376" s="7" t="str">
        <f t="shared" si="5"/>
        <v>No</v>
      </c>
    </row>
    <row r="377" spans="1:37">
      <c r="A377" s="7" t="s">
        <v>756</v>
      </c>
      <c r="B377" s="7" t="s">
        <v>757</v>
      </c>
      <c r="C377" s="7" t="s">
        <v>63</v>
      </c>
      <c r="D377" s="302">
        <v>2192</v>
      </c>
      <c r="E377" s="297">
        <v>20192</v>
      </c>
      <c r="F377" s="7" t="s">
        <v>162</v>
      </c>
      <c r="G377" s="7" t="s">
        <v>158</v>
      </c>
      <c r="H377" s="8">
        <v>18351295</v>
      </c>
      <c r="I377" s="8">
        <v>69</v>
      </c>
      <c r="J377" s="7" t="s">
        <v>7</v>
      </c>
      <c r="K377" s="7" t="s">
        <v>159</v>
      </c>
      <c r="L377" s="8">
        <v>4</v>
      </c>
      <c r="M377" s="8">
        <v>6492</v>
      </c>
      <c r="N377" s="7"/>
      <c r="O377" s="8">
        <v>139</v>
      </c>
      <c r="P377" s="7"/>
      <c r="Q377" s="8">
        <v>0</v>
      </c>
      <c r="R377" s="7"/>
      <c r="S377" s="8">
        <v>1024</v>
      </c>
      <c r="T377" s="7"/>
      <c r="U377" s="8">
        <v>0</v>
      </c>
      <c r="V377" s="7"/>
      <c r="W377" s="33">
        <v>7655</v>
      </c>
      <c r="X377" s="7"/>
      <c r="Y377" s="30">
        <v>6</v>
      </c>
      <c r="Z377" s="7"/>
      <c r="AA377" s="30">
        <v>0.1</v>
      </c>
      <c r="AB377" s="7"/>
      <c r="AC377" s="30">
        <v>0</v>
      </c>
      <c r="AD377" s="7"/>
      <c r="AE377" s="30">
        <v>0.5</v>
      </c>
      <c r="AF377" s="7"/>
      <c r="AG377" s="30">
        <v>0</v>
      </c>
      <c r="AI377" s="32">
        <v>6.6</v>
      </c>
      <c r="AK377" s="7" t="str">
        <f t="shared" si="5"/>
        <v>No</v>
      </c>
    </row>
    <row r="378" spans="1:37">
      <c r="A378" s="7" t="s">
        <v>612</v>
      </c>
      <c r="B378" s="7" t="s">
        <v>613</v>
      </c>
      <c r="C378" s="7" t="s">
        <v>17</v>
      </c>
      <c r="D378" s="302">
        <v>9035</v>
      </c>
      <c r="E378" s="297">
        <v>90035</v>
      </c>
      <c r="F378" s="7" t="s">
        <v>165</v>
      </c>
      <c r="G378" s="7" t="s">
        <v>158</v>
      </c>
      <c r="H378" s="8">
        <v>367260</v>
      </c>
      <c r="I378" s="8">
        <v>67</v>
      </c>
      <c r="J378" s="7" t="s">
        <v>7</v>
      </c>
      <c r="K378" s="7" t="s">
        <v>159</v>
      </c>
      <c r="L378" s="8">
        <v>45</v>
      </c>
      <c r="M378" s="8">
        <v>235018</v>
      </c>
      <c r="N378" s="7"/>
      <c r="O378" s="8">
        <v>37569</v>
      </c>
      <c r="P378" s="7"/>
      <c r="Q378" s="8">
        <v>3774</v>
      </c>
      <c r="R378" s="7"/>
      <c r="S378" s="8">
        <v>40536</v>
      </c>
      <c r="T378" s="7"/>
      <c r="U378" s="8">
        <v>1399</v>
      </c>
      <c r="V378" s="7"/>
      <c r="W378" s="33">
        <v>318296</v>
      </c>
      <c r="X378" s="7"/>
      <c r="Y378" s="30">
        <v>127</v>
      </c>
      <c r="Z378" s="7"/>
      <c r="AA378" s="30">
        <v>22</v>
      </c>
      <c r="AB378" s="7"/>
      <c r="AC378" s="30">
        <v>2</v>
      </c>
      <c r="AD378" s="7"/>
      <c r="AE378" s="30">
        <v>25</v>
      </c>
      <c r="AF378" s="7"/>
      <c r="AG378" s="30">
        <v>1</v>
      </c>
      <c r="AI378" s="32">
        <v>177</v>
      </c>
      <c r="AK378" s="7" t="str">
        <f t="shared" si="5"/>
        <v>No</v>
      </c>
    </row>
    <row r="379" spans="1:37">
      <c r="A379" s="7" t="s">
        <v>747</v>
      </c>
      <c r="B379" s="7" t="s">
        <v>654</v>
      </c>
      <c r="C379" s="7" t="s">
        <v>26</v>
      </c>
      <c r="D379" s="302">
        <v>8106</v>
      </c>
      <c r="E379" s="297">
        <v>80106</v>
      </c>
      <c r="F379" s="7" t="s">
        <v>195</v>
      </c>
      <c r="G379" s="7" t="s">
        <v>158</v>
      </c>
      <c r="H379" s="8">
        <v>264465</v>
      </c>
      <c r="I379" s="8">
        <v>66</v>
      </c>
      <c r="J379" s="7" t="s">
        <v>8</v>
      </c>
      <c r="K379" s="7" t="s">
        <v>159</v>
      </c>
      <c r="L379" s="8">
        <v>66</v>
      </c>
      <c r="M379" s="8">
        <v>0</v>
      </c>
      <c r="N379" s="7"/>
      <c r="O379" s="8">
        <v>0</v>
      </c>
      <c r="P379" s="7"/>
      <c r="Q379" s="8">
        <v>0</v>
      </c>
      <c r="R379" s="7"/>
      <c r="S379" s="8">
        <v>1969</v>
      </c>
      <c r="T379" s="7"/>
      <c r="U379" s="8">
        <v>0</v>
      </c>
      <c r="V379" s="7"/>
      <c r="W379" s="33">
        <v>1969</v>
      </c>
      <c r="X379" s="7"/>
      <c r="Y379" s="30">
        <v>0</v>
      </c>
      <c r="Z379" s="7"/>
      <c r="AA379" s="30">
        <v>0</v>
      </c>
      <c r="AB379" s="7"/>
      <c r="AC379" s="30">
        <v>0</v>
      </c>
      <c r="AD379" s="7"/>
      <c r="AE379" s="30">
        <v>1</v>
      </c>
      <c r="AF379" s="7"/>
      <c r="AG379" s="30">
        <v>0</v>
      </c>
      <c r="AI379" s="32">
        <v>1</v>
      </c>
      <c r="AK379" s="7" t="str">
        <f t="shared" si="5"/>
        <v>No</v>
      </c>
    </row>
    <row r="380" spans="1:37">
      <c r="A380" s="7" t="s">
        <v>695</v>
      </c>
      <c r="B380" s="7" t="s">
        <v>696</v>
      </c>
      <c r="C380" s="7" t="s">
        <v>58</v>
      </c>
      <c r="D380" s="302">
        <v>4012</v>
      </c>
      <c r="E380" s="297">
        <v>40012</v>
      </c>
      <c r="F380" s="7" t="s">
        <v>165</v>
      </c>
      <c r="G380" s="7" t="s">
        <v>158</v>
      </c>
      <c r="H380" s="8">
        <v>391024</v>
      </c>
      <c r="I380" s="8">
        <v>66</v>
      </c>
      <c r="J380" s="7" t="s">
        <v>7</v>
      </c>
      <c r="K380" s="7" t="s">
        <v>159</v>
      </c>
      <c r="L380" s="8">
        <v>36</v>
      </c>
      <c r="M380" s="8">
        <v>150810</v>
      </c>
      <c r="N380" s="7"/>
      <c r="O380" s="8">
        <v>41494</v>
      </c>
      <c r="P380" s="7"/>
      <c r="Q380" s="8">
        <v>0</v>
      </c>
      <c r="R380" s="7"/>
      <c r="S380" s="8">
        <v>18100</v>
      </c>
      <c r="T380" s="7"/>
      <c r="U380" s="8">
        <v>0</v>
      </c>
      <c r="V380" s="7"/>
      <c r="W380" s="33">
        <v>210404</v>
      </c>
      <c r="X380" s="7"/>
      <c r="Y380" s="30">
        <v>76</v>
      </c>
      <c r="Z380" s="7"/>
      <c r="AA380" s="30">
        <v>22</v>
      </c>
      <c r="AB380" s="7"/>
      <c r="AC380" s="30">
        <v>0</v>
      </c>
      <c r="AD380" s="7"/>
      <c r="AE380" s="30">
        <v>9</v>
      </c>
      <c r="AF380" s="7"/>
      <c r="AG380" s="30">
        <v>0</v>
      </c>
      <c r="AI380" s="32">
        <v>107</v>
      </c>
      <c r="AK380" s="7" t="str">
        <f t="shared" si="5"/>
        <v>No</v>
      </c>
    </row>
    <row r="381" spans="1:37">
      <c r="A381" s="7" t="s">
        <v>695</v>
      </c>
      <c r="B381" s="7" t="s">
        <v>696</v>
      </c>
      <c r="C381" s="7" t="s">
        <v>58</v>
      </c>
      <c r="D381" s="302">
        <v>4012</v>
      </c>
      <c r="E381" s="297">
        <v>40012</v>
      </c>
      <c r="F381" s="7" t="s">
        <v>165</v>
      </c>
      <c r="G381" s="7" t="s">
        <v>158</v>
      </c>
      <c r="H381" s="8">
        <v>391024</v>
      </c>
      <c r="I381" s="8">
        <v>66</v>
      </c>
      <c r="J381" s="7" t="s">
        <v>10</v>
      </c>
      <c r="K381" s="7" t="s">
        <v>159</v>
      </c>
      <c r="L381" s="8">
        <v>30</v>
      </c>
      <c r="M381" s="8">
        <v>55418</v>
      </c>
      <c r="N381" s="7"/>
      <c r="O381" s="8">
        <v>1910</v>
      </c>
      <c r="P381" s="7"/>
      <c r="Q381" s="8">
        <v>0</v>
      </c>
      <c r="R381" s="7"/>
      <c r="S381" s="8">
        <v>9100</v>
      </c>
      <c r="T381" s="7"/>
      <c r="U381" s="8">
        <v>0</v>
      </c>
      <c r="V381" s="7"/>
      <c r="W381" s="33">
        <v>66428</v>
      </c>
      <c r="X381" s="7"/>
      <c r="Y381" s="30">
        <v>28</v>
      </c>
      <c r="Z381" s="7"/>
      <c r="AA381" s="30">
        <v>1</v>
      </c>
      <c r="AB381" s="7"/>
      <c r="AC381" s="30">
        <v>0</v>
      </c>
      <c r="AD381" s="7"/>
      <c r="AE381" s="30">
        <v>6</v>
      </c>
      <c r="AF381" s="7"/>
      <c r="AG381" s="30">
        <v>0</v>
      </c>
      <c r="AI381" s="32">
        <v>35</v>
      </c>
      <c r="AK381" s="7" t="str">
        <f t="shared" si="5"/>
        <v>No</v>
      </c>
    </row>
    <row r="382" spans="1:37">
      <c r="A382" s="7" t="s">
        <v>609</v>
      </c>
      <c r="B382" s="7" t="s">
        <v>312</v>
      </c>
      <c r="C382" s="7" t="s">
        <v>17</v>
      </c>
      <c r="D382" s="302">
        <v>9089</v>
      </c>
      <c r="E382" s="297">
        <v>90089</v>
      </c>
      <c r="F382" s="7" t="s">
        <v>162</v>
      </c>
      <c r="G382" s="7" t="s">
        <v>158</v>
      </c>
      <c r="H382" s="8">
        <v>308231</v>
      </c>
      <c r="I382" s="8">
        <v>66</v>
      </c>
      <c r="J382" s="7" t="s">
        <v>7</v>
      </c>
      <c r="K382" s="7" t="s">
        <v>159</v>
      </c>
      <c r="L382" s="8">
        <v>1</v>
      </c>
      <c r="M382" s="8">
        <v>1066</v>
      </c>
      <c r="N382" s="7"/>
      <c r="O382" s="8">
        <v>0</v>
      </c>
      <c r="P382" s="7"/>
      <c r="Q382" s="8">
        <v>0</v>
      </c>
      <c r="R382" s="7"/>
      <c r="S382" s="8">
        <v>0</v>
      </c>
      <c r="T382" s="7"/>
      <c r="U382" s="8">
        <v>0</v>
      </c>
      <c r="V382" s="7"/>
      <c r="W382" s="33">
        <v>1066</v>
      </c>
      <c r="X382" s="7"/>
      <c r="Y382" s="30">
        <v>1</v>
      </c>
      <c r="Z382" s="7"/>
      <c r="AA382" s="30">
        <v>0</v>
      </c>
      <c r="AB382" s="7"/>
      <c r="AC382" s="30">
        <v>0</v>
      </c>
      <c r="AD382" s="7"/>
      <c r="AE382" s="30">
        <v>0</v>
      </c>
      <c r="AF382" s="7"/>
      <c r="AG382" s="30">
        <v>0</v>
      </c>
      <c r="AI382" s="32">
        <v>1</v>
      </c>
      <c r="AK382" s="7" t="str">
        <f t="shared" si="5"/>
        <v>No</v>
      </c>
    </row>
    <row r="383" spans="1:37">
      <c r="A383" s="7" t="s">
        <v>391</v>
      </c>
      <c r="B383" s="7" t="s">
        <v>392</v>
      </c>
      <c r="C383" s="7" t="s">
        <v>28</v>
      </c>
      <c r="D383" s="302">
        <v>1050</v>
      </c>
      <c r="E383" s="297">
        <v>10050</v>
      </c>
      <c r="F383" s="7" t="s">
        <v>165</v>
      </c>
      <c r="G383" s="7" t="s">
        <v>158</v>
      </c>
      <c r="H383" s="8">
        <v>923311</v>
      </c>
      <c r="I383" s="8">
        <v>64</v>
      </c>
      <c r="J383" s="7" t="s">
        <v>7</v>
      </c>
      <c r="K383" s="7" t="s">
        <v>159</v>
      </c>
      <c r="L383" s="8">
        <v>43</v>
      </c>
      <c r="M383" s="8">
        <v>216189</v>
      </c>
      <c r="N383" s="7"/>
      <c r="O383" s="8">
        <v>62331</v>
      </c>
      <c r="P383" s="7"/>
      <c r="Q383" s="8">
        <v>3676</v>
      </c>
      <c r="R383" s="7"/>
      <c r="S383" s="8">
        <v>24489</v>
      </c>
      <c r="T383" s="7"/>
      <c r="U383" s="8">
        <v>0</v>
      </c>
      <c r="V383" s="7"/>
      <c r="W383" s="33">
        <v>306685</v>
      </c>
      <c r="X383" s="7"/>
      <c r="Y383" s="30">
        <v>109</v>
      </c>
      <c r="Z383" s="7"/>
      <c r="AA383" s="30">
        <v>33</v>
      </c>
      <c r="AB383" s="7"/>
      <c r="AC383" s="30">
        <v>2</v>
      </c>
      <c r="AD383" s="7"/>
      <c r="AE383" s="30">
        <v>15</v>
      </c>
      <c r="AF383" s="7"/>
      <c r="AG383" s="30">
        <v>0</v>
      </c>
      <c r="AI383" s="32">
        <v>159</v>
      </c>
      <c r="AK383" s="7" t="str">
        <f t="shared" si="5"/>
        <v>No</v>
      </c>
    </row>
    <row r="384" spans="1:37">
      <c r="A384" s="7" t="s">
        <v>87</v>
      </c>
      <c r="B384" s="7" t="s">
        <v>736</v>
      </c>
      <c r="C384" s="7" t="s">
        <v>86</v>
      </c>
      <c r="D384" s="302">
        <v>3045</v>
      </c>
      <c r="E384" s="297">
        <v>30045</v>
      </c>
      <c r="F384" s="7" t="s">
        <v>401</v>
      </c>
      <c r="G384" s="7" t="s">
        <v>158</v>
      </c>
      <c r="H384" s="8">
        <v>92359</v>
      </c>
      <c r="I384" s="8">
        <v>63</v>
      </c>
      <c r="J384" s="7" t="s">
        <v>10</v>
      </c>
      <c r="K384" s="7" t="s">
        <v>159</v>
      </c>
      <c r="L384" s="8">
        <v>63</v>
      </c>
      <c r="M384" s="8">
        <v>137735</v>
      </c>
      <c r="N384" s="7"/>
      <c r="O384" s="8">
        <v>6022</v>
      </c>
      <c r="P384" s="7"/>
      <c r="Q384" s="8">
        <v>177</v>
      </c>
      <c r="R384" s="7"/>
      <c r="S384" s="8">
        <v>18708</v>
      </c>
      <c r="T384" s="7"/>
      <c r="U384" s="8">
        <v>0</v>
      </c>
      <c r="V384" s="7"/>
      <c r="W384" s="33">
        <v>162642</v>
      </c>
      <c r="X384" s="7"/>
      <c r="Y384" s="30">
        <v>69</v>
      </c>
      <c r="Z384" s="7"/>
      <c r="AA384" s="30">
        <v>2.9</v>
      </c>
      <c r="AB384" s="7"/>
      <c r="AC384" s="30">
        <v>0.1</v>
      </c>
      <c r="AD384" s="7"/>
      <c r="AE384" s="30">
        <v>9</v>
      </c>
      <c r="AF384" s="7"/>
      <c r="AG384" s="30">
        <v>0</v>
      </c>
      <c r="AI384" s="32">
        <v>81</v>
      </c>
      <c r="AK384" s="7" t="str">
        <f t="shared" si="5"/>
        <v>No</v>
      </c>
    </row>
    <row r="385" spans="1:37">
      <c r="A385" s="7" t="s">
        <v>626</v>
      </c>
      <c r="B385" s="7" t="s">
        <v>627</v>
      </c>
      <c r="C385" s="7" t="s">
        <v>73</v>
      </c>
      <c r="D385" s="302">
        <v>5011</v>
      </c>
      <c r="E385" s="297">
        <v>50011</v>
      </c>
      <c r="F385" s="7" t="s">
        <v>165</v>
      </c>
      <c r="G385" s="7" t="s">
        <v>158</v>
      </c>
      <c r="H385" s="8">
        <v>279245</v>
      </c>
      <c r="I385" s="8">
        <v>63</v>
      </c>
      <c r="J385" s="7" t="s">
        <v>7</v>
      </c>
      <c r="K385" s="7" t="s">
        <v>159</v>
      </c>
      <c r="L385" s="8">
        <v>33</v>
      </c>
      <c r="M385" s="8">
        <v>189051</v>
      </c>
      <c r="N385" s="7"/>
      <c r="O385" s="8">
        <v>33930</v>
      </c>
      <c r="P385" s="7"/>
      <c r="Q385" s="8">
        <v>3179</v>
      </c>
      <c r="R385" s="7"/>
      <c r="S385" s="8">
        <v>22808</v>
      </c>
      <c r="T385" s="7"/>
      <c r="U385" s="8">
        <v>0</v>
      </c>
      <c r="V385" s="7"/>
      <c r="W385" s="33">
        <v>248968</v>
      </c>
      <c r="X385" s="7"/>
      <c r="Y385" s="30">
        <v>99</v>
      </c>
      <c r="Z385" s="7"/>
      <c r="AA385" s="30">
        <v>18.5</v>
      </c>
      <c r="AB385" s="7"/>
      <c r="AC385" s="30">
        <v>2</v>
      </c>
      <c r="AD385" s="7"/>
      <c r="AE385" s="30">
        <v>12.5</v>
      </c>
      <c r="AF385" s="7"/>
      <c r="AG385" s="30">
        <v>0</v>
      </c>
      <c r="AI385" s="32">
        <v>132</v>
      </c>
      <c r="AK385" s="7" t="str">
        <f t="shared" si="5"/>
        <v>No</v>
      </c>
    </row>
    <row r="386" spans="1:37">
      <c r="A386" s="7" t="s">
        <v>626</v>
      </c>
      <c r="B386" s="7" t="s">
        <v>627</v>
      </c>
      <c r="C386" s="7" t="s">
        <v>73</v>
      </c>
      <c r="D386" s="302">
        <v>5011</v>
      </c>
      <c r="E386" s="297">
        <v>50011</v>
      </c>
      <c r="F386" s="7" t="s">
        <v>165</v>
      </c>
      <c r="G386" s="7" t="s">
        <v>158</v>
      </c>
      <c r="H386" s="8">
        <v>279245</v>
      </c>
      <c r="I386" s="8">
        <v>63</v>
      </c>
      <c r="J386" s="7" t="s">
        <v>10</v>
      </c>
      <c r="K386" s="7" t="s">
        <v>159</v>
      </c>
      <c r="L386" s="8">
        <v>30</v>
      </c>
      <c r="M386" s="8">
        <v>116934</v>
      </c>
      <c r="N386" s="7"/>
      <c r="O386" s="8">
        <v>17479</v>
      </c>
      <c r="P386" s="7"/>
      <c r="Q386" s="8">
        <v>1638</v>
      </c>
      <c r="R386" s="7"/>
      <c r="S386" s="8">
        <v>11750</v>
      </c>
      <c r="T386" s="7"/>
      <c r="U386" s="8">
        <v>0</v>
      </c>
      <c r="V386" s="7"/>
      <c r="W386" s="33">
        <v>147801</v>
      </c>
      <c r="X386" s="7"/>
      <c r="Y386" s="30">
        <v>64</v>
      </c>
      <c r="Z386" s="7"/>
      <c r="AA386" s="30">
        <v>9.5</v>
      </c>
      <c r="AB386" s="7"/>
      <c r="AC386" s="30">
        <v>1</v>
      </c>
      <c r="AD386" s="7"/>
      <c r="AE386" s="30">
        <v>6.5</v>
      </c>
      <c r="AF386" s="7"/>
      <c r="AG386" s="30">
        <v>0</v>
      </c>
      <c r="AI386" s="32">
        <v>81</v>
      </c>
      <c r="AK386" s="7" t="str">
        <f t="shared" ref="AK386:AK449" si="6">IF(AJ386&amp;AH386&amp;AF386&amp;AD386&amp;AB386&amp;Z386&amp;X386&amp;V386&amp;T386&amp;R386&amp;P386&amp;N386&lt;&gt;"","Yes","No")</f>
        <v>No</v>
      </c>
    </row>
    <row r="387" spans="1:37">
      <c r="A387" s="7" t="s">
        <v>701</v>
      </c>
      <c r="B387" s="7" t="s">
        <v>702</v>
      </c>
      <c r="C387" s="7" t="s">
        <v>89</v>
      </c>
      <c r="D387" s="302">
        <v>6</v>
      </c>
      <c r="E387" s="297">
        <v>6</v>
      </c>
      <c r="F387" s="7" t="s">
        <v>162</v>
      </c>
      <c r="G387" s="7" t="s">
        <v>158</v>
      </c>
      <c r="H387" s="8">
        <v>129534</v>
      </c>
      <c r="I387" s="8">
        <v>63</v>
      </c>
      <c r="J387" s="7" t="s">
        <v>7</v>
      </c>
      <c r="K387" s="7" t="s">
        <v>159</v>
      </c>
      <c r="L387" s="8">
        <v>19</v>
      </c>
      <c r="M387" s="8">
        <v>65821</v>
      </c>
      <c r="N387" s="7"/>
      <c r="O387" s="8">
        <v>5612</v>
      </c>
      <c r="P387" s="7"/>
      <c r="Q387" s="8">
        <v>0</v>
      </c>
      <c r="R387" s="7"/>
      <c r="S387" s="8">
        <v>12898</v>
      </c>
      <c r="T387" s="7"/>
      <c r="U387" s="8">
        <v>0</v>
      </c>
      <c r="V387" s="7"/>
      <c r="W387" s="33">
        <v>84331</v>
      </c>
      <c r="X387" s="7"/>
      <c r="Y387" s="30">
        <v>34</v>
      </c>
      <c r="Z387" s="7"/>
      <c r="AA387" s="30">
        <v>4</v>
      </c>
      <c r="AB387" s="7"/>
      <c r="AC387" s="30">
        <v>0</v>
      </c>
      <c r="AD387" s="7"/>
      <c r="AE387" s="30">
        <v>7.2</v>
      </c>
      <c r="AF387" s="7"/>
      <c r="AG387" s="30">
        <v>0</v>
      </c>
      <c r="AI387" s="32">
        <v>45.2</v>
      </c>
      <c r="AK387" s="7" t="str">
        <f t="shared" si="6"/>
        <v>No</v>
      </c>
    </row>
    <row r="388" spans="1:37">
      <c r="A388" s="7" t="s">
        <v>701</v>
      </c>
      <c r="B388" s="7" t="s">
        <v>702</v>
      </c>
      <c r="C388" s="7" t="s">
        <v>89</v>
      </c>
      <c r="D388" s="302">
        <v>6</v>
      </c>
      <c r="E388" s="297">
        <v>6</v>
      </c>
      <c r="F388" s="7" t="s">
        <v>162</v>
      </c>
      <c r="G388" s="7" t="s">
        <v>158</v>
      </c>
      <c r="H388" s="8">
        <v>129534</v>
      </c>
      <c r="I388" s="8">
        <v>63</v>
      </c>
      <c r="J388" s="7" t="s">
        <v>8</v>
      </c>
      <c r="K388" s="7" t="s">
        <v>159</v>
      </c>
      <c r="L388" s="8">
        <v>16</v>
      </c>
      <c r="M388" s="8">
        <v>0</v>
      </c>
      <c r="N388" s="7"/>
      <c r="O388" s="8">
        <v>0</v>
      </c>
      <c r="P388" s="7"/>
      <c r="Q388" s="8">
        <v>0</v>
      </c>
      <c r="R388" s="7"/>
      <c r="S388" s="8">
        <v>1243</v>
      </c>
      <c r="T388" s="7"/>
      <c r="U388" s="8">
        <v>0</v>
      </c>
      <c r="V388" s="7"/>
      <c r="W388" s="33">
        <v>1243</v>
      </c>
      <c r="X388" s="7"/>
      <c r="Y388" s="30">
        <v>0</v>
      </c>
      <c r="Z388" s="7"/>
      <c r="AA388" s="30">
        <v>0</v>
      </c>
      <c r="AB388" s="7"/>
      <c r="AC388" s="30">
        <v>0</v>
      </c>
      <c r="AD388" s="7"/>
      <c r="AE388" s="30">
        <v>0.8</v>
      </c>
      <c r="AF388" s="7"/>
      <c r="AG388" s="30">
        <v>0</v>
      </c>
      <c r="AI388" s="32">
        <v>0.8</v>
      </c>
      <c r="AK388" s="7" t="str">
        <f t="shared" si="6"/>
        <v>No</v>
      </c>
    </row>
    <row r="389" spans="1:37">
      <c r="A389" s="7" t="s">
        <v>569</v>
      </c>
      <c r="B389" s="7" t="s">
        <v>570</v>
      </c>
      <c r="C389" s="7" t="s">
        <v>40</v>
      </c>
      <c r="D389" s="302">
        <v>5057</v>
      </c>
      <c r="E389" s="297">
        <v>50057</v>
      </c>
      <c r="F389" s="7" t="s">
        <v>165</v>
      </c>
      <c r="G389" s="7" t="s">
        <v>158</v>
      </c>
      <c r="H389" s="8">
        <v>280051</v>
      </c>
      <c r="I389" s="8">
        <v>62</v>
      </c>
      <c r="J389" s="7" t="s">
        <v>7</v>
      </c>
      <c r="K389" s="7" t="s">
        <v>159</v>
      </c>
      <c r="L389" s="8">
        <v>46</v>
      </c>
      <c r="M389" s="8">
        <v>193770</v>
      </c>
      <c r="N389" s="7"/>
      <c r="O389" s="8">
        <v>30736</v>
      </c>
      <c r="P389" s="7"/>
      <c r="Q389" s="8">
        <v>2429</v>
      </c>
      <c r="R389" s="7"/>
      <c r="S389" s="8">
        <v>23040</v>
      </c>
      <c r="T389" s="7"/>
      <c r="U389" s="8">
        <v>0</v>
      </c>
      <c r="V389" s="7"/>
      <c r="W389" s="33">
        <v>249975</v>
      </c>
      <c r="X389" s="7"/>
      <c r="Y389" s="30">
        <v>98</v>
      </c>
      <c r="Z389" s="7"/>
      <c r="AA389" s="30">
        <v>16.5</v>
      </c>
      <c r="AB389" s="7"/>
      <c r="AC389" s="30">
        <v>1.3</v>
      </c>
      <c r="AD389" s="7"/>
      <c r="AE389" s="30">
        <v>12.4</v>
      </c>
      <c r="AF389" s="7"/>
      <c r="AG389" s="30">
        <v>0</v>
      </c>
      <c r="AI389" s="32">
        <v>128.19999999999999</v>
      </c>
      <c r="AK389" s="7" t="str">
        <f t="shared" si="6"/>
        <v>No</v>
      </c>
    </row>
    <row r="390" spans="1:37">
      <c r="A390" s="7" t="s">
        <v>649</v>
      </c>
      <c r="B390" s="7" t="s">
        <v>650</v>
      </c>
      <c r="C390" s="7" t="s">
        <v>70</v>
      </c>
      <c r="D390" s="302">
        <v>2145</v>
      </c>
      <c r="E390" s="297">
        <v>20145</v>
      </c>
      <c r="F390" s="7" t="s">
        <v>187</v>
      </c>
      <c r="G390" s="7" t="s">
        <v>158</v>
      </c>
      <c r="H390" s="8">
        <v>53661</v>
      </c>
      <c r="I390" s="8">
        <v>62</v>
      </c>
      <c r="J390" s="7" t="s">
        <v>7</v>
      </c>
      <c r="K390" s="7" t="s">
        <v>159</v>
      </c>
      <c r="L390" s="8">
        <v>40</v>
      </c>
      <c r="M390" s="8">
        <v>183558</v>
      </c>
      <c r="N390" s="7"/>
      <c r="O390" s="8">
        <v>29359</v>
      </c>
      <c r="P390" s="7"/>
      <c r="Q390" s="8">
        <v>3940</v>
      </c>
      <c r="R390" s="7"/>
      <c r="S390" s="8">
        <v>27512</v>
      </c>
      <c r="T390" s="7"/>
      <c r="U390" s="8">
        <v>0</v>
      </c>
      <c r="V390" s="7"/>
      <c r="W390" s="33">
        <v>244369</v>
      </c>
      <c r="X390" s="7"/>
      <c r="Y390" s="30">
        <v>91</v>
      </c>
      <c r="Z390" s="7"/>
      <c r="AA390" s="30">
        <v>14</v>
      </c>
      <c r="AB390" s="7"/>
      <c r="AC390" s="30">
        <v>2</v>
      </c>
      <c r="AD390" s="7"/>
      <c r="AE390" s="30">
        <v>13</v>
      </c>
      <c r="AF390" s="7"/>
      <c r="AG390" s="30">
        <v>0</v>
      </c>
      <c r="AI390" s="32">
        <v>120</v>
      </c>
      <c r="AK390" s="7" t="str">
        <f t="shared" si="6"/>
        <v>No</v>
      </c>
    </row>
    <row r="391" spans="1:37">
      <c r="A391" s="7" t="s">
        <v>336</v>
      </c>
      <c r="B391" s="7" t="s">
        <v>337</v>
      </c>
      <c r="C391" s="7" t="s">
        <v>77</v>
      </c>
      <c r="D391" s="302">
        <v>3025</v>
      </c>
      <c r="E391" s="297">
        <v>30025</v>
      </c>
      <c r="F391" s="7" t="s">
        <v>165</v>
      </c>
      <c r="G391" s="7" t="s">
        <v>158</v>
      </c>
      <c r="H391" s="8">
        <v>381502</v>
      </c>
      <c r="I391" s="8">
        <v>62</v>
      </c>
      <c r="J391" s="7" t="s">
        <v>10</v>
      </c>
      <c r="K391" s="7" t="s">
        <v>159</v>
      </c>
      <c r="L391" s="8">
        <v>29</v>
      </c>
      <c r="M391" s="8">
        <v>54445</v>
      </c>
      <c r="N391" s="7"/>
      <c r="O391" s="8">
        <v>1903</v>
      </c>
      <c r="P391" s="7"/>
      <c r="Q391" s="8">
        <v>0</v>
      </c>
      <c r="R391" s="7"/>
      <c r="S391" s="8">
        <v>12147</v>
      </c>
      <c r="T391" s="7"/>
      <c r="U391" s="8">
        <v>0</v>
      </c>
      <c r="V391" s="7"/>
      <c r="W391" s="33">
        <v>68495</v>
      </c>
      <c r="X391" s="7"/>
      <c r="Y391" s="30">
        <v>29</v>
      </c>
      <c r="Z391" s="7"/>
      <c r="AA391" s="30">
        <v>1</v>
      </c>
      <c r="AB391" s="7"/>
      <c r="AC391" s="30">
        <v>0</v>
      </c>
      <c r="AD391" s="7"/>
      <c r="AE391" s="30">
        <v>8</v>
      </c>
      <c r="AF391" s="7"/>
      <c r="AG391" s="30">
        <v>0</v>
      </c>
      <c r="AI391" s="32">
        <v>38</v>
      </c>
      <c r="AK391" s="7" t="str">
        <f t="shared" si="6"/>
        <v>No</v>
      </c>
    </row>
    <row r="392" spans="1:37">
      <c r="A392" s="7" t="s">
        <v>336</v>
      </c>
      <c r="B392" s="7" t="s">
        <v>337</v>
      </c>
      <c r="C392" s="7" t="s">
        <v>77</v>
      </c>
      <c r="D392" s="302">
        <v>3025</v>
      </c>
      <c r="E392" s="297">
        <v>30025</v>
      </c>
      <c r="F392" s="7" t="s">
        <v>165</v>
      </c>
      <c r="G392" s="7" t="s">
        <v>158</v>
      </c>
      <c r="H392" s="8">
        <v>381502</v>
      </c>
      <c r="I392" s="8">
        <v>62</v>
      </c>
      <c r="J392" s="7" t="s">
        <v>7</v>
      </c>
      <c r="K392" s="7" t="s">
        <v>159</v>
      </c>
      <c r="L392" s="8">
        <v>26</v>
      </c>
      <c r="M392" s="8">
        <v>88275</v>
      </c>
      <c r="N392" s="7"/>
      <c r="O392" s="8">
        <v>16143</v>
      </c>
      <c r="P392" s="7"/>
      <c r="Q392" s="8">
        <v>7262</v>
      </c>
      <c r="R392" s="7"/>
      <c r="S392" s="8">
        <v>18127</v>
      </c>
      <c r="T392" s="7"/>
      <c r="U392" s="8">
        <v>0</v>
      </c>
      <c r="V392" s="7"/>
      <c r="W392" s="33">
        <v>129807</v>
      </c>
      <c r="X392" s="7"/>
      <c r="Y392" s="30">
        <v>47</v>
      </c>
      <c r="Z392" s="7"/>
      <c r="AA392" s="30">
        <v>8</v>
      </c>
      <c r="AB392" s="7"/>
      <c r="AC392" s="30">
        <v>4</v>
      </c>
      <c r="AD392" s="7"/>
      <c r="AE392" s="30">
        <v>10</v>
      </c>
      <c r="AF392" s="7"/>
      <c r="AG392" s="30">
        <v>0</v>
      </c>
      <c r="AI392" s="32">
        <v>69</v>
      </c>
      <c r="AK392" s="7" t="str">
        <f t="shared" si="6"/>
        <v>No</v>
      </c>
    </row>
    <row r="393" spans="1:37">
      <c r="A393" s="7" t="s">
        <v>569</v>
      </c>
      <c r="B393" s="7" t="s">
        <v>570</v>
      </c>
      <c r="C393" s="7" t="s">
        <v>40</v>
      </c>
      <c r="D393" s="302">
        <v>5057</v>
      </c>
      <c r="E393" s="297">
        <v>50057</v>
      </c>
      <c r="F393" s="7" t="s">
        <v>165</v>
      </c>
      <c r="G393" s="7" t="s">
        <v>158</v>
      </c>
      <c r="H393" s="8">
        <v>280051</v>
      </c>
      <c r="I393" s="8">
        <v>62</v>
      </c>
      <c r="J393" s="7" t="s">
        <v>10</v>
      </c>
      <c r="K393" s="7" t="s">
        <v>159</v>
      </c>
      <c r="L393" s="8">
        <v>9</v>
      </c>
      <c r="M393" s="8">
        <v>7258</v>
      </c>
      <c r="N393" s="7"/>
      <c r="O393" s="8">
        <v>0</v>
      </c>
      <c r="P393" s="7"/>
      <c r="Q393" s="8">
        <v>306</v>
      </c>
      <c r="R393" s="7"/>
      <c r="S393" s="8">
        <v>3011</v>
      </c>
      <c r="T393" s="7"/>
      <c r="U393" s="8">
        <v>0</v>
      </c>
      <c r="V393" s="7"/>
      <c r="W393" s="33">
        <v>10575</v>
      </c>
      <c r="X393" s="7"/>
      <c r="Y393" s="30">
        <v>4</v>
      </c>
      <c r="Z393" s="7"/>
      <c r="AA393" s="30">
        <v>0</v>
      </c>
      <c r="AB393" s="7"/>
      <c r="AC393" s="30">
        <v>0.2</v>
      </c>
      <c r="AD393" s="7"/>
      <c r="AE393" s="30">
        <v>1.6</v>
      </c>
      <c r="AF393" s="7"/>
      <c r="AG393" s="30">
        <v>0</v>
      </c>
      <c r="AI393" s="32">
        <v>5.8</v>
      </c>
      <c r="AK393" s="7" t="str">
        <f t="shared" si="6"/>
        <v>No</v>
      </c>
    </row>
    <row r="394" spans="1:37">
      <c r="A394" s="7" t="s">
        <v>393</v>
      </c>
      <c r="B394" s="7" t="s">
        <v>304</v>
      </c>
      <c r="C394" s="7" t="s">
        <v>42</v>
      </c>
      <c r="D394" s="302">
        <v>5051</v>
      </c>
      <c r="E394" s="297">
        <v>50051</v>
      </c>
      <c r="F394" s="7" t="s">
        <v>165</v>
      </c>
      <c r="G394" s="7" t="s">
        <v>158</v>
      </c>
      <c r="H394" s="8">
        <v>147725</v>
      </c>
      <c r="I394" s="8">
        <v>61</v>
      </c>
      <c r="J394" s="7" t="s">
        <v>7</v>
      </c>
      <c r="K394" s="7" t="s">
        <v>159</v>
      </c>
      <c r="L394" s="8">
        <v>56</v>
      </c>
      <c r="M394" s="8">
        <v>164647</v>
      </c>
      <c r="N394" s="7"/>
      <c r="O394" s="8">
        <v>27837</v>
      </c>
      <c r="P394" s="7"/>
      <c r="Q394" s="8">
        <v>0</v>
      </c>
      <c r="R394" s="7"/>
      <c r="S394" s="8">
        <v>12962</v>
      </c>
      <c r="T394" s="7"/>
      <c r="U394" s="8">
        <v>850</v>
      </c>
      <c r="V394" s="7"/>
      <c r="W394" s="33">
        <v>206296</v>
      </c>
      <c r="X394" s="7"/>
      <c r="Y394" s="30">
        <v>98</v>
      </c>
      <c r="Z394" s="7"/>
      <c r="AA394" s="30">
        <v>15.05</v>
      </c>
      <c r="AB394" s="7"/>
      <c r="AC394" s="30">
        <v>0</v>
      </c>
      <c r="AD394" s="7"/>
      <c r="AE394" s="30">
        <v>6.47</v>
      </c>
      <c r="AF394" s="7"/>
      <c r="AG394" s="30">
        <v>0.94</v>
      </c>
      <c r="AI394" s="32">
        <v>120.46</v>
      </c>
      <c r="AK394" s="7" t="str">
        <f t="shared" si="6"/>
        <v>No</v>
      </c>
    </row>
    <row r="395" spans="1:37">
      <c r="A395" s="7" t="s">
        <v>1128</v>
      </c>
      <c r="B395" s="7" t="s">
        <v>442</v>
      </c>
      <c r="C395" s="7" t="s">
        <v>32</v>
      </c>
      <c r="D395" s="302">
        <v>4031</v>
      </c>
      <c r="E395" s="297">
        <v>40031</v>
      </c>
      <c r="F395" s="7" t="s">
        <v>165</v>
      </c>
      <c r="G395" s="7" t="s">
        <v>158</v>
      </c>
      <c r="H395" s="8">
        <v>262596</v>
      </c>
      <c r="I395" s="8">
        <v>61</v>
      </c>
      <c r="J395" s="7" t="s">
        <v>10</v>
      </c>
      <c r="K395" s="7" t="s">
        <v>159</v>
      </c>
      <c r="L395" s="8">
        <v>31</v>
      </c>
      <c r="M395" s="8">
        <v>69264</v>
      </c>
      <c r="N395" s="7"/>
      <c r="O395" s="8">
        <v>14262</v>
      </c>
      <c r="P395" s="7"/>
      <c r="Q395" s="8">
        <v>3489</v>
      </c>
      <c r="R395" s="7"/>
      <c r="S395" s="8">
        <v>36522</v>
      </c>
      <c r="T395" s="7"/>
      <c r="U395" s="8">
        <v>0</v>
      </c>
      <c r="V395" s="7"/>
      <c r="W395" s="33">
        <v>123537</v>
      </c>
      <c r="X395" s="7"/>
      <c r="Y395" s="30">
        <v>34</v>
      </c>
      <c r="Z395" s="7"/>
      <c r="AA395" s="30">
        <v>6</v>
      </c>
      <c r="AB395" s="7"/>
      <c r="AC395" s="30">
        <v>2</v>
      </c>
      <c r="AD395" s="7"/>
      <c r="AE395" s="30">
        <v>19</v>
      </c>
      <c r="AF395" s="7"/>
      <c r="AG395" s="30">
        <v>0</v>
      </c>
      <c r="AI395" s="32">
        <v>61</v>
      </c>
      <c r="AK395" s="7" t="str">
        <f t="shared" si="6"/>
        <v>No</v>
      </c>
    </row>
    <row r="396" spans="1:37">
      <c r="A396" s="7" t="s">
        <v>1128</v>
      </c>
      <c r="B396" s="7" t="s">
        <v>442</v>
      </c>
      <c r="C396" s="7" t="s">
        <v>32</v>
      </c>
      <c r="D396" s="302">
        <v>4031</v>
      </c>
      <c r="E396" s="297">
        <v>40031</v>
      </c>
      <c r="F396" s="7" t="s">
        <v>165</v>
      </c>
      <c r="G396" s="7" t="s">
        <v>158</v>
      </c>
      <c r="H396" s="8">
        <v>262596</v>
      </c>
      <c r="I396" s="8">
        <v>61</v>
      </c>
      <c r="J396" s="7" t="s">
        <v>7</v>
      </c>
      <c r="K396" s="7" t="s">
        <v>159</v>
      </c>
      <c r="L396" s="8">
        <v>30</v>
      </c>
      <c r="M396" s="8">
        <v>110174</v>
      </c>
      <c r="N396" s="7"/>
      <c r="O396" s="8">
        <v>17336</v>
      </c>
      <c r="P396" s="7"/>
      <c r="Q396" s="8">
        <v>6638</v>
      </c>
      <c r="R396" s="7"/>
      <c r="S396" s="8">
        <v>59022</v>
      </c>
      <c r="T396" s="7"/>
      <c r="U396" s="8">
        <v>0</v>
      </c>
      <c r="V396" s="7"/>
      <c r="W396" s="33">
        <v>193170</v>
      </c>
      <c r="X396" s="7"/>
      <c r="Y396" s="30">
        <v>59</v>
      </c>
      <c r="Z396" s="7"/>
      <c r="AA396" s="30">
        <v>9</v>
      </c>
      <c r="AB396" s="7"/>
      <c r="AC396" s="30">
        <v>4</v>
      </c>
      <c r="AD396" s="7"/>
      <c r="AE396" s="30">
        <v>32</v>
      </c>
      <c r="AF396" s="7"/>
      <c r="AG396" s="30">
        <v>0</v>
      </c>
      <c r="AI396" s="32">
        <v>104</v>
      </c>
      <c r="AK396" s="7" t="str">
        <f t="shared" si="6"/>
        <v>No</v>
      </c>
    </row>
    <row r="397" spans="1:37">
      <c r="A397" s="7" t="s">
        <v>393</v>
      </c>
      <c r="B397" s="7" t="s">
        <v>304</v>
      </c>
      <c r="C397" s="7" t="s">
        <v>42</v>
      </c>
      <c r="D397" s="302">
        <v>5051</v>
      </c>
      <c r="E397" s="297">
        <v>50051</v>
      </c>
      <c r="F397" s="7" t="s">
        <v>165</v>
      </c>
      <c r="G397" s="7" t="s">
        <v>158</v>
      </c>
      <c r="H397" s="8">
        <v>147725</v>
      </c>
      <c r="I397" s="8">
        <v>61</v>
      </c>
      <c r="J397" s="7" t="s">
        <v>10</v>
      </c>
      <c r="K397" s="7" t="s">
        <v>159</v>
      </c>
      <c r="L397" s="8">
        <v>5</v>
      </c>
      <c r="M397" s="8">
        <v>13037</v>
      </c>
      <c r="N397" s="7"/>
      <c r="O397" s="8">
        <v>1756</v>
      </c>
      <c r="P397" s="7"/>
      <c r="Q397" s="8">
        <v>0</v>
      </c>
      <c r="R397" s="7"/>
      <c r="S397" s="8">
        <v>903</v>
      </c>
      <c r="T397" s="7"/>
      <c r="U397" s="8">
        <v>54</v>
      </c>
      <c r="V397" s="7"/>
      <c r="W397" s="33">
        <v>15750</v>
      </c>
      <c r="X397" s="7"/>
      <c r="Y397" s="30">
        <v>6</v>
      </c>
      <c r="Z397" s="7"/>
      <c r="AA397" s="30">
        <v>0.95</v>
      </c>
      <c r="AB397" s="7"/>
      <c r="AC397" s="30">
        <v>0</v>
      </c>
      <c r="AD397" s="7"/>
      <c r="AE397" s="30">
        <v>0.53</v>
      </c>
      <c r="AF397" s="7"/>
      <c r="AG397" s="30">
        <v>0.06</v>
      </c>
      <c r="AI397" s="32">
        <v>7.54</v>
      </c>
      <c r="AK397" s="7" t="str">
        <f t="shared" si="6"/>
        <v>No</v>
      </c>
    </row>
    <row r="398" spans="1:37">
      <c r="A398" s="7" t="s">
        <v>622</v>
      </c>
      <c r="B398" s="7" t="s">
        <v>284</v>
      </c>
      <c r="C398" s="7" t="s">
        <v>40</v>
      </c>
      <c r="D398" s="302">
        <v>5059</v>
      </c>
      <c r="E398" s="297">
        <v>50059</v>
      </c>
      <c r="F398" s="7" t="s">
        <v>165</v>
      </c>
      <c r="G398" s="7" t="s">
        <v>158</v>
      </c>
      <c r="H398" s="8">
        <v>161316</v>
      </c>
      <c r="I398" s="8">
        <v>60</v>
      </c>
      <c r="J398" s="7" t="s">
        <v>7</v>
      </c>
      <c r="K398" s="7" t="s">
        <v>159</v>
      </c>
      <c r="L398" s="8">
        <v>48</v>
      </c>
      <c r="M398" s="8">
        <v>107790</v>
      </c>
      <c r="N398" s="7"/>
      <c r="O398" s="8">
        <v>38382</v>
      </c>
      <c r="P398" s="7"/>
      <c r="Q398" s="8">
        <v>0</v>
      </c>
      <c r="R398" s="7"/>
      <c r="S398" s="8">
        <v>15520</v>
      </c>
      <c r="T398" s="7"/>
      <c r="U398" s="8">
        <v>0</v>
      </c>
      <c r="V398" s="7"/>
      <c r="W398" s="33">
        <v>161692</v>
      </c>
      <c r="X398" s="7"/>
      <c r="Y398" s="30">
        <v>56</v>
      </c>
      <c r="Z398" s="7"/>
      <c r="AA398" s="30">
        <v>20.100000000000001</v>
      </c>
      <c r="AB398" s="7"/>
      <c r="AC398" s="30">
        <v>0</v>
      </c>
      <c r="AD398" s="7"/>
      <c r="AE398" s="30">
        <v>9.6</v>
      </c>
      <c r="AF398" s="7"/>
      <c r="AG398" s="30">
        <v>0</v>
      </c>
      <c r="AI398" s="32">
        <v>85.7</v>
      </c>
      <c r="AK398" s="7" t="str">
        <f t="shared" si="6"/>
        <v>No</v>
      </c>
    </row>
    <row r="399" spans="1:37">
      <c r="A399" s="7" t="s">
        <v>229</v>
      </c>
      <c r="B399" s="7" t="s">
        <v>230</v>
      </c>
      <c r="C399" s="7" t="s">
        <v>2</v>
      </c>
      <c r="D399" s="302">
        <v>11</v>
      </c>
      <c r="E399" s="297">
        <v>11</v>
      </c>
      <c r="F399" s="7" t="s">
        <v>165</v>
      </c>
      <c r="G399" s="7" t="s">
        <v>158</v>
      </c>
      <c r="H399" s="8">
        <v>349684</v>
      </c>
      <c r="I399" s="8">
        <v>60</v>
      </c>
      <c r="J399" s="7" t="s">
        <v>7</v>
      </c>
      <c r="K399" s="7" t="s">
        <v>159</v>
      </c>
      <c r="L399" s="8">
        <v>40</v>
      </c>
      <c r="M399" s="8">
        <v>120855</v>
      </c>
      <c r="N399" s="7"/>
      <c r="O399" s="8">
        <v>36412</v>
      </c>
      <c r="P399" s="7"/>
      <c r="Q399" s="8">
        <v>0</v>
      </c>
      <c r="R399" s="7"/>
      <c r="S399" s="8">
        <v>11111</v>
      </c>
      <c r="T399" s="7"/>
      <c r="U399" s="8">
        <v>0</v>
      </c>
      <c r="V399" s="7"/>
      <c r="W399" s="33">
        <v>168378</v>
      </c>
      <c r="X399" s="7"/>
      <c r="Y399" s="30">
        <v>66.989999999999995</v>
      </c>
      <c r="Z399" s="7"/>
      <c r="AA399" s="30">
        <v>17.79</v>
      </c>
      <c r="AB399" s="7"/>
      <c r="AC399" s="30">
        <v>0</v>
      </c>
      <c r="AD399" s="7"/>
      <c r="AE399" s="30">
        <v>5.21</v>
      </c>
      <c r="AF399" s="7"/>
      <c r="AG399" s="30">
        <v>0</v>
      </c>
      <c r="AI399" s="32">
        <v>89.99</v>
      </c>
      <c r="AK399" s="7" t="str">
        <f t="shared" si="6"/>
        <v>No</v>
      </c>
    </row>
    <row r="400" spans="1:37">
      <c r="A400" s="7" t="s">
        <v>229</v>
      </c>
      <c r="B400" s="7" t="s">
        <v>230</v>
      </c>
      <c r="C400" s="7" t="s">
        <v>2</v>
      </c>
      <c r="D400" s="302">
        <v>11</v>
      </c>
      <c r="E400" s="297">
        <v>11</v>
      </c>
      <c r="F400" s="7" t="s">
        <v>165</v>
      </c>
      <c r="G400" s="7" t="s">
        <v>158</v>
      </c>
      <c r="H400" s="8">
        <v>349684</v>
      </c>
      <c r="I400" s="8">
        <v>60</v>
      </c>
      <c r="J400" s="7" t="s">
        <v>10</v>
      </c>
      <c r="K400" s="7" t="s">
        <v>159</v>
      </c>
      <c r="L400" s="8">
        <v>20</v>
      </c>
      <c r="M400" s="8">
        <v>39922</v>
      </c>
      <c r="N400" s="7"/>
      <c r="O400" s="8">
        <v>3784</v>
      </c>
      <c r="P400" s="7"/>
      <c r="Q400" s="8">
        <v>0</v>
      </c>
      <c r="R400" s="7"/>
      <c r="S400" s="8">
        <v>1645</v>
      </c>
      <c r="T400" s="7"/>
      <c r="U400" s="8">
        <v>0</v>
      </c>
      <c r="V400" s="7"/>
      <c r="W400" s="33">
        <v>45351</v>
      </c>
      <c r="X400" s="7"/>
      <c r="Y400" s="30">
        <v>18.579999999999998</v>
      </c>
      <c r="Z400" s="7"/>
      <c r="AA400" s="30">
        <v>2.12</v>
      </c>
      <c r="AB400" s="7"/>
      <c r="AC400" s="30">
        <v>0</v>
      </c>
      <c r="AD400" s="7"/>
      <c r="AE400" s="30">
        <v>1</v>
      </c>
      <c r="AF400" s="7"/>
      <c r="AG400" s="30">
        <v>0</v>
      </c>
      <c r="AI400" s="32">
        <v>21.7</v>
      </c>
      <c r="AK400" s="7" t="str">
        <f t="shared" si="6"/>
        <v>No</v>
      </c>
    </row>
    <row r="401" spans="1:37">
      <c r="A401" s="7" t="s">
        <v>622</v>
      </c>
      <c r="B401" s="7" t="s">
        <v>284</v>
      </c>
      <c r="C401" s="7" t="s">
        <v>40</v>
      </c>
      <c r="D401" s="302">
        <v>5059</v>
      </c>
      <c r="E401" s="297">
        <v>50059</v>
      </c>
      <c r="F401" s="7" t="s">
        <v>165</v>
      </c>
      <c r="G401" s="7" t="s">
        <v>158</v>
      </c>
      <c r="H401" s="8">
        <v>161316</v>
      </c>
      <c r="I401" s="8">
        <v>60</v>
      </c>
      <c r="J401" s="7" t="s">
        <v>10</v>
      </c>
      <c r="K401" s="7" t="s">
        <v>159</v>
      </c>
      <c r="L401" s="8">
        <v>12</v>
      </c>
      <c r="M401" s="8">
        <v>9323</v>
      </c>
      <c r="N401" s="7"/>
      <c r="O401" s="8">
        <v>1811</v>
      </c>
      <c r="P401" s="7"/>
      <c r="Q401" s="8">
        <v>0</v>
      </c>
      <c r="R401" s="7"/>
      <c r="S401" s="8">
        <v>2520</v>
      </c>
      <c r="T401" s="7"/>
      <c r="U401" s="8">
        <v>0</v>
      </c>
      <c r="V401" s="7"/>
      <c r="W401" s="33">
        <v>13654</v>
      </c>
      <c r="X401" s="7"/>
      <c r="Y401" s="30">
        <v>4</v>
      </c>
      <c r="Z401" s="7"/>
      <c r="AA401" s="30">
        <v>0.9</v>
      </c>
      <c r="AB401" s="7"/>
      <c r="AC401" s="30">
        <v>0</v>
      </c>
      <c r="AD401" s="7"/>
      <c r="AE401" s="30">
        <v>1.4</v>
      </c>
      <c r="AF401" s="7"/>
      <c r="AG401" s="30">
        <v>0</v>
      </c>
      <c r="AI401" s="32">
        <v>6.3</v>
      </c>
      <c r="AK401" s="7" t="str">
        <f t="shared" si="6"/>
        <v>No</v>
      </c>
    </row>
    <row r="402" spans="1:37">
      <c r="A402" s="7" t="s">
        <v>66</v>
      </c>
      <c r="B402" s="7" t="s">
        <v>350</v>
      </c>
      <c r="C402" s="7" t="s">
        <v>63</v>
      </c>
      <c r="D402" s="302">
        <v>2163</v>
      </c>
      <c r="E402" s="297">
        <v>20163</v>
      </c>
      <c r="F402" s="7" t="s">
        <v>173</v>
      </c>
      <c r="G402" s="7" t="s">
        <v>158</v>
      </c>
      <c r="H402" s="8">
        <v>18351295</v>
      </c>
      <c r="I402" s="8">
        <v>59</v>
      </c>
      <c r="J402" s="7" t="s">
        <v>18</v>
      </c>
      <c r="K402" s="7" t="s">
        <v>159</v>
      </c>
      <c r="L402" s="8">
        <v>59</v>
      </c>
      <c r="M402" s="8">
        <v>144300</v>
      </c>
      <c r="N402" s="7"/>
      <c r="O402" s="8">
        <v>45784</v>
      </c>
      <c r="P402" s="7"/>
      <c r="Q402" s="8">
        <v>7650</v>
      </c>
      <c r="R402" s="7"/>
      <c r="S402" s="8">
        <v>31095</v>
      </c>
      <c r="T402" s="7"/>
      <c r="U402" s="8">
        <v>0</v>
      </c>
      <c r="V402" s="7"/>
      <c r="W402" s="33">
        <v>228829</v>
      </c>
      <c r="X402" s="7"/>
      <c r="Y402" s="30">
        <v>78</v>
      </c>
      <c r="Z402" s="7"/>
      <c r="AA402" s="30">
        <v>24</v>
      </c>
      <c r="AB402" s="7"/>
      <c r="AC402" s="30">
        <v>4</v>
      </c>
      <c r="AD402" s="7"/>
      <c r="AE402" s="30">
        <v>20</v>
      </c>
      <c r="AF402" s="7"/>
      <c r="AG402" s="30">
        <v>0</v>
      </c>
      <c r="AI402" s="32">
        <v>126</v>
      </c>
      <c r="AK402" s="7" t="str">
        <f t="shared" si="6"/>
        <v>No</v>
      </c>
    </row>
    <row r="403" spans="1:37">
      <c r="A403" s="7" t="s">
        <v>754</v>
      </c>
      <c r="B403" s="7" t="s">
        <v>755</v>
      </c>
      <c r="C403" s="7" t="s">
        <v>45</v>
      </c>
      <c r="D403" s="302">
        <v>4191</v>
      </c>
      <c r="E403" s="297">
        <v>40191</v>
      </c>
      <c r="F403" s="7" t="s">
        <v>165</v>
      </c>
      <c r="G403" s="7" t="s">
        <v>158</v>
      </c>
      <c r="H403" s="8">
        <v>73467</v>
      </c>
      <c r="I403" s="8">
        <v>59</v>
      </c>
      <c r="J403" s="7" t="s">
        <v>10</v>
      </c>
      <c r="K403" s="7" t="s">
        <v>159</v>
      </c>
      <c r="L403" s="8">
        <v>36</v>
      </c>
      <c r="M403" s="8">
        <v>100078</v>
      </c>
      <c r="N403" s="7"/>
      <c r="O403" s="8">
        <v>2345</v>
      </c>
      <c r="P403" s="7"/>
      <c r="Q403" s="8">
        <v>2167</v>
      </c>
      <c r="R403" s="7"/>
      <c r="S403" s="8">
        <v>12345</v>
      </c>
      <c r="T403" s="7"/>
      <c r="U403" s="8">
        <v>0</v>
      </c>
      <c r="V403" s="7"/>
      <c r="W403" s="33">
        <v>116935</v>
      </c>
      <c r="X403" s="7"/>
      <c r="Y403" s="30">
        <v>84</v>
      </c>
      <c r="Z403" s="7"/>
      <c r="AA403" s="30">
        <v>1</v>
      </c>
      <c r="AB403" s="7"/>
      <c r="AC403" s="30">
        <v>1</v>
      </c>
      <c r="AD403" s="7"/>
      <c r="AE403" s="30">
        <v>6</v>
      </c>
      <c r="AF403" s="7"/>
      <c r="AG403" s="30">
        <v>0</v>
      </c>
      <c r="AI403" s="32">
        <v>92</v>
      </c>
      <c r="AK403" s="7" t="str">
        <f t="shared" si="6"/>
        <v>No</v>
      </c>
    </row>
    <row r="404" spans="1:37">
      <c r="A404" s="7" t="s">
        <v>754</v>
      </c>
      <c r="B404" s="7" t="s">
        <v>755</v>
      </c>
      <c r="C404" s="7" t="s">
        <v>45</v>
      </c>
      <c r="D404" s="302">
        <v>4191</v>
      </c>
      <c r="E404" s="297">
        <v>40191</v>
      </c>
      <c r="F404" s="7" t="s">
        <v>165</v>
      </c>
      <c r="G404" s="7" t="s">
        <v>158</v>
      </c>
      <c r="H404" s="8">
        <v>73467</v>
      </c>
      <c r="I404" s="8">
        <v>59</v>
      </c>
      <c r="J404" s="7" t="s">
        <v>8</v>
      </c>
      <c r="K404" s="7" t="s">
        <v>159</v>
      </c>
      <c r="L404" s="8">
        <v>18</v>
      </c>
      <c r="M404" s="8">
        <v>0</v>
      </c>
      <c r="N404" s="7"/>
      <c r="O404" s="8">
        <v>260</v>
      </c>
      <c r="P404" s="7"/>
      <c r="Q404" s="8">
        <v>235</v>
      </c>
      <c r="R404" s="7"/>
      <c r="S404" s="8">
        <v>965</v>
      </c>
      <c r="T404" s="7"/>
      <c r="U404" s="8">
        <v>0</v>
      </c>
      <c r="V404" s="7"/>
      <c r="W404" s="33">
        <v>1460</v>
      </c>
      <c r="X404" s="7"/>
      <c r="Y404" s="30">
        <v>0</v>
      </c>
      <c r="Z404" s="7"/>
      <c r="AA404" s="30">
        <v>0.15</v>
      </c>
      <c r="AB404" s="7"/>
      <c r="AC404" s="30">
        <v>0.15</v>
      </c>
      <c r="AD404" s="7"/>
      <c r="AE404" s="30">
        <v>0.5</v>
      </c>
      <c r="AF404" s="7"/>
      <c r="AG404" s="30">
        <v>0</v>
      </c>
      <c r="AI404" s="32">
        <v>0.8</v>
      </c>
      <c r="AK404" s="7" t="str">
        <f t="shared" si="6"/>
        <v>No</v>
      </c>
    </row>
    <row r="405" spans="1:37">
      <c r="A405" s="7" t="s">
        <v>754</v>
      </c>
      <c r="B405" s="7" t="s">
        <v>755</v>
      </c>
      <c r="C405" s="7" t="s">
        <v>45</v>
      </c>
      <c r="D405" s="302">
        <v>4191</v>
      </c>
      <c r="E405" s="297">
        <v>40191</v>
      </c>
      <c r="F405" s="7" t="s">
        <v>165</v>
      </c>
      <c r="G405" s="7" t="s">
        <v>158</v>
      </c>
      <c r="H405" s="8">
        <v>73467</v>
      </c>
      <c r="I405" s="8">
        <v>59</v>
      </c>
      <c r="J405" s="7" t="s">
        <v>7</v>
      </c>
      <c r="K405" s="7" t="s">
        <v>159</v>
      </c>
      <c r="L405" s="8">
        <v>5</v>
      </c>
      <c r="M405" s="8">
        <v>9822</v>
      </c>
      <c r="N405" s="7"/>
      <c r="O405" s="8">
        <v>81</v>
      </c>
      <c r="P405" s="7"/>
      <c r="Q405" s="8">
        <v>223</v>
      </c>
      <c r="R405" s="7"/>
      <c r="S405" s="8">
        <v>1050</v>
      </c>
      <c r="T405" s="7"/>
      <c r="U405" s="8">
        <v>0</v>
      </c>
      <c r="V405" s="7"/>
      <c r="W405" s="33">
        <v>11176</v>
      </c>
      <c r="X405" s="7"/>
      <c r="Y405" s="30">
        <v>6</v>
      </c>
      <c r="Z405" s="7"/>
      <c r="AA405" s="30">
        <v>0.04</v>
      </c>
      <c r="AB405" s="7"/>
      <c r="AC405" s="30">
        <v>0.11</v>
      </c>
      <c r="AD405" s="7"/>
      <c r="AE405" s="30">
        <v>0.5</v>
      </c>
      <c r="AF405" s="7"/>
      <c r="AG405" s="30">
        <v>0</v>
      </c>
      <c r="AI405" s="32">
        <v>6.65</v>
      </c>
      <c r="AK405" s="7" t="str">
        <f t="shared" si="6"/>
        <v>No</v>
      </c>
    </row>
    <row r="406" spans="1:37">
      <c r="A406" s="7" t="s">
        <v>366</v>
      </c>
      <c r="B406" s="7" t="s">
        <v>367</v>
      </c>
      <c r="C406" s="7" t="s">
        <v>89</v>
      </c>
      <c r="D406" s="302">
        <v>5</v>
      </c>
      <c r="E406" s="297">
        <v>5</v>
      </c>
      <c r="F406" s="7" t="s">
        <v>162</v>
      </c>
      <c r="G406" s="7" t="s">
        <v>158</v>
      </c>
      <c r="H406" s="8">
        <v>3059393</v>
      </c>
      <c r="I406" s="8">
        <v>58</v>
      </c>
      <c r="J406" s="7" t="s">
        <v>7</v>
      </c>
      <c r="K406" s="7" t="s">
        <v>159</v>
      </c>
      <c r="L406" s="8">
        <v>34</v>
      </c>
      <c r="M406" s="8">
        <v>134544</v>
      </c>
      <c r="N406" s="7"/>
      <c r="O406" s="8">
        <v>15357</v>
      </c>
      <c r="P406" s="7"/>
      <c r="Q406" s="8">
        <v>8104</v>
      </c>
      <c r="R406" s="7"/>
      <c r="S406" s="8">
        <v>28818</v>
      </c>
      <c r="T406" s="7"/>
      <c r="U406" s="8">
        <v>0</v>
      </c>
      <c r="V406" s="7"/>
      <c r="W406" s="33">
        <v>186823</v>
      </c>
      <c r="X406" s="7"/>
      <c r="Y406" s="30">
        <v>76.3</v>
      </c>
      <c r="Z406" s="7"/>
      <c r="AA406" s="30">
        <v>7.5</v>
      </c>
      <c r="AB406" s="7"/>
      <c r="AC406" s="30">
        <v>6.6</v>
      </c>
      <c r="AD406" s="7"/>
      <c r="AE406" s="30">
        <v>13.4</v>
      </c>
      <c r="AF406" s="7"/>
      <c r="AG406" s="30">
        <v>0</v>
      </c>
      <c r="AI406" s="32">
        <v>103.8</v>
      </c>
      <c r="AK406" s="7" t="str">
        <f t="shared" si="6"/>
        <v>No</v>
      </c>
    </row>
    <row r="407" spans="1:37">
      <c r="A407" s="7" t="s">
        <v>366</v>
      </c>
      <c r="B407" s="7" t="s">
        <v>367</v>
      </c>
      <c r="C407" s="7" t="s">
        <v>89</v>
      </c>
      <c r="D407" s="302">
        <v>5</v>
      </c>
      <c r="E407" s="297">
        <v>5</v>
      </c>
      <c r="F407" s="7" t="s">
        <v>162</v>
      </c>
      <c r="G407" s="7" t="s">
        <v>158</v>
      </c>
      <c r="H407" s="8">
        <v>3059393</v>
      </c>
      <c r="I407" s="8">
        <v>58</v>
      </c>
      <c r="J407" s="7" t="s">
        <v>10</v>
      </c>
      <c r="K407" s="7" t="s">
        <v>159</v>
      </c>
      <c r="L407" s="8">
        <v>24</v>
      </c>
      <c r="M407" s="8">
        <v>74957</v>
      </c>
      <c r="N407" s="7"/>
      <c r="O407" s="8">
        <v>9098</v>
      </c>
      <c r="P407" s="7"/>
      <c r="Q407" s="8">
        <v>4206</v>
      </c>
      <c r="R407" s="7"/>
      <c r="S407" s="8">
        <v>16338</v>
      </c>
      <c r="T407" s="7"/>
      <c r="U407" s="8">
        <v>0</v>
      </c>
      <c r="V407" s="7"/>
      <c r="W407" s="33">
        <v>104599</v>
      </c>
      <c r="X407" s="7"/>
      <c r="Y407" s="30">
        <v>39.700000000000003</v>
      </c>
      <c r="Z407" s="7"/>
      <c r="AA407" s="30">
        <v>4.5</v>
      </c>
      <c r="AB407" s="7"/>
      <c r="AC407" s="30">
        <v>3.5</v>
      </c>
      <c r="AD407" s="7"/>
      <c r="AE407" s="30">
        <v>8.4</v>
      </c>
      <c r="AF407" s="7"/>
      <c r="AG407" s="30">
        <v>0</v>
      </c>
      <c r="AI407" s="32">
        <v>56.1</v>
      </c>
      <c r="AK407" s="7" t="str">
        <f t="shared" si="6"/>
        <v>No</v>
      </c>
    </row>
    <row r="408" spans="1:37">
      <c r="A408" s="7" t="s">
        <v>65</v>
      </c>
      <c r="B408" s="7" t="s">
        <v>346</v>
      </c>
      <c r="C408" s="7" t="s">
        <v>63</v>
      </c>
      <c r="D408" s="302">
        <v>2161</v>
      </c>
      <c r="E408" s="297">
        <v>20161</v>
      </c>
      <c r="F408" s="7" t="s">
        <v>173</v>
      </c>
      <c r="G408" s="7" t="s">
        <v>158</v>
      </c>
      <c r="H408" s="8">
        <v>18351295</v>
      </c>
      <c r="I408" s="8">
        <v>57</v>
      </c>
      <c r="J408" s="7" t="s">
        <v>18</v>
      </c>
      <c r="K408" s="7" t="s">
        <v>159</v>
      </c>
      <c r="L408" s="8">
        <v>57</v>
      </c>
      <c r="M408" s="8">
        <v>207716</v>
      </c>
      <c r="N408" s="7"/>
      <c r="O408" s="8">
        <v>63611</v>
      </c>
      <c r="P408" s="7"/>
      <c r="Q408" s="8">
        <v>0</v>
      </c>
      <c r="R408" s="7"/>
      <c r="S408" s="8">
        <v>43279</v>
      </c>
      <c r="T408" s="7"/>
      <c r="U408" s="8">
        <v>0</v>
      </c>
      <c r="V408" s="7"/>
      <c r="W408" s="33">
        <v>314606</v>
      </c>
      <c r="X408" s="7"/>
      <c r="Y408" s="30">
        <v>104</v>
      </c>
      <c r="Z408" s="7"/>
      <c r="AA408" s="30">
        <v>32</v>
      </c>
      <c r="AB408" s="7"/>
      <c r="AC408" s="30">
        <v>0</v>
      </c>
      <c r="AD408" s="7"/>
      <c r="AE408" s="30">
        <v>22</v>
      </c>
      <c r="AF408" s="7"/>
      <c r="AG408" s="30">
        <v>0</v>
      </c>
      <c r="AI408" s="32">
        <v>158</v>
      </c>
      <c r="AK408" s="7" t="str">
        <f t="shared" si="6"/>
        <v>No</v>
      </c>
    </row>
    <row r="409" spans="1:37">
      <c r="A409" s="7" t="s">
        <v>356</v>
      </c>
      <c r="B409" s="7" t="s">
        <v>357</v>
      </c>
      <c r="C409" s="7" t="s">
        <v>54</v>
      </c>
      <c r="D409" s="302">
        <v>5025</v>
      </c>
      <c r="E409" s="297">
        <v>50025</v>
      </c>
      <c r="F409" s="7" t="s">
        <v>165</v>
      </c>
      <c r="G409" s="7" t="s">
        <v>158</v>
      </c>
      <c r="H409" s="8">
        <v>120378</v>
      </c>
      <c r="I409" s="8">
        <v>57</v>
      </c>
      <c r="J409" s="7" t="s">
        <v>7</v>
      </c>
      <c r="K409" s="7" t="s">
        <v>159</v>
      </c>
      <c r="L409" s="8">
        <v>50</v>
      </c>
      <c r="M409" s="8">
        <v>174498</v>
      </c>
      <c r="N409" s="7"/>
      <c r="O409" s="8">
        <v>25368</v>
      </c>
      <c r="P409" s="7"/>
      <c r="Q409" s="8">
        <v>19781</v>
      </c>
      <c r="R409" s="7"/>
      <c r="S409" s="8">
        <v>27686</v>
      </c>
      <c r="T409" s="7"/>
      <c r="U409" s="8">
        <v>0</v>
      </c>
      <c r="V409" s="7"/>
      <c r="W409" s="33">
        <v>247333</v>
      </c>
      <c r="X409" s="7"/>
      <c r="Y409" s="30">
        <v>96</v>
      </c>
      <c r="Z409" s="7"/>
      <c r="AA409" s="30">
        <v>14</v>
      </c>
      <c r="AB409" s="7"/>
      <c r="AC409" s="30">
        <v>11</v>
      </c>
      <c r="AD409" s="7"/>
      <c r="AE409" s="30">
        <v>16</v>
      </c>
      <c r="AF409" s="7"/>
      <c r="AG409" s="30">
        <v>0</v>
      </c>
      <c r="AI409" s="32">
        <v>137</v>
      </c>
      <c r="AK409" s="7" t="str">
        <f t="shared" si="6"/>
        <v>No</v>
      </c>
    </row>
    <row r="410" spans="1:37">
      <c r="A410" s="7" t="s">
        <v>761</v>
      </c>
      <c r="B410" s="7" t="s">
        <v>762</v>
      </c>
      <c r="C410" s="7" t="s">
        <v>63</v>
      </c>
      <c r="D410" s="302">
        <v>2204</v>
      </c>
      <c r="E410" s="297">
        <v>20204</v>
      </c>
      <c r="F410" s="7" t="s">
        <v>187</v>
      </c>
      <c r="G410" s="7" t="s">
        <v>158</v>
      </c>
      <c r="H410" s="8">
        <v>5441567</v>
      </c>
      <c r="I410" s="8">
        <v>56</v>
      </c>
      <c r="J410" s="7" t="s">
        <v>10</v>
      </c>
      <c r="K410" s="7" t="s">
        <v>159</v>
      </c>
      <c r="L410" s="8">
        <v>56</v>
      </c>
      <c r="M410" s="8">
        <v>60656</v>
      </c>
      <c r="N410" s="7"/>
      <c r="O410" s="8">
        <v>4237</v>
      </c>
      <c r="P410" s="7"/>
      <c r="Q410" s="8">
        <v>0</v>
      </c>
      <c r="R410" s="7"/>
      <c r="S410" s="8">
        <v>11942</v>
      </c>
      <c r="T410" s="7"/>
      <c r="U410" s="8">
        <v>0</v>
      </c>
      <c r="V410" s="7"/>
      <c r="W410" s="33">
        <v>76835</v>
      </c>
      <c r="X410" s="7"/>
      <c r="Y410" s="30">
        <v>47</v>
      </c>
      <c r="Z410" s="7"/>
      <c r="AA410" s="30">
        <v>2</v>
      </c>
      <c r="AB410" s="7"/>
      <c r="AC410" s="30">
        <v>0</v>
      </c>
      <c r="AD410" s="7"/>
      <c r="AE410" s="30">
        <v>7</v>
      </c>
      <c r="AF410" s="7"/>
      <c r="AG410" s="30">
        <v>0</v>
      </c>
      <c r="AI410" s="32">
        <v>56</v>
      </c>
      <c r="AK410" s="7" t="str">
        <f t="shared" si="6"/>
        <v>No</v>
      </c>
    </row>
    <row r="411" spans="1:37">
      <c r="A411" s="7" t="s">
        <v>430</v>
      </c>
      <c r="B411" s="7" t="s">
        <v>431</v>
      </c>
      <c r="C411" s="7" t="s">
        <v>96</v>
      </c>
      <c r="D411" s="302">
        <v>3001</v>
      </c>
      <c r="E411" s="297">
        <v>30001</v>
      </c>
      <c r="F411" s="7" t="s">
        <v>165</v>
      </c>
      <c r="G411" s="7" t="s">
        <v>158</v>
      </c>
      <c r="H411" s="8">
        <v>153199</v>
      </c>
      <c r="I411" s="8">
        <v>54</v>
      </c>
      <c r="J411" s="7" t="s">
        <v>7</v>
      </c>
      <c r="K411" s="7" t="s">
        <v>159</v>
      </c>
      <c r="L411" s="8">
        <v>42</v>
      </c>
      <c r="M411" s="8">
        <v>171193</v>
      </c>
      <c r="N411" s="7"/>
      <c r="O411" s="8">
        <v>47632</v>
      </c>
      <c r="P411" s="7"/>
      <c r="Q411" s="8">
        <v>3652</v>
      </c>
      <c r="R411" s="7"/>
      <c r="S411" s="8">
        <v>21157</v>
      </c>
      <c r="T411" s="7"/>
      <c r="U411" s="8">
        <v>0</v>
      </c>
      <c r="V411" s="7"/>
      <c r="W411" s="33">
        <v>243634</v>
      </c>
      <c r="X411" s="7"/>
      <c r="Y411" s="30">
        <v>90</v>
      </c>
      <c r="Z411" s="7"/>
      <c r="AA411" s="30">
        <v>24</v>
      </c>
      <c r="AB411" s="7"/>
      <c r="AC411" s="30">
        <v>1.84</v>
      </c>
      <c r="AD411" s="7"/>
      <c r="AE411" s="30">
        <v>10.199999999999999</v>
      </c>
      <c r="AF411" s="7"/>
      <c r="AG411" s="30">
        <v>0</v>
      </c>
      <c r="AI411" s="32">
        <v>126.04</v>
      </c>
      <c r="AK411" s="7" t="str">
        <f t="shared" si="6"/>
        <v>No</v>
      </c>
    </row>
    <row r="412" spans="1:37">
      <c r="A412" s="7" t="s">
        <v>233</v>
      </c>
      <c r="B412" s="7" t="s">
        <v>234</v>
      </c>
      <c r="C412" s="7" t="s">
        <v>70</v>
      </c>
      <c r="D412" s="302">
        <v>2003</v>
      </c>
      <c r="E412" s="297">
        <v>20003</v>
      </c>
      <c r="F412" s="7" t="s">
        <v>162</v>
      </c>
      <c r="G412" s="7" t="s">
        <v>158</v>
      </c>
      <c r="H412" s="8">
        <v>158084</v>
      </c>
      <c r="I412" s="8">
        <v>54</v>
      </c>
      <c r="J412" s="7" t="s">
        <v>7</v>
      </c>
      <c r="K412" s="7" t="s">
        <v>159</v>
      </c>
      <c r="L412" s="8">
        <v>38</v>
      </c>
      <c r="M412" s="8">
        <v>92231</v>
      </c>
      <c r="N412" s="7"/>
      <c r="O412" s="8">
        <v>22709</v>
      </c>
      <c r="P412" s="7"/>
      <c r="Q412" s="8">
        <v>3841</v>
      </c>
      <c r="R412" s="7"/>
      <c r="S412" s="8">
        <v>5193</v>
      </c>
      <c r="T412" s="7"/>
      <c r="U412" s="8">
        <v>0</v>
      </c>
      <c r="V412" s="7"/>
      <c r="W412" s="33">
        <v>123974</v>
      </c>
      <c r="X412" s="7"/>
      <c r="Y412" s="30">
        <v>49</v>
      </c>
      <c r="Z412" s="7"/>
      <c r="AA412" s="30">
        <v>14</v>
      </c>
      <c r="AB412" s="7"/>
      <c r="AC412" s="30">
        <v>2</v>
      </c>
      <c r="AD412" s="7"/>
      <c r="AE412" s="30">
        <v>3</v>
      </c>
      <c r="AF412" s="7"/>
      <c r="AG412" s="30">
        <v>0</v>
      </c>
      <c r="AI412" s="32">
        <v>68</v>
      </c>
      <c r="AK412" s="7" t="str">
        <f t="shared" si="6"/>
        <v>No</v>
      </c>
    </row>
    <row r="413" spans="1:37">
      <c r="A413" s="7" t="s">
        <v>445</v>
      </c>
      <c r="B413" s="7" t="s">
        <v>446</v>
      </c>
      <c r="C413" s="7" t="s">
        <v>84</v>
      </c>
      <c r="D413" s="302">
        <v>6009</v>
      </c>
      <c r="E413" s="297">
        <v>60009</v>
      </c>
      <c r="F413" s="7" t="s">
        <v>162</v>
      </c>
      <c r="G413" s="7" t="s">
        <v>158</v>
      </c>
      <c r="H413" s="8">
        <v>235730</v>
      </c>
      <c r="I413" s="8">
        <v>54</v>
      </c>
      <c r="J413" s="7" t="s">
        <v>7</v>
      </c>
      <c r="K413" s="7" t="s">
        <v>159</v>
      </c>
      <c r="L413" s="8">
        <v>36</v>
      </c>
      <c r="M413" s="8">
        <v>171708</v>
      </c>
      <c r="N413" s="7"/>
      <c r="O413" s="8">
        <v>48202</v>
      </c>
      <c r="P413" s="7"/>
      <c r="Q413" s="8">
        <v>18590</v>
      </c>
      <c r="R413" s="7"/>
      <c r="S413" s="8">
        <v>12398</v>
      </c>
      <c r="T413" s="7"/>
      <c r="U413" s="8">
        <v>0</v>
      </c>
      <c r="V413" s="7"/>
      <c r="W413" s="33">
        <v>250898</v>
      </c>
      <c r="X413" s="7"/>
      <c r="Y413" s="30">
        <v>86</v>
      </c>
      <c r="Z413" s="7"/>
      <c r="AA413" s="30">
        <v>28</v>
      </c>
      <c r="AB413" s="7"/>
      <c r="AC413" s="30">
        <v>12</v>
      </c>
      <c r="AD413" s="7"/>
      <c r="AE413" s="30">
        <v>8</v>
      </c>
      <c r="AF413" s="7"/>
      <c r="AG413" s="30">
        <v>0</v>
      </c>
      <c r="AI413" s="32">
        <v>134</v>
      </c>
      <c r="AK413" s="7" t="str">
        <f t="shared" si="6"/>
        <v>No</v>
      </c>
    </row>
    <row r="414" spans="1:37">
      <c r="A414" s="7" t="s">
        <v>602</v>
      </c>
      <c r="B414" s="7" t="s">
        <v>603</v>
      </c>
      <c r="C414" s="7" t="s">
        <v>46</v>
      </c>
      <c r="D414" s="302">
        <v>6024</v>
      </c>
      <c r="E414" s="297">
        <v>60024</v>
      </c>
      <c r="F414" s="7" t="s">
        <v>162</v>
      </c>
      <c r="G414" s="7" t="s">
        <v>158</v>
      </c>
      <c r="H414" s="8">
        <v>298317</v>
      </c>
      <c r="I414" s="8">
        <v>54</v>
      </c>
      <c r="J414" s="7" t="s">
        <v>7</v>
      </c>
      <c r="K414" s="7" t="s">
        <v>159</v>
      </c>
      <c r="L414" s="8">
        <v>36</v>
      </c>
      <c r="M414" s="8">
        <v>205621</v>
      </c>
      <c r="N414" s="7"/>
      <c r="O414" s="8">
        <v>32977</v>
      </c>
      <c r="P414" s="7"/>
      <c r="Q414" s="8">
        <v>23131</v>
      </c>
      <c r="R414" s="7"/>
      <c r="S414" s="8">
        <v>13468</v>
      </c>
      <c r="T414" s="7"/>
      <c r="U414" s="8">
        <v>0</v>
      </c>
      <c r="V414" s="7"/>
      <c r="W414" s="33">
        <v>275197</v>
      </c>
      <c r="X414" s="7"/>
      <c r="Y414" s="30">
        <v>94.05</v>
      </c>
      <c r="Z414" s="7"/>
      <c r="AA414" s="30">
        <v>15.3</v>
      </c>
      <c r="AB414" s="7"/>
      <c r="AC414" s="30">
        <v>10.199999999999999</v>
      </c>
      <c r="AD414" s="7"/>
      <c r="AE414" s="30">
        <v>6.8</v>
      </c>
      <c r="AF414" s="7"/>
      <c r="AG414" s="30">
        <v>0</v>
      </c>
      <c r="AI414" s="32">
        <v>126.35</v>
      </c>
      <c r="AK414" s="7" t="str">
        <f t="shared" si="6"/>
        <v>No</v>
      </c>
    </row>
    <row r="415" spans="1:37">
      <c r="A415" s="7" t="s">
        <v>1129</v>
      </c>
      <c r="B415" s="7" t="s">
        <v>654</v>
      </c>
      <c r="C415" s="7" t="s">
        <v>26</v>
      </c>
      <c r="D415" s="302">
        <v>8011</v>
      </c>
      <c r="E415" s="297">
        <v>80011</v>
      </c>
      <c r="F415" s="7" t="s">
        <v>162</v>
      </c>
      <c r="G415" s="7" t="s">
        <v>158</v>
      </c>
      <c r="H415" s="8">
        <v>264465</v>
      </c>
      <c r="I415" s="8">
        <v>54</v>
      </c>
      <c r="J415" s="7" t="s">
        <v>7</v>
      </c>
      <c r="K415" s="7" t="s">
        <v>159</v>
      </c>
      <c r="L415" s="8">
        <v>36</v>
      </c>
      <c r="M415" s="8">
        <v>86703</v>
      </c>
      <c r="N415" s="7"/>
      <c r="O415" s="8">
        <v>0</v>
      </c>
      <c r="P415" s="7"/>
      <c r="Q415" s="8">
        <v>0</v>
      </c>
      <c r="R415" s="7"/>
      <c r="S415" s="8">
        <v>23212</v>
      </c>
      <c r="T415" s="7"/>
      <c r="U415" s="8">
        <v>0</v>
      </c>
      <c r="V415" s="7"/>
      <c r="W415" s="33">
        <v>109915</v>
      </c>
      <c r="X415" s="7"/>
      <c r="Y415" s="30">
        <v>52.2</v>
      </c>
      <c r="Z415" s="7"/>
      <c r="AA415" s="30">
        <v>0</v>
      </c>
      <c r="AB415" s="7"/>
      <c r="AC415" s="30">
        <v>0</v>
      </c>
      <c r="AD415" s="7"/>
      <c r="AE415" s="30">
        <v>15.82</v>
      </c>
      <c r="AF415" s="7"/>
      <c r="AG415" s="30">
        <v>0</v>
      </c>
      <c r="AI415" s="32">
        <v>68.02</v>
      </c>
      <c r="AK415" s="7" t="str">
        <f t="shared" si="6"/>
        <v>No</v>
      </c>
    </row>
    <row r="416" spans="1:37">
      <c r="A416" s="7" t="s">
        <v>244</v>
      </c>
      <c r="B416" s="7" t="s">
        <v>245</v>
      </c>
      <c r="C416" s="7" t="s">
        <v>77</v>
      </c>
      <c r="D416" s="302">
        <v>3012</v>
      </c>
      <c r="E416" s="297">
        <v>30012</v>
      </c>
      <c r="F416" s="7" t="s">
        <v>165</v>
      </c>
      <c r="G416" s="7" t="s">
        <v>158</v>
      </c>
      <c r="H416" s="8">
        <v>69014</v>
      </c>
      <c r="I416" s="8">
        <v>54</v>
      </c>
      <c r="J416" s="7" t="s">
        <v>7</v>
      </c>
      <c r="K416" s="7" t="s">
        <v>159</v>
      </c>
      <c r="L416" s="8">
        <v>32</v>
      </c>
      <c r="M416" s="8">
        <v>94067</v>
      </c>
      <c r="N416" s="7"/>
      <c r="O416" s="8">
        <v>28725</v>
      </c>
      <c r="P416" s="7"/>
      <c r="Q416" s="8">
        <v>9546</v>
      </c>
      <c r="R416" s="7"/>
      <c r="S416" s="8">
        <v>25968</v>
      </c>
      <c r="T416" s="7"/>
      <c r="U416" s="8">
        <v>0</v>
      </c>
      <c r="V416" s="7"/>
      <c r="W416" s="33">
        <v>158306</v>
      </c>
      <c r="X416" s="7"/>
      <c r="Y416" s="30">
        <v>52.42</v>
      </c>
      <c r="Z416" s="7"/>
      <c r="AA416" s="30">
        <v>14.14</v>
      </c>
      <c r="AB416" s="7"/>
      <c r="AC416" s="30">
        <v>6.43</v>
      </c>
      <c r="AD416" s="7"/>
      <c r="AE416" s="30">
        <v>12.19</v>
      </c>
      <c r="AF416" s="7"/>
      <c r="AG416" s="30">
        <v>0</v>
      </c>
      <c r="AI416" s="32">
        <v>85.18</v>
      </c>
      <c r="AK416" s="7" t="str">
        <f t="shared" si="6"/>
        <v>No</v>
      </c>
    </row>
    <row r="417" spans="1:37">
      <c r="A417" s="7" t="s">
        <v>244</v>
      </c>
      <c r="B417" s="7" t="s">
        <v>245</v>
      </c>
      <c r="C417" s="7" t="s">
        <v>77</v>
      </c>
      <c r="D417" s="302">
        <v>3012</v>
      </c>
      <c r="E417" s="297">
        <v>30012</v>
      </c>
      <c r="F417" s="7" t="s">
        <v>165</v>
      </c>
      <c r="G417" s="7" t="s">
        <v>158</v>
      </c>
      <c r="H417" s="8">
        <v>69014</v>
      </c>
      <c r="I417" s="8">
        <v>54</v>
      </c>
      <c r="J417" s="7" t="s">
        <v>10</v>
      </c>
      <c r="K417" s="7" t="s">
        <v>159</v>
      </c>
      <c r="L417" s="8">
        <v>20</v>
      </c>
      <c r="M417" s="8">
        <v>17016</v>
      </c>
      <c r="N417" s="7"/>
      <c r="O417" s="8">
        <v>5216</v>
      </c>
      <c r="P417" s="7"/>
      <c r="Q417" s="8">
        <v>737</v>
      </c>
      <c r="R417" s="7"/>
      <c r="S417" s="8">
        <v>3587</v>
      </c>
      <c r="T417" s="7"/>
      <c r="U417" s="8">
        <v>0</v>
      </c>
      <c r="V417" s="7"/>
      <c r="W417" s="33">
        <v>26556</v>
      </c>
      <c r="X417" s="7"/>
      <c r="Y417" s="30">
        <v>12.58</v>
      </c>
      <c r="Z417" s="7"/>
      <c r="AA417" s="30">
        <v>2.86</v>
      </c>
      <c r="AB417" s="7"/>
      <c r="AC417" s="30">
        <v>0.56999999999999995</v>
      </c>
      <c r="AD417" s="7"/>
      <c r="AE417" s="30">
        <v>1.81</v>
      </c>
      <c r="AF417" s="7"/>
      <c r="AG417" s="30">
        <v>0</v>
      </c>
      <c r="AI417" s="32">
        <v>17.82</v>
      </c>
      <c r="AK417" s="7" t="str">
        <f t="shared" si="6"/>
        <v>No</v>
      </c>
    </row>
    <row r="418" spans="1:37">
      <c r="A418" s="7" t="s">
        <v>445</v>
      </c>
      <c r="B418" s="7" t="s">
        <v>446</v>
      </c>
      <c r="C418" s="7" t="s">
        <v>84</v>
      </c>
      <c r="D418" s="302">
        <v>6009</v>
      </c>
      <c r="E418" s="297">
        <v>60009</v>
      </c>
      <c r="F418" s="7" t="s">
        <v>162</v>
      </c>
      <c r="G418" s="7" t="s">
        <v>158</v>
      </c>
      <c r="H418" s="8">
        <v>235730</v>
      </c>
      <c r="I418" s="8">
        <v>54</v>
      </c>
      <c r="J418" s="7" t="s">
        <v>10</v>
      </c>
      <c r="K418" s="7" t="s">
        <v>159</v>
      </c>
      <c r="L418" s="8">
        <v>18</v>
      </c>
      <c r="M418" s="8">
        <v>42129</v>
      </c>
      <c r="N418" s="7"/>
      <c r="O418" s="8">
        <v>6589</v>
      </c>
      <c r="P418" s="7"/>
      <c r="Q418" s="8">
        <v>4641</v>
      </c>
      <c r="R418" s="7"/>
      <c r="S418" s="8">
        <v>3100</v>
      </c>
      <c r="T418" s="7"/>
      <c r="U418" s="8">
        <v>0</v>
      </c>
      <c r="V418" s="7"/>
      <c r="W418" s="33">
        <v>56459</v>
      </c>
      <c r="X418" s="7"/>
      <c r="Y418" s="30">
        <v>22</v>
      </c>
      <c r="Z418" s="7"/>
      <c r="AA418" s="30">
        <v>4</v>
      </c>
      <c r="AB418" s="7"/>
      <c r="AC418" s="30">
        <v>3</v>
      </c>
      <c r="AD418" s="7"/>
      <c r="AE418" s="30">
        <v>1.7</v>
      </c>
      <c r="AF418" s="7"/>
      <c r="AG418" s="30">
        <v>0</v>
      </c>
      <c r="AI418" s="32">
        <v>30.7</v>
      </c>
      <c r="AK418" s="7" t="str">
        <f t="shared" si="6"/>
        <v>No</v>
      </c>
    </row>
    <row r="419" spans="1:37">
      <c r="A419" s="7" t="s">
        <v>602</v>
      </c>
      <c r="B419" s="7" t="s">
        <v>603</v>
      </c>
      <c r="C419" s="7" t="s">
        <v>46</v>
      </c>
      <c r="D419" s="302">
        <v>6024</v>
      </c>
      <c r="E419" s="297">
        <v>60024</v>
      </c>
      <c r="F419" s="7" t="s">
        <v>162</v>
      </c>
      <c r="G419" s="7" t="s">
        <v>158</v>
      </c>
      <c r="H419" s="8">
        <v>298317</v>
      </c>
      <c r="I419" s="8">
        <v>54</v>
      </c>
      <c r="J419" s="7" t="s">
        <v>10</v>
      </c>
      <c r="K419" s="7" t="s">
        <v>159</v>
      </c>
      <c r="L419" s="8">
        <v>18</v>
      </c>
      <c r="M419" s="8">
        <v>43670</v>
      </c>
      <c r="N419" s="7"/>
      <c r="O419" s="8">
        <v>5645</v>
      </c>
      <c r="P419" s="7"/>
      <c r="Q419" s="8">
        <v>4970</v>
      </c>
      <c r="R419" s="7"/>
      <c r="S419" s="8">
        <v>7130</v>
      </c>
      <c r="T419" s="7"/>
      <c r="U419" s="8">
        <v>0</v>
      </c>
      <c r="V419" s="7"/>
      <c r="W419" s="33">
        <v>61415</v>
      </c>
      <c r="X419" s="7"/>
      <c r="Y419" s="30">
        <v>20.95</v>
      </c>
      <c r="Z419" s="7"/>
      <c r="AA419" s="30">
        <v>2.7</v>
      </c>
      <c r="AB419" s="7"/>
      <c r="AC419" s="30">
        <v>2.2000000000000002</v>
      </c>
      <c r="AD419" s="7"/>
      <c r="AE419" s="30">
        <v>3.8</v>
      </c>
      <c r="AF419" s="7"/>
      <c r="AG419" s="30">
        <v>0</v>
      </c>
      <c r="AI419" s="32">
        <v>29.65</v>
      </c>
      <c r="AK419" s="7" t="str">
        <f t="shared" si="6"/>
        <v>No</v>
      </c>
    </row>
    <row r="420" spans="1:37">
      <c r="A420" s="7" t="s">
        <v>430</v>
      </c>
      <c r="B420" s="7" t="s">
        <v>431</v>
      </c>
      <c r="C420" s="7" t="s">
        <v>96</v>
      </c>
      <c r="D420" s="302">
        <v>3001</v>
      </c>
      <c r="E420" s="297">
        <v>30001</v>
      </c>
      <c r="F420" s="7" t="s">
        <v>165</v>
      </c>
      <c r="G420" s="7" t="s">
        <v>158</v>
      </c>
      <c r="H420" s="8">
        <v>153199</v>
      </c>
      <c r="I420" s="8">
        <v>54</v>
      </c>
      <c r="J420" s="7" t="s">
        <v>10</v>
      </c>
      <c r="K420" s="7" t="s">
        <v>159</v>
      </c>
      <c r="L420" s="8">
        <v>12</v>
      </c>
      <c r="M420" s="8">
        <v>28316</v>
      </c>
      <c r="N420" s="7"/>
      <c r="O420" s="8">
        <v>4142</v>
      </c>
      <c r="P420" s="7"/>
      <c r="Q420" s="8">
        <v>317</v>
      </c>
      <c r="R420" s="7"/>
      <c r="S420" s="8">
        <v>1692</v>
      </c>
      <c r="T420" s="7"/>
      <c r="U420" s="8">
        <v>0</v>
      </c>
      <c r="V420" s="7"/>
      <c r="W420" s="33">
        <v>34467</v>
      </c>
      <c r="X420" s="7"/>
      <c r="Y420" s="30">
        <v>12</v>
      </c>
      <c r="Z420" s="7"/>
      <c r="AA420" s="30">
        <v>2</v>
      </c>
      <c r="AB420" s="7"/>
      <c r="AC420" s="30">
        <v>0.16</v>
      </c>
      <c r="AD420" s="7"/>
      <c r="AE420" s="30">
        <v>0.8</v>
      </c>
      <c r="AF420" s="7"/>
      <c r="AG420" s="30">
        <v>0</v>
      </c>
      <c r="AI420" s="32">
        <v>14.96</v>
      </c>
      <c r="AK420" s="7" t="str">
        <f t="shared" si="6"/>
        <v>No</v>
      </c>
    </row>
    <row r="421" spans="1:37">
      <c r="A421" s="7" t="s">
        <v>233</v>
      </c>
      <c r="B421" s="7" t="s">
        <v>234</v>
      </c>
      <c r="C421" s="7" t="s">
        <v>70</v>
      </c>
      <c r="D421" s="302">
        <v>2003</v>
      </c>
      <c r="E421" s="297">
        <v>20003</v>
      </c>
      <c r="F421" s="7" t="s">
        <v>162</v>
      </c>
      <c r="G421" s="7" t="s">
        <v>158</v>
      </c>
      <c r="H421" s="8">
        <v>158084</v>
      </c>
      <c r="I421" s="8">
        <v>54</v>
      </c>
      <c r="J421" s="7" t="s">
        <v>10</v>
      </c>
      <c r="K421" s="7" t="s">
        <v>159</v>
      </c>
      <c r="L421" s="8">
        <v>6</v>
      </c>
      <c r="M421" s="8">
        <v>0</v>
      </c>
      <c r="N421" s="7"/>
      <c r="O421" s="8">
        <v>4108</v>
      </c>
      <c r="P421" s="7"/>
      <c r="Q421" s="8">
        <v>615</v>
      </c>
      <c r="R421" s="7"/>
      <c r="S421" s="8">
        <v>4464</v>
      </c>
      <c r="T421" s="7"/>
      <c r="U421" s="8">
        <v>0</v>
      </c>
      <c r="V421" s="7"/>
      <c r="W421" s="33">
        <v>9187</v>
      </c>
      <c r="X421" s="7"/>
      <c r="Y421" s="30">
        <v>0</v>
      </c>
      <c r="Z421" s="7"/>
      <c r="AA421" s="30">
        <v>2.5</v>
      </c>
      <c r="AB421" s="7"/>
      <c r="AC421" s="30">
        <v>0.35</v>
      </c>
      <c r="AD421" s="7"/>
      <c r="AE421" s="30">
        <v>2.8</v>
      </c>
      <c r="AF421" s="7"/>
      <c r="AG421" s="30">
        <v>0</v>
      </c>
      <c r="AI421" s="32">
        <v>5.65</v>
      </c>
      <c r="AK421" s="7" t="str">
        <f t="shared" si="6"/>
        <v>No</v>
      </c>
    </row>
    <row r="422" spans="1:37">
      <c r="A422" s="7" t="s">
        <v>1129</v>
      </c>
      <c r="B422" s="7" t="s">
        <v>654</v>
      </c>
      <c r="C422" s="7" t="s">
        <v>26</v>
      </c>
      <c r="D422" s="302">
        <v>8011</v>
      </c>
      <c r="E422" s="297">
        <v>80011</v>
      </c>
      <c r="F422" s="7" t="s">
        <v>162</v>
      </c>
      <c r="G422" s="7" t="s">
        <v>158</v>
      </c>
      <c r="H422" s="8">
        <v>264465</v>
      </c>
      <c r="I422" s="8">
        <v>54</v>
      </c>
      <c r="J422" s="7" t="s">
        <v>22</v>
      </c>
      <c r="K422" s="7" t="s">
        <v>159</v>
      </c>
      <c r="L422" s="8">
        <v>6</v>
      </c>
      <c r="M422" s="8">
        <v>22922</v>
      </c>
      <c r="N422" s="7"/>
      <c r="O422" s="8">
        <v>0</v>
      </c>
      <c r="P422" s="7"/>
      <c r="Q422" s="8">
        <v>0</v>
      </c>
      <c r="R422" s="7"/>
      <c r="S422" s="8">
        <v>6136</v>
      </c>
      <c r="T422" s="7"/>
      <c r="U422" s="8">
        <v>0</v>
      </c>
      <c r="V422" s="7"/>
      <c r="W422" s="33">
        <v>29058</v>
      </c>
      <c r="X422" s="7"/>
      <c r="Y422" s="30">
        <v>13.8</v>
      </c>
      <c r="Z422" s="7"/>
      <c r="AA422" s="30">
        <v>0</v>
      </c>
      <c r="AB422" s="7"/>
      <c r="AC422" s="30">
        <v>0</v>
      </c>
      <c r="AD422" s="7"/>
      <c r="AE422" s="30">
        <v>4.18</v>
      </c>
      <c r="AF422" s="7"/>
      <c r="AG422" s="30">
        <v>0</v>
      </c>
      <c r="AI422" s="32">
        <v>17.98</v>
      </c>
      <c r="AK422" s="7" t="str">
        <f t="shared" si="6"/>
        <v>No</v>
      </c>
    </row>
    <row r="423" spans="1:37">
      <c r="A423" s="7" t="s">
        <v>244</v>
      </c>
      <c r="B423" s="7" t="s">
        <v>245</v>
      </c>
      <c r="C423" s="7" t="s">
        <v>77</v>
      </c>
      <c r="D423" s="302">
        <v>3012</v>
      </c>
      <c r="E423" s="297">
        <v>30012</v>
      </c>
      <c r="F423" s="7" t="s">
        <v>165</v>
      </c>
      <c r="G423" s="7" t="s">
        <v>158</v>
      </c>
      <c r="H423" s="8">
        <v>69014</v>
      </c>
      <c r="I423" s="8">
        <v>54</v>
      </c>
      <c r="J423" s="7" t="s">
        <v>78</v>
      </c>
      <c r="K423" s="7" t="s">
        <v>159</v>
      </c>
      <c r="L423" s="8">
        <v>2</v>
      </c>
      <c r="M423" s="8">
        <v>763</v>
      </c>
      <c r="N423" s="7"/>
      <c r="O423" s="8">
        <v>666</v>
      </c>
      <c r="P423" s="7"/>
      <c r="Q423" s="8">
        <v>999</v>
      </c>
      <c r="R423" s="7"/>
      <c r="S423" s="8">
        <v>6719</v>
      </c>
      <c r="T423" s="7"/>
      <c r="U423" s="8">
        <v>0</v>
      </c>
      <c r="V423" s="7"/>
      <c r="W423" s="33">
        <v>9147</v>
      </c>
      <c r="X423" s="7"/>
      <c r="Y423" s="30">
        <v>1</v>
      </c>
      <c r="Z423" s="7"/>
      <c r="AA423" s="30">
        <v>0.4</v>
      </c>
      <c r="AB423" s="7"/>
      <c r="AC423" s="30">
        <v>0.6</v>
      </c>
      <c r="AD423" s="7"/>
      <c r="AE423" s="30">
        <v>4</v>
      </c>
      <c r="AF423" s="7"/>
      <c r="AG423" s="30">
        <v>0</v>
      </c>
      <c r="AI423" s="32">
        <v>6</v>
      </c>
      <c r="AK423" s="7" t="str">
        <f t="shared" si="6"/>
        <v>No</v>
      </c>
    </row>
    <row r="424" spans="1:37">
      <c r="A424" s="7" t="s">
        <v>402</v>
      </c>
      <c r="B424" s="7" t="s">
        <v>403</v>
      </c>
      <c r="C424" s="7" t="s">
        <v>86</v>
      </c>
      <c r="D424" s="302">
        <v>3007</v>
      </c>
      <c r="E424" s="297">
        <v>30007</v>
      </c>
      <c r="F424" s="7" t="s">
        <v>401</v>
      </c>
      <c r="G424" s="7" t="s">
        <v>158</v>
      </c>
      <c r="H424" s="8">
        <v>210111</v>
      </c>
      <c r="I424" s="8">
        <v>53</v>
      </c>
      <c r="J424" s="7" t="s">
        <v>7</v>
      </c>
      <c r="K424" s="7" t="s">
        <v>159</v>
      </c>
      <c r="L424" s="8">
        <v>35</v>
      </c>
      <c r="M424" s="8">
        <v>145161</v>
      </c>
      <c r="N424" s="7"/>
      <c r="O424" s="8">
        <v>22087</v>
      </c>
      <c r="P424" s="7"/>
      <c r="Q424" s="8">
        <v>8911</v>
      </c>
      <c r="R424" s="7"/>
      <c r="S424" s="8">
        <v>21319</v>
      </c>
      <c r="T424" s="7"/>
      <c r="U424" s="8">
        <v>0</v>
      </c>
      <c r="V424" s="7"/>
      <c r="W424" s="33">
        <v>197478</v>
      </c>
      <c r="X424" s="7"/>
      <c r="Y424" s="30">
        <v>76</v>
      </c>
      <c r="Z424" s="7"/>
      <c r="AA424" s="30">
        <v>11</v>
      </c>
      <c r="AB424" s="7"/>
      <c r="AC424" s="30">
        <v>4</v>
      </c>
      <c r="AD424" s="7"/>
      <c r="AE424" s="30">
        <v>11</v>
      </c>
      <c r="AF424" s="7"/>
      <c r="AG424" s="30">
        <v>0</v>
      </c>
      <c r="AI424" s="32">
        <v>102</v>
      </c>
      <c r="AK424" s="7" t="str">
        <f t="shared" si="6"/>
        <v>No</v>
      </c>
    </row>
    <row r="425" spans="1:37">
      <c r="A425" s="7" t="s">
        <v>402</v>
      </c>
      <c r="B425" s="7" t="s">
        <v>403</v>
      </c>
      <c r="C425" s="7" t="s">
        <v>86</v>
      </c>
      <c r="D425" s="302">
        <v>3007</v>
      </c>
      <c r="E425" s="297">
        <v>30007</v>
      </c>
      <c r="F425" s="7" t="s">
        <v>401</v>
      </c>
      <c r="G425" s="7" t="s">
        <v>158</v>
      </c>
      <c r="H425" s="8">
        <v>210111</v>
      </c>
      <c r="I425" s="8">
        <v>53</v>
      </c>
      <c r="J425" s="7" t="s">
        <v>18</v>
      </c>
      <c r="K425" s="7" t="s">
        <v>159</v>
      </c>
      <c r="L425" s="8">
        <v>1</v>
      </c>
      <c r="M425" s="8">
        <v>2238</v>
      </c>
      <c r="N425" s="7"/>
      <c r="O425" s="8">
        <v>2008</v>
      </c>
      <c r="P425" s="7"/>
      <c r="Q425" s="8">
        <v>0</v>
      </c>
      <c r="R425" s="7"/>
      <c r="S425" s="8">
        <v>0</v>
      </c>
      <c r="T425" s="7"/>
      <c r="U425" s="8">
        <v>0</v>
      </c>
      <c r="V425" s="7"/>
      <c r="W425" s="33">
        <v>4246</v>
      </c>
      <c r="X425" s="7"/>
      <c r="Y425" s="30">
        <v>1</v>
      </c>
      <c r="Z425" s="7"/>
      <c r="AA425" s="30">
        <v>1</v>
      </c>
      <c r="AB425" s="7"/>
      <c r="AC425" s="30">
        <v>0</v>
      </c>
      <c r="AD425" s="7"/>
      <c r="AE425" s="30">
        <v>0</v>
      </c>
      <c r="AF425" s="7"/>
      <c r="AG425" s="30">
        <v>0</v>
      </c>
      <c r="AI425" s="32">
        <v>2</v>
      </c>
      <c r="AK425" s="7" t="str">
        <f t="shared" si="6"/>
        <v>No</v>
      </c>
    </row>
    <row r="426" spans="1:37">
      <c r="A426" s="7" t="s">
        <v>354</v>
      </c>
      <c r="B426" s="7" t="s">
        <v>355</v>
      </c>
      <c r="C426" s="7" t="s">
        <v>36</v>
      </c>
      <c r="D426" s="302">
        <v>4082</v>
      </c>
      <c r="E426" s="297">
        <v>40082</v>
      </c>
      <c r="F426" s="7" t="s">
        <v>162</v>
      </c>
      <c r="G426" s="7" t="s">
        <v>158</v>
      </c>
      <c r="H426" s="8">
        <v>4515419</v>
      </c>
      <c r="I426" s="8">
        <v>52</v>
      </c>
      <c r="J426" s="7" t="s">
        <v>8</v>
      </c>
      <c r="K426" s="7" t="s">
        <v>159</v>
      </c>
      <c r="L426" s="8">
        <v>49</v>
      </c>
      <c r="M426" s="8">
        <v>2000</v>
      </c>
      <c r="N426" s="7"/>
      <c r="O426" s="8">
        <v>1832</v>
      </c>
      <c r="P426" s="7"/>
      <c r="Q426" s="8">
        <v>0</v>
      </c>
      <c r="R426" s="7"/>
      <c r="S426" s="8">
        <v>3496</v>
      </c>
      <c r="T426" s="7"/>
      <c r="U426" s="8">
        <v>0</v>
      </c>
      <c r="V426" s="7"/>
      <c r="W426" s="33">
        <v>7328</v>
      </c>
      <c r="X426" s="7"/>
      <c r="Y426" s="30">
        <v>1</v>
      </c>
      <c r="Z426" s="7"/>
      <c r="AA426" s="30">
        <v>1</v>
      </c>
      <c r="AB426" s="7"/>
      <c r="AC426" s="30">
        <v>0</v>
      </c>
      <c r="AD426" s="7"/>
      <c r="AE426" s="30">
        <v>2</v>
      </c>
      <c r="AF426" s="7"/>
      <c r="AG426" s="30">
        <v>0</v>
      </c>
      <c r="AI426" s="32">
        <v>4</v>
      </c>
      <c r="AK426" s="7" t="str">
        <f t="shared" si="6"/>
        <v>No</v>
      </c>
    </row>
    <row r="427" spans="1:37">
      <c r="A427" s="7" t="s">
        <v>207</v>
      </c>
      <c r="B427" s="7" t="s">
        <v>208</v>
      </c>
      <c r="C427" s="7" t="s">
        <v>52</v>
      </c>
      <c r="D427" s="302">
        <v>5029</v>
      </c>
      <c r="E427" s="297">
        <v>50029</v>
      </c>
      <c r="F427" s="7" t="s">
        <v>165</v>
      </c>
      <c r="G427" s="7" t="s">
        <v>158</v>
      </c>
      <c r="H427" s="8">
        <v>70585</v>
      </c>
      <c r="I427" s="8">
        <v>52</v>
      </c>
      <c r="J427" s="7" t="s">
        <v>7</v>
      </c>
      <c r="K427" s="7" t="s">
        <v>159</v>
      </c>
      <c r="L427" s="8">
        <v>38</v>
      </c>
      <c r="M427" s="8">
        <v>68602</v>
      </c>
      <c r="N427" s="7"/>
      <c r="O427" s="8">
        <v>15807</v>
      </c>
      <c r="P427" s="7"/>
      <c r="Q427" s="8">
        <v>3900</v>
      </c>
      <c r="R427" s="7"/>
      <c r="S427" s="8">
        <v>15211</v>
      </c>
      <c r="T427" s="7"/>
      <c r="U427" s="8">
        <v>0</v>
      </c>
      <c r="V427" s="7"/>
      <c r="W427" s="33">
        <v>103520</v>
      </c>
      <c r="X427" s="7"/>
      <c r="Y427" s="30">
        <v>34</v>
      </c>
      <c r="Z427" s="7"/>
      <c r="AA427" s="30">
        <v>9</v>
      </c>
      <c r="AB427" s="7"/>
      <c r="AC427" s="30">
        <v>2</v>
      </c>
      <c r="AD427" s="7"/>
      <c r="AE427" s="30">
        <v>8</v>
      </c>
      <c r="AF427" s="7"/>
      <c r="AG427" s="30">
        <v>0</v>
      </c>
      <c r="AI427" s="32">
        <v>53</v>
      </c>
      <c r="AK427" s="7" t="str">
        <f t="shared" si="6"/>
        <v>No</v>
      </c>
    </row>
    <row r="428" spans="1:37">
      <c r="A428" s="7" t="s">
        <v>434</v>
      </c>
      <c r="B428" s="7" t="s">
        <v>435</v>
      </c>
      <c r="C428" s="7" t="s">
        <v>93</v>
      </c>
      <c r="D428" s="302">
        <v>5003</v>
      </c>
      <c r="E428" s="297">
        <v>50003</v>
      </c>
      <c r="F428" s="7" t="s">
        <v>162</v>
      </c>
      <c r="G428" s="7" t="s">
        <v>158</v>
      </c>
      <c r="H428" s="8">
        <v>124064</v>
      </c>
      <c r="I428" s="8">
        <v>52</v>
      </c>
      <c r="J428" s="7" t="s">
        <v>7</v>
      </c>
      <c r="K428" s="7" t="s">
        <v>159</v>
      </c>
      <c r="L428" s="8">
        <v>37</v>
      </c>
      <c r="M428" s="8">
        <v>53186</v>
      </c>
      <c r="N428" s="7"/>
      <c r="O428" s="8">
        <v>13400</v>
      </c>
      <c r="P428" s="7"/>
      <c r="Q428" s="8">
        <v>1000</v>
      </c>
      <c r="R428" s="7"/>
      <c r="S428" s="8">
        <v>11173</v>
      </c>
      <c r="T428" s="7"/>
      <c r="U428" s="8">
        <v>0</v>
      </c>
      <c r="V428" s="7"/>
      <c r="W428" s="33">
        <v>78759</v>
      </c>
      <c r="X428" s="7"/>
      <c r="Y428" s="30">
        <v>30</v>
      </c>
      <c r="Z428" s="7"/>
      <c r="AA428" s="30">
        <v>6.5</v>
      </c>
      <c r="AB428" s="7"/>
      <c r="AC428" s="30">
        <v>0.5</v>
      </c>
      <c r="AD428" s="7"/>
      <c r="AE428" s="30">
        <v>6.7</v>
      </c>
      <c r="AF428" s="7"/>
      <c r="AG428" s="30">
        <v>0</v>
      </c>
      <c r="AI428" s="32">
        <v>43.7</v>
      </c>
      <c r="AK428" s="7" t="str">
        <f t="shared" si="6"/>
        <v>No</v>
      </c>
    </row>
    <row r="429" spans="1:37">
      <c r="A429" s="7" t="s">
        <v>556</v>
      </c>
      <c r="B429" s="7" t="s">
        <v>557</v>
      </c>
      <c r="C429" s="7" t="s">
        <v>73</v>
      </c>
      <c r="D429" s="302">
        <v>5021</v>
      </c>
      <c r="E429" s="297">
        <v>50021</v>
      </c>
      <c r="F429" s="7" t="s">
        <v>165</v>
      </c>
      <c r="G429" s="7" t="s">
        <v>158</v>
      </c>
      <c r="H429" s="8">
        <v>569499</v>
      </c>
      <c r="I429" s="8">
        <v>52</v>
      </c>
      <c r="J429" s="7" t="s">
        <v>10</v>
      </c>
      <c r="K429" s="7" t="s">
        <v>159</v>
      </c>
      <c r="L429" s="8">
        <v>27</v>
      </c>
      <c r="M429" s="8">
        <v>42370</v>
      </c>
      <c r="N429" s="7"/>
      <c r="O429" s="8">
        <v>11771</v>
      </c>
      <c r="P429" s="7"/>
      <c r="Q429" s="8">
        <v>967</v>
      </c>
      <c r="R429" s="7"/>
      <c r="S429" s="8">
        <v>10569</v>
      </c>
      <c r="T429" s="7"/>
      <c r="U429" s="8">
        <v>912</v>
      </c>
      <c r="V429" s="7"/>
      <c r="W429" s="33">
        <v>66589</v>
      </c>
      <c r="X429" s="7"/>
      <c r="Y429" s="30">
        <v>21.4</v>
      </c>
      <c r="Z429" s="7"/>
      <c r="AA429" s="30">
        <v>6.2</v>
      </c>
      <c r="AB429" s="7"/>
      <c r="AC429" s="30">
        <v>0.5</v>
      </c>
      <c r="AD429" s="7"/>
      <c r="AE429" s="30">
        <v>5.7</v>
      </c>
      <c r="AF429" s="7"/>
      <c r="AG429" s="30">
        <v>0.5</v>
      </c>
      <c r="AI429" s="32">
        <v>34.299999999999997</v>
      </c>
      <c r="AK429" s="7" t="str">
        <f t="shared" si="6"/>
        <v>No</v>
      </c>
    </row>
    <row r="430" spans="1:37">
      <c r="A430" s="7" t="s">
        <v>623</v>
      </c>
      <c r="B430" s="7" t="s">
        <v>624</v>
      </c>
      <c r="C430" s="7" t="s">
        <v>54</v>
      </c>
      <c r="D430" s="302">
        <v>5028</v>
      </c>
      <c r="E430" s="297">
        <v>50028</v>
      </c>
      <c r="F430" s="7" t="s">
        <v>165</v>
      </c>
      <c r="G430" s="7" t="s">
        <v>158</v>
      </c>
      <c r="H430" s="8">
        <v>110621</v>
      </c>
      <c r="I430" s="8">
        <v>52</v>
      </c>
      <c r="J430" s="7" t="s">
        <v>7</v>
      </c>
      <c r="K430" s="7" t="s">
        <v>159</v>
      </c>
      <c r="L430" s="8">
        <v>27</v>
      </c>
      <c r="M430" s="8">
        <v>107585</v>
      </c>
      <c r="N430" s="7"/>
      <c r="O430" s="8">
        <v>12068</v>
      </c>
      <c r="P430" s="7"/>
      <c r="Q430" s="8">
        <v>1232</v>
      </c>
      <c r="R430" s="7"/>
      <c r="S430" s="8">
        <v>12283</v>
      </c>
      <c r="T430" s="7"/>
      <c r="U430" s="8">
        <v>0</v>
      </c>
      <c r="V430" s="7"/>
      <c r="W430" s="33">
        <v>133168</v>
      </c>
      <c r="X430" s="7"/>
      <c r="Y430" s="30">
        <v>60.46</v>
      </c>
      <c r="Z430" s="7"/>
      <c r="AA430" s="30">
        <v>6.17</v>
      </c>
      <c r="AB430" s="7"/>
      <c r="AC430" s="30">
        <v>0.64</v>
      </c>
      <c r="AD430" s="7"/>
      <c r="AE430" s="30">
        <v>5.86</v>
      </c>
      <c r="AF430" s="7"/>
      <c r="AG430" s="30">
        <v>0</v>
      </c>
      <c r="AI430" s="32">
        <v>73.13</v>
      </c>
      <c r="AK430" s="7" t="str">
        <f t="shared" si="6"/>
        <v>No</v>
      </c>
    </row>
    <row r="431" spans="1:37">
      <c r="A431" s="7" t="s">
        <v>556</v>
      </c>
      <c r="B431" s="7" t="s">
        <v>557</v>
      </c>
      <c r="C431" s="7" t="s">
        <v>73</v>
      </c>
      <c r="D431" s="302">
        <v>5021</v>
      </c>
      <c r="E431" s="297">
        <v>50021</v>
      </c>
      <c r="F431" s="7" t="s">
        <v>165</v>
      </c>
      <c r="G431" s="7" t="s">
        <v>158</v>
      </c>
      <c r="H431" s="8">
        <v>569499</v>
      </c>
      <c r="I431" s="8">
        <v>52</v>
      </c>
      <c r="J431" s="7" t="s">
        <v>7</v>
      </c>
      <c r="K431" s="7" t="s">
        <v>159</v>
      </c>
      <c r="L431" s="8">
        <v>25</v>
      </c>
      <c r="M431" s="8">
        <v>46830</v>
      </c>
      <c r="N431" s="7"/>
      <c r="O431" s="8">
        <v>13010</v>
      </c>
      <c r="P431" s="7"/>
      <c r="Q431" s="8">
        <v>1069</v>
      </c>
      <c r="R431" s="7"/>
      <c r="S431" s="8">
        <v>11682</v>
      </c>
      <c r="T431" s="7"/>
      <c r="U431" s="8">
        <v>1008</v>
      </c>
      <c r="V431" s="7"/>
      <c r="W431" s="33">
        <v>73599</v>
      </c>
      <c r="X431" s="7"/>
      <c r="Y431" s="30">
        <v>23.6</v>
      </c>
      <c r="Z431" s="7"/>
      <c r="AA431" s="30">
        <v>6.8</v>
      </c>
      <c r="AB431" s="7"/>
      <c r="AC431" s="30">
        <v>0.5</v>
      </c>
      <c r="AD431" s="7"/>
      <c r="AE431" s="30">
        <v>6.3</v>
      </c>
      <c r="AF431" s="7"/>
      <c r="AG431" s="30">
        <v>0.5</v>
      </c>
      <c r="AI431" s="32">
        <v>37.700000000000003</v>
      </c>
      <c r="AK431" s="7" t="str">
        <f t="shared" si="6"/>
        <v>No</v>
      </c>
    </row>
    <row r="432" spans="1:37">
      <c r="A432" s="7" t="s">
        <v>623</v>
      </c>
      <c r="B432" s="7" t="s">
        <v>624</v>
      </c>
      <c r="C432" s="7" t="s">
        <v>54</v>
      </c>
      <c r="D432" s="302">
        <v>5028</v>
      </c>
      <c r="E432" s="297">
        <v>50028</v>
      </c>
      <c r="F432" s="7" t="s">
        <v>165</v>
      </c>
      <c r="G432" s="7" t="s">
        <v>158</v>
      </c>
      <c r="H432" s="8">
        <v>110621</v>
      </c>
      <c r="I432" s="8">
        <v>52</v>
      </c>
      <c r="J432" s="7" t="s">
        <v>10</v>
      </c>
      <c r="K432" s="7" t="s">
        <v>159</v>
      </c>
      <c r="L432" s="8">
        <v>21</v>
      </c>
      <c r="M432" s="8">
        <v>59728</v>
      </c>
      <c r="N432" s="7"/>
      <c r="O432" s="8">
        <v>5468</v>
      </c>
      <c r="P432" s="7"/>
      <c r="Q432" s="8">
        <v>558</v>
      </c>
      <c r="R432" s="7"/>
      <c r="S432" s="8">
        <v>5554</v>
      </c>
      <c r="T432" s="7"/>
      <c r="U432" s="8">
        <v>0</v>
      </c>
      <c r="V432" s="7"/>
      <c r="W432" s="33">
        <v>71308</v>
      </c>
      <c r="X432" s="7"/>
      <c r="Y432" s="30">
        <v>33.229999999999997</v>
      </c>
      <c r="Z432" s="7"/>
      <c r="AA432" s="30">
        <v>2.8</v>
      </c>
      <c r="AB432" s="7"/>
      <c r="AC432" s="30">
        <v>0.28999999999999998</v>
      </c>
      <c r="AD432" s="7"/>
      <c r="AE432" s="30">
        <v>2.65</v>
      </c>
      <c r="AF432" s="7"/>
      <c r="AG432" s="30">
        <v>0</v>
      </c>
      <c r="AI432" s="32">
        <v>38.97</v>
      </c>
      <c r="AK432" s="7" t="str">
        <f t="shared" si="6"/>
        <v>No</v>
      </c>
    </row>
    <row r="433" spans="1:37">
      <c r="A433" s="7" t="s">
        <v>207</v>
      </c>
      <c r="B433" s="7" t="s">
        <v>208</v>
      </c>
      <c r="C433" s="7" t="s">
        <v>52</v>
      </c>
      <c r="D433" s="302">
        <v>5029</v>
      </c>
      <c r="E433" s="297">
        <v>50029</v>
      </c>
      <c r="F433" s="7" t="s">
        <v>165</v>
      </c>
      <c r="G433" s="7" t="s">
        <v>158</v>
      </c>
      <c r="H433" s="8">
        <v>70585</v>
      </c>
      <c r="I433" s="8">
        <v>52</v>
      </c>
      <c r="J433" s="7" t="s">
        <v>10</v>
      </c>
      <c r="K433" s="7" t="s">
        <v>159</v>
      </c>
      <c r="L433" s="8">
        <v>14</v>
      </c>
      <c r="M433" s="8">
        <v>38589</v>
      </c>
      <c r="N433" s="7"/>
      <c r="O433" s="8">
        <v>7102</v>
      </c>
      <c r="P433" s="7"/>
      <c r="Q433" s="8">
        <v>1752</v>
      </c>
      <c r="R433" s="7"/>
      <c r="S433" s="8">
        <v>6834</v>
      </c>
      <c r="T433" s="7"/>
      <c r="U433" s="8">
        <v>0</v>
      </c>
      <c r="V433" s="7"/>
      <c r="W433" s="33">
        <v>54277</v>
      </c>
      <c r="X433" s="7"/>
      <c r="Y433" s="30">
        <v>19</v>
      </c>
      <c r="Z433" s="7"/>
      <c r="AA433" s="30">
        <v>4</v>
      </c>
      <c r="AB433" s="7"/>
      <c r="AC433" s="30">
        <v>1</v>
      </c>
      <c r="AD433" s="7"/>
      <c r="AE433" s="30">
        <v>4</v>
      </c>
      <c r="AF433" s="7"/>
      <c r="AG433" s="30">
        <v>0</v>
      </c>
      <c r="AI433" s="32">
        <v>28</v>
      </c>
      <c r="AK433" s="7" t="str">
        <f t="shared" si="6"/>
        <v>No</v>
      </c>
    </row>
    <row r="434" spans="1:37">
      <c r="A434" s="7" t="s">
        <v>623</v>
      </c>
      <c r="B434" s="7" t="s">
        <v>624</v>
      </c>
      <c r="C434" s="7" t="s">
        <v>54</v>
      </c>
      <c r="D434" s="302">
        <v>5028</v>
      </c>
      <c r="E434" s="297">
        <v>50028</v>
      </c>
      <c r="F434" s="7" t="s">
        <v>165</v>
      </c>
      <c r="G434" s="7" t="s">
        <v>158</v>
      </c>
      <c r="H434" s="8">
        <v>110621</v>
      </c>
      <c r="I434" s="8">
        <v>52</v>
      </c>
      <c r="J434" s="7" t="s">
        <v>18</v>
      </c>
      <c r="K434" s="7" t="s">
        <v>159</v>
      </c>
      <c r="L434" s="8">
        <v>4</v>
      </c>
      <c r="M434" s="8">
        <v>6681</v>
      </c>
      <c r="N434" s="7"/>
      <c r="O434" s="8">
        <v>1320</v>
      </c>
      <c r="P434" s="7"/>
      <c r="Q434" s="8">
        <v>135</v>
      </c>
      <c r="R434" s="7"/>
      <c r="S434" s="8">
        <v>1027</v>
      </c>
      <c r="T434" s="7"/>
      <c r="U434" s="8">
        <v>0</v>
      </c>
      <c r="V434" s="7"/>
      <c r="W434" s="33">
        <v>9163</v>
      </c>
      <c r="X434" s="7"/>
      <c r="Y434" s="30">
        <v>3.08</v>
      </c>
      <c r="Z434" s="7"/>
      <c r="AA434" s="30">
        <v>0.67</v>
      </c>
      <c r="AB434" s="7"/>
      <c r="AC434" s="30">
        <v>7.0000000000000007E-2</v>
      </c>
      <c r="AD434" s="7"/>
      <c r="AE434" s="30">
        <v>0.49</v>
      </c>
      <c r="AF434" s="7"/>
      <c r="AG434" s="30">
        <v>0</v>
      </c>
      <c r="AI434" s="32">
        <v>4.3099999999999996</v>
      </c>
      <c r="AK434" s="7" t="str">
        <f t="shared" si="6"/>
        <v>No</v>
      </c>
    </row>
    <row r="435" spans="1:37">
      <c r="A435" s="7" t="s">
        <v>354</v>
      </c>
      <c r="B435" s="7" t="s">
        <v>355</v>
      </c>
      <c r="C435" s="7" t="s">
        <v>36</v>
      </c>
      <c r="D435" s="302">
        <v>4082</v>
      </c>
      <c r="E435" s="297">
        <v>40082</v>
      </c>
      <c r="F435" s="7" t="s">
        <v>162</v>
      </c>
      <c r="G435" s="7" t="s">
        <v>158</v>
      </c>
      <c r="H435" s="8">
        <v>4515419</v>
      </c>
      <c r="I435" s="8">
        <v>52</v>
      </c>
      <c r="J435" s="7" t="s">
        <v>10</v>
      </c>
      <c r="K435" s="7" t="s">
        <v>159</v>
      </c>
      <c r="L435" s="8">
        <v>3</v>
      </c>
      <c r="M435" s="8">
        <v>7680</v>
      </c>
      <c r="N435" s="7"/>
      <c r="O435" s="8">
        <v>0</v>
      </c>
      <c r="P435" s="7"/>
      <c r="Q435" s="8">
        <v>0</v>
      </c>
      <c r="R435" s="7"/>
      <c r="S435" s="8">
        <v>0</v>
      </c>
      <c r="T435" s="7"/>
      <c r="U435" s="8">
        <v>0</v>
      </c>
      <c r="V435" s="7"/>
      <c r="W435" s="33">
        <v>7680</v>
      </c>
      <c r="X435" s="7"/>
      <c r="Y435" s="30">
        <v>4</v>
      </c>
      <c r="Z435" s="7"/>
      <c r="AA435" s="30">
        <v>0</v>
      </c>
      <c r="AB435" s="7"/>
      <c r="AC435" s="30">
        <v>0</v>
      </c>
      <c r="AD435" s="7"/>
      <c r="AE435" s="30">
        <v>0</v>
      </c>
      <c r="AF435" s="7"/>
      <c r="AG435" s="30">
        <v>0</v>
      </c>
      <c r="AI435" s="32">
        <v>4</v>
      </c>
      <c r="AK435" s="7" t="str">
        <f t="shared" si="6"/>
        <v>No</v>
      </c>
    </row>
    <row r="436" spans="1:37">
      <c r="A436" s="7" t="s">
        <v>434</v>
      </c>
      <c r="B436" s="7" t="s">
        <v>435</v>
      </c>
      <c r="C436" s="7" t="s">
        <v>93</v>
      </c>
      <c r="D436" s="302">
        <v>5003</v>
      </c>
      <c r="E436" s="297">
        <v>50003</v>
      </c>
      <c r="F436" s="7" t="s">
        <v>162</v>
      </c>
      <c r="G436" s="7" t="s">
        <v>158</v>
      </c>
      <c r="H436" s="8">
        <v>124064</v>
      </c>
      <c r="I436" s="8">
        <v>52</v>
      </c>
      <c r="J436" s="7" t="s">
        <v>12</v>
      </c>
      <c r="K436" s="7" t="s">
        <v>159</v>
      </c>
      <c r="L436" s="8">
        <v>3</v>
      </c>
      <c r="M436" s="8">
        <v>2500</v>
      </c>
      <c r="N436" s="7"/>
      <c r="O436" s="8">
        <v>2000</v>
      </c>
      <c r="P436" s="7"/>
      <c r="Q436" s="8">
        <v>0</v>
      </c>
      <c r="R436" s="7"/>
      <c r="S436" s="8">
        <v>550</v>
      </c>
      <c r="T436" s="7"/>
      <c r="U436" s="8">
        <v>0</v>
      </c>
      <c r="V436" s="7"/>
      <c r="W436" s="33">
        <v>5050</v>
      </c>
      <c r="X436" s="7"/>
      <c r="Y436" s="30">
        <v>1.5</v>
      </c>
      <c r="Z436" s="7"/>
      <c r="AA436" s="30">
        <v>1</v>
      </c>
      <c r="AB436" s="7"/>
      <c r="AC436" s="30">
        <v>0</v>
      </c>
      <c r="AD436" s="7"/>
      <c r="AE436" s="30">
        <v>0.3</v>
      </c>
      <c r="AF436" s="7"/>
      <c r="AG436" s="30">
        <v>0</v>
      </c>
      <c r="AI436" s="32">
        <v>2.8</v>
      </c>
      <c r="AK436" s="7" t="str">
        <f t="shared" si="6"/>
        <v>No</v>
      </c>
    </row>
    <row r="437" spans="1:37">
      <c r="A437" s="7" t="s">
        <v>748</v>
      </c>
      <c r="B437" s="7" t="s">
        <v>206</v>
      </c>
      <c r="C437" s="7" t="s">
        <v>36</v>
      </c>
      <c r="D437" s="302">
        <v>4180</v>
      </c>
      <c r="E437" s="297">
        <v>40180</v>
      </c>
      <c r="F437" s="7" t="s">
        <v>114</v>
      </c>
      <c r="G437" s="7" t="s">
        <v>158</v>
      </c>
      <c r="H437" s="8">
        <v>128754</v>
      </c>
      <c r="I437" s="8">
        <v>51</v>
      </c>
      <c r="J437" s="7" t="s">
        <v>7</v>
      </c>
      <c r="K437" s="7" t="s">
        <v>159</v>
      </c>
      <c r="L437" s="8">
        <v>45</v>
      </c>
      <c r="M437" s="8">
        <v>93134</v>
      </c>
      <c r="N437" s="7"/>
      <c r="O437" s="8">
        <v>18520</v>
      </c>
      <c r="P437" s="7"/>
      <c r="Q437" s="8">
        <v>0</v>
      </c>
      <c r="R437" s="7"/>
      <c r="S437" s="8">
        <v>7921</v>
      </c>
      <c r="T437" s="7"/>
      <c r="U437" s="8">
        <v>0</v>
      </c>
      <c r="V437" s="7"/>
      <c r="W437" s="33">
        <v>119575</v>
      </c>
      <c r="X437" s="7"/>
      <c r="Y437" s="30">
        <v>49.13</v>
      </c>
      <c r="Z437" s="7"/>
      <c r="AA437" s="30">
        <v>10.95</v>
      </c>
      <c r="AB437" s="7"/>
      <c r="AC437" s="30">
        <v>0</v>
      </c>
      <c r="AD437" s="7"/>
      <c r="AE437" s="30">
        <v>3.65</v>
      </c>
      <c r="AF437" s="7"/>
      <c r="AG437" s="30">
        <v>0</v>
      </c>
      <c r="AI437" s="32">
        <v>63.73</v>
      </c>
      <c r="AK437" s="7" t="str">
        <f t="shared" si="6"/>
        <v>No</v>
      </c>
    </row>
    <row r="438" spans="1:37">
      <c r="A438" s="7" t="s">
        <v>685</v>
      </c>
      <c r="B438" s="7" t="s">
        <v>686</v>
      </c>
      <c r="C438" s="7" t="s">
        <v>73</v>
      </c>
      <c r="D438" s="302">
        <v>5024</v>
      </c>
      <c r="E438" s="297">
        <v>50024</v>
      </c>
      <c r="F438" s="7" t="s">
        <v>165</v>
      </c>
      <c r="G438" s="7" t="s">
        <v>158</v>
      </c>
      <c r="H438" s="8">
        <v>387550</v>
      </c>
      <c r="I438" s="8">
        <v>51</v>
      </c>
      <c r="J438" s="7" t="s">
        <v>7</v>
      </c>
      <c r="K438" s="7" t="s">
        <v>159</v>
      </c>
      <c r="L438" s="8">
        <v>35</v>
      </c>
      <c r="M438" s="8">
        <v>120367</v>
      </c>
      <c r="N438" s="7"/>
      <c r="O438" s="8">
        <v>26569</v>
      </c>
      <c r="P438" s="7"/>
      <c r="Q438" s="8">
        <v>1944</v>
      </c>
      <c r="R438" s="7"/>
      <c r="S438" s="8">
        <v>8302</v>
      </c>
      <c r="T438" s="7"/>
      <c r="U438" s="8">
        <v>0</v>
      </c>
      <c r="V438" s="7"/>
      <c r="W438" s="33">
        <v>157182</v>
      </c>
      <c r="X438" s="7"/>
      <c r="Y438" s="30">
        <v>57</v>
      </c>
      <c r="Z438" s="7"/>
      <c r="AA438" s="30">
        <v>14.7</v>
      </c>
      <c r="AB438" s="7"/>
      <c r="AC438" s="30">
        <v>0.9</v>
      </c>
      <c r="AD438" s="7"/>
      <c r="AE438" s="30">
        <v>4.5</v>
      </c>
      <c r="AF438" s="7"/>
      <c r="AG438" s="30">
        <v>0</v>
      </c>
      <c r="AI438" s="32">
        <v>77.099999999999994</v>
      </c>
      <c r="AK438" s="7" t="str">
        <f t="shared" si="6"/>
        <v>No</v>
      </c>
    </row>
    <row r="439" spans="1:37">
      <c r="A439" s="7" t="s">
        <v>571</v>
      </c>
      <c r="B439" s="7" t="s">
        <v>572</v>
      </c>
      <c r="C439" s="7" t="s">
        <v>40</v>
      </c>
      <c r="D439" s="302">
        <v>5058</v>
      </c>
      <c r="E439" s="297">
        <v>50058</v>
      </c>
      <c r="F439" s="7" t="s">
        <v>165</v>
      </c>
      <c r="G439" s="7" t="s">
        <v>158</v>
      </c>
      <c r="H439" s="8">
        <v>296863</v>
      </c>
      <c r="I439" s="8">
        <v>51</v>
      </c>
      <c r="J439" s="7" t="s">
        <v>10</v>
      </c>
      <c r="K439" s="7" t="s">
        <v>159</v>
      </c>
      <c r="L439" s="8">
        <v>26</v>
      </c>
      <c r="M439" s="8">
        <v>51450</v>
      </c>
      <c r="N439" s="7"/>
      <c r="O439" s="8">
        <v>8732</v>
      </c>
      <c r="P439" s="7"/>
      <c r="Q439" s="8">
        <v>3109</v>
      </c>
      <c r="R439" s="7"/>
      <c r="S439" s="8">
        <v>3656</v>
      </c>
      <c r="T439" s="7"/>
      <c r="U439" s="8">
        <v>0</v>
      </c>
      <c r="V439" s="7"/>
      <c r="W439" s="33">
        <v>66947</v>
      </c>
      <c r="X439" s="7"/>
      <c r="Y439" s="30">
        <v>25.6</v>
      </c>
      <c r="Z439" s="7"/>
      <c r="AA439" s="30">
        <v>5.3</v>
      </c>
      <c r="AB439" s="7"/>
      <c r="AC439" s="30">
        <v>2</v>
      </c>
      <c r="AD439" s="7"/>
      <c r="AE439" s="30">
        <v>2</v>
      </c>
      <c r="AF439" s="7"/>
      <c r="AG439" s="30">
        <v>0</v>
      </c>
      <c r="AI439" s="32">
        <v>34.9</v>
      </c>
      <c r="AK439" s="7" t="str">
        <f t="shared" si="6"/>
        <v>No</v>
      </c>
    </row>
    <row r="440" spans="1:37">
      <c r="A440" s="7" t="s">
        <v>571</v>
      </c>
      <c r="B440" s="7" t="s">
        <v>572</v>
      </c>
      <c r="C440" s="7" t="s">
        <v>40</v>
      </c>
      <c r="D440" s="302">
        <v>5058</v>
      </c>
      <c r="E440" s="297">
        <v>50058</v>
      </c>
      <c r="F440" s="7" t="s">
        <v>165</v>
      </c>
      <c r="G440" s="7" t="s">
        <v>158</v>
      </c>
      <c r="H440" s="8">
        <v>296863</v>
      </c>
      <c r="I440" s="8">
        <v>51</v>
      </c>
      <c r="J440" s="7" t="s">
        <v>7</v>
      </c>
      <c r="K440" s="7" t="s">
        <v>159</v>
      </c>
      <c r="L440" s="8">
        <v>25</v>
      </c>
      <c r="M440" s="8">
        <v>115061</v>
      </c>
      <c r="N440" s="7"/>
      <c r="O440" s="8">
        <v>16191</v>
      </c>
      <c r="P440" s="7"/>
      <c r="Q440" s="8">
        <v>6148</v>
      </c>
      <c r="R440" s="7"/>
      <c r="S440" s="8">
        <v>20906</v>
      </c>
      <c r="T440" s="7"/>
      <c r="U440" s="8">
        <v>0</v>
      </c>
      <c r="V440" s="7"/>
      <c r="W440" s="33">
        <v>158306</v>
      </c>
      <c r="X440" s="7"/>
      <c r="Y440" s="30">
        <v>58.8</v>
      </c>
      <c r="Z440" s="7"/>
      <c r="AA440" s="30">
        <v>10.1</v>
      </c>
      <c r="AB440" s="7"/>
      <c r="AC440" s="30">
        <v>4</v>
      </c>
      <c r="AD440" s="7"/>
      <c r="AE440" s="30">
        <v>11.8</v>
      </c>
      <c r="AF440" s="7"/>
      <c r="AG440" s="30">
        <v>0</v>
      </c>
      <c r="AI440" s="32">
        <v>84.7</v>
      </c>
      <c r="AK440" s="7" t="str">
        <f t="shared" si="6"/>
        <v>No</v>
      </c>
    </row>
    <row r="441" spans="1:37">
      <c r="A441" s="7" t="s">
        <v>685</v>
      </c>
      <c r="B441" s="7" t="s">
        <v>686</v>
      </c>
      <c r="C441" s="7" t="s">
        <v>73</v>
      </c>
      <c r="D441" s="302">
        <v>5024</v>
      </c>
      <c r="E441" s="297">
        <v>50024</v>
      </c>
      <c r="F441" s="7" t="s">
        <v>165</v>
      </c>
      <c r="G441" s="7" t="s">
        <v>158</v>
      </c>
      <c r="H441" s="8">
        <v>387550</v>
      </c>
      <c r="I441" s="8">
        <v>51</v>
      </c>
      <c r="J441" s="7" t="s">
        <v>10</v>
      </c>
      <c r="K441" s="7" t="s">
        <v>159</v>
      </c>
      <c r="L441" s="8">
        <v>16</v>
      </c>
      <c r="M441" s="8">
        <v>39111</v>
      </c>
      <c r="N441" s="7"/>
      <c r="O441" s="8">
        <v>558</v>
      </c>
      <c r="P441" s="7"/>
      <c r="Q441" s="8">
        <v>194</v>
      </c>
      <c r="R441" s="7"/>
      <c r="S441" s="8">
        <v>923</v>
      </c>
      <c r="T441" s="7"/>
      <c r="U441" s="8">
        <v>0</v>
      </c>
      <c r="V441" s="7"/>
      <c r="W441" s="33">
        <v>40786</v>
      </c>
      <c r="X441" s="7"/>
      <c r="Y441" s="30">
        <v>20</v>
      </c>
      <c r="Z441" s="7"/>
      <c r="AA441" s="30">
        <v>0.3</v>
      </c>
      <c r="AB441" s="7"/>
      <c r="AC441" s="30">
        <v>0.1</v>
      </c>
      <c r="AD441" s="7"/>
      <c r="AE441" s="30">
        <v>0.5</v>
      </c>
      <c r="AF441" s="7"/>
      <c r="AG441" s="30">
        <v>0</v>
      </c>
      <c r="AI441" s="32">
        <v>20.9</v>
      </c>
      <c r="AK441" s="7" t="str">
        <f t="shared" si="6"/>
        <v>No</v>
      </c>
    </row>
    <row r="442" spans="1:37">
      <c r="A442" s="7" t="s">
        <v>748</v>
      </c>
      <c r="B442" s="7" t="s">
        <v>206</v>
      </c>
      <c r="C442" s="7" t="s">
        <v>36</v>
      </c>
      <c r="D442" s="302">
        <v>4180</v>
      </c>
      <c r="E442" s="297">
        <v>40180</v>
      </c>
      <c r="F442" s="7" t="s">
        <v>114</v>
      </c>
      <c r="G442" s="7" t="s">
        <v>158</v>
      </c>
      <c r="H442" s="8">
        <v>128754</v>
      </c>
      <c r="I442" s="8">
        <v>51</v>
      </c>
      <c r="J442" s="7" t="s">
        <v>10</v>
      </c>
      <c r="K442" s="7" t="s">
        <v>159</v>
      </c>
      <c r="L442" s="8">
        <v>6</v>
      </c>
      <c r="M442" s="8">
        <v>5908</v>
      </c>
      <c r="N442" s="7"/>
      <c r="O442" s="8">
        <v>1785</v>
      </c>
      <c r="P442" s="7"/>
      <c r="Q442" s="8">
        <v>0</v>
      </c>
      <c r="R442" s="7"/>
      <c r="S442" s="8">
        <v>763</v>
      </c>
      <c r="T442" s="7"/>
      <c r="U442" s="8">
        <v>0</v>
      </c>
      <c r="V442" s="7"/>
      <c r="W442" s="33">
        <v>8456</v>
      </c>
      <c r="X442" s="7"/>
      <c r="Y442" s="30">
        <v>2.87</v>
      </c>
      <c r="Z442" s="7"/>
      <c r="AA442" s="30">
        <v>1.05</v>
      </c>
      <c r="AB442" s="7"/>
      <c r="AC442" s="30">
        <v>0</v>
      </c>
      <c r="AD442" s="7"/>
      <c r="AE442" s="30">
        <v>0.35</v>
      </c>
      <c r="AF442" s="7"/>
      <c r="AG442" s="30">
        <v>0</v>
      </c>
      <c r="AI442" s="32">
        <v>4.2699999999999996</v>
      </c>
      <c r="AK442" s="7" t="str">
        <f t="shared" si="6"/>
        <v>No</v>
      </c>
    </row>
    <row r="443" spans="1:37">
      <c r="A443" s="7" t="s">
        <v>1130</v>
      </c>
      <c r="B443" s="7" t="s">
        <v>653</v>
      </c>
      <c r="C443" s="7" t="s">
        <v>77</v>
      </c>
      <c r="D443" s="302">
        <v>2169</v>
      </c>
      <c r="E443" s="297">
        <v>20169</v>
      </c>
      <c r="F443" s="7" t="s">
        <v>173</v>
      </c>
      <c r="G443" s="7" t="s">
        <v>158</v>
      </c>
      <c r="H443" s="8">
        <v>18351295</v>
      </c>
      <c r="I443" s="8">
        <v>50</v>
      </c>
      <c r="J443" s="7" t="s">
        <v>18</v>
      </c>
      <c r="K443" s="7" t="s">
        <v>159</v>
      </c>
      <c r="L443" s="8">
        <v>50</v>
      </c>
      <c r="M443" s="8">
        <v>195019</v>
      </c>
      <c r="N443" s="7"/>
      <c r="O443" s="8">
        <v>59122</v>
      </c>
      <c r="P443" s="7"/>
      <c r="Q443" s="8">
        <v>3810</v>
      </c>
      <c r="R443" s="7"/>
      <c r="S443" s="8">
        <v>55344</v>
      </c>
      <c r="T443" s="7"/>
      <c r="U443" s="8">
        <v>0</v>
      </c>
      <c r="V443" s="7"/>
      <c r="W443" s="33">
        <v>313295</v>
      </c>
      <c r="X443" s="7"/>
      <c r="Y443" s="30">
        <v>83</v>
      </c>
      <c r="Z443" s="7"/>
      <c r="AA443" s="30">
        <v>30</v>
      </c>
      <c r="AB443" s="7"/>
      <c r="AC443" s="30">
        <v>2</v>
      </c>
      <c r="AD443" s="7"/>
      <c r="AE443" s="30">
        <v>27</v>
      </c>
      <c r="AF443" s="7"/>
      <c r="AG443" s="30">
        <v>0</v>
      </c>
      <c r="AI443" s="32">
        <v>142</v>
      </c>
      <c r="AK443" s="7" t="str">
        <f t="shared" si="6"/>
        <v>No</v>
      </c>
    </row>
    <row r="444" spans="1:37">
      <c r="A444" s="7" t="s">
        <v>362</v>
      </c>
      <c r="B444" s="7" t="s">
        <v>363</v>
      </c>
      <c r="C444" s="7" t="s">
        <v>93</v>
      </c>
      <c r="D444" s="302">
        <v>5099</v>
      </c>
      <c r="E444" s="297">
        <v>50099</v>
      </c>
      <c r="F444" s="7" t="s">
        <v>162</v>
      </c>
      <c r="G444" s="7" t="s">
        <v>158</v>
      </c>
      <c r="H444" s="8">
        <v>102852</v>
      </c>
      <c r="I444" s="8">
        <v>50</v>
      </c>
      <c r="J444" s="7" t="s">
        <v>7</v>
      </c>
      <c r="K444" s="7" t="s">
        <v>159</v>
      </c>
      <c r="L444" s="8">
        <v>16</v>
      </c>
      <c r="M444" s="8">
        <v>49797</v>
      </c>
      <c r="N444" s="7"/>
      <c r="O444" s="8">
        <v>7952</v>
      </c>
      <c r="P444" s="7"/>
      <c r="Q444" s="8">
        <v>0</v>
      </c>
      <c r="R444" s="7"/>
      <c r="S444" s="8">
        <v>6840</v>
      </c>
      <c r="T444" s="7"/>
      <c r="U444" s="8">
        <v>0</v>
      </c>
      <c r="V444" s="7"/>
      <c r="W444" s="33">
        <v>64589</v>
      </c>
      <c r="X444" s="7"/>
      <c r="Y444" s="30">
        <v>25</v>
      </c>
      <c r="Z444" s="7"/>
      <c r="AA444" s="30">
        <v>5</v>
      </c>
      <c r="AB444" s="7"/>
      <c r="AC444" s="30">
        <v>0</v>
      </c>
      <c r="AD444" s="7"/>
      <c r="AE444" s="30">
        <v>4</v>
      </c>
      <c r="AF444" s="7"/>
      <c r="AG444" s="30">
        <v>0</v>
      </c>
      <c r="AI444" s="32">
        <v>34</v>
      </c>
      <c r="AK444" s="7" t="str">
        <f t="shared" si="6"/>
        <v>No</v>
      </c>
    </row>
    <row r="445" spans="1:37">
      <c r="A445" s="7" t="s">
        <v>538</v>
      </c>
      <c r="B445" s="7" t="s">
        <v>533</v>
      </c>
      <c r="C445" s="7" t="s">
        <v>63</v>
      </c>
      <c r="D445" s="302">
        <v>2166</v>
      </c>
      <c r="E445" s="297">
        <v>20166</v>
      </c>
      <c r="F445" s="7" t="s">
        <v>173</v>
      </c>
      <c r="G445" s="7" t="s">
        <v>158</v>
      </c>
      <c r="H445" s="8">
        <v>18351295</v>
      </c>
      <c r="I445" s="8">
        <v>49</v>
      </c>
      <c r="J445" s="7" t="s">
        <v>7</v>
      </c>
      <c r="K445" s="7" t="s">
        <v>159</v>
      </c>
      <c r="L445" s="8">
        <v>49</v>
      </c>
      <c r="M445" s="8">
        <v>219478</v>
      </c>
      <c r="N445" s="7"/>
      <c r="O445" s="8">
        <v>33454</v>
      </c>
      <c r="P445" s="7"/>
      <c r="Q445" s="8">
        <v>8251</v>
      </c>
      <c r="R445" s="7"/>
      <c r="S445" s="8">
        <v>6899</v>
      </c>
      <c r="T445" s="7"/>
      <c r="U445" s="8">
        <v>0</v>
      </c>
      <c r="V445" s="7"/>
      <c r="W445" s="33">
        <v>268082</v>
      </c>
      <c r="X445" s="7"/>
      <c r="Y445" s="30">
        <v>96</v>
      </c>
      <c r="Z445" s="7"/>
      <c r="AA445" s="30">
        <v>14</v>
      </c>
      <c r="AB445" s="7"/>
      <c r="AC445" s="30">
        <v>4</v>
      </c>
      <c r="AD445" s="7"/>
      <c r="AE445" s="30">
        <v>3</v>
      </c>
      <c r="AF445" s="7"/>
      <c r="AG445" s="30">
        <v>0</v>
      </c>
      <c r="AI445" s="32">
        <v>117</v>
      </c>
      <c r="AK445" s="7" t="str">
        <f t="shared" si="6"/>
        <v>No</v>
      </c>
    </row>
    <row r="446" spans="1:37">
      <c r="A446" s="7" t="s">
        <v>295</v>
      </c>
      <c r="B446" s="7" t="s">
        <v>296</v>
      </c>
      <c r="C446" s="7" t="s">
        <v>17</v>
      </c>
      <c r="D446" s="302">
        <v>9042</v>
      </c>
      <c r="E446" s="297">
        <v>90042</v>
      </c>
      <c r="F446" s="7" t="s">
        <v>162</v>
      </c>
      <c r="G446" s="7" t="s">
        <v>158</v>
      </c>
      <c r="H446" s="8">
        <v>12150996</v>
      </c>
      <c r="I446" s="8">
        <v>49</v>
      </c>
      <c r="J446" s="7" t="s">
        <v>7</v>
      </c>
      <c r="K446" s="7" t="s">
        <v>159</v>
      </c>
      <c r="L446" s="8">
        <v>43</v>
      </c>
      <c r="M446" s="8">
        <v>114929</v>
      </c>
      <c r="N446" s="7"/>
      <c r="O446" s="8">
        <v>37207</v>
      </c>
      <c r="P446" s="7"/>
      <c r="Q446" s="8">
        <v>8388</v>
      </c>
      <c r="R446" s="7"/>
      <c r="S446" s="8">
        <v>13781</v>
      </c>
      <c r="T446" s="7"/>
      <c r="U446" s="8">
        <v>0</v>
      </c>
      <c r="V446" s="7"/>
      <c r="W446" s="33">
        <v>174305</v>
      </c>
      <c r="X446" s="7"/>
      <c r="Y446" s="30">
        <v>65.3</v>
      </c>
      <c r="Z446" s="7"/>
      <c r="AA446" s="30">
        <v>20.149999999999999</v>
      </c>
      <c r="AB446" s="7"/>
      <c r="AC446" s="30">
        <v>4.88</v>
      </c>
      <c r="AD446" s="7"/>
      <c r="AE446" s="30">
        <v>8.2200000000000006</v>
      </c>
      <c r="AF446" s="7"/>
      <c r="AG446" s="30">
        <v>0</v>
      </c>
      <c r="AI446" s="32">
        <v>98.55</v>
      </c>
      <c r="AK446" s="7" t="str">
        <f t="shared" si="6"/>
        <v>No</v>
      </c>
    </row>
    <row r="447" spans="1:37">
      <c r="A447" s="7" t="s">
        <v>1131</v>
      </c>
      <c r="B447" s="7" t="s">
        <v>735</v>
      </c>
      <c r="C447" s="7" t="s">
        <v>58</v>
      </c>
      <c r="D447" s="302">
        <v>4172</v>
      </c>
      <c r="E447" s="297">
        <v>40172</v>
      </c>
      <c r="F447" s="7" t="s">
        <v>165</v>
      </c>
      <c r="G447" s="7" t="s">
        <v>158</v>
      </c>
      <c r="H447" s="8">
        <v>212195</v>
      </c>
      <c r="I447" s="8">
        <v>49</v>
      </c>
      <c r="J447" s="7" t="s">
        <v>10</v>
      </c>
      <c r="K447" s="7" t="s">
        <v>159</v>
      </c>
      <c r="L447" s="8">
        <v>43</v>
      </c>
      <c r="M447" s="8">
        <v>48351</v>
      </c>
      <c r="N447" s="7"/>
      <c r="O447" s="8">
        <v>5933</v>
      </c>
      <c r="P447" s="7"/>
      <c r="Q447" s="8">
        <v>0</v>
      </c>
      <c r="R447" s="7"/>
      <c r="S447" s="8">
        <v>12237</v>
      </c>
      <c r="T447" s="7"/>
      <c r="U447" s="8">
        <v>0</v>
      </c>
      <c r="V447" s="7"/>
      <c r="W447" s="33">
        <v>66521</v>
      </c>
      <c r="X447" s="7"/>
      <c r="Y447" s="30">
        <v>25</v>
      </c>
      <c r="Z447" s="7"/>
      <c r="AA447" s="30">
        <v>3</v>
      </c>
      <c r="AB447" s="7"/>
      <c r="AC447" s="30">
        <v>0</v>
      </c>
      <c r="AD447" s="7"/>
      <c r="AE447" s="30">
        <v>7</v>
      </c>
      <c r="AF447" s="7"/>
      <c r="AG447" s="30">
        <v>0</v>
      </c>
      <c r="AI447" s="32">
        <v>35</v>
      </c>
      <c r="AK447" s="7" t="str">
        <f t="shared" si="6"/>
        <v>No</v>
      </c>
    </row>
    <row r="448" spans="1:37">
      <c r="A448" s="7" t="s">
        <v>727</v>
      </c>
      <c r="B448" s="7" t="s">
        <v>728</v>
      </c>
      <c r="C448" s="7" t="s">
        <v>84</v>
      </c>
      <c r="D448" s="302">
        <v>6102</v>
      </c>
      <c r="E448" s="297">
        <v>60102</v>
      </c>
      <c r="F448" s="7" t="s">
        <v>165</v>
      </c>
      <c r="G448" s="7" t="s">
        <v>158</v>
      </c>
      <c r="H448" s="8">
        <v>92984</v>
      </c>
      <c r="I448" s="8">
        <v>49</v>
      </c>
      <c r="J448" s="7" t="s">
        <v>10</v>
      </c>
      <c r="K448" s="7" t="s">
        <v>159</v>
      </c>
      <c r="L448" s="8">
        <v>42</v>
      </c>
      <c r="M448" s="8">
        <v>57907</v>
      </c>
      <c r="N448" s="7"/>
      <c r="O448" s="8">
        <v>0</v>
      </c>
      <c r="P448" s="7"/>
      <c r="Q448" s="8">
        <v>0</v>
      </c>
      <c r="R448" s="7"/>
      <c r="S448" s="8">
        <v>19677</v>
      </c>
      <c r="T448" s="7"/>
      <c r="U448" s="8">
        <v>0</v>
      </c>
      <c r="V448" s="7"/>
      <c r="W448" s="33">
        <v>77584</v>
      </c>
      <c r="X448" s="7"/>
      <c r="Y448" s="30">
        <v>32</v>
      </c>
      <c r="Z448" s="7"/>
      <c r="AA448" s="30">
        <v>0</v>
      </c>
      <c r="AB448" s="7"/>
      <c r="AC448" s="30">
        <v>0</v>
      </c>
      <c r="AD448" s="7"/>
      <c r="AE448" s="30">
        <v>12</v>
      </c>
      <c r="AF448" s="7"/>
      <c r="AG448" s="30">
        <v>0</v>
      </c>
      <c r="AI448" s="32">
        <v>44</v>
      </c>
      <c r="AK448" s="7" t="str">
        <f t="shared" si="6"/>
        <v>No</v>
      </c>
    </row>
    <row r="449" spans="1:37">
      <c r="A449" s="7" t="s">
        <v>727</v>
      </c>
      <c r="B449" s="7" t="s">
        <v>728</v>
      </c>
      <c r="C449" s="7" t="s">
        <v>84</v>
      </c>
      <c r="D449" s="302">
        <v>6102</v>
      </c>
      <c r="E449" s="297">
        <v>60102</v>
      </c>
      <c r="F449" s="7" t="s">
        <v>165</v>
      </c>
      <c r="G449" s="7" t="s">
        <v>158</v>
      </c>
      <c r="H449" s="8">
        <v>92984</v>
      </c>
      <c r="I449" s="8">
        <v>49</v>
      </c>
      <c r="J449" s="7" t="s">
        <v>7</v>
      </c>
      <c r="K449" s="7" t="s">
        <v>159</v>
      </c>
      <c r="L449" s="8">
        <v>7</v>
      </c>
      <c r="M449" s="8">
        <v>25334</v>
      </c>
      <c r="N449" s="7"/>
      <c r="O449" s="8">
        <v>0</v>
      </c>
      <c r="P449" s="7"/>
      <c r="Q449" s="8">
        <v>0</v>
      </c>
      <c r="R449" s="7"/>
      <c r="S449" s="8">
        <v>9886</v>
      </c>
      <c r="T449" s="7"/>
      <c r="U449" s="8">
        <v>0</v>
      </c>
      <c r="V449" s="7"/>
      <c r="W449" s="33">
        <v>35220</v>
      </c>
      <c r="X449" s="7"/>
      <c r="Y449" s="30">
        <v>14</v>
      </c>
      <c r="Z449" s="7"/>
      <c r="AA449" s="30">
        <v>0</v>
      </c>
      <c r="AB449" s="7"/>
      <c r="AC449" s="30">
        <v>0</v>
      </c>
      <c r="AD449" s="7"/>
      <c r="AE449" s="30">
        <v>5</v>
      </c>
      <c r="AF449" s="7"/>
      <c r="AG449" s="30">
        <v>0</v>
      </c>
      <c r="AI449" s="32">
        <v>19</v>
      </c>
      <c r="AK449" s="7" t="str">
        <f t="shared" si="6"/>
        <v>No</v>
      </c>
    </row>
    <row r="450" spans="1:37">
      <c r="A450" s="7" t="s">
        <v>1131</v>
      </c>
      <c r="B450" s="7" t="s">
        <v>735</v>
      </c>
      <c r="C450" s="7" t="s">
        <v>58</v>
      </c>
      <c r="D450" s="302">
        <v>4172</v>
      </c>
      <c r="E450" s="297">
        <v>40172</v>
      </c>
      <c r="F450" s="7" t="s">
        <v>165</v>
      </c>
      <c r="G450" s="7" t="s">
        <v>158</v>
      </c>
      <c r="H450" s="8">
        <v>212195</v>
      </c>
      <c r="I450" s="8">
        <v>49</v>
      </c>
      <c r="J450" s="7" t="s">
        <v>7</v>
      </c>
      <c r="K450" s="7" t="s">
        <v>159</v>
      </c>
      <c r="L450" s="8">
        <v>6</v>
      </c>
      <c r="M450" s="8">
        <v>23815</v>
      </c>
      <c r="N450" s="7"/>
      <c r="O450" s="8">
        <v>2475</v>
      </c>
      <c r="P450" s="7"/>
      <c r="Q450" s="8">
        <v>0</v>
      </c>
      <c r="R450" s="7"/>
      <c r="S450" s="8">
        <v>4983</v>
      </c>
      <c r="T450" s="7"/>
      <c r="U450" s="8">
        <v>0</v>
      </c>
      <c r="V450" s="7"/>
      <c r="W450" s="33">
        <v>31273</v>
      </c>
      <c r="X450" s="7"/>
      <c r="Y450" s="30">
        <v>12</v>
      </c>
      <c r="Z450" s="7"/>
      <c r="AA450" s="30">
        <v>1.25</v>
      </c>
      <c r="AB450" s="7"/>
      <c r="AC450" s="30">
        <v>0</v>
      </c>
      <c r="AD450" s="7"/>
      <c r="AE450" s="30">
        <v>3</v>
      </c>
      <c r="AF450" s="7"/>
      <c r="AG450" s="30">
        <v>0</v>
      </c>
      <c r="AI450" s="32">
        <v>16.25</v>
      </c>
      <c r="AK450" s="7" t="str">
        <f t="shared" ref="AK450:AK513" si="7">IF(AJ450&amp;AH450&amp;AF450&amp;AD450&amp;AB450&amp;Z450&amp;X450&amp;V450&amp;T450&amp;R450&amp;P450&amp;N450&lt;&gt;"","Yes","No")</f>
        <v>No</v>
      </c>
    </row>
    <row r="451" spans="1:37">
      <c r="A451" s="7" t="s">
        <v>295</v>
      </c>
      <c r="B451" s="7" t="s">
        <v>296</v>
      </c>
      <c r="C451" s="7" t="s">
        <v>17</v>
      </c>
      <c r="D451" s="302">
        <v>9042</v>
      </c>
      <c r="E451" s="297">
        <v>90042</v>
      </c>
      <c r="F451" s="7" t="s">
        <v>162</v>
      </c>
      <c r="G451" s="7" t="s">
        <v>158</v>
      </c>
      <c r="H451" s="8">
        <v>12150996</v>
      </c>
      <c r="I451" s="8">
        <v>49</v>
      </c>
      <c r="J451" s="7" t="s">
        <v>10</v>
      </c>
      <c r="K451" s="7" t="s">
        <v>159</v>
      </c>
      <c r="L451" s="8">
        <v>6</v>
      </c>
      <c r="M451" s="8">
        <v>2349</v>
      </c>
      <c r="N451" s="7"/>
      <c r="O451" s="8">
        <v>932</v>
      </c>
      <c r="P451" s="7"/>
      <c r="Q451" s="8">
        <v>328</v>
      </c>
      <c r="R451" s="7"/>
      <c r="S451" s="8">
        <v>2728</v>
      </c>
      <c r="T451" s="7"/>
      <c r="U451" s="8">
        <v>0</v>
      </c>
      <c r="V451" s="7"/>
      <c r="W451" s="33">
        <v>6337</v>
      </c>
      <c r="X451" s="7"/>
      <c r="Y451" s="30">
        <v>1.2</v>
      </c>
      <c r="Z451" s="7"/>
      <c r="AA451" s="30">
        <v>0.65</v>
      </c>
      <c r="AB451" s="7"/>
      <c r="AC451" s="30">
        <v>1.87</v>
      </c>
      <c r="AD451" s="7"/>
      <c r="AE451" s="30">
        <v>1.78</v>
      </c>
      <c r="AF451" s="7"/>
      <c r="AG451" s="30">
        <v>0</v>
      </c>
      <c r="AI451" s="32">
        <v>5.5</v>
      </c>
      <c r="AK451" s="7" t="str">
        <f t="shared" si="7"/>
        <v>No</v>
      </c>
    </row>
    <row r="452" spans="1:37">
      <c r="A452" s="7" t="s">
        <v>126</v>
      </c>
      <c r="B452" s="7" t="s">
        <v>772</v>
      </c>
      <c r="C452" s="7" t="s">
        <v>96</v>
      </c>
      <c r="D452" s="302">
        <v>3107</v>
      </c>
      <c r="E452" s="297">
        <v>30107</v>
      </c>
      <c r="F452" s="7" t="s">
        <v>114</v>
      </c>
      <c r="G452" s="7" t="s">
        <v>158</v>
      </c>
      <c r="H452" s="8">
        <v>70350</v>
      </c>
      <c r="I452" s="8">
        <v>48</v>
      </c>
      <c r="J452" s="7" t="s">
        <v>34</v>
      </c>
      <c r="K452" s="7" t="s">
        <v>159</v>
      </c>
      <c r="L452" s="8">
        <v>48</v>
      </c>
      <c r="M452" s="8">
        <v>14198</v>
      </c>
      <c r="N452" s="7"/>
      <c r="O452" s="8">
        <v>22850</v>
      </c>
      <c r="P452" s="7"/>
      <c r="Q452" s="8">
        <v>18967</v>
      </c>
      <c r="R452" s="7"/>
      <c r="S452" s="8">
        <v>18350</v>
      </c>
      <c r="T452" s="7"/>
      <c r="U452" s="8">
        <v>0</v>
      </c>
      <c r="V452" s="7"/>
      <c r="W452" s="33">
        <v>74365</v>
      </c>
      <c r="X452" s="7"/>
      <c r="Y452" s="30">
        <v>8</v>
      </c>
      <c r="Z452" s="7"/>
      <c r="AA452" s="30">
        <v>14</v>
      </c>
      <c r="AB452" s="7"/>
      <c r="AC452" s="30">
        <v>13</v>
      </c>
      <c r="AD452" s="7"/>
      <c r="AE452" s="30">
        <v>11</v>
      </c>
      <c r="AF452" s="7"/>
      <c r="AG452" s="30">
        <v>0</v>
      </c>
      <c r="AI452" s="32">
        <v>46</v>
      </c>
      <c r="AK452" s="7" t="str">
        <f t="shared" si="7"/>
        <v>No</v>
      </c>
    </row>
    <row r="453" spans="1:37">
      <c r="A453" s="7" t="s">
        <v>1111</v>
      </c>
      <c r="B453" s="7" t="s">
        <v>1112</v>
      </c>
      <c r="C453" s="7" t="s">
        <v>84</v>
      </c>
      <c r="D453" s="302">
        <v>6090</v>
      </c>
      <c r="E453" s="297">
        <v>60090</v>
      </c>
      <c r="F453" s="7" t="s">
        <v>195</v>
      </c>
      <c r="G453" s="7" t="s">
        <v>158</v>
      </c>
      <c r="H453" s="8">
        <v>728825</v>
      </c>
      <c r="I453" s="8">
        <v>48</v>
      </c>
      <c r="J453" s="7" t="s">
        <v>18</v>
      </c>
      <c r="K453" s="7" t="s">
        <v>159</v>
      </c>
      <c r="L453" s="8">
        <v>26</v>
      </c>
      <c r="M453" s="8">
        <v>23269</v>
      </c>
      <c r="N453" s="7"/>
      <c r="O453" s="8">
        <v>3312</v>
      </c>
      <c r="P453" s="7"/>
      <c r="Q453" s="8">
        <v>0</v>
      </c>
      <c r="R453" s="7"/>
      <c r="S453" s="8">
        <v>2891</v>
      </c>
      <c r="T453" s="7"/>
      <c r="U453" s="8">
        <v>0</v>
      </c>
      <c r="V453" s="7"/>
      <c r="W453" s="33">
        <v>29472</v>
      </c>
      <c r="X453" s="7"/>
      <c r="Y453" s="30">
        <v>12.94</v>
      </c>
      <c r="Z453" s="7"/>
      <c r="AA453" s="30">
        <v>2.08</v>
      </c>
      <c r="AB453" s="7"/>
      <c r="AC453" s="30">
        <v>0</v>
      </c>
      <c r="AD453" s="7"/>
      <c r="AE453" s="30">
        <v>1.61</v>
      </c>
      <c r="AF453" s="7"/>
      <c r="AG453" s="30">
        <v>0</v>
      </c>
      <c r="AI453" s="32">
        <v>16.63</v>
      </c>
      <c r="AK453" s="7" t="str">
        <f t="shared" si="7"/>
        <v>No</v>
      </c>
    </row>
    <row r="454" spans="1:37">
      <c r="A454" s="7" t="s">
        <v>475</v>
      </c>
      <c r="B454" s="7" t="s">
        <v>476</v>
      </c>
      <c r="C454" s="7" t="s">
        <v>9</v>
      </c>
      <c r="D454" s="302">
        <v>4043</v>
      </c>
      <c r="E454" s="297">
        <v>40043</v>
      </c>
      <c r="F454" s="7" t="s">
        <v>162</v>
      </c>
      <c r="G454" s="7" t="s">
        <v>158</v>
      </c>
      <c r="H454" s="8">
        <v>326183</v>
      </c>
      <c r="I454" s="8">
        <v>48</v>
      </c>
      <c r="J454" s="7" t="s">
        <v>10</v>
      </c>
      <c r="K454" s="7" t="s">
        <v>159</v>
      </c>
      <c r="L454" s="8">
        <v>25</v>
      </c>
      <c r="M454" s="8">
        <v>56342</v>
      </c>
      <c r="N454" s="7"/>
      <c r="O454" s="8">
        <v>8035</v>
      </c>
      <c r="P454" s="7"/>
      <c r="Q454" s="8">
        <v>949</v>
      </c>
      <c r="R454" s="7"/>
      <c r="S454" s="8">
        <v>13033</v>
      </c>
      <c r="T454" s="7"/>
      <c r="U454" s="8">
        <v>0</v>
      </c>
      <c r="V454" s="7"/>
      <c r="W454" s="33">
        <v>78359</v>
      </c>
      <c r="X454" s="7"/>
      <c r="Y454" s="30">
        <v>29</v>
      </c>
      <c r="Z454" s="7"/>
      <c r="AA454" s="30">
        <v>4</v>
      </c>
      <c r="AB454" s="7"/>
      <c r="AC454" s="30">
        <v>0.5</v>
      </c>
      <c r="AD454" s="7"/>
      <c r="AE454" s="30">
        <v>7</v>
      </c>
      <c r="AF454" s="7"/>
      <c r="AG454" s="30">
        <v>0</v>
      </c>
      <c r="AI454" s="32">
        <v>40.5</v>
      </c>
      <c r="AK454" s="7" t="str">
        <f t="shared" si="7"/>
        <v>No</v>
      </c>
    </row>
    <row r="455" spans="1:37">
      <c r="A455" s="7" t="s">
        <v>475</v>
      </c>
      <c r="B455" s="7" t="s">
        <v>476</v>
      </c>
      <c r="C455" s="7" t="s">
        <v>9</v>
      </c>
      <c r="D455" s="302">
        <v>4043</v>
      </c>
      <c r="E455" s="297">
        <v>40043</v>
      </c>
      <c r="F455" s="7" t="s">
        <v>162</v>
      </c>
      <c r="G455" s="7" t="s">
        <v>158</v>
      </c>
      <c r="H455" s="8">
        <v>326183</v>
      </c>
      <c r="I455" s="8">
        <v>48</v>
      </c>
      <c r="J455" s="7" t="s">
        <v>7</v>
      </c>
      <c r="K455" s="7" t="s">
        <v>159</v>
      </c>
      <c r="L455" s="8">
        <v>23</v>
      </c>
      <c r="M455" s="8">
        <v>113003</v>
      </c>
      <c r="N455" s="7"/>
      <c r="O455" s="8">
        <v>32075</v>
      </c>
      <c r="P455" s="7"/>
      <c r="Q455" s="8">
        <v>949</v>
      </c>
      <c r="R455" s="7"/>
      <c r="S455" s="8">
        <v>11185</v>
      </c>
      <c r="T455" s="7"/>
      <c r="U455" s="8">
        <v>0</v>
      </c>
      <c r="V455" s="7"/>
      <c r="W455" s="33">
        <v>157212</v>
      </c>
      <c r="X455" s="7"/>
      <c r="Y455" s="30">
        <v>54</v>
      </c>
      <c r="Z455" s="7"/>
      <c r="AA455" s="30">
        <v>16</v>
      </c>
      <c r="AB455" s="7"/>
      <c r="AC455" s="30">
        <v>0.5</v>
      </c>
      <c r="AD455" s="7"/>
      <c r="AE455" s="30">
        <v>6</v>
      </c>
      <c r="AF455" s="7"/>
      <c r="AG455" s="30">
        <v>0</v>
      </c>
      <c r="AI455" s="32">
        <v>76.5</v>
      </c>
      <c r="AK455" s="7" t="str">
        <f t="shared" si="7"/>
        <v>No</v>
      </c>
    </row>
    <row r="456" spans="1:37">
      <c r="A456" s="7" t="s">
        <v>1111</v>
      </c>
      <c r="B456" s="7" t="s">
        <v>1112</v>
      </c>
      <c r="C456" s="7" t="s">
        <v>84</v>
      </c>
      <c r="D456" s="302">
        <v>6090</v>
      </c>
      <c r="E456" s="297">
        <v>60090</v>
      </c>
      <c r="F456" s="7" t="s">
        <v>195</v>
      </c>
      <c r="G456" s="7" t="s">
        <v>158</v>
      </c>
      <c r="H456" s="8">
        <v>728825</v>
      </c>
      <c r="I456" s="8">
        <v>48</v>
      </c>
      <c r="J456" s="7" t="s">
        <v>7</v>
      </c>
      <c r="K456" s="7" t="s">
        <v>159</v>
      </c>
      <c r="L456" s="8">
        <v>17</v>
      </c>
      <c r="M456" s="8">
        <v>80871</v>
      </c>
      <c r="N456" s="7"/>
      <c r="O456" s="8">
        <v>8205</v>
      </c>
      <c r="P456" s="7"/>
      <c r="Q456" s="8">
        <v>0</v>
      </c>
      <c r="R456" s="7"/>
      <c r="S456" s="8">
        <v>8132</v>
      </c>
      <c r="T456" s="7"/>
      <c r="U456" s="8">
        <v>0</v>
      </c>
      <c r="V456" s="7"/>
      <c r="W456" s="33">
        <v>97208</v>
      </c>
      <c r="X456" s="7"/>
      <c r="Y456" s="30">
        <v>44.91</v>
      </c>
      <c r="Z456" s="7"/>
      <c r="AA456" s="30">
        <v>4.2</v>
      </c>
      <c r="AB456" s="7"/>
      <c r="AC456" s="30">
        <v>0</v>
      </c>
      <c r="AD456" s="7"/>
      <c r="AE456" s="30">
        <v>4.5199999999999996</v>
      </c>
      <c r="AF456" s="7"/>
      <c r="AG456" s="30">
        <v>0</v>
      </c>
      <c r="AI456" s="32">
        <v>53.63</v>
      </c>
      <c r="AK456" s="7" t="str">
        <f t="shared" si="7"/>
        <v>No</v>
      </c>
    </row>
    <row r="457" spans="1:37">
      <c r="A457" s="7" t="s">
        <v>1111</v>
      </c>
      <c r="B457" s="7" t="s">
        <v>1112</v>
      </c>
      <c r="C457" s="7" t="s">
        <v>84</v>
      </c>
      <c r="D457" s="302">
        <v>6090</v>
      </c>
      <c r="E457" s="297">
        <v>60090</v>
      </c>
      <c r="F457" s="7" t="s">
        <v>195</v>
      </c>
      <c r="G457" s="7" t="s">
        <v>158</v>
      </c>
      <c r="H457" s="8">
        <v>728825</v>
      </c>
      <c r="I457" s="8">
        <v>48</v>
      </c>
      <c r="J457" s="7" t="s">
        <v>10</v>
      </c>
      <c r="K457" s="7" t="s">
        <v>159</v>
      </c>
      <c r="L457" s="8">
        <v>5</v>
      </c>
      <c r="M457" s="8">
        <v>14658</v>
      </c>
      <c r="N457" s="7"/>
      <c r="O457" s="8">
        <v>1234</v>
      </c>
      <c r="P457" s="7"/>
      <c r="Q457" s="8">
        <v>0</v>
      </c>
      <c r="R457" s="7"/>
      <c r="S457" s="8">
        <v>1319</v>
      </c>
      <c r="T457" s="7"/>
      <c r="U457" s="8">
        <v>0</v>
      </c>
      <c r="V457" s="7"/>
      <c r="W457" s="33">
        <v>17211</v>
      </c>
      <c r="X457" s="7"/>
      <c r="Y457" s="30">
        <v>5.52</v>
      </c>
      <c r="Z457" s="7"/>
      <c r="AA457" s="30">
        <v>0.8</v>
      </c>
      <c r="AB457" s="7"/>
      <c r="AC457" s="30">
        <v>0</v>
      </c>
      <c r="AD457" s="7"/>
      <c r="AE457" s="30">
        <v>0.73</v>
      </c>
      <c r="AF457" s="7"/>
      <c r="AG457" s="30">
        <v>0</v>
      </c>
      <c r="AI457" s="32">
        <v>7.05</v>
      </c>
      <c r="AK457" s="7" t="str">
        <f t="shared" si="7"/>
        <v>No</v>
      </c>
    </row>
    <row r="458" spans="1:37">
      <c r="A458" s="7" t="s">
        <v>770</v>
      </c>
      <c r="B458" s="7" t="s">
        <v>771</v>
      </c>
      <c r="C458" s="7" t="s">
        <v>76</v>
      </c>
      <c r="D458" s="302">
        <v>57</v>
      </c>
      <c r="E458" s="297">
        <v>57</v>
      </c>
      <c r="F458" s="7" t="s">
        <v>195</v>
      </c>
      <c r="G458" s="7" t="s">
        <v>158</v>
      </c>
      <c r="H458" s="8">
        <v>83794</v>
      </c>
      <c r="I458" s="8">
        <v>47</v>
      </c>
      <c r="J458" s="7" t="s">
        <v>18</v>
      </c>
      <c r="K458" s="7" t="s">
        <v>159</v>
      </c>
      <c r="L458" s="8">
        <v>14</v>
      </c>
      <c r="M458" s="8">
        <v>10812</v>
      </c>
      <c r="N458" s="7"/>
      <c r="O458" s="8">
        <v>0</v>
      </c>
      <c r="P458" s="7"/>
      <c r="Q458" s="8">
        <v>0</v>
      </c>
      <c r="R458" s="7"/>
      <c r="S458" s="8">
        <v>9730</v>
      </c>
      <c r="T458" s="7"/>
      <c r="U458" s="8">
        <v>0</v>
      </c>
      <c r="V458" s="7"/>
      <c r="W458" s="33">
        <v>20542</v>
      </c>
      <c r="X458" s="7"/>
      <c r="Y458" s="30">
        <v>5.2</v>
      </c>
      <c r="Z458" s="7"/>
      <c r="AA458" s="30">
        <v>0</v>
      </c>
      <c r="AB458" s="7"/>
      <c r="AC458" s="30">
        <v>0</v>
      </c>
      <c r="AD458" s="7"/>
      <c r="AE458" s="30">
        <v>4.7</v>
      </c>
      <c r="AF458" s="7"/>
      <c r="AG458" s="30">
        <v>0</v>
      </c>
      <c r="AI458" s="32">
        <v>9.9</v>
      </c>
      <c r="AK458" s="7" t="str">
        <f t="shared" si="7"/>
        <v>No</v>
      </c>
    </row>
    <row r="459" spans="1:37">
      <c r="A459" s="7" t="s">
        <v>770</v>
      </c>
      <c r="B459" s="7" t="s">
        <v>771</v>
      </c>
      <c r="C459" s="7" t="s">
        <v>76</v>
      </c>
      <c r="D459" s="302">
        <v>57</v>
      </c>
      <c r="E459" s="297">
        <v>57</v>
      </c>
      <c r="F459" s="7" t="s">
        <v>195</v>
      </c>
      <c r="G459" s="7" t="s">
        <v>158</v>
      </c>
      <c r="H459" s="8">
        <v>83794</v>
      </c>
      <c r="I459" s="8">
        <v>47</v>
      </c>
      <c r="J459" s="7" t="s">
        <v>10</v>
      </c>
      <c r="K459" s="7" t="s">
        <v>159</v>
      </c>
      <c r="L459" s="8">
        <v>11</v>
      </c>
      <c r="M459" s="8">
        <v>10787</v>
      </c>
      <c r="N459" s="7"/>
      <c r="O459" s="8">
        <v>0</v>
      </c>
      <c r="P459" s="7"/>
      <c r="Q459" s="8">
        <v>0</v>
      </c>
      <c r="R459" s="7"/>
      <c r="S459" s="8">
        <v>4316</v>
      </c>
      <c r="T459" s="7"/>
      <c r="U459" s="8">
        <v>0</v>
      </c>
      <c r="V459" s="7"/>
      <c r="W459" s="33">
        <v>15103</v>
      </c>
      <c r="X459" s="7"/>
      <c r="Y459" s="30">
        <v>8.8000000000000007</v>
      </c>
      <c r="Z459" s="7"/>
      <c r="AA459" s="30">
        <v>0</v>
      </c>
      <c r="AB459" s="7"/>
      <c r="AC459" s="30">
        <v>0</v>
      </c>
      <c r="AD459" s="7"/>
      <c r="AE459" s="30">
        <v>2.8</v>
      </c>
      <c r="AF459" s="7"/>
      <c r="AG459" s="30">
        <v>0</v>
      </c>
      <c r="AI459" s="32">
        <v>11.6</v>
      </c>
      <c r="AK459" s="7" t="str">
        <f t="shared" si="7"/>
        <v>No</v>
      </c>
    </row>
    <row r="460" spans="1:37">
      <c r="A460" s="7" t="s">
        <v>770</v>
      </c>
      <c r="B460" s="7" t="s">
        <v>771</v>
      </c>
      <c r="C460" s="7" t="s">
        <v>76</v>
      </c>
      <c r="D460" s="302">
        <v>57</v>
      </c>
      <c r="E460" s="297">
        <v>57</v>
      </c>
      <c r="F460" s="7" t="s">
        <v>195</v>
      </c>
      <c r="G460" s="7" t="s">
        <v>158</v>
      </c>
      <c r="H460" s="8">
        <v>83794</v>
      </c>
      <c r="I460" s="8">
        <v>47</v>
      </c>
      <c r="J460" s="7" t="s">
        <v>7</v>
      </c>
      <c r="K460" s="7" t="s">
        <v>159</v>
      </c>
      <c r="L460" s="8">
        <v>1</v>
      </c>
      <c r="M460" s="8">
        <v>1805</v>
      </c>
      <c r="N460" s="7"/>
      <c r="O460" s="8">
        <v>0</v>
      </c>
      <c r="P460" s="7"/>
      <c r="Q460" s="8">
        <v>0</v>
      </c>
      <c r="R460" s="7"/>
      <c r="S460" s="8">
        <v>345</v>
      </c>
      <c r="T460" s="7"/>
      <c r="U460" s="8">
        <v>0</v>
      </c>
      <c r="V460" s="7"/>
      <c r="W460" s="33">
        <v>2150</v>
      </c>
      <c r="X460" s="7"/>
      <c r="Y460" s="30">
        <v>0.87</v>
      </c>
      <c r="Z460" s="7"/>
      <c r="AA460" s="30">
        <v>0</v>
      </c>
      <c r="AB460" s="7"/>
      <c r="AC460" s="30">
        <v>0</v>
      </c>
      <c r="AD460" s="7"/>
      <c r="AE460" s="30">
        <v>0.2</v>
      </c>
      <c r="AF460" s="7"/>
      <c r="AG460" s="30">
        <v>0</v>
      </c>
      <c r="AI460" s="32">
        <v>1.07</v>
      </c>
      <c r="AK460" s="7" t="str">
        <f t="shared" si="7"/>
        <v>No</v>
      </c>
    </row>
    <row r="461" spans="1:37">
      <c r="A461" s="7" t="s">
        <v>340</v>
      </c>
      <c r="B461" s="7" t="s">
        <v>341</v>
      </c>
      <c r="C461" s="7" t="s">
        <v>17</v>
      </c>
      <c r="D461" s="302">
        <v>9039</v>
      </c>
      <c r="E461" s="297">
        <v>90039</v>
      </c>
      <c r="F461" s="7" t="s">
        <v>162</v>
      </c>
      <c r="G461" s="7" t="s">
        <v>158</v>
      </c>
      <c r="H461" s="8">
        <v>12150996</v>
      </c>
      <c r="I461" s="8">
        <v>46</v>
      </c>
      <c r="J461" s="7" t="s">
        <v>7</v>
      </c>
      <c r="K461" s="7" t="s">
        <v>159</v>
      </c>
      <c r="L461" s="8">
        <v>44</v>
      </c>
      <c r="M461" s="8">
        <v>187120</v>
      </c>
      <c r="N461" s="7"/>
      <c r="O461" s="8">
        <v>24578</v>
      </c>
      <c r="P461" s="7"/>
      <c r="Q461" s="8">
        <v>2731</v>
      </c>
      <c r="R461" s="7"/>
      <c r="S461" s="8">
        <v>18886</v>
      </c>
      <c r="T461" s="7"/>
      <c r="U461" s="8">
        <v>0</v>
      </c>
      <c r="V461" s="7"/>
      <c r="W461" s="33">
        <v>233315</v>
      </c>
      <c r="X461" s="7"/>
      <c r="Y461" s="30">
        <v>93.56</v>
      </c>
      <c r="Z461" s="7"/>
      <c r="AA461" s="30">
        <v>12.3</v>
      </c>
      <c r="AB461" s="7"/>
      <c r="AC461" s="30">
        <v>1.37</v>
      </c>
      <c r="AD461" s="7"/>
      <c r="AE461" s="30">
        <v>9.44</v>
      </c>
      <c r="AF461" s="7"/>
      <c r="AG461" s="30">
        <v>0</v>
      </c>
      <c r="AI461" s="32">
        <v>116.67</v>
      </c>
      <c r="AK461" s="7" t="str">
        <f t="shared" si="7"/>
        <v>No</v>
      </c>
    </row>
    <row r="462" spans="1:37">
      <c r="A462" s="7" t="s">
        <v>610</v>
      </c>
      <c r="B462" s="7" t="s">
        <v>611</v>
      </c>
      <c r="C462" s="7" t="s">
        <v>42</v>
      </c>
      <c r="D462" s="302">
        <v>5052</v>
      </c>
      <c r="E462" s="297">
        <v>50052</v>
      </c>
      <c r="F462" s="7" t="s">
        <v>165</v>
      </c>
      <c r="G462" s="7" t="s">
        <v>158</v>
      </c>
      <c r="H462" s="8">
        <v>278165</v>
      </c>
      <c r="I462" s="8">
        <v>46</v>
      </c>
      <c r="J462" s="7" t="s">
        <v>7</v>
      </c>
      <c r="K462" s="7" t="s">
        <v>159</v>
      </c>
      <c r="L462" s="8">
        <v>35</v>
      </c>
      <c r="M462" s="8">
        <v>142593</v>
      </c>
      <c r="N462" s="7"/>
      <c r="O462" s="8">
        <v>17656</v>
      </c>
      <c r="P462" s="7"/>
      <c r="Q462" s="8">
        <v>4411</v>
      </c>
      <c r="R462" s="7"/>
      <c r="S462" s="8">
        <v>16353</v>
      </c>
      <c r="T462" s="7"/>
      <c r="U462" s="8">
        <v>0</v>
      </c>
      <c r="V462" s="7"/>
      <c r="W462" s="33">
        <v>181013</v>
      </c>
      <c r="X462" s="7"/>
      <c r="Y462" s="30">
        <v>56</v>
      </c>
      <c r="Z462" s="7"/>
      <c r="AA462" s="30">
        <v>7.5</v>
      </c>
      <c r="AB462" s="7"/>
      <c r="AC462" s="30">
        <v>2.5</v>
      </c>
      <c r="AD462" s="7"/>
      <c r="AE462" s="30">
        <v>8</v>
      </c>
      <c r="AF462" s="7"/>
      <c r="AG462" s="30">
        <v>0</v>
      </c>
      <c r="AI462" s="32">
        <v>74</v>
      </c>
      <c r="AK462" s="7" t="str">
        <f t="shared" si="7"/>
        <v>No</v>
      </c>
    </row>
    <row r="463" spans="1:37">
      <c r="A463" s="7" t="s">
        <v>610</v>
      </c>
      <c r="B463" s="7" t="s">
        <v>611</v>
      </c>
      <c r="C463" s="7" t="s">
        <v>42</v>
      </c>
      <c r="D463" s="302">
        <v>5052</v>
      </c>
      <c r="E463" s="297">
        <v>50052</v>
      </c>
      <c r="F463" s="7" t="s">
        <v>165</v>
      </c>
      <c r="G463" s="7" t="s">
        <v>158</v>
      </c>
      <c r="H463" s="8">
        <v>278165</v>
      </c>
      <c r="I463" s="8">
        <v>46</v>
      </c>
      <c r="J463" s="7" t="s">
        <v>10</v>
      </c>
      <c r="K463" s="7" t="s">
        <v>159</v>
      </c>
      <c r="L463" s="8">
        <v>11</v>
      </c>
      <c r="M463" s="8">
        <v>31189</v>
      </c>
      <c r="N463" s="7"/>
      <c r="O463" s="8">
        <v>5493</v>
      </c>
      <c r="P463" s="7"/>
      <c r="Q463" s="8">
        <v>2038</v>
      </c>
      <c r="R463" s="7"/>
      <c r="S463" s="8">
        <v>4138</v>
      </c>
      <c r="T463" s="7"/>
      <c r="U463" s="8">
        <v>0</v>
      </c>
      <c r="V463" s="7"/>
      <c r="W463" s="33">
        <v>42858</v>
      </c>
      <c r="X463" s="7"/>
      <c r="Y463" s="30">
        <v>12</v>
      </c>
      <c r="Z463" s="7"/>
      <c r="AA463" s="30">
        <v>2.6</v>
      </c>
      <c r="AB463" s="7"/>
      <c r="AC463" s="30">
        <v>1</v>
      </c>
      <c r="AD463" s="7"/>
      <c r="AE463" s="30">
        <v>2</v>
      </c>
      <c r="AF463" s="7"/>
      <c r="AG463" s="30">
        <v>0</v>
      </c>
      <c r="AI463" s="32">
        <v>17.600000000000001</v>
      </c>
      <c r="AK463" s="7" t="str">
        <f t="shared" si="7"/>
        <v>No</v>
      </c>
    </row>
    <row r="464" spans="1:37">
      <c r="A464" s="7" t="s">
        <v>340</v>
      </c>
      <c r="B464" s="7" t="s">
        <v>341</v>
      </c>
      <c r="C464" s="7" t="s">
        <v>17</v>
      </c>
      <c r="D464" s="302">
        <v>9039</v>
      </c>
      <c r="E464" s="297">
        <v>90039</v>
      </c>
      <c r="F464" s="7" t="s">
        <v>162</v>
      </c>
      <c r="G464" s="7" t="s">
        <v>158</v>
      </c>
      <c r="H464" s="8">
        <v>12150996</v>
      </c>
      <c r="I464" s="8">
        <v>46</v>
      </c>
      <c r="J464" s="7" t="s">
        <v>10</v>
      </c>
      <c r="K464" s="7" t="s">
        <v>159</v>
      </c>
      <c r="L464" s="8">
        <v>2</v>
      </c>
      <c r="M464" s="8">
        <v>4402</v>
      </c>
      <c r="N464" s="7"/>
      <c r="O464" s="8">
        <v>162</v>
      </c>
      <c r="P464" s="7"/>
      <c r="Q464" s="8">
        <v>9</v>
      </c>
      <c r="R464" s="7"/>
      <c r="S464" s="8">
        <v>100</v>
      </c>
      <c r="T464" s="7"/>
      <c r="U464" s="8">
        <v>0</v>
      </c>
      <c r="V464" s="7"/>
      <c r="W464" s="33">
        <v>4673</v>
      </c>
      <c r="X464" s="7"/>
      <c r="Y464" s="30">
        <v>1.9</v>
      </c>
      <c r="Z464" s="7"/>
      <c r="AA464" s="30">
        <v>0.1</v>
      </c>
      <c r="AB464" s="7"/>
      <c r="AC464" s="30">
        <v>0.01</v>
      </c>
      <c r="AD464" s="7"/>
      <c r="AE464" s="30">
        <v>0.05</v>
      </c>
      <c r="AF464" s="7"/>
      <c r="AG464" s="30">
        <v>0</v>
      </c>
      <c r="AI464" s="32">
        <v>2.06</v>
      </c>
      <c r="AK464" s="7" t="str">
        <f t="shared" si="7"/>
        <v>No</v>
      </c>
    </row>
    <row r="465" spans="1:37">
      <c r="A465" s="7" t="s">
        <v>463</v>
      </c>
      <c r="B465" s="7" t="s">
        <v>464</v>
      </c>
      <c r="C465" s="7" t="s">
        <v>32</v>
      </c>
      <c r="D465" s="302">
        <v>4026</v>
      </c>
      <c r="E465" s="297">
        <v>40026</v>
      </c>
      <c r="F465" s="7" t="s">
        <v>162</v>
      </c>
      <c r="G465" s="7" t="s">
        <v>158</v>
      </c>
      <c r="H465" s="8">
        <v>643260</v>
      </c>
      <c r="I465" s="8">
        <v>45</v>
      </c>
      <c r="J465" s="7" t="s">
        <v>7</v>
      </c>
      <c r="K465" s="7" t="s">
        <v>159</v>
      </c>
      <c r="L465" s="8">
        <v>23</v>
      </c>
      <c r="M465" s="8">
        <v>134673</v>
      </c>
      <c r="N465" s="7"/>
      <c r="O465" s="8">
        <v>8926</v>
      </c>
      <c r="P465" s="7"/>
      <c r="Q465" s="8">
        <v>1649</v>
      </c>
      <c r="R465" s="7"/>
      <c r="S465" s="8">
        <v>16052</v>
      </c>
      <c r="T465" s="7"/>
      <c r="U465" s="8">
        <v>0</v>
      </c>
      <c r="V465" s="7"/>
      <c r="W465" s="33">
        <v>161300</v>
      </c>
      <c r="X465" s="7"/>
      <c r="Y465" s="30">
        <v>65</v>
      </c>
      <c r="Z465" s="7"/>
      <c r="AA465" s="30">
        <v>4</v>
      </c>
      <c r="AB465" s="7"/>
      <c r="AC465" s="30">
        <v>1</v>
      </c>
      <c r="AD465" s="7"/>
      <c r="AE465" s="30">
        <v>10.31</v>
      </c>
      <c r="AF465" s="7"/>
      <c r="AG465" s="30">
        <v>0</v>
      </c>
      <c r="AI465" s="32">
        <v>80.31</v>
      </c>
      <c r="AK465" s="7" t="str">
        <f t="shared" si="7"/>
        <v>No</v>
      </c>
    </row>
    <row r="466" spans="1:37">
      <c r="A466" s="7" t="s">
        <v>463</v>
      </c>
      <c r="B466" s="7" t="s">
        <v>464</v>
      </c>
      <c r="C466" s="7" t="s">
        <v>32</v>
      </c>
      <c r="D466" s="302">
        <v>4026</v>
      </c>
      <c r="E466" s="297">
        <v>40026</v>
      </c>
      <c r="F466" s="7" t="s">
        <v>162</v>
      </c>
      <c r="G466" s="7" t="s">
        <v>158</v>
      </c>
      <c r="H466" s="8">
        <v>643260</v>
      </c>
      <c r="I466" s="8">
        <v>45</v>
      </c>
      <c r="J466" s="7" t="s">
        <v>10</v>
      </c>
      <c r="K466" s="7" t="s">
        <v>159</v>
      </c>
      <c r="L466" s="8">
        <v>22</v>
      </c>
      <c r="M466" s="8">
        <v>67204</v>
      </c>
      <c r="N466" s="7"/>
      <c r="O466" s="8">
        <v>2551</v>
      </c>
      <c r="P466" s="7"/>
      <c r="Q466" s="8">
        <v>0</v>
      </c>
      <c r="R466" s="7"/>
      <c r="S466" s="8">
        <v>4180</v>
      </c>
      <c r="T466" s="7"/>
      <c r="U466" s="8">
        <v>0</v>
      </c>
      <c r="V466" s="7"/>
      <c r="W466" s="33">
        <v>73935</v>
      </c>
      <c r="X466" s="7"/>
      <c r="Y466" s="30">
        <v>38</v>
      </c>
      <c r="Z466" s="7"/>
      <c r="AA466" s="30">
        <v>1</v>
      </c>
      <c r="AB466" s="7"/>
      <c r="AC466" s="30">
        <v>0</v>
      </c>
      <c r="AD466" s="7"/>
      <c r="AE466" s="30">
        <v>2.69</v>
      </c>
      <c r="AF466" s="7"/>
      <c r="AG466" s="30">
        <v>0</v>
      </c>
      <c r="AI466" s="32">
        <v>41.69</v>
      </c>
      <c r="AK466" s="7" t="str">
        <f t="shared" si="7"/>
        <v>No</v>
      </c>
    </row>
    <row r="467" spans="1:37">
      <c r="A467" s="7" t="s">
        <v>628</v>
      </c>
      <c r="B467" s="7" t="s">
        <v>629</v>
      </c>
      <c r="C467" s="7" t="s">
        <v>70</v>
      </c>
      <c r="D467" s="302">
        <v>2099</v>
      </c>
      <c r="E467" s="297">
        <v>20099</v>
      </c>
      <c r="F467" s="7" t="s">
        <v>165</v>
      </c>
      <c r="G467" s="7" t="s">
        <v>158</v>
      </c>
      <c r="H467" s="8">
        <v>18351295</v>
      </c>
      <c r="I467" s="8">
        <v>44</v>
      </c>
      <c r="J467" s="7" t="s">
        <v>20</v>
      </c>
      <c r="K467" s="7" t="s">
        <v>159</v>
      </c>
      <c r="L467" s="8">
        <v>44</v>
      </c>
      <c r="M467" s="8">
        <v>213977</v>
      </c>
      <c r="N467" s="7"/>
      <c r="O467" s="8">
        <v>95525</v>
      </c>
      <c r="P467" s="7"/>
      <c r="Q467" s="8">
        <v>215888</v>
      </c>
      <c r="R467" s="7"/>
      <c r="S467" s="8">
        <v>42031</v>
      </c>
      <c r="T467" s="7"/>
      <c r="U467" s="8">
        <v>0</v>
      </c>
      <c r="V467" s="7"/>
      <c r="W467" s="33">
        <v>567421</v>
      </c>
      <c r="X467" s="7"/>
      <c r="Y467" s="30">
        <v>112</v>
      </c>
      <c r="Z467" s="7"/>
      <c r="AA467" s="30">
        <v>50</v>
      </c>
      <c r="AB467" s="7"/>
      <c r="AC467" s="30">
        <v>113</v>
      </c>
      <c r="AD467" s="7"/>
      <c r="AE467" s="30">
        <v>22</v>
      </c>
      <c r="AF467" s="7"/>
      <c r="AG467" s="30">
        <v>0</v>
      </c>
      <c r="AI467" s="32">
        <v>297</v>
      </c>
      <c r="AK467" s="7" t="str">
        <f t="shared" si="7"/>
        <v>No</v>
      </c>
    </row>
    <row r="468" spans="1:37">
      <c r="A468" s="7" t="s">
        <v>91</v>
      </c>
      <c r="B468" s="7" t="s">
        <v>179</v>
      </c>
      <c r="C468" s="7" t="s">
        <v>89</v>
      </c>
      <c r="D468" s="302">
        <v>43</v>
      </c>
      <c r="E468" s="297">
        <v>43</v>
      </c>
      <c r="F468" s="7" t="s">
        <v>165</v>
      </c>
      <c r="G468" s="7" t="s">
        <v>158</v>
      </c>
      <c r="H468" s="8">
        <v>67227</v>
      </c>
      <c r="I468" s="8">
        <v>44</v>
      </c>
      <c r="J468" s="7" t="s">
        <v>7</v>
      </c>
      <c r="K468" s="7" t="s">
        <v>159</v>
      </c>
      <c r="L468" s="8">
        <v>30</v>
      </c>
      <c r="M468" s="8">
        <v>117172</v>
      </c>
      <c r="N468" s="7"/>
      <c r="O468" s="8">
        <v>27621</v>
      </c>
      <c r="P468" s="7"/>
      <c r="Q468" s="8">
        <v>5970</v>
      </c>
      <c r="R468" s="7"/>
      <c r="S468" s="8">
        <v>34091</v>
      </c>
      <c r="T468" s="7"/>
      <c r="U468" s="8">
        <v>550</v>
      </c>
      <c r="V468" s="7"/>
      <c r="W468" s="33">
        <v>185404</v>
      </c>
      <c r="X468" s="7"/>
      <c r="Y468" s="30">
        <v>61.1</v>
      </c>
      <c r="Z468" s="7"/>
      <c r="AA468" s="30">
        <v>14.2</v>
      </c>
      <c r="AB468" s="7"/>
      <c r="AC468" s="30">
        <v>3.3</v>
      </c>
      <c r="AD468" s="7"/>
      <c r="AE468" s="30">
        <v>19</v>
      </c>
      <c r="AF468" s="7"/>
      <c r="AG468" s="30">
        <v>0.3</v>
      </c>
      <c r="AI468" s="32">
        <v>97.9</v>
      </c>
      <c r="AK468" s="7" t="str">
        <f t="shared" si="7"/>
        <v>No</v>
      </c>
    </row>
    <row r="469" spans="1:37">
      <c r="A469" s="7" t="s">
        <v>718</v>
      </c>
      <c r="B469" s="7" t="s">
        <v>719</v>
      </c>
      <c r="C469" s="7" t="s">
        <v>48</v>
      </c>
      <c r="D469" s="302">
        <v>3096</v>
      </c>
      <c r="E469" s="297">
        <v>30096</v>
      </c>
      <c r="F469" s="7" t="s">
        <v>165</v>
      </c>
      <c r="G469" s="7" t="s">
        <v>158</v>
      </c>
      <c r="H469" s="8">
        <v>98081</v>
      </c>
      <c r="I469" s="8">
        <v>44</v>
      </c>
      <c r="J469" s="7" t="s">
        <v>10</v>
      </c>
      <c r="K469" s="7" t="s">
        <v>159</v>
      </c>
      <c r="L469" s="8">
        <v>23</v>
      </c>
      <c r="M469" s="8">
        <v>61288</v>
      </c>
      <c r="N469" s="7"/>
      <c r="O469" s="8">
        <v>6550</v>
      </c>
      <c r="P469" s="7"/>
      <c r="Q469" s="8">
        <v>958</v>
      </c>
      <c r="R469" s="7"/>
      <c r="S469" s="8">
        <v>20194</v>
      </c>
      <c r="T469" s="7"/>
      <c r="U469" s="8">
        <v>0</v>
      </c>
      <c r="V469" s="7"/>
      <c r="W469" s="33">
        <v>88990</v>
      </c>
      <c r="X469" s="7"/>
      <c r="Y469" s="30">
        <v>25.5</v>
      </c>
      <c r="Z469" s="7"/>
      <c r="AA469" s="30">
        <v>3</v>
      </c>
      <c r="AB469" s="7"/>
      <c r="AC469" s="30">
        <v>0.5</v>
      </c>
      <c r="AD469" s="7"/>
      <c r="AE469" s="30">
        <v>9.5</v>
      </c>
      <c r="AF469" s="7"/>
      <c r="AG469" s="30">
        <v>0</v>
      </c>
      <c r="AI469" s="32">
        <v>38.5</v>
      </c>
      <c r="AK469" s="7" t="str">
        <f t="shared" si="7"/>
        <v>No</v>
      </c>
    </row>
    <row r="470" spans="1:37">
      <c r="A470" s="7" t="s">
        <v>718</v>
      </c>
      <c r="B470" s="7" t="s">
        <v>719</v>
      </c>
      <c r="C470" s="7" t="s">
        <v>48</v>
      </c>
      <c r="D470" s="302">
        <v>3096</v>
      </c>
      <c r="E470" s="297">
        <v>30096</v>
      </c>
      <c r="F470" s="7" t="s">
        <v>165</v>
      </c>
      <c r="G470" s="7" t="s">
        <v>158</v>
      </c>
      <c r="H470" s="8">
        <v>98081</v>
      </c>
      <c r="I470" s="8">
        <v>44</v>
      </c>
      <c r="J470" s="7" t="s">
        <v>7</v>
      </c>
      <c r="K470" s="7" t="s">
        <v>159</v>
      </c>
      <c r="L470" s="8">
        <v>15</v>
      </c>
      <c r="M470" s="8">
        <v>106731</v>
      </c>
      <c r="N470" s="7"/>
      <c r="O470" s="8">
        <v>7985</v>
      </c>
      <c r="P470" s="7"/>
      <c r="Q470" s="8">
        <v>1070</v>
      </c>
      <c r="R470" s="7"/>
      <c r="S470" s="8">
        <v>7823</v>
      </c>
      <c r="T470" s="7"/>
      <c r="U470" s="8">
        <v>0</v>
      </c>
      <c r="V470" s="7"/>
      <c r="W470" s="33">
        <v>123609</v>
      </c>
      <c r="X470" s="7"/>
      <c r="Y470" s="30">
        <v>63.5</v>
      </c>
      <c r="Z470" s="7"/>
      <c r="AA470" s="30">
        <v>4</v>
      </c>
      <c r="AB470" s="7"/>
      <c r="AC470" s="30">
        <v>0.5</v>
      </c>
      <c r="AD470" s="7"/>
      <c r="AE470" s="30">
        <v>4.5</v>
      </c>
      <c r="AF470" s="7"/>
      <c r="AG470" s="30">
        <v>0</v>
      </c>
      <c r="AI470" s="32">
        <v>72.5</v>
      </c>
      <c r="AK470" s="7" t="str">
        <f t="shared" si="7"/>
        <v>No</v>
      </c>
    </row>
    <row r="471" spans="1:37">
      <c r="A471" s="7" t="s">
        <v>91</v>
      </c>
      <c r="B471" s="7" t="s">
        <v>179</v>
      </c>
      <c r="C471" s="7" t="s">
        <v>89</v>
      </c>
      <c r="D471" s="302">
        <v>43</v>
      </c>
      <c r="E471" s="297">
        <v>43</v>
      </c>
      <c r="F471" s="7" t="s">
        <v>165</v>
      </c>
      <c r="G471" s="7" t="s">
        <v>158</v>
      </c>
      <c r="H471" s="8">
        <v>67227</v>
      </c>
      <c r="I471" s="8">
        <v>44</v>
      </c>
      <c r="J471" s="7" t="s">
        <v>10</v>
      </c>
      <c r="K471" s="7" t="s">
        <v>159</v>
      </c>
      <c r="L471" s="8">
        <v>13</v>
      </c>
      <c r="M471" s="8">
        <v>24571</v>
      </c>
      <c r="N471" s="7"/>
      <c r="O471" s="8">
        <v>3442</v>
      </c>
      <c r="P471" s="7"/>
      <c r="Q471" s="8">
        <v>1258</v>
      </c>
      <c r="R471" s="7"/>
      <c r="S471" s="8">
        <v>7184</v>
      </c>
      <c r="T471" s="7"/>
      <c r="U471" s="8">
        <v>0</v>
      </c>
      <c r="V471" s="7"/>
      <c r="W471" s="33">
        <v>36455</v>
      </c>
      <c r="X471" s="7"/>
      <c r="Y471" s="30">
        <v>12.9</v>
      </c>
      <c r="Z471" s="7"/>
      <c r="AA471" s="30">
        <v>1.8</v>
      </c>
      <c r="AB471" s="7"/>
      <c r="AC471" s="30">
        <v>0.7</v>
      </c>
      <c r="AD471" s="7"/>
      <c r="AE471" s="30">
        <v>4</v>
      </c>
      <c r="AF471" s="7"/>
      <c r="AG471" s="30">
        <v>0</v>
      </c>
      <c r="AI471" s="32">
        <v>19.399999999999999</v>
      </c>
      <c r="AK471" s="7" t="str">
        <f t="shared" si="7"/>
        <v>No</v>
      </c>
    </row>
    <row r="472" spans="1:37">
      <c r="A472" s="7" t="s">
        <v>1103</v>
      </c>
      <c r="B472" s="7" t="s">
        <v>794</v>
      </c>
      <c r="C472" s="7" t="s">
        <v>81</v>
      </c>
      <c r="D472" s="302"/>
      <c r="E472" s="297">
        <v>40244</v>
      </c>
      <c r="F472" s="7" t="s">
        <v>157</v>
      </c>
      <c r="G472" s="7" t="s">
        <v>158</v>
      </c>
      <c r="H472" s="8">
        <v>180786</v>
      </c>
      <c r="I472" s="8">
        <v>43</v>
      </c>
      <c r="J472" s="7" t="s">
        <v>10</v>
      </c>
      <c r="K472" s="7" t="s">
        <v>159</v>
      </c>
      <c r="L472" s="8">
        <v>43</v>
      </c>
      <c r="M472" s="8">
        <v>88240</v>
      </c>
      <c r="N472" s="7"/>
      <c r="O472" s="8">
        <v>0</v>
      </c>
      <c r="P472" s="7"/>
      <c r="Q472" s="8">
        <v>0</v>
      </c>
      <c r="R472" s="7"/>
      <c r="S472" s="8">
        <v>22464</v>
      </c>
      <c r="T472" s="7"/>
      <c r="U472" s="8">
        <v>0</v>
      </c>
      <c r="V472" s="7"/>
      <c r="W472" s="33">
        <v>110704</v>
      </c>
      <c r="X472" s="7"/>
      <c r="Y472" s="30">
        <v>45</v>
      </c>
      <c r="Z472" s="7"/>
      <c r="AA472" s="30">
        <v>0</v>
      </c>
      <c r="AB472" s="7"/>
      <c r="AC472" s="30">
        <v>0</v>
      </c>
      <c r="AD472" s="7"/>
      <c r="AE472" s="30">
        <v>12</v>
      </c>
      <c r="AF472" s="7"/>
      <c r="AG472" s="30">
        <v>0</v>
      </c>
      <c r="AI472" s="32">
        <v>57</v>
      </c>
      <c r="AK472" s="7" t="str">
        <f t="shared" si="7"/>
        <v>No</v>
      </c>
    </row>
    <row r="473" spans="1:37">
      <c r="A473" s="7" t="s">
        <v>1104</v>
      </c>
      <c r="B473" s="7" t="s">
        <v>1105</v>
      </c>
      <c r="C473" s="7" t="s">
        <v>32</v>
      </c>
      <c r="D473" s="302"/>
      <c r="E473" s="297">
        <v>40245</v>
      </c>
      <c r="F473" s="7" t="s">
        <v>187</v>
      </c>
      <c r="G473" s="7" t="s">
        <v>158</v>
      </c>
      <c r="H473" s="8">
        <v>1065219</v>
      </c>
      <c r="I473" s="8">
        <v>43</v>
      </c>
      <c r="J473" s="7" t="s">
        <v>10</v>
      </c>
      <c r="K473" s="7" t="s">
        <v>159</v>
      </c>
      <c r="L473" s="8">
        <v>36</v>
      </c>
      <c r="M473" s="8">
        <v>61290</v>
      </c>
      <c r="N473" s="7"/>
      <c r="O473" s="8">
        <v>0</v>
      </c>
      <c r="P473" s="7"/>
      <c r="Q473" s="8">
        <v>0</v>
      </c>
      <c r="R473" s="7"/>
      <c r="S473" s="8">
        <v>17595</v>
      </c>
      <c r="T473" s="7"/>
      <c r="U473" s="8">
        <v>0</v>
      </c>
      <c r="V473" s="7"/>
      <c r="W473" s="33">
        <v>78885</v>
      </c>
      <c r="X473" s="7"/>
      <c r="Y473" s="30">
        <v>31</v>
      </c>
      <c r="Z473" s="7"/>
      <c r="AA473" s="30">
        <v>0</v>
      </c>
      <c r="AB473" s="7"/>
      <c r="AC473" s="30">
        <v>0</v>
      </c>
      <c r="AD473" s="7"/>
      <c r="AE473" s="30">
        <v>9</v>
      </c>
      <c r="AF473" s="7"/>
      <c r="AG473" s="30">
        <v>0</v>
      </c>
      <c r="AI473" s="32">
        <v>40</v>
      </c>
      <c r="AK473" s="7" t="str">
        <f t="shared" si="7"/>
        <v>No</v>
      </c>
    </row>
    <row r="474" spans="1:37">
      <c r="A474" s="7" t="s">
        <v>1132</v>
      </c>
      <c r="B474" s="7" t="s">
        <v>412</v>
      </c>
      <c r="C474" s="7" t="s">
        <v>28</v>
      </c>
      <c r="D474" s="302">
        <v>1051</v>
      </c>
      <c r="E474" s="297">
        <v>10051</v>
      </c>
      <c r="F474" s="7" t="s">
        <v>165</v>
      </c>
      <c r="G474" s="7" t="s">
        <v>158</v>
      </c>
      <c r="H474" s="8">
        <v>168136</v>
      </c>
      <c r="I474" s="8">
        <v>43</v>
      </c>
      <c r="J474" s="7" t="s">
        <v>7</v>
      </c>
      <c r="K474" s="7" t="s">
        <v>159</v>
      </c>
      <c r="L474" s="8">
        <v>28</v>
      </c>
      <c r="M474" s="8">
        <v>84261</v>
      </c>
      <c r="N474" s="7"/>
      <c r="O474" s="8">
        <v>15475</v>
      </c>
      <c r="P474" s="7"/>
      <c r="Q474" s="8">
        <v>0</v>
      </c>
      <c r="R474" s="7"/>
      <c r="S474" s="8">
        <v>11197</v>
      </c>
      <c r="T474" s="7"/>
      <c r="U474" s="8">
        <v>0</v>
      </c>
      <c r="V474" s="7"/>
      <c r="W474" s="33">
        <v>110933</v>
      </c>
      <c r="X474" s="7"/>
      <c r="Y474" s="30">
        <v>41</v>
      </c>
      <c r="Z474" s="7"/>
      <c r="AA474" s="30">
        <v>8</v>
      </c>
      <c r="AB474" s="7"/>
      <c r="AC474" s="30">
        <v>0</v>
      </c>
      <c r="AD474" s="7"/>
      <c r="AE474" s="30">
        <v>6</v>
      </c>
      <c r="AF474" s="7"/>
      <c r="AG474" s="30">
        <v>0</v>
      </c>
      <c r="AI474" s="32">
        <v>55</v>
      </c>
      <c r="AK474" s="7" t="str">
        <f t="shared" si="7"/>
        <v>No</v>
      </c>
    </row>
    <row r="475" spans="1:37">
      <c r="A475" s="7" t="s">
        <v>595</v>
      </c>
      <c r="B475" s="7" t="s">
        <v>596</v>
      </c>
      <c r="C475" s="7" t="s">
        <v>81</v>
      </c>
      <c r="D475" s="302">
        <v>4100</v>
      </c>
      <c r="E475" s="297">
        <v>40100</v>
      </c>
      <c r="F475" s="7" t="s">
        <v>165</v>
      </c>
      <c r="G475" s="7" t="s">
        <v>158</v>
      </c>
      <c r="H475" s="8">
        <v>73107</v>
      </c>
      <c r="I475" s="8">
        <v>43</v>
      </c>
      <c r="J475" s="7" t="s">
        <v>10</v>
      </c>
      <c r="K475" s="7" t="s">
        <v>159</v>
      </c>
      <c r="L475" s="8">
        <v>25</v>
      </c>
      <c r="M475" s="8">
        <v>18300</v>
      </c>
      <c r="N475" s="7"/>
      <c r="O475" s="8">
        <v>3198</v>
      </c>
      <c r="P475" s="7"/>
      <c r="Q475" s="8">
        <v>0</v>
      </c>
      <c r="R475" s="7"/>
      <c r="S475" s="8">
        <v>4482</v>
      </c>
      <c r="T475" s="7"/>
      <c r="U475" s="8">
        <v>0</v>
      </c>
      <c r="V475" s="7"/>
      <c r="W475" s="33">
        <v>25980</v>
      </c>
      <c r="X475" s="7"/>
      <c r="Y475" s="30">
        <v>9.56</v>
      </c>
      <c r="Z475" s="7"/>
      <c r="AA475" s="30">
        <v>1.6</v>
      </c>
      <c r="AB475" s="7"/>
      <c r="AC475" s="30">
        <v>0</v>
      </c>
      <c r="AD475" s="7"/>
      <c r="AE475" s="30">
        <v>2.2400000000000002</v>
      </c>
      <c r="AF475" s="7"/>
      <c r="AG475" s="30">
        <v>0</v>
      </c>
      <c r="AI475" s="32">
        <v>13.4</v>
      </c>
      <c r="AK475" s="7" t="str">
        <f t="shared" si="7"/>
        <v>No</v>
      </c>
    </row>
    <row r="476" spans="1:37">
      <c r="A476" s="7" t="s">
        <v>721</v>
      </c>
      <c r="B476" s="7" t="s">
        <v>722</v>
      </c>
      <c r="C476" s="7" t="s">
        <v>17</v>
      </c>
      <c r="D476" s="302">
        <v>9206</v>
      </c>
      <c r="E476" s="297">
        <v>90206</v>
      </c>
      <c r="F476" s="7" t="s">
        <v>165</v>
      </c>
      <c r="G476" s="7" t="s">
        <v>158</v>
      </c>
      <c r="H476" s="8">
        <v>59219</v>
      </c>
      <c r="I476" s="8">
        <v>43</v>
      </c>
      <c r="J476" s="7" t="s">
        <v>7</v>
      </c>
      <c r="K476" s="7" t="s">
        <v>159</v>
      </c>
      <c r="L476" s="8">
        <v>22</v>
      </c>
      <c r="M476" s="8">
        <v>76405</v>
      </c>
      <c r="N476" s="7"/>
      <c r="O476" s="8">
        <v>16822</v>
      </c>
      <c r="P476" s="7"/>
      <c r="Q476" s="8">
        <v>0</v>
      </c>
      <c r="R476" s="7"/>
      <c r="S476" s="8">
        <v>6811</v>
      </c>
      <c r="T476" s="7"/>
      <c r="U476" s="8">
        <v>0</v>
      </c>
      <c r="V476" s="7"/>
      <c r="W476" s="33">
        <v>100038</v>
      </c>
      <c r="X476" s="7"/>
      <c r="Y476" s="30">
        <v>39.840000000000003</v>
      </c>
      <c r="Z476" s="7"/>
      <c r="AA476" s="30">
        <v>8.7100000000000009</v>
      </c>
      <c r="AB476" s="7"/>
      <c r="AC476" s="30">
        <v>0</v>
      </c>
      <c r="AD476" s="7"/>
      <c r="AE476" s="30">
        <v>3.76</v>
      </c>
      <c r="AF476" s="7"/>
      <c r="AG476" s="30">
        <v>0</v>
      </c>
      <c r="AI476" s="32">
        <v>52.31</v>
      </c>
      <c r="AK476" s="7" t="str">
        <f t="shared" si="7"/>
        <v>No</v>
      </c>
    </row>
    <row r="477" spans="1:37">
      <c r="A477" s="7" t="s">
        <v>721</v>
      </c>
      <c r="B477" s="7" t="s">
        <v>722</v>
      </c>
      <c r="C477" s="7" t="s">
        <v>17</v>
      </c>
      <c r="D477" s="302">
        <v>9206</v>
      </c>
      <c r="E477" s="297">
        <v>90206</v>
      </c>
      <c r="F477" s="7" t="s">
        <v>165</v>
      </c>
      <c r="G477" s="7" t="s">
        <v>158</v>
      </c>
      <c r="H477" s="8">
        <v>59219</v>
      </c>
      <c r="I477" s="8">
        <v>43</v>
      </c>
      <c r="J477" s="7" t="s">
        <v>10</v>
      </c>
      <c r="K477" s="7" t="s">
        <v>159</v>
      </c>
      <c r="L477" s="8">
        <v>21</v>
      </c>
      <c r="M477" s="8">
        <v>64614</v>
      </c>
      <c r="N477" s="7"/>
      <c r="O477" s="8">
        <v>13342</v>
      </c>
      <c r="P477" s="7"/>
      <c r="Q477" s="8">
        <v>0</v>
      </c>
      <c r="R477" s="7"/>
      <c r="S477" s="8">
        <v>5909</v>
      </c>
      <c r="T477" s="7"/>
      <c r="U477" s="8">
        <v>0</v>
      </c>
      <c r="V477" s="7"/>
      <c r="W477" s="33">
        <v>83865</v>
      </c>
      <c r="X477" s="7"/>
      <c r="Y477" s="30">
        <v>33.28</v>
      </c>
      <c r="Z477" s="7"/>
      <c r="AA477" s="30">
        <v>6.95</v>
      </c>
      <c r="AB477" s="7"/>
      <c r="AC477" s="30">
        <v>0</v>
      </c>
      <c r="AD477" s="7"/>
      <c r="AE477" s="30">
        <v>3.26</v>
      </c>
      <c r="AF477" s="7"/>
      <c r="AG477" s="30">
        <v>0</v>
      </c>
      <c r="AI477" s="32">
        <v>43.49</v>
      </c>
      <c r="AK477" s="7" t="str">
        <f t="shared" si="7"/>
        <v>No</v>
      </c>
    </row>
    <row r="478" spans="1:37">
      <c r="A478" s="7" t="s">
        <v>177</v>
      </c>
      <c r="B478" s="7" t="s">
        <v>178</v>
      </c>
      <c r="C478" s="7" t="s">
        <v>73</v>
      </c>
      <c r="D478" s="302">
        <v>5166</v>
      </c>
      <c r="E478" s="297">
        <v>50166</v>
      </c>
      <c r="F478" s="7" t="s">
        <v>162</v>
      </c>
      <c r="G478" s="7" t="s">
        <v>158</v>
      </c>
      <c r="H478" s="8">
        <v>1624827</v>
      </c>
      <c r="I478" s="8">
        <v>43</v>
      </c>
      <c r="J478" s="7" t="s">
        <v>10</v>
      </c>
      <c r="K478" s="7" t="s">
        <v>159</v>
      </c>
      <c r="L478" s="8">
        <v>16</v>
      </c>
      <c r="M478" s="8">
        <v>31320</v>
      </c>
      <c r="N478" s="7"/>
      <c r="O478" s="8">
        <v>0</v>
      </c>
      <c r="P478" s="7"/>
      <c r="Q478" s="8">
        <v>0</v>
      </c>
      <c r="R478" s="7"/>
      <c r="S478" s="8">
        <v>1548</v>
      </c>
      <c r="T478" s="7"/>
      <c r="U478" s="8">
        <v>0</v>
      </c>
      <c r="V478" s="7"/>
      <c r="W478" s="33">
        <v>32868</v>
      </c>
      <c r="X478" s="7"/>
      <c r="Y478" s="30">
        <v>17</v>
      </c>
      <c r="Z478" s="7"/>
      <c r="AA478" s="30">
        <v>0</v>
      </c>
      <c r="AB478" s="7"/>
      <c r="AC478" s="30">
        <v>0</v>
      </c>
      <c r="AD478" s="7"/>
      <c r="AE478" s="30">
        <v>1</v>
      </c>
      <c r="AF478" s="7"/>
      <c r="AG478" s="30">
        <v>0</v>
      </c>
      <c r="AI478" s="32">
        <v>18</v>
      </c>
      <c r="AK478" s="7" t="str">
        <f t="shared" si="7"/>
        <v>No</v>
      </c>
    </row>
    <row r="479" spans="1:37">
      <c r="A479" s="7" t="s">
        <v>693</v>
      </c>
      <c r="B479" s="7" t="s">
        <v>694</v>
      </c>
      <c r="C479" s="7" t="s">
        <v>58</v>
      </c>
      <c r="D479" s="302">
        <v>4006</v>
      </c>
      <c r="E479" s="297">
        <v>40006</v>
      </c>
      <c r="F479" s="7" t="s">
        <v>165</v>
      </c>
      <c r="G479" s="7" t="s">
        <v>158</v>
      </c>
      <c r="H479" s="8">
        <v>219957</v>
      </c>
      <c r="I479" s="8">
        <v>43</v>
      </c>
      <c r="J479" s="7" t="s">
        <v>10</v>
      </c>
      <c r="K479" s="7" t="s">
        <v>159</v>
      </c>
      <c r="L479" s="8">
        <v>16</v>
      </c>
      <c r="M479" s="8">
        <v>22508</v>
      </c>
      <c r="N479" s="7"/>
      <c r="O479" s="8">
        <v>0</v>
      </c>
      <c r="P479" s="7"/>
      <c r="Q479" s="8">
        <v>941</v>
      </c>
      <c r="R479" s="7"/>
      <c r="S479" s="8">
        <v>4699</v>
      </c>
      <c r="T479" s="7"/>
      <c r="U479" s="8">
        <v>0</v>
      </c>
      <c r="V479" s="7"/>
      <c r="W479" s="33">
        <v>28148</v>
      </c>
      <c r="X479" s="7"/>
      <c r="Y479" s="30">
        <v>8</v>
      </c>
      <c r="Z479" s="7"/>
      <c r="AA479" s="30">
        <v>0</v>
      </c>
      <c r="AB479" s="7"/>
      <c r="AC479" s="30">
        <v>0.5</v>
      </c>
      <c r="AD479" s="7"/>
      <c r="AE479" s="30">
        <v>3</v>
      </c>
      <c r="AF479" s="7"/>
      <c r="AG479" s="30">
        <v>0</v>
      </c>
      <c r="AI479" s="32">
        <v>11.5</v>
      </c>
      <c r="AK479" s="7" t="str">
        <f t="shared" si="7"/>
        <v>No</v>
      </c>
    </row>
    <row r="480" spans="1:37">
      <c r="A480" s="7" t="s">
        <v>1132</v>
      </c>
      <c r="B480" s="7" t="s">
        <v>412</v>
      </c>
      <c r="C480" s="7" t="s">
        <v>28</v>
      </c>
      <c r="D480" s="302">
        <v>1051</v>
      </c>
      <c r="E480" s="297">
        <v>10051</v>
      </c>
      <c r="F480" s="7" t="s">
        <v>165</v>
      </c>
      <c r="G480" s="7" t="s">
        <v>158</v>
      </c>
      <c r="H480" s="8">
        <v>168136</v>
      </c>
      <c r="I480" s="8">
        <v>43</v>
      </c>
      <c r="J480" s="7" t="s">
        <v>10</v>
      </c>
      <c r="K480" s="7" t="s">
        <v>159</v>
      </c>
      <c r="L480" s="8">
        <v>15</v>
      </c>
      <c r="M480" s="8">
        <v>41924</v>
      </c>
      <c r="N480" s="7"/>
      <c r="O480" s="8">
        <v>3215</v>
      </c>
      <c r="P480" s="7"/>
      <c r="Q480" s="8">
        <v>0</v>
      </c>
      <c r="R480" s="7"/>
      <c r="S480" s="8">
        <v>4697</v>
      </c>
      <c r="T480" s="7"/>
      <c r="U480" s="8">
        <v>0</v>
      </c>
      <c r="V480" s="7"/>
      <c r="W480" s="33">
        <v>49836</v>
      </c>
      <c r="X480" s="7"/>
      <c r="Y480" s="30">
        <v>22</v>
      </c>
      <c r="Z480" s="7"/>
      <c r="AA480" s="30">
        <v>2</v>
      </c>
      <c r="AB480" s="7"/>
      <c r="AC480" s="30">
        <v>0</v>
      </c>
      <c r="AD480" s="7"/>
      <c r="AE480" s="30">
        <v>3</v>
      </c>
      <c r="AF480" s="7"/>
      <c r="AG480" s="30">
        <v>0</v>
      </c>
      <c r="AI480" s="32">
        <v>27</v>
      </c>
      <c r="AK480" s="7" t="str">
        <f t="shared" si="7"/>
        <v>No</v>
      </c>
    </row>
    <row r="481" spans="1:37">
      <c r="A481" s="7" t="s">
        <v>697</v>
      </c>
      <c r="B481" s="7" t="s">
        <v>698</v>
      </c>
      <c r="C481" s="7" t="s">
        <v>9</v>
      </c>
      <c r="D481" s="302">
        <v>4103</v>
      </c>
      <c r="E481" s="297">
        <v>40103</v>
      </c>
      <c r="F481" s="7" t="s">
        <v>195</v>
      </c>
      <c r="G481" s="7" t="s">
        <v>158</v>
      </c>
      <c r="H481" s="8">
        <v>68781</v>
      </c>
      <c r="I481" s="8">
        <v>43</v>
      </c>
      <c r="J481" s="7" t="s">
        <v>10</v>
      </c>
      <c r="K481" s="7" t="s">
        <v>159</v>
      </c>
      <c r="L481" s="8">
        <v>12</v>
      </c>
      <c r="M481" s="8">
        <v>21713</v>
      </c>
      <c r="N481" s="7"/>
      <c r="O481" s="8">
        <v>0</v>
      </c>
      <c r="P481" s="7"/>
      <c r="Q481" s="8">
        <v>0</v>
      </c>
      <c r="R481" s="7"/>
      <c r="S481" s="8">
        <v>1817</v>
      </c>
      <c r="T481" s="7"/>
      <c r="U481" s="8">
        <v>0</v>
      </c>
      <c r="V481" s="7"/>
      <c r="W481" s="33">
        <v>23530</v>
      </c>
      <c r="X481" s="7"/>
      <c r="Y481" s="30">
        <v>21</v>
      </c>
      <c r="Z481" s="7"/>
      <c r="AA481" s="30">
        <v>0</v>
      </c>
      <c r="AB481" s="7"/>
      <c r="AC481" s="30">
        <v>0</v>
      </c>
      <c r="AD481" s="7"/>
      <c r="AE481" s="30">
        <v>0.87</v>
      </c>
      <c r="AF481" s="7"/>
      <c r="AG481" s="30">
        <v>0</v>
      </c>
      <c r="AI481" s="32">
        <v>21.87</v>
      </c>
      <c r="AK481" s="7" t="str">
        <f t="shared" si="7"/>
        <v>No</v>
      </c>
    </row>
    <row r="482" spans="1:37">
      <c r="A482" s="7" t="s">
        <v>595</v>
      </c>
      <c r="B482" s="7" t="s">
        <v>596</v>
      </c>
      <c r="C482" s="7" t="s">
        <v>81</v>
      </c>
      <c r="D482" s="302">
        <v>4100</v>
      </c>
      <c r="E482" s="297">
        <v>40100</v>
      </c>
      <c r="F482" s="7" t="s">
        <v>165</v>
      </c>
      <c r="G482" s="7" t="s">
        <v>158</v>
      </c>
      <c r="H482" s="8">
        <v>73107</v>
      </c>
      <c r="I482" s="8">
        <v>43</v>
      </c>
      <c r="J482" s="7" t="s">
        <v>7</v>
      </c>
      <c r="K482" s="7" t="s">
        <v>159</v>
      </c>
      <c r="L482" s="8">
        <v>11</v>
      </c>
      <c r="M482" s="8">
        <v>14900</v>
      </c>
      <c r="N482" s="7"/>
      <c r="O482" s="8">
        <v>5197</v>
      </c>
      <c r="P482" s="7"/>
      <c r="Q482" s="8">
        <v>0</v>
      </c>
      <c r="R482" s="7"/>
      <c r="S482" s="8">
        <v>7283</v>
      </c>
      <c r="T482" s="7"/>
      <c r="U482" s="8">
        <v>0</v>
      </c>
      <c r="V482" s="7"/>
      <c r="W482" s="33">
        <v>27380</v>
      </c>
      <c r="X482" s="7"/>
      <c r="Y482" s="30">
        <v>7.16</v>
      </c>
      <c r="Z482" s="7"/>
      <c r="AA482" s="30">
        <v>2.6</v>
      </c>
      <c r="AB482" s="7"/>
      <c r="AC482" s="30">
        <v>0</v>
      </c>
      <c r="AD482" s="7"/>
      <c r="AE482" s="30">
        <v>3.64</v>
      </c>
      <c r="AF482" s="7"/>
      <c r="AG482" s="30">
        <v>0</v>
      </c>
      <c r="AI482" s="32">
        <v>13.4</v>
      </c>
      <c r="AK482" s="7" t="str">
        <f t="shared" si="7"/>
        <v>No</v>
      </c>
    </row>
    <row r="483" spans="1:37">
      <c r="A483" s="7" t="s">
        <v>177</v>
      </c>
      <c r="B483" s="7" t="s">
        <v>178</v>
      </c>
      <c r="C483" s="7" t="s">
        <v>73</v>
      </c>
      <c r="D483" s="302">
        <v>5166</v>
      </c>
      <c r="E483" s="297">
        <v>50166</v>
      </c>
      <c r="F483" s="7" t="s">
        <v>162</v>
      </c>
      <c r="G483" s="7" t="s">
        <v>158</v>
      </c>
      <c r="H483" s="8">
        <v>1624827</v>
      </c>
      <c r="I483" s="8">
        <v>43</v>
      </c>
      <c r="J483" s="7" t="s">
        <v>7</v>
      </c>
      <c r="K483" s="7" t="s">
        <v>159</v>
      </c>
      <c r="L483" s="8">
        <v>9</v>
      </c>
      <c r="M483" s="8">
        <v>15848</v>
      </c>
      <c r="N483" s="7"/>
      <c r="O483" s="8">
        <v>0</v>
      </c>
      <c r="P483" s="7"/>
      <c r="Q483" s="8">
        <v>0</v>
      </c>
      <c r="R483" s="7"/>
      <c r="S483" s="8">
        <v>2192</v>
      </c>
      <c r="T483" s="7"/>
      <c r="U483" s="8">
        <v>0</v>
      </c>
      <c r="V483" s="7"/>
      <c r="W483" s="33">
        <v>18040</v>
      </c>
      <c r="X483" s="7"/>
      <c r="Y483" s="30">
        <v>10</v>
      </c>
      <c r="Z483" s="7"/>
      <c r="AA483" s="30">
        <v>0</v>
      </c>
      <c r="AB483" s="7"/>
      <c r="AC483" s="30">
        <v>0</v>
      </c>
      <c r="AD483" s="7"/>
      <c r="AE483" s="30">
        <v>1</v>
      </c>
      <c r="AF483" s="7"/>
      <c r="AG483" s="30">
        <v>0</v>
      </c>
      <c r="AI483" s="32">
        <v>11</v>
      </c>
      <c r="AK483" s="7" t="str">
        <f t="shared" si="7"/>
        <v>No</v>
      </c>
    </row>
    <row r="484" spans="1:37">
      <c r="A484" s="7" t="s">
        <v>595</v>
      </c>
      <c r="B484" s="7" t="s">
        <v>596</v>
      </c>
      <c r="C484" s="7" t="s">
        <v>81</v>
      </c>
      <c r="D484" s="302">
        <v>4100</v>
      </c>
      <c r="E484" s="297">
        <v>40100</v>
      </c>
      <c r="F484" s="7" t="s">
        <v>165</v>
      </c>
      <c r="G484" s="7" t="s">
        <v>158</v>
      </c>
      <c r="H484" s="8">
        <v>73107</v>
      </c>
      <c r="I484" s="8">
        <v>43</v>
      </c>
      <c r="J484" s="7" t="s">
        <v>18</v>
      </c>
      <c r="K484" s="7" t="s">
        <v>159</v>
      </c>
      <c r="L484" s="8">
        <v>7</v>
      </c>
      <c r="M484" s="8">
        <v>8519</v>
      </c>
      <c r="N484" s="7"/>
      <c r="O484" s="8">
        <v>1599</v>
      </c>
      <c r="P484" s="7"/>
      <c r="Q484" s="8">
        <v>0</v>
      </c>
      <c r="R484" s="7"/>
      <c r="S484" s="8">
        <v>2241</v>
      </c>
      <c r="T484" s="7"/>
      <c r="U484" s="8">
        <v>0</v>
      </c>
      <c r="V484" s="7"/>
      <c r="W484" s="33">
        <v>12359</v>
      </c>
      <c r="X484" s="7"/>
      <c r="Y484" s="30">
        <v>5.28</v>
      </c>
      <c r="Z484" s="7"/>
      <c r="AA484" s="30">
        <v>0.8</v>
      </c>
      <c r="AB484" s="7"/>
      <c r="AC484" s="30">
        <v>0</v>
      </c>
      <c r="AD484" s="7"/>
      <c r="AE484" s="30">
        <v>1.1200000000000001</v>
      </c>
      <c r="AF484" s="7"/>
      <c r="AG484" s="30">
        <v>0</v>
      </c>
      <c r="AI484" s="32">
        <v>7.2</v>
      </c>
      <c r="AK484" s="7" t="str">
        <f t="shared" si="7"/>
        <v>No</v>
      </c>
    </row>
    <row r="485" spans="1:37">
      <c r="A485" s="7" t="s">
        <v>1104</v>
      </c>
      <c r="B485" s="7" t="s">
        <v>1105</v>
      </c>
      <c r="C485" s="7" t="s">
        <v>32</v>
      </c>
      <c r="D485" s="302"/>
      <c r="E485" s="297">
        <v>40245</v>
      </c>
      <c r="F485" s="7" t="s">
        <v>187</v>
      </c>
      <c r="G485" s="7" t="s">
        <v>158</v>
      </c>
      <c r="H485" s="8">
        <v>1065219</v>
      </c>
      <c r="I485" s="8">
        <v>43</v>
      </c>
      <c r="J485" s="7" t="s">
        <v>7</v>
      </c>
      <c r="K485" s="7" t="s">
        <v>159</v>
      </c>
      <c r="L485" s="8">
        <v>7</v>
      </c>
      <c r="M485" s="8">
        <v>16496</v>
      </c>
      <c r="N485" s="7"/>
      <c r="O485" s="8">
        <v>0</v>
      </c>
      <c r="P485" s="7"/>
      <c r="Q485" s="8">
        <v>0</v>
      </c>
      <c r="R485" s="7"/>
      <c r="S485" s="8">
        <v>17584</v>
      </c>
      <c r="T485" s="7" t="s">
        <v>121</v>
      </c>
      <c r="U485" s="8">
        <v>0</v>
      </c>
      <c r="V485" s="7"/>
      <c r="W485" s="33">
        <v>34080</v>
      </c>
      <c r="X485" s="7" t="s">
        <v>121</v>
      </c>
      <c r="Y485" s="30">
        <v>7</v>
      </c>
      <c r="Z485" s="7"/>
      <c r="AA485" s="30">
        <v>0</v>
      </c>
      <c r="AB485" s="7"/>
      <c r="AC485" s="30">
        <v>0</v>
      </c>
      <c r="AD485" s="7"/>
      <c r="AE485" s="30">
        <v>9</v>
      </c>
      <c r="AF485" s="7"/>
      <c r="AG485" s="30">
        <v>0</v>
      </c>
      <c r="AI485" s="32">
        <v>16</v>
      </c>
      <c r="AK485" s="7" t="str">
        <f t="shared" si="7"/>
        <v>Yes</v>
      </c>
    </row>
    <row r="486" spans="1:37">
      <c r="A486" s="7" t="s">
        <v>693</v>
      </c>
      <c r="B486" s="7" t="s">
        <v>694</v>
      </c>
      <c r="C486" s="7" t="s">
        <v>58</v>
      </c>
      <c r="D486" s="302">
        <v>4006</v>
      </c>
      <c r="E486" s="297">
        <v>40006</v>
      </c>
      <c r="F486" s="7" t="s">
        <v>165</v>
      </c>
      <c r="G486" s="7" t="s">
        <v>158</v>
      </c>
      <c r="H486" s="8">
        <v>219957</v>
      </c>
      <c r="I486" s="8">
        <v>43</v>
      </c>
      <c r="J486" s="7" t="s">
        <v>8</v>
      </c>
      <c r="K486" s="7" t="s">
        <v>159</v>
      </c>
      <c r="L486" s="8">
        <v>2</v>
      </c>
      <c r="M486" s="8">
        <v>0</v>
      </c>
      <c r="N486" s="7"/>
      <c r="O486" s="8">
        <v>0</v>
      </c>
      <c r="P486" s="7"/>
      <c r="Q486" s="8">
        <v>80</v>
      </c>
      <c r="R486" s="7"/>
      <c r="S486" s="8">
        <v>75</v>
      </c>
      <c r="T486" s="7"/>
      <c r="U486" s="8">
        <v>0</v>
      </c>
      <c r="V486" s="7"/>
      <c r="W486" s="33">
        <v>155</v>
      </c>
      <c r="X486" s="7"/>
      <c r="Y486" s="30">
        <v>0</v>
      </c>
      <c r="Z486" s="7"/>
      <c r="AA486" s="30">
        <v>0</v>
      </c>
      <c r="AB486" s="7"/>
      <c r="AC486" s="30">
        <v>0.05</v>
      </c>
      <c r="AD486" s="7"/>
      <c r="AE486" s="30">
        <v>0.05</v>
      </c>
      <c r="AF486" s="7"/>
      <c r="AG486" s="30">
        <v>0</v>
      </c>
      <c r="AI486" s="32">
        <v>0.1</v>
      </c>
      <c r="AK486" s="7" t="str">
        <f t="shared" si="7"/>
        <v>No</v>
      </c>
    </row>
    <row r="487" spans="1:37">
      <c r="A487" s="7" t="s">
        <v>525</v>
      </c>
      <c r="B487" s="7" t="s">
        <v>526</v>
      </c>
      <c r="C487" s="7" t="s">
        <v>9</v>
      </c>
      <c r="D487" s="302">
        <v>4068</v>
      </c>
      <c r="E487" s="297">
        <v>40068</v>
      </c>
      <c r="F487" s="7" t="s">
        <v>195</v>
      </c>
      <c r="G487" s="7" t="s">
        <v>158</v>
      </c>
      <c r="H487" s="8">
        <v>77074</v>
      </c>
      <c r="I487" s="8">
        <v>42</v>
      </c>
      <c r="J487" s="7" t="s">
        <v>10</v>
      </c>
      <c r="K487" s="7" t="s">
        <v>159</v>
      </c>
      <c r="L487" s="8">
        <v>42</v>
      </c>
      <c r="M487" s="8">
        <v>7171</v>
      </c>
      <c r="N487" s="7"/>
      <c r="O487" s="8">
        <v>0</v>
      </c>
      <c r="P487" s="7"/>
      <c r="Q487" s="8">
        <v>0</v>
      </c>
      <c r="R487" s="7"/>
      <c r="S487" s="8">
        <v>3505</v>
      </c>
      <c r="T487" s="7"/>
      <c r="U487" s="8">
        <v>0</v>
      </c>
      <c r="V487" s="7"/>
      <c r="W487" s="33">
        <v>10676</v>
      </c>
      <c r="X487" s="7"/>
      <c r="Y487" s="30">
        <v>4</v>
      </c>
      <c r="Z487" s="7"/>
      <c r="AA487" s="30">
        <v>0</v>
      </c>
      <c r="AB487" s="7"/>
      <c r="AC487" s="30">
        <v>0</v>
      </c>
      <c r="AD487" s="7"/>
      <c r="AE487" s="30">
        <v>2</v>
      </c>
      <c r="AF487" s="7"/>
      <c r="AG487" s="30">
        <v>0</v>
      </c>
      <c r="AI487" s="32">
        <v>6</v>
      </c>
      <c r="AK487" s="7" t="str">
        <f t="shared" si="7"/>
        <v>No</v>
      </c>
    </row>
    <row r="488" spans="1:37">
      <c r="A488" s="7" t="s">
        <v>331</v>
      </c>
      <c r="B488" s="7" t="s">
        <v>329</v>
      </c>
      <c r="C488" s="7" t="s">
        <v>28</v>
      </c>
      <c r="D488" s="302">
        <v>1056</v>
      </c>
      <c r="E488" s="297">
        <v>10056</v>
      </c>
      <c r="F488" s="7" t="s">
        <v>157</v>
      </c>
      <c r="G488" s="7" t="s">
        <v>158</v>
      </c>
      <c r="H488" s="8">
        <v>923311</v>
      </c>
      <c r="I488" s="8">
        <v>42</v>
      </c>
      <c r="J488" s="7" t="s">
        <v>7</v>
      </c>
      <c r="K488" s="7" t="s">
        <v>159</v>
      </c>
      <c r="L488" s="8">
        <v>42</v>
      </c>
      <c r="M488" s="8">
        <v>196483</v>
      </c>
      <c r="N488" s="7"/>
      <c r="O488" s="8">
        <v>46002</v>
      </c>
      <c r="P488" s="7"/>
      <c r="Q488" s="8">
        <v>4744</v>
      </c>
      <c r="R488" s="7"/>
      <c r="S488" s="8">
        <v>12340</v>
      </c>
      <c r="T488" s="7"/>
      <c r="U488" s="8">
        <v>0</v>
      </c>
      <c r="V488" s="7"/>
      <c r="W488" s="33">
        <v>259569</v>
      </c>
      <c r="X488" s="7"/>
      <c r="Y488" s="30">
        <v>95</v>
      </c>
      <c r="Z488" s="7"/>
      <c r="AA488" s="30">
        <v>21</v>
      </c>
      <c r="AB488" s="7"/>
      <c r="AC488" s="30">
        <v>3</v>
      </c>
      <c r="AD488" s="7"/>
      <c r="AE488" s="30">
        <v>7</v>
      </c>
      <c r="AF488" s="7"/>
      <c r="AG488" s="30">
        <v>0</v>
      </c>
      <c r="AI488" s="32">
        <v>126</v>
      </c>
      <c r="AK488" s="7" t="str">
        <f t="shared" si="7"/>
        <v>No</v>
      </c>
    </row>
    <row r="489" spans="1:37">
      <c r="A489" s="7" t="s">
        <v>115</v>
      </c>
      <c r="B489" s="7" t="s">
        <v>481</v>
      </c>
      <c r="C489" s="7" t="s">
        <v>36</v>
      </c>
      <c r="D489" s="302">
        <v>4203</v>
      </c>
      <c r="E489" s="297">
        <v>40203</v>
      </c>
      <c r="F489" s="7" t="s">
        <v>173</v>
      </c>
      <c r="G489" s="7" t="s">
        <v>158</v>
      </c>
      <c r="H489" s="8">
        <v>4515419</v>
      </c>
      <c r="I489" s="8">
        <v>42</v>
      </c>
      <c r="J489" s="7" t="s">
        <v>8</v>
      </c>
      <c r="K489" s="7" t="s">
        <v>159</v>
      </c>
      <c r="L489" s="8">
        <v>42</v>
      </c>
      <c r="M489" s="8">
        <v>0</v>
      </c>
      <c r="N489" s="7"/>
      <c r="O489" s="8">
        <v>0</v>
      </c>
      <c r="P489" s="7"/>
      <c r="Q489" s="8">
        <v>0</v>
      </c>
      <c r="R489" s="7"/>
      <c r="S489" s="8">
        <v>3988</v>
      </c>
      <c r="T489" s="7"/>
      <c r="U489" s="8">
        <v>0</v>
      </c>
      <c r="V489" s="7"/>
      <c r="W489" s="33">
        <v>3988</v>
      </c>
      <c r="X489" s="7"/>
      <c r="Y489" s="30">
        <v>0</v>
      </c>
      <c r="Z489" s="7"/>
      <c r="AA489" s="30">
        <v>0</v>
      </c>
      <c r="AB489" s="7"/>
      <c r="AC489" s="30">
        <v>0</v>
      </c>
      <c r="AD489" s="7"/>
      <c r="AE489" s="30">
        <v>2</v>
      </c>
      <c r="AF489" s="7"/>
      <c r="AG489" s="30">
        <v>0</v>
      </c>
      <c r="AI489" s="32">
        <v>2</v>
      </c>
      <c r="AK489" s="7" t="str">
        <f t="shared" si="7"/>
        <v>No</v>
      </c>
    </row>
    <row r="490" spans="1:37">
      <c r="A490" s="7" t="s">
        <v>193</v>
      </c>
      <c r="B490" s="7" t="s">
        <v>194</v>
      </c>
      <c r="C490" s="7" t="s">
        <v>86</v>
      </c>
      <c r="D490" s="302">
        <v>3091</v>
      </c>
      <c r="E490" s="297">
        <v>30091</v>
      </c>
      <c r="F490" s="7" t="s">
        <v>162</v>
      </c>
      <c r="G490" s="7" t="s">
        <v>158</v>
      </c>
      <c r="H490" s="8">
        <v>88542</v>
      </c>
      <c r="I490" s="8">
        <v>42</v>
      </c>
      <c r="J490" s="7" t="s">
        <v>7</v>
      </c>
      <c r="K490" s="7" t="s">
        <v>159</v>
      </c>
      <c r="L490" s="8">
        <v>34</v>
      </c>
      <c r="M490" s="8">
        <v>33518</v>
      </c>
      <c r="N490" s="7"/>
      <c r="O490" s="8">
        <v>18776</v>
      </c>
      <c r="P490" s="7"/>
      <c r="Q490" s="8">
        <v>418</v>
      </c>
      <c r="R490" s="7"/>
      <c r="S490" s="8">
        <v>27649</v>
      </c>
      <c r="T490" s="7"/>
      <c r="U490" s="8">
        <v>0</v>
      </c>
      <c r="V490" s="7"/>
      <c r="W490" s="33">
        <v>80361</v>
      </c>
      <c r="X490" s="7"/>
      <c r="Y490" s="30">
        <v>18.5</v>
      </c>
      <c r="Z490" s="7"/>
      <c r="AA490" s="30">
        <v>10</v>
      </c>
      <c r="AB490" s="7"/>
      <c r="AC490" s="30">
        <v>0.22</v>
      </c>
      <c r="AD490" s="7"/>
      <c r="AE490" s="30">
        <v>14</v>
      </c>
      <c r="AF490" s="7"/>
      <c r="AG490" s="30">
        <v>0</v>
      </c>
      <c r="AI490" s="32">
        <v>42.72</v>
      </c>
      <c r="AK490" s="7" t="str">
        <f t="shared" si="7"/>
        <v>No</v>
      </c>
    </row>
    <row r="491" spans="1:37">
      <c r="A491" s="7" t="s">
        <v>372</v>
      </c>
      <c r="B491" s="7" t="s">
        <v>373</v>
      </c>
      <c r="C491" s="7" t="s">
        <v>42</v>
      </c>
      <c r="D491" s="302">
        <v>5044</v>
      </c>
      <c r="E491" s="297">
        <v>50044</v>
      </c>
      <c r="F491" s="7" t="s">
        <v>165</v>
      </c>
      <c r="G491" s="7" t="s">
        <v>158</v>
      </c>
      <c r="H491" s="8">
        <v>313492</v>
      </c>
      <c r="I491" s="8">
        <v>42</v>
      </c>
      <c r="J491" s="7" t="s">
        <v>7</v>
      </c>
      <c r="K491" s="7" t="s">
        <v>159</v>
      </c>
      <c r="L491" s="8">
        <v>30</v>
      </c>
      <c r="M491" s="8">
        <v>142289</v>
      </c>
      <c r="N491" s="7"/>
      <c r="O491" s="8">
        <v>18098</v>
      </c>
      <c r="P491" s="7"/>
      <c r="Q491" s="8">
        <v>2109</v>
      </c>
      <c r="R491" s="7"/>
      <c r="S491" s="8">
        <v>7343</v>
      </c>
      <c r="T491" s="7"/>
      <c r="U491" s="8">
        <v>0</v>
      </c>
      <c r="V491" s="7"/>
      <c r="W491" s="33">
        <v>169839</v>
      </c>
      <c r="X491" s="7"/>
      <c r="Y491" s="30">
        <v>75.2</v>
      </c>
      <c r="Z491" s="7"/>
      <c r="AA491" s="30">
        <v>9.6999999999999993</v>
      </c>
      <c r="AB491" s="7"/>
      <c r="AC491" s="30">
        <v>1</v>
      </c>
      <c r="AD491" s="7"/>
      <c r="AE491" s="30">
        <v>3.9</v>
      </c>
      <c r="AF491" s="7"/>
      <c r="AG491" s="30">
        <v>0</v>
      </c>
      <c r="AI491" s="32">
        <v>89.8</v>
      </c>
      <c r="AK491" s="7" t="str">
        <f t="shared" si="7"/>
        <v>No</v>
      </c>
    </row>
    <row r="492" spans="1:37">
      <c r="A492" s="7" t="s">
        <v>1133</v>
      </c>
      <c r="B492" s="7" t="s">
        <v>782</v>
      </c>
      <c r="C492" s="7" t="s">
        <v>77</v>
      </c>
      <c r="D492" s="302" t="s">
        <v>783</v>
      </c>
      <c r="E492" s="297">
        <v>30137</v>
      </c>
      <c r="F492" s="7" t="s">
        <v>165</v>
      </c>
      <c r="G492" s="7" t="s">
        <v>158</v>
      </c>
      <c r="H492" s="8">
        <v>54316</v>
      </c>
      <c r="I492" s="8">
        <v>42</v>
      </c>
      <c r="J492" s="7" t="s">
        <v>10</v>
      </c>
      <c r="K492" s="7" t="s">
        <v>159</v>
      </c>
      <c r="L492" s="8">
        <v>27</v>
      </c>
      <c r="M492" s="8">
        <v>14655</v>
      </c>
      <c r="N492" s="7"/>
      <c r="O492" s="8">
        <v>7879</v>
      </c>
      <c r="P492" s="7"/>
      <c r="Q492" s="8">
        <v>1711</v>
      </c>
      <c r="R492" s="7"/>
      <c r="S492" s="8">
        <v>19445</v>
      </c>
      <c r="T492" s="7"/>
      <c r="U492" s="8">
        <v>0</v>
      </c>
      <c r="V492" s="7"/>
      <c r="W492" s="33">
        <v>43690</v>
      </c>
      <c r="X492" s="7"/>
      <c r="Y492" s="30">
        <v>7</v>
      </c>
      <c r="Z492" s="7"/>
      <c r="AA492" s="30">
        <v>3</v>
      </c>
      <c r="AB492" s="7"/>
      <c r="AC492" s="30">
        <v>1.5</v>
      </c>
      <c r="AD492" s="7"/>
      <c r="AE492" s="30">
        <v>10</v>
      </c>
      <c r="AF492" s="7"/>
      <c r="AG492" s="30">
        <v>0</v>
      </c>
      <c r="AI492" s="32">
        <v>21.5</v>
      </c>
      <c r="AK492" s="7" t="str">
        <f t="shared" si="7"/>
        <v>No</v>
      </c>
    </row>
    <row r="493" spans="1:37">
      <c r="A493" s="7" t="s">
        <v>606</v>
      </c>
      <c r="B493" s="7" t="s">
        <v>607</v>
      </c>
      <c r="C493" s="7" t="s">
        <v>82</v>
      </c>
      <c r="D493" s="302">
        <v>8002</v>
      </c>
      <c r="E493" s="297">
        <v>80002</v>
      </c>
      <c r="F493" s="7" t="s">
        <v>243</v>
      </c>
      <c r="G493" s="7" t="s">
        <v>158</v>
      </c>
      <c r="H493" s="8">
        <v>156777</v>
      </c>
      <c r="I493" s="8">
        <v>42</v>
      </c>
      <c r="J493" s="7" t="s">
        <v>7</v>
      </c>
      <c r="K493" s="7" t="s">
        <v>159</v>
      </c>
      <c r="L493" s="8">
        <v>22</v>
      </c>
      <c r="M493" s="8">
        <v>73510</v>
      </c>
      <c r="N493" s="7"/>
      <c r="O493" s="8">
        <v>10430</v>
      </c>
      <c r="P493" s="7"/>
      <c r="Q493" s="8">
        <v>6699</v>
      </c>
      <c r="R493" s="7"/>
      <c r="S493" s="8">
        <v>5432</v>
      </c>
      <c r="T493" s="7"/>
      <c r="U493" s="8">
        <v>0</v>
      </c>
      <c r="V493" s="7"/>
      <c r="W493" s="33">
        <v>96071</v>
      </c>
      <c r="X493" s="7"/>
      <c r="Y493" s="30">
        <v>37</v>
      </c>
      <c r="Z493" s="7"/>
      <c r="AA493" s="30">
        <v>6.5</v>
      </c>
      <c r="AB493" s="7"/>
      <c r="AC493" s="30">
        <v>4.0999999999999996</v>
      </c>
      <c r="AD493" s="7"/>
      <c r="AE493" s="30">
        <v>3.5</v>
      </c>
      <c r="AF493" s="7"/>
      <c r="AG493" s="30">
        <v>0</v>
      </c>
      <c r="AI493" s="32">
        <v>51.1</v>
      </c>
      <c r="AK493" s="7" t="str">
        <f t="shared" si="7"/>
        <v>No</v>
      </c>
    </row>
    <row r="494" spans="1:37">
      <c r="A494" s="7" t="s">
        <v>606</v>
      </c>
      <c r="B494" s="7" t="s">
        <v>607</v>
      </c>
      <c r="C494" s="7" t="s">
        <v>82</v>
      </c>
      <c r="D494" s="302">
        <v>8002</v>
      </c>
      <c r="E494" s="297">
        <v>80002</v>
      </c>
      <c r="F494" s="7" t="s">
        <v>243</v>
      </c>
      <c r="G494" s="7" t="s">
        <v>158</v>
      </c>
      <c r="H494" s="8">
        <v>156777</v>
      </c>
      <c r="I494" s="8">
        <v>42</v>
      </c>
      <c r="J494" s="7" t="s">
        <v>10</v>
      </c>
      <c r="K494" s="7" t="s">
        <v>159</v>
      </c>
      <c r="L494" s="8">
        <v>20</v>
      </c>
      <c r="M494" s="8">
        <v>53888</v>
      </c>
      <c r="N494" s="7"/>
      <c r="O494" s="8">
        <v>5704</v>
      </c>
      <c r="P494" s="7"/>
      <c r="Q494" s="8">
        <v>4690</v>
      </c>
      <c r="R494" s="7"/>
      <c r="S494" s="8">
        <v>14326</v>
      </c>
      <c r="T494" s="7"/>
      <c r="U494" s="8">
        <v>0</v>
      </c>
      <c r="V494" s="7"/>
      <c r="W494" s="33">
        <v>78608</v>
      </c>
      <c r="X494" s="7"/>
      <c r="Y494" s="30">
        <v>29</v>
      </c>
      <c r="Z494" s="7"/>
      <c r="AA494" s="30">
        <v>3.8</v>
      </c>
      <c r="AB494" s="7"/>
      <c r="AC494" s="30">
        <v>2.8</v>
      </c>
      <c r="AD494" s="7"/>
      <c r="AE494" s="30">
        <v>9.5</v>
      </c>
      <c r="AF494" s="7"/>
      <c r="AG494" s="30">
        <v>0</v>
      </c>
      <c r="AI494" s="32">
        <v>45.1</v>
      </c>
      <c r="AK494" s="7" t="str">
        <f t="shared" si="7"/>
        <v>No</v>
      </c>
    </row>
    <row r="495" spans="1:37">
      <c r="A495" s="7" t="s">
        <v>372</v>
      </c>
      <c r="B495" s="7" t="s">
        <v>373</v>
      </c>
      <c r="C495" s="7" t="s">
        <v>42</v>
      </c>
      <c r="D495" s="302">
        <v>5044</v>
      </c>
      <c r="E495" s="297">
        <v>50044</v>
      </c>
      <c r="F495" s="7" t="s">
        <v>165</v>
      </c>
      <c r="G495" s="7" t="s">
        <v>158</v>
      </c>
      <c r="H495" s="8">
        <v>313492</v>
      </c>
      <c r="I495" s="8">
        <v>42</v>
      </c>
      <c r="J495" s="7" t="s">
        <v>10</v>
      </c>
      <c r="K495" s="7" t="s">
        <v>159</v>
      </c>
      <c r="L495" s="8">
        <v>12</v>
      </c>
      <c r="M495" s="8">
        <v>39851</v>
      </c>
      <c r="N495" s="7"/>
      <c r="O495" s="8">
        <v>1843</v>
      </c>
      <c r="P495" s="7"/>
      <c r="Q495" s="8">
        <v>596</v>
      </c>
      <c r="R495" s="7"/>
      <c r="S495" s="8">
        <v>2072</v>
      </c>
      <c r="T495" s="7"/>
      <c r="U495" s="8">
        <v>0</v>
      </c>
      <c r="V495" s="7"/>
      <c r="W495" s="33">
        <v>44362</v>
      </c>
      <c r="X495" s="7"/>
      <c r="Y495" s="30">
        <v>19.8</v>
      </c>
      <c r="Z495" s="7"/>
      <c r="AA495" s="30">
        <v>1</v>
      </c>
      <c r="AB495" s="7"/>
      <c r="AC495" s="30">
        <v>0.3</v>
      </c>
      <c r="AD495" s="7"/>
      <c r="AE495" s="30">
        <v>1.1000000000000001</v>
      </c>
      <c r="AF495" s="7"/>
      <c r="AG495" s="30">
        <v>0</v>
      </c>
      <c r="AI495" s="32">
        <v>22.2</v>
      </c>
      <c r="AK495" s="7" t="str">
        <f t="shared" si="7"/>
        <v>No</v>
      </c>
    </row>
    <row r="496" spans="1:37">
      <c r="A496" s="7" t="s">
        <v>1133</v>
      </c>
      <c r="B496" s="7" t="s">
        <v>782</v>
      </c>
      <c r="C496" s="7" t="s">
        <v>77</v>
      </c>
      <c r="D496" s="302" t="s">
        <v>783</v>
      </c>
      <c r="E496" s="297">
        <v>30137</v>
      </c>
      <c r="F496" s="7" t="s">
        <v>165</v>
      </c>
      <c r="G496" s="7" t="s">
        <v>158</v>
      </c>
      <c r="H496" s="8">
        <v>54316</v>
      </c>
      <c r="I496" s="8">
        <v>42</v>
      </c>
      <c r="J496" s="7" t="s">
        <v>7</v>
      </c>
      <c r="K496" s="7" t="s">
        <v>159</v>
      </c>
      <c r="L496" s="8">
        <v>10</v>
      </c>
      <c r="M496" s="8">
        <v>37554</v>
      </c>
      <c r="N496" s="7"/>
      <c r="O496" s="8">
        <v>8946</v>
      </c>
      <c r="P496" s="7"/>
      <c r="Q496" s="8">
        <v>2775</v>
      </c>
      <c r="R496" s="7"/>
      <c r="S496" s="8">
        <v>21928</v>
      </c>
      <c r="T496" s="7"/>
      <c r="U496" s="8">
        <v>0</v>
      </c>
      <c r="V496" s="7"/>
      <c r="W496" s="33">
        <v>71203</v>
      </c>
      <c r="X496" s="7"/>
      <c r="Y496" s="30">
        <v>17</v>
      </c>
      <c r="Z496" s="7"/>
      <c r="AA496" s="30">
        <v>4</v>
      </c>
      <c r="AB496" s="7"/>
      <c r="AC496" s="30">
        <v>1.5</v>
      </c>
      <c r="AD496" s="7"/>
      <c r="AE496" s="30">
        <v>10</v>
      </c>
      <c r="AF496" s="7"/>
      <c r="AG496" s="30">
        <v>0</v>
      </c>
      <c r="AI496" s="32">
        <v>32.5</v>
      </c>
      <c r="AK496" s="7" t="str">
        <f t="shared" si="7"/>
        <v>No</v>
      </c>
    </row>
    <row r="497" spans="1:37">
      <c r="A497" s="7" t="s">
        <v>193</v>
      </c>
      <c r="B497" s="7" t="s">
        <v>194</v>
      </c>
      <c r="C497" s="7" t="s">
        <v>86</v>
      </c>
      <c r="D497" s="302">
        <v>3091</v>
      </c>
      <c r="E497" s="297">
        <v>30091</v>
      </c>
      <c r="F497" s="7" t="s">
        <v>162</v>
      </c>
      <c r="G497" s="7" t="s">
        <v>158</v>
      </c>
      <c r="H497" s="8">
        <v>88542</v>
      </c>
      <c r="I497" s="8">
        <v>42</v>
      </c>
      <c r="J497" s="7" t="s">
        <v>10</v>
      </c>
      <c r="K497" s="7" t="s">
        <v>159</v>
      </c>
      <c r="L497" s="8">
        <v>8</v>
      </c>
      <c r="M497" s="8">
        <v>910</v>
      </c>
      <c r="N497" s="7"/>
      <c r="O497" s="8">
        <v>2086</v>
      </c>
      <c r="P497" s="7"/>
      <c r="Q497" s="8">
        <v>46</v>
      </c>
      <c r="R497" s="7"/>
      <c r="S497" s="8">
        <v>3072</v>
      </c>
      <c r="T497" s="7"/>
      <c r="U497" s="8">
        <v>0</v>
      </c>
      <c r="V497" s="7"/>
      <c r="W497" s="33">
        <v>6114</v>
      </c>
      <c r="X497" s="7"/>
      <c r="Y497" s="30">
        <v>0.5</v>
      </c>
      <c r="Z497" s="7"/>
      <c r="AA497" s="30">
        <v>1.3</v>
      </c>
      <c r="AB497" s="7"/>
      <c r="AC497" s="30">
        <v>0.03</v>
      </c>
      <c r="AD497" s="7"/>
      <c r="AE497" s="30">
        <v>1.54</v>
      </c>
      <c r="AF497" s="7"/>
      <c r="AG497" s="30">
        <v>0</v>
      </c>
      <c r="AI497" s="32">
        <v>3.37</v>
      </c>
      <c r="AK497" s="7" t="str">
        <f t="shared" si="7"/>
        <v>No</v>
      </c>
    </row>
    <row r="498" spans="1:37">
      <c r="A498" s="7" t="s">
        <v>1134</v>
      </c>
      <c r="B498" s="7" t="s">
        <v>1135</v>
      </c>
      <c r="C498" s="7" t="s">
        <v>77</v>
      </c>
      <c r="D498" s="302">
        <v>3102</v>
      </c>
      <c r="E498" s="297">
        <v>30102</v>
      </c>
      <c r="F498" s="7" t="s">
        <v>173</v>
      </c>
      <c r="G498" s="7" t="s">
        <v>158</v>
      </c>
      <c r="H498" s="8">
        <v>18351295</v>
      </c>
      <c r="I498" s="8">
        <v>41</v>
      </c>
      <c r="J498" s="7" t="s">
        <v>18</v>
      </c>
      <c r="K498" s="7" t="s">
        <v>159</v>
      </c>
      <c r="L498" s="8">
        <v>41</v>
      </c>
      <c r="M498" s="8">
        <v>133404</v>
      </c>
      <c r="N498" s="7"/>
      <c r="O498" s="8">
        <v>22932</v>
      </c>
      <c r="P498" s="7"/>
      <c r="Q498" s="8">
        <v>9484</v>
      </c>
      <c r="R498" s="7"/>
      <c r="S498" s="8">
        <v>83219</v>
      </c>
      <c r="T498" s="7"/>
      <c r="U498" s="8">
        <v>0</v>
      </c>
      <c r="V498" s="7"/>
      <c r="W498" s="33">
        <v>249039</v>
      </c>
      <c r="X498" s="7"/>
      <c r="Y498" s="30">
        <v>68</v>
      </c>
      <c r="Z498" s="7"/>
      <c r="AA498" s="30">
        <v>11</v>
      </c>
      <c r="AB498" s="7"/>
      <c r="AC498" s="30">
        <v>5</v>
      </c>
      <c r="AD498" s="7"/>
      <c r="AE498" s="30">
        <v>51</v>
      </c>
      <c r="AF498" s="7"/>
      <c r="AG498" s="30">
        <v>0</v>
      </c>
      <c r="AI498" s="32">
        <v>135</v>
      </c>
      <c r="AK498" s="7" t="str">
        <f t="shared" si="7"/>
        <v>No</v>
      </c>
    </row>
    <row r="499" spans="1:37">
      <c r="A499" s="7" t="s">
        <v>765</v>
      </c>
      <c r="B499" s="7" t="s">
        <v>766</v>
      </c>
      <c r="C499" s="7" t="s">
        <v>38</v>
      </c>
      <c r="D499" s="302">
        <v>7049</v>
      </c>
      <c r="E499" s="297">
        <v>70049</v>
      </c>
      <c r="F499" s="7" t="s">
        <v>187</v>
      </c>
      <c r="G499" s="7" t="s">
        <v>158</v>
      </c>
      <c r="H499" s="8">
        <v>280051</v>
      </c>
      <c r="I499" s="8">
        <v>41</v>
      </c>
      <c r="J499" s="7" t="s">
        <v>10</v>
      </c>
      <c r="K499" s="7" t="s">
        <v>159</v>
      </c>
      <c r="L499" s="8">
        <v>30</v>
      </c>
      <c r="M499" s="8">
        <v>3629</v>
      </c>
      <c r="N499" s="7"/>
      <c r="O499" s="8">
        <v>2311</v>
      </c>
      <c r="P499" s="7"/>
      <c r="Q499" s="8">
        <v>28</v>
      </c>
      <c r="R499" s="7"/>
      <c r="S499" s="8">
        <v>3591</v>
      </c>
      <c r="T499" s="7"/>
      <c r="U499" s="8">
        <v>0</v>
      </c>
      <c r="V499" s="7"/>
      <c r="W499" s="33">
        <v>9559</v>
      </c>
      <c r="X499" s="7"/>
      <c r="Y499" s="30">
        <v>1.84</v>
      </c>
      <c r="Z499" s="7"/>
      <c r="AA499" s="30">
        <v>1.22</v>
      </c>
      <c r="AB499" s="7"/>
      <c r="AC499" s="30">
        <v>0.01</v>
      </c>
      <c r="AD499" s="7"/>
      <c r="AE499" s="30">
        <v>1.84</v>
      </c>
      <c r="AF499" s="7"/>
      <c r="AG499" s="30">
        <v>0</v>
      </c>
      <c r="AI499" s="32">
        <v>4.91</v>
      </c>
      <c r="AK499" s="7" t="str">
        <f t="shared" si="7"/>
        <v>No</v>
      </c>
    </row>
    <row r="500" spans="1:37">
      <c r="A500" s="7" t="s">
        <v>358</v>
      </c>
      <c r="B500" s="7" t="s">
        <v>359</v>
      </c>
      <c r="C500" s="7" t="s">
        <v>70</v>
      </c>
      <c r="D500" s="302">
        <v>2010</v>
      </c>
      <c r="E500" s="297">
        <v>20010</v>
      </c>
      <c r="F500" s="7" t="s">
        <v>162</v>
      </c>
      <c r="G500" s="7" t="s">
        <v>158</v>
      </c>
      <c r="H500" s="8">
        <v>423566</v>
      </c>
      <c r="I500" s="8">
        <v>41</v>
      </c>
      <c r="J500" s="7" t="s">
        <v>7</v>
      </c>
      <c r="K500" s="7" t="s">
        <v>159</v>
      </c>
      <c r="L500" s="8">
        <v>26</v>
      </c>
      <c r="M500" s="8">
        <v>61601</v>
      </c>
      <c r="N500" s="7"/>
      <c r="O500" s="8">
        <v>9999</v>
      </c>
      <c r="P500" s="7"/>
      <c r="Q500" s="8">
        <v>1204</v>
      </c>
      <c r="R500" s="7"/>
      <c r="S500" s="8">
        <v>4300</v>
      </c>
      <c r="T500" s="7"/>
      <c r="U500" s="8">
        <v>0</v>
      </c>
      <c r="V500" s="7"/>
      <c r="W500" s="33">
        <v>77104</v>
      </c>
      <c r="X500" s="7"/>
      <c r="Y500" s="30">
        <v>38</v>
      </c>
      <c r="Z500" s="7"/>
      <c r="AA500" s="30">
        <v>5</v>
      </c>
      <c r="AB500" s="7"/>
      <c r="AC500" s="30">
        <v>0.5</v>
      </c>
      <c r="AD500" s="7"/>
      <c r="AE500" s="30">
        <v>2</v>
      </c>
      <c r="AF500" s="7"/>
      <c r="AG500" s="30">
        <v>0</v>
      </c>
      <c r="AI500" s="32">
        <v>45.5</v>
      </c>
      <c r="AK500" s="7" t="str">
        <f t="shared" si="7"/>
        <v>No</v>
      </c>
    </row>
    <row r="501" spans="1:37">
      <c r="A501" s="7" t="s">
        <v>170</v>
      </c>
      <c r="B501" s="7" t="s">
        <v>171</v>
      </c>
      <c r="C501" s="7" t="s">
        <v>73</v>
      </c>
      <c r="D501" s="302">
        <v>5157</v>
      </c>
      <c r="E501" s="297">
        <v>50157</v>
      </c>
      <c r="F501" s="7" t="s">
        <v>165</v>
      </c>
      <c r="G501" s="7" t="s">
        <v>158</v>
      </c>
      <c r="H501" s="8">
        <v>1624827</v>
      </c>
      <c r="I501" s="8">
        <v>41</v>
      </c>
      <c r="J501" s="7" t="s">
        <v>10</v>
      </c>
      <c r="K501" s="7" t="s">
        <v>159</v>
      </c>
      <c r="L501" s="8">
        <v>24</v>
      </c>
      <c r="M501" s="8">
        <v>2798</v>
      </c>
      <c r="N501" s="7"/>
      <c r="O501" s="8">
        <v>553</v>
      </c>
      <c r="P501" s="7"/>
      <c r="Q501" s="8">
        <v>88</v>
      </c>
      <c r="R501" s="7"/>
      <c r="S501" s="8">
        <v>2410</v>
      </c>
      <c r="T501" s="7"/>
      <c r="U501" s="8">
        <v>0</v>
      </c>
      <c r="V501" s="7"/>
      <c r="W501" s="33">
        <v>5849</v>
      </c>
      <c r="X501" s="7"/>
      <c r="Y501" s="30">
        <v>1.43</v>
      </c>
      <c r="Z501" s="7"/>
      <c r="AA501" s="30">
        <v>0.28000000000000003</v>
      </c>
      <c r="AB501" s="7"/>
      <c r="AC501" s="30">
        <v>7.0000000000000007E-2</v>
      </c>
      <c r="AD501" s="7"/>
      <c r="AE501" s="30">
        <v>1.24</v>
      </c>
      <c r="AF501" s="7"/>
      <c r="AG501" s="30">
        <v>0</v>
      </c>
      <c r="AI501" s="32">
        <v>3.02</v>
      </c>
      <c r="AK501" s="7" t="str">
        <f t="shared" si="7"/>
        <v>No</v>
      </c>
    </row>
    <row r="502" spans="1:37">
      <c r="A502" s="7" t="s">
        <v>683</v>
      </c>
      <c r="B502" s="7" t="s">
        <v>684</v>
      </c>
      <c r="C502" s="7" t="s">
        <v>93</v>
      </c>
      <c r="D502" s="302">
        <v>5096</v>
      </c>
      <c r="E502" s="297">
        <v>50096</v>
      </c>
      <c r="F502" s="7" t="s">
        <v>162</v>
      </c>
      <c r="G502" s="7" t="s">
        <v>158</v>
      </c>
      <c r="H502" s="8">
        <v>1376476</v>
      </c>
      <c r="I502" s="8">
        <v>41</v>
      </c>
      <c r="J502" s="7" t="s">
        <v>7</v>
      </c>
      <c r="K502" s="7" t="s">
        <v>159</v>
      </c>
      <c r="L502" s="8">
        <v>20</v>
      </c>
      <c r="M502" s="8">
        <v>66072</v>
      </c>
      <c r="N502" s="7"/>
      <c r="O502" s="8">
        <v>10502</v>
      </c>
      <c r="P502" s="7"/>
      <c r="Q502" s="8">
        <v>1954</v>
      </c>
      <c r="R502" s="7"/>
      <c r="S502" s="8">
        <v>8989</v>
      </c>
      <c r="T502" s="7"/>
      <c r="U502" s="8">
        <v>365</v>
      </c>
      <c r="V502" s="7"/>
      <c r="W502" s="33">
        <v>87882</v>
      </c>
      <c r="X502" s="7"/>
      <c r="Y502" s="30">
        <v>32.1</v>
      </c>
      <c r="Z502" s="7"/>
      <c r="AA502" s="30">
        <v>5.7</v>
      </c>
      <c r="AB502" s="7"/>
      <c r="AC502" s="30">
        <v>1</v>
      </c>
      <c r="AD502" s="7"/>
      <c r="AE502" s="30">
        <v>4.9000000000000004</v>
      </c>
      <c r="AF502" s="7"/>
      <c r="AG502" s="30">
        <v>0.2</v>
      </c>
      <c r="AI502" s="32">
        <v>43.9</v>
      </c>
      <c r="AK502" s="7" t="str">
        <f t="shared" si="7"/>
        <v>No</v>
      </c>
    </row>
    <row r="503" spans="1:37">
      <c r="A503" s="7" t="s">
        <v>358</v>
      </c>
      <c r="B503" s="7" t="s">
        <v>359</v>
      </c>
      <c r="C503" s="7" t="s">
        <v>70</v>
      </c>
      <c r="D503" s="302">
        <v>2010</v>
      </c>
      <c r="E503" s="297">
        <v>20010</v>
      </c>
      <c r="F503" s="7" t="s">
        <v>162</v>
      </c>
      <c r="G503" s="7" t="s">
        <v>158</v>
      </c>
      <c r="H503" s="8">
        <v>423566</v>
      </c>
      <c r="I503" s="8">
        <v>41</v>
      </c>
      <c r="J503" s="7" t="s">
        <v>10</v>
      </c>
      <c r="K503" s="7" t="s">
        <v>159</v>
      </c>
      <c r="L503" s="8">
        <v>15</v>
      </c>
      <c r="M503" s="8">
        <v>62097</v>
      </c>
      <c r="N503" s="7"/>
      <c r="O503" s="8">
        <v>8725</v>
      </c>
      <c r="P503" s="7"/>
      <c r="Q503" s="8">
        <v>1213</v>
      </c>
      <c r="R503" s="7"/>
      <c r="S503" s="8">
        <v>5206</v>
      </c>
      <c r="T503" s="7"/>
      <c r="U503" s="8">
        <v>0</v>
      </c>
      <c r="V503" s="7"/>
      <c r="W503" s="33">
        <v>77241</v>
      </c>
      <c r="X503" s="7"/>
      <c r="Y503" s="30">
        <v>39</v>
      </c>
      <c r="Z503" s="7"/>
      <c r="AA503" s="30">
        <v>4</v>
      </c>
      <c r="AB503" s="7"/>
      <c r="AC503" s="30">
        <v>0.5</v>
      </c>
      <c r="AD503" s="7"/>
      <c r="AE503" s="30">
        <v>3</v>
      </c>
      <c r="AF503" s="7"/>
      <c r="AG503" s="30">
        <v>0</v>
      </c>
      <c r="AI503" s="32">
        <v>46.5</v>
      </c>
      <c r="AK503" s="7" t="str">
        <f t="shared" si="7"/>
        <v>No</v>
      </c>
    </row>
    <row r="504" spans="1:37">
      <c r="A504" s="7" t="s">
        <v>170</v>
      </c>
      <c r="B504" s="7" t="s">
        <v>171</v>
      </c>
      <c r="C504" s="7" t="s">
        <v>73</v>
      </c>
      <c r="D504" s="302">
        <v>5157</v>
      </c>
      <c r="E504" s="297">
        <v>50157</v>
      </c>
      <c r="F504" s="7" t="s">
        <v>165</v>
      </c>
      <c r="G504" s="7" t="s">
        <v>158</v>
      </c>
      <c r="H504" s="8">
        <v>1624827</v>
      </c>
      <c r="I504" s="8">
        <v>41</v>
      </c>
      <c r="J504" s="7" t="s">
        <v>7</v>
      </c>
      <c r="K504" s="7" t="s">
        <v>159</v>
      </c>
      <c r="L504" s="8">
        <v>11</v>
      </c>
      <c r="M504" s="8">
        <v>2933</v>
      </c>
      <c r="N504" s="7"/>
      <c r="O504" s="8">
        <v>418</v>
      </c>
      <c r="P504" s="7"/>
      <c r="Q504" s="8">
        <v>74</v>
      </c>
      <c r="R504" s="7"/>
      <c r="S504" s="8">
        <v>930</v>
      </c>
      <c r="T504" s="7"/>
      <c r="U504" s="8">
        <v>0</v>
      </c>
      <c r="V504" s="7"/>
      <c r="W504" s="33">
        <v>4355</v>
      </c>
      <c r="X504" s="7"/>
      <c r="Y504" s="30">
        <v>1.5</v>
      </c>
      <c r="Z504" s="7"/>
      <c r="AA504" s="30">
        <v>0.22</v>
      </c>
      <c r="AB504" s="7"/>
      <c r="AC504" s="30">
        <v>0.05</v>
      </c>
      <c r="AD504" s="7"/>
      <c r="AE504" s="30">
        <v>0.48</v>
      </c>
      <c r="AF504" s="7"/>
      <c r="AG504" s="30">
        <v>0</v>
      </c>
      <c r="AI504" s="32">
        <v>2.25</v>
      </c>
      <c r="AK504" s="7" t="str">
        <f t="shared" si="7"/>
        <v>No</v>
      </c>
    </row>
    <row r="505" spans="1:37">
      <c r="A505" s="7" t="s">
        <v>170</v>
      </c>
      <c r="B505" s="7" t="s">
        <v>171</v>
      </c>
      <c r="C505" s="7" t="s">
        <v>73</v>
      </c>
      <c r="D505" s="302">
        <v>5157</v>
      </c>
      <c r="E505" s="297">
        <v>50157</v>
      </c>
      <c r="F505" s="7" t="s">
        <v>165</v>
      </c>
      <c r="G505" s="7" t="s">
        <v>158</v>
      </c>
      <c r="H505" s="8">
        <v>1624827</v>
      </c>
      <c r="I505" s="8">
        <v>41</v>
      </c>
      <c r="J505" s="7" t="s">
        <v>18</v>
      </c>
      <c r="K505" s="7" t="s">
        <v>159</v>
      </c>
      <c r="L505" s="8">
        <v>6</v>
      </c>
      <c r="M505" s="8">
        <v>2072</v>
      </c>
      <c r="N505" s="7"/>
      <c r="O505" s="8">
        <v>584</v>
      </c>
      <c r="P505" s="7"/>
      <c r="Q505" s="8">
        <v>96</v>
      </c>
      <c r="R505" s="7"/>
      <c r="S505" s="8">
        <v>553</v>
      </c>
      <c r="T505" s="7"/>
      <c r="U505" s="8">
        <v>0</v>
      </c>
      <c r="V505" s="7"/>
      <c r="W505" s="33">
        <v>3305</v>
      </c>
      <c r="X505" s="7"/>
      <c r="Y505" s="30">
        <v>1.06</v>
      </c>
      <c r="Z505" s="7"/>
      <c r="AA505" s="30">
        <v>0.3</v>
      </c>
      <c r="AB505" s="7"/>
      <c r="AC505" s="30">
        <v>0.08</v>
      </c>
      <c r="AD505" s="7"/>
      <c r="AE505" s="30">
        <v>0.28000000000000003</v>
      </c>
      <c r="AF505" s="7"/>
      <c r="AG505" s="30">
        <v>0</v>
      </c>
      <c r="AI505" s="32">
        <v>1.72</v>
      </c>
      <c r="AK505" s="7" t="str">
        <f t="shared" si="7"/>
        <v>No</v>
      </c>
    </row>
    <row r="506" spans="1:37">
      <c r="A506" s="7" t="s">
        <v>683</v>
      </c>
      <c r="B506" s="7" t="s">
        <v>684</v>
      </c>
      <c r="C506" s="7" t="s">
        <v>93</v>
      </c>
      <c r="D506" s="302">
        <v>5096</v>
      </c>
      <c r="E506" s="297">
        <v>50096</v>
      </c>
      <c r="F506" s="7" t="s">
        <v>162</v>
      </c>
      <c r="G506" s="7" t="s">
        <v>158</v>
      </c>
      <c r="H506" s="8">
        <v>1376476</v>
      </c>
      <c r="I506" s="8">
        <v>41</v>
      </c>
      <c r="J506" s="7" t="s">
        <v>10</v>
      </c>
      <c r="K506" s="7" t="s">
        <v>159</v>
      </c>
      <c r="L506" s="8">
        <v>5</v>
      </c>
      <c r="M506" s="8">
        <v>7665</v>
      </c>
      <c r="N506" s="7"/>
      <c r="O506" s="8">
        <v>916</v>
      </c>
      <c r="P506" s="7"/>
      <c r="Q506" s="8">
        <v>189</v>
      </c>
      <c r="R506" s="7"/>
      <c r="S506" s="8">
        <v>888</v>
      </c>
      <c r="T506" s="7"/>
      <c r="U506" s="8">
        <v>0</v>
      </c>
      <c r="V506" s="7"/>
      <c r="W506" s="33">
        <v>9658</v>
      </c>
      <c r="X506" s="7"/>
      <c r="Y506" s="30">
        <v>3.9</v>
      </c>
      <c r="Z506" s="7"/>
      <c r="AA506" s="30">
        <v>0.5</v>
      </c>
      <c r="AB506" s="7"/>
      <c r="AC506" s="30">
        <v>0.1</v>
      </c>
      <c r="AD506" s="7"/>
      <c r="AE506" s="30">
        <v>0.5</v>
      </c>
      <c r="AF506" s="7"/>
      <c r="AG506" s="30">
        <v>0</v>
      </c>
      <c r="AI506" s="32">
        <v>5</v>
      </c>
      <c r="AK506" s="7" t="str">
        <f t="shared" si="7"/>
        <v>No</v>
      </c>
    </row>
    <row r="507" spans="1:37">
      <c r="A507" s="7" t="s">
        <v>1136</v>
      </c>
      <c r="B507" s="7" t="s">
        <v>1137</v>
      </c>
      <c r="C507" s="7" t="s">
        <v>9</v>
      </c>
      <c r="D507" s="302" t="s">
        <v>1138</v>
      </c>
      <c r="E507" s="297">
        <v>40928</v>
      </c>
      <c r="F507" s="7" t="s">
        <v>162</v>
      </c>
      <c r="G507" s="7" t="s">
        <v>158</v>
      </c>
      <c r="H507" s="8">
        <v>57383</v>
      </c>
      <c r="I507" s="8">
        <v>40</v>
      </c>
      <c r="J507" s="7" t="s">
        <v>10</v>
      </c>
      <c r="K507" s="7" t="s">
        <v>159</v>
      </c>
      <c r="L507" s="8">
        <v>36</v>
      </c>
      <c r="M507" s="8">
        <v>46458</v>
      </c>
      <c r="N507" s="7"/>
      <c r="O507" s="8">
        <v>1873</v>
      </c>
      <c r="P507" s="7"/>
      <c r="Q507" s="8">
        <v>0</v>
      </c>
      <c r="R507" s="7"/>
      <c r="S507" s="8">
        <v>6033</v>
      </c>
      <c r="T507" s="7"/>
      <c r="U507" s="8">
        <v>0</v>
      </c>
      <c r="V507" s="7"/>
      <c r="W507" s="33">
        <v>54364</v>
      </c>
      <c r="X507" s="7"/>
      <c r="Y507" s="30">
        <v>27</v>
      </c>
      <c r="Z507" s="7"/>
      <c r="AA507" s="30">
        <v>1.5</v>
      </c>
      <c r="AB507" s="7"/>
      <c r="AC507" s="30">
        <v>0</v>
      </c>
      <c r="AD507" s="7"/>
      <c r="AE507" s="30">
        <v>4.5</v>
      </c>
      <c r="AF507" s="7"/>
      <c r="AG507" s="30">
        <v>0</v>
      </c>
      <c r="AI507" s="32">
        <v>33</v>
      </c>
      <c r="AK507" s="7" t="str">
        <f t="shared" si="7"/>
        <v>No</v>
      </c>
    </row>
    <row r="508" spans="1:37">
      <c r="A508" s="7" t="s">
        <v>368</v>
      </c>
      <c r="B508" s="7" t="s">
        <v>369</v>
      </c>
      <c r="C508" s="7" t="s">
        <v>58</v>
      </c>
      <c r="D508" s="302">
        <v>4009</v>
      </c>
      <c r="E508" s="297">
        <v>40009</v>
      </c>
      <c r="F508" s="7" t="s">
        <v>162</v>
      </c>
      <c r="G508" s="7" t="s">
        <v>158</v>
      </c>
      <c r="H508" s="8">
        <v>310282</v>
      </c>
      <c r="I508" s="8">
        <v>40</v>
      </c>
      <c r="J508" s="7" t="s">
        <v>7</v>
      </c>
      <c r="K508" s="7" t="s">
        <v>159</v>
      </c>
      <c r="L508" s="8">
        <v>23</v>
      </c>
      <c r="M508" s="8">
        <v>122045</v>
      </c>
      <c r="N508" s="7"/>
      <c r="O508" s="8">
        <v>17491</v>
      </c>
      <c r="P508" s="7"/>
      <c r="Q508" s="8">
        <v>1919</v>
      </c>
      <c r="R508" s="7"/>
      <c r="S508" s="8">
        <v>13695</v>
      </c>
      <c r="T508" s="7"/>
      <c r="U508" s="8">
        <v>0</v>
      </c>
      <c r="V508" s="7"/>
      <c r="W508" s="33">
        <v>155150</v>
      </c>
      <c r="X508" s="7"/>
      <c r="Y508" s="30">
        <v>61.6</v>
      </c>
      <c r="Z508" s="7"/>
      <c r="AA508" s="30">
        <v>8</v>
      </c>
      <c r="AB508" s="7"/>
      <c r="AC508" s="30">
        <v>1.1000000000000001</v>
      </c>
      <c r="AD508" s="7"/>
      <c r="AE508" s="30">
        <v>7.9</v>
      </c>
      <c r="AF508" s="7"/>
      <c r="AG508" s="30">
        <v>0</v>
      </c>
      <c r="AI508" s="32">
        <v>78.599999999999994</v>
      </c>
      <c r="AK508" s="7" t="str">
        <f t="shared" si="7"/>
        <v>No</v>
      </c>
    </row>
    <row r="509" spans="1:37">
      <c r="A509" s="7" t="s">
        <v>368</v>
      </c>
      <c r="B509" s="7" t="s">
        <v>369</v>
      </c>
      <c r="C509" s="7" t="s">
        <v>58</v>
      </c>
      <c r="D509" s="302">
        <v>4009</v>
      </c>
      <c r="E509" s="297">
        <v>40009</v>
      </c>
      <c r="F509" s="7" t="s">
        <v>162</v>
      </c>
      <c r="G509" s="7" t="s">
        <v>158</v>
      </c>
      <c r="H509" s="8">
        <v>310282</v>
      </c>
      <c r="I509" s="8">
        <v>40</v>
      </c>
      <c r="J509" s="7" t="s">
        <v>10</v>
      </c>
      <c r="K509" s="7" t="s">
        <v>159</v>
      </c>
      <c r="L509" s="8">
        <v>16</v>
      </c>
      <c r="M509" s="8">
        <v>46479</v>
      </c>
      <c r="N509" s="7"/>
      <c r="O509" s="8">
        <v>6661</v>
      </c>
      <c r="P509" s="7"/>
      <c r="Q509" s="8">
        <v>731</v>
      </c>
      <c r="R509" s="7"/>
      <c r="S509" s="8">
        <v>5215</v>
      </c>
      <c r="T509" s="7"/>
      <c r="U509" s="8">
        <v>0</v>
      </c>
      <c r="V509" s="7"/>
      <c r="W509" s="33">
        <v>59086</v>
      </c>
      <c r="X509" s="7"/>
      <c r="Y509" s="30">
        <v>23.5</v>
      </c>
      <c r="Z509" s="7"/>
      <c r="AA509" s="30">
        <v>3.03</v>
      </c>
      <c r="AB509" s="7"/>
      <c r="AC509" s="30">
        <v>0.4</v>
      </c>
      <c r="AD509" s="7"/>
      <c r="AE509" s="30">
        <v>3</v>
      </c>
      <c r="AF509" s="7"/>
      <c r="AG509" s="30">
        <v>0</v>
      </c>
      <c r="AI509" s="32">
        <v>29.93</v>
      </c>
      <c r="AK509" s="7" t="str">
        <f t="shared" si="7"/>
        <v>No</v>
      </c>
    </row>
    <row r="510" spans="1:37">
      <c r="A510" s="7" t="s">
        <v>1136</v>
      </c>
      <c r="B510" s="7" t="s">
        <v>1137</v>
      </c>
      <c r="C510" s="7" t="s">
        <v>9</v>
      </c>
      <c r="D510" s="302" t="s">
        <v>1138</v>
      </c>
      <c r="E510" s="297">
        <v>40928</v>
      </c>
      <c r="F510" s="7" t="s">
        <v>162</v>
      </c>
      <c r="G510" s="7" t="s">
        <v>158</v>
      </c>
      <c r="H510" s="8">
        <v>57383</v>
      </c>
      <c r="I510" s="8">
        <v>40</v>
      </c>
      <c r="J510" s="7" t="s">
        <v>18</v>
      </c>
      <c r="K510" s="7" t="s">
        <v>159</v>
      </c>
      <c r="L510" s="8">
        <v>4</v>
      </c>
      <c r="M510" s="8">
        <v>5145</v>
      </c>
      <c r="N510" s="7"/>
      <c r="O510" s="8">
        <v>727</v>
      </c>
      <c r="P510" s="7"/>
      <c r="Q510" s="8">
        <v>0</v>
      </c>
      <c r="R510" s="7"/>
      <c r="S510" s="8">
        <v>791</v>
      </c>
      <c r="T510" s="7"/>
      <c r="U510" s="8">
        <v>0</v>
      </c>
      <c r="V510" s="7"/>
      <c r="W510" s="33">
        <v>6663</v>
      </c>
      <c r="X510" s="7"/>
      <c r="Y510" s="30">
        <v>3</v>
      </c>
      <c r="Z510" s="7"/>
      <c r="AA510" s="30">
        <v>0.5</v>
      </c>
      <c r="AB510" s="7"/>
      <c r="AC510" s="30">
        <v>0</v>
      </c>
      <c r="AD510" s="7"/>
      <c r="AE510" s="30">
        <v>0.5</v>
      </c>
      <c r="AF510" s="7"/>
      <c r="AG510" s="30">
        <v>0</v>
      </c>
      <c r="AI510" s="32">
        <v>4</v>
      </c>
      <c r="AK510" s="7" t="str">
        <f t="shared" si="7"/>
        <v>No</v>
      </c>
    </row>
    <row r="511" spans="1:37">
      <c r="A511" s="7" t="s">
        <v>155</v>
      </c>
      <c r="B511" s="7" t="s">
        <v>156</v>
      </c>
      <c r="C511" s="7" t="s">
        <v>5</v>
      </c>
      <c r="D511" s="302">
        <v>41</v>
      </c>
      <c r="E511" s="297">
        <v>41</v>
      </c>
      <c r="F511" s="7" t="s">
        <v>157</v>
      </c>
      <c r="G511" s="7" t="s">
        <v>158</v>
      </c>
      <c r="H511" s="8">
        <v>251243</v>
      </c>
      <c r="I511" s="8">
        <v>39</v>
      </c>
      <c r="J511" s="7" t="s">
        <v>6</v>
      </c>
      <c r="K511" s="7" t="s">
        <v>159</v>
      </c>
      <c r="L511" s="8">
        <v>39</v>
      </c>
      <c r="M511" s="8">
        <v>172302</v>
      </c>
      <c r="N511" s="7"/>
      <c r="O511" s="8">
        <v>76619</v>
      </c>
      <c r="P511" s="7"/>
      <c r="Q511" s="8">
        <v>110745</v>
      </c>
      <c r="R511" s="7"/>
      <c r="S511" s="8">
        <v>85993</v>
      </c>
      <c r="T511" s="7"/>
      <c r="U511" s="8">
        <v>127281</v>
      </c>
      <c r="V511" s="7"/>
      <c r="W511" s="33">
        <v>572940</v>
      </c>
      <c r="X511" s="7"/>
      <c r="Y511" s="30">
        <v>67.8</v>
      </c>
      <c r="Z511" s="7"/>
      <c r="AA511" s="30">
        <v>43.6</v>
      </c>
      <c r="AB511" s="7"/>
      <c r="AC511" s="30">
        <v>82.6</v>
      </c>
      <c r="AD511" s="7"/>
      <c r="AE511" s="30">
        <v>55.3</v>
      </c>
      <c r="AF511" s="7"/>
      <c r="AG511" s="30">
        <v>54.6</v>
      </c>
      <c r="AI511" s="32">
        <v>303.89999999999998</v>
      </c>
      <c r="AK511" s="7" t="str">
        <f t="shared" si="7"/>
        <v>No</v>
      </c>
    </row>
    <row r="512" spans="1:37">
      <c r="A512" s="7" t="s">
        <v>763</v>
      </c>
      <c r="B512" s="7" t="s">
        <v>764</v>
      </c>
      <c r="C512" s="7" t="s">
        <v>63</v>
      </c>
      <c r="D512" s="302">
        <v>2199</v>
      </c>
      <c r="E512" s="297">
        <v>20199</v>
      </c>
      <c r="F512" s="7" t="s">
        <v>162</v>
      </c>
      <c r="G512" s="7" t="s">
        <v>158</v>
      </c>
      <c r="H512" s="8">
        <v>248402</v>
      </c>
      <c r="I512" s="8">
        <v>39</v>
      </c>
      <c r="J512" s="7" t="s">
        <v>10</v>
      </c>
      <c r="K512" s="7" t="s">
        <v>159</v>
      </c>
      <c r="L512" s="8">
        <v>39</v>
      </c>
      <c r="M512" s="8">
        <v>54086</v>
      </c>
      <c r="N512" s="7"/>
      <c r="O512" s="8">
        <v>1009</v>
      </c>
      <c r="P512" s="7"/>
      <c r="Q512" s="8">
        <v>0</v>
      </c>
      <c r="R512" s="7"/>
      <c r="S512" s="8">
        <v>3493</v>
      </c>
      <c r="T512" s="7"/>
      <c r="U512" s="8">
        <v>0</v>
      </c>
      <c r="V512" s="7"/>
      <c r="W512" s="33">
        <v>58588</v>
      </c>
      <c r="X512" s="7"/>
      <c r="Y512" s="30">
        <v>38</v>
      </c>
      <c r="Z512" s="7"/>
      <c r="AA512" s="30">
        <v>0.5</v>
      </c>
      <c r="AB512" s="7"/>
      <c r="AC512" s="30">
        <v>0</v>
      </c>
      <c r="AD512" s="7"/>
      <c r="AE512" s="30">
        <v>2</v>
      </c>
      <c r="AF512" s="7"/>
      <c r="AG512" s="30">
        <v>0</v>
      </c>
      <c r="AI512" s="32">
        <v>40.5</v>
      </c>
      <c r="AK512" s="7" t="str">
        <f t="shared" si="7"/>
        <v>No</v>
      </c>
    </row>
    <row r="513" spans="1:37">
      <c r="A513" s="7" t="s">
        <v>1139</v>
      </c>
      <c r="B513" s="7" t="s">
        <v>1140</v>
      </c>
      <c r="C513" s="7" t="s">
        <v>48</v>
      </c>
      <c r="D513" s="302" t="s">
        <v>1141</v>
      </c>
      <c r="E513" s="297">
        <v>30129</v>
      </c>
      <c r="F513" s="7" t="s">
        <v>162</v>
      </c>
      <c r="G513" s="7" t="s">
        <v>158</v>
      </c>
      <c r="H513" s="8">
        <v>2203663</v>
      </c>
      <c r="I513" s="8">
        <v>39</v>
      </c>
      <c r="J513" s="7" t="s">
        <v>10</v>
      </c>
      <c r="K513" s="7" t="s">
        <v>159</v>
      </c>
      <c r="L513" s="8">
        <v>34</v>
      </c>
      <c r="M513" s="8">
        <v>59788</v>
      </c>
      <c r="N513" s="7"/>
      <c r="O513" s="8">
        <v>6228</v>
      </c>
      <c r="P513" s="7"/>
      <c r="Q513" s="8">
        <v>0</v>
      </c>
      <c r="R513" s="7"/>
      <c r="S513" s="8">
        <v>3900</v>
      </c>
      <c r="T513" s="7"/>
      <c r="U513" s="8">
        <v>0</v>
      </c>
      <c r="V513" s="7"/>
      <c r="W513" s="33">
        <v>69916</v>
      </c>
      <c r="X513" s="7"/>
      <c r="Y513" s="30">
        <v>30</v>
      </c>
      <c r="Z513" s="7"/>
      <c r="AA513" s="30">
        <v>3</v>
      </c>
      <c r="AB513" s="7"/>
      <c r="AC513" s="30">
        <v>0</v>
      </c>
      <c r="AD513" s="7"/>
      <c r="AE513" s="30">
        <v>2</v>
      </c>
      <c r="AF513" s="7"/>
      <c r="AG513" s="30">
        <v>0</v>
      </c>
      <c r="AI513" s="32">
        <v>35</v>
      </c>
      <c r="AK513" s="7" t="str">
        <f t="shared" si="7"/>
        <v>No</v>
      </c>
    </row>
    <row r="514" spans="1:37">
      <c r="A514" s="7" t="s">
        <v>713</v>
      </c>
      <c r="B514" s="7" t="s">
        <v>714</v>
      </c>
      <c r="C514" s="7" t="s">
        <v>86</v>
      </c>
      <c r="D514" s="302">
        <v>3094</v>
      </c>
      <c r="E514" s="297">
        <v>30094</v>
      </c>
      <c r="F514" s="7" t="s">
        <v>162</v>
      </c>
      <c r="G514" s="7" t="s">
        <v>158</v>
      </c>
      <c r="H514" s="8">
        <v>66784</v>
      </c>
      <c r="I514" s="8">
        <v>39</v>
      </c>
      <c r="J514" s="7" t="s">
        <v>7</v>
      </c>
      <c r="K514" s="7" t="s">
        <v>159</v>
      </c>
      <c r="L514" s="8">
        <v>32</v>
      </c>
      <c r="M514" s="8">
        <v>33889</v>
      </c>
      <c r="N514" s="7"/>
      <c r="O514" s="8">
        <v>10669</v>
      </c>
      <c r="P514" s="7"/>
      <c r="Q514" s="8">
        <v>1729</v>
      </c>
      <c r="R514" s="7"/>
      <c r="S514" s="8">
        <v>6997</v>
      </c>
      <c r="T514" s="7"/>
      <c r="U514" s="8">
        <v>750</v>
      </c>
      <c r="V514" s="7"/>
      <c r="W514" s="33">
        <v>54034</v>
      </c>
      <c r="X514" s="7"/>
      <c r="Y514" s="30">
        <v>19.600000000000001</v>
      </c>
      <c r="Z514" s="7"/>
      <c r="AA514" s="30">
        <v>5</v>
      </c>
      <c r="AB514" s="7"/>
      <c r="AC514" s="30">
        <v>1.08</v>
      </c>
      <c r="AD514" s="7"/>
      <c r="AE514" s="30">
        <v>4.4000000000000004</v>
      </c>
      <c r="AF514" s="7"/>
      <c r="AG514" s="30">
        <v>0.5</v>
      </c>
      <c r="AI514" s="32">
        <v>30.58</v>
      </c>
      <c r="AK514" s="7" t="str">
        <f t="shared" ref="AK514:AK577" si="8">IF(AJ514&amp;AH514&amp;AF514&amp;AD514&amp;AB514&amp;Z514&amp;X514&amp;V514&amp;T514&amp;R514&amp;P514&amp;N514&lt;&gt;"","Yes","No")</f>
        <v>No</v>
      </c>
    </row>
    <row r="515" spans="1:37">
      <c r="A515" s="7" t="s">
        <v>211</v>
      </c>
      <c r="B515" s="7" t="s">
        <v>212</v>
      </c>
      <c r="C515" s="7" t="s">
        <v>93</v>
      </c>
      <c r="D515" s="302">
        <v>5006</v>
      </c>
      <c r="E515" s="297">
        <v>50006</v>
      </c>
      <c r="F515" s="7" t="s">
        <v>162</v>
      </c>
      <c r="G515" s="7" t="s">
        <v>158</v>
      </c>
      <c r="H515" s="8">
        <v>133700</v>
      </c>
      <c r="I515" s="8">
        <v>39</v>
      </c>
      <c r="J515" s="7" t="s">
        <v>7</v>
      </c>
      <c r="K515" s="7" t="s">
        <v>159</v>
      </c>
      <c r="L515" s="8">
        <v>29</v>
      </c>
      <c r="M515" s="8">
        <v>72649</v>
      </c>
      <c r="N515" s="7"/>
      <c r="O515" s="8">
        <v>12797</v>
      </c>
      <c r="P515" s="7"/>
      <c r="Q515" s="8">
        <v>1207</v>
      </c>
      <c r="R515" s="7"/>
      <c r="S515" s="8">
        <v>12846</v>
      </c>
      <c r="T515" s="7"/>
      <c r="U515" s="8">
        <v>0</v>
      </c>
      <c r="V515" s="7"/>
      <c r="W515" s="33">
        <v>99499</v>
      </c>
      <c r="X515" s="7"/>
      <c r="Y515" s="30">
        <v>41.4</v>
      </c>
      <c r="Z515" s="7"/>
      <c r="AA515" s="30">
        <v>6.9</v>
      </c>
      <c r="AB515" s="7"/>
      <c r="AC515" s="30">
        <v>0.6</v>
      </c>
      <c r="AD515" s="7"/>
      <c r="AE515" s="30">
        <v>7</v>
      </c>
      <c r="AF515" s="7"/>
      <c r="AG515" s="30">
        <v>0</v>
      </c>
      <c r="AI515" s="32">
        <v>55.9</v>
      </c>
      <c r="AK515" s="7" t="str">
        <f t="shared" si="8"/>
        <v>No</v>
      </c>
    </row>
    <row r="516" spans="1:37">
      <c r="A516" s="7" t="s">
        <v>713</v>
      </c>
      <c r="B516" s="7" t="s">
        <v>714</v>
      </c>
      <c r="C516" s="7" t="s">
        <v>86</v>
      </c>
      <c r="D516" s="302">
        <v>3094</v>
      </c>
      <c r="E516" s="297">
        <v>30094</v>
      </c>
      <c r="F516" s="7" t="s">
        <v>162</v>
      </c>
      <c r="G516" s="7" t="s">
        <v>158</v>
      </c>
      <c r="H516" s="8">
        <v>66784</v>
      </c>
      <c r="I516" s="8">
        <v>39</v>
      </c>
      <c r="J516" s="7" t="s">
        <v>10</v>
      </c>
      <c r="K516" s="7" t="s">
        <v>159</v>
      </c>
      <c r="L516" s="8">
        <v>7</v>
      </c>
      <c r="M516" s="8">
        <v>11129</v>
      </c>
      <c r="N516" s="7"/>
      <c r="O516" s="8">
        <v>1737</v>
      </c>
      <c r="P516" s="7"/>
      <c r="Q516" s="8">
        <v>379</v>
      </c>
      <c r="R516" s="7"/>
      <c r="S516" s="8">
        <v>1139</v>
      </c>
      <c r="T516" s="7"/>
      <c r="U516" s="8">
        <v>270</v>
      </c>
      <c r="V516" s="7"/>
      <c r="W516" s="33">
        <v>14654</v>
      </c>
      <c r="X516" s="7"/>
      <c r="Y516" s="30">
        <v>5.4</v>
      </c>
      <c r="Z516" s="7"/>
      <c r="AA516" s="30">
        <v>1.1000000000000001</v>
      </c>
      <c r="AB516" s="7"/>
      <c r="AC516" s="30">
        <v>0.4</v>
      </c>
      <c r="AD516" s="7"/>
      <c r="AE516" s="30">
        <v>0.52</v>
      </c>
      <c r="AF516" s="7"/>
      <c r="AG516" s="30">
        <v>0.9</v>
      </c>
      <c r="AI516" s="32">
        <v>8.32</v>
      </c>
      <c r="AK516" s="7" t="str">
        <f t="shared" si="8"/>
        <v>No</v>
      </c>
    </row>
    <row r="517" spans="1:37">
      <c r="A517" s="7" t="s">
        <v>211</v>
      </c>
      <c r="B517" s="7" t="s">
        <v>212</v>
      </c>
      <c r="C517" s="7" t="s">
        <v>93</v>
      </c>
      <c r="D517" s="302">
        <v>5006</v>
      </c>
      <c r="E517" s="297">
        <v>50006</v>
      </c>
      <c r="F517" s="7" t="s">
        <v>162</v>
      </c>
      <c r="G517" s="7" t="s">
        <v>158</v>
      </c>
      <c r="H517" s="8">
        <v>133700</v>
      </c>
      <c r="I517" s="8">
        <v>39</v>
      </c>
      <c r="J517" s="7" t="s">
        <v>10</v>
      </c>
      <c r="K517" s="7" t="s">
        <v>159</v>
      </c>
      <c r="L517" s="8">
        <v>7</v>
      </c>
      <c r="M517" s="8">
        <v>1756</v>
      </c>
      <c r="N517" s="7"/>
      <c r="O517" s="8">
        <v>490</v>
      </c>
      <c r="P517" s="7"/>
      <c r="Q517" s="8">
        <v>162</v>
      </c>
      <c r="R517" s="7"/>
      <c r="S517" s="8">
        <v>1719</v>
      </c>
      <c r="T517" s="7"/>
      <c r="U517" s="8">
        <v>0</v>
      </c>
      <c r="V517" s="7"/>
      <c r="W517" s="33">
        <v>4127</v>
      </c>
      <c r="X517" s="7"/>
      <c r="Y517" s="30">
        <v>0.9</v>
      </c>
      <c r="Z517" s="7"/>
      <c r="AA517" s="30">
        <v>0.3</v>
      </c>
      <c r="AB517" s="7"/>
      <c r="AC517" s="30">
        <v>0.1</v>
      </c>
      <c r="AD517" s="7"/>
      <c r="AE517" s="30">
        <v>0.9</v>
      </c>
      <c r="AF517" s="7"/>
      <c r="AG517" s="30">
        <v>0</v>
      </c>
      <c r="AI517" s="32">
        <v>2.2000000000000002</v>
      </c>
      <c r="AK517" s="7" t="str">
        <f t="shared" si="8"/>
        <v>No</v>
      </c>
    </row>
    <row r="518" spans="1:37">
      <c r="A518" s="7" t="s">
        <v>784</v>
      </c>
      <c r="B518" s="7" t="s">
        <v>785</v>
      </c>
      <c r="C518" s="7" t="s">
        <v>84</v>
      </c>
      <c r="D518" s="302">
        <v>6130</v>
      </c>
      <c r="E518" s="297">
        <v>60130</v>
      </c>
      <c r="F518" s="7" t="s">
        <v>195</v>
      </c>
      <c r="G518" s="7" t="s">
        <v>158</v>
      </c>
      <c r="H518" s="8">
        <v>1758210</v>
      </c>
      <c r="I518" s="8">
        <v>38</v>
      </c>
      <c r="J518" s="7" t="s">
        <v>10</v>
      </c>
      <c r="K518" s="7" t="s">
        <v>159</v>
      </c>
      <c r="L518" s="8">
        <v>38</v>
      </c>
      <c r="M518" s="8">
        <v>81955</v>
      </c>
      <c r="N518" s="7"/>
      <c r="O518" s="8">
        <v>1541</v>
      </c>
      <c r="P518" s="7"/>
      <c r="Q518" s="8">
        <v>0</v>
      </c>
      <c r="R518" s="7"/>
      <c r="S518" s="8">
        <v>9614</v>
      </c>
      <c r="T518" s="7"/>
      <c r="U518" s="8">
        <v>0</v>
      </c>
      <c r="V518" s="7"/>
      <c r="W518" s="33">
        <v>93110</v>
      </c>
      <c r="X518" s="7"/>
      <c r="Y518" s="30">
        <v>58.54</v>
      </c>
      <c r="Z518" s="7"/>
      <c r="AA518" s="30">
        <v>2</v>
      </c>
      <c r="AB518" s="7"/>
      <c r="AC518" s="30">
        <v>0</v>
      </c>
      <c r="AD518" s="7"/>
      <c r="AE518" s="30">
        <v>6.78</v>
      </c>
      <c r="AF518" s="7"/>
      <c r="AG518" s="30">
        <v>0</v>
      </c>
      <c r="AI518" s="32">
        <v>67.319999999999993</v>
      </c>
      <c r="AK518" s="7" t="str">
        <f t="shared" si="8"/>
        <v>No</v>
      </c>
    </row>
    <row r="519" spans="1:37">
      <c r="A519" s="7" t="s">
        <v>708</v>
      </c>
      <c r="B519" s="7" t="s">
        <v>202</v>
      </c>
      <c r="C519" s="7" t="s">
        <v>52</v>
      </c>
      <c r="D519" s="302">
        <v>5158</v>
      </c>
      <c r="E519" s="297">
        <v>50158</v>
      </c>
      <c r="F519" s="7" t="s">
        <v>114</v>
      </c>
      <c r="G519" s="7" t="s">
        <v>158</v>
      </c>
      <c r="H519" s="8">
        <v>306022</v>
      </c>
      <c r="I519" s="8">
        <v>38</v>
      </c>
      <c r="J519" s="7" t="s">
        <v>7</v>
      </c>
      <c r="K519" s="7" t="s">
        <v>159</v>
      </c>
      <c r="L519" s="8">
        <v>38</v>
      </c>
      <c r="M519" s="8">
        <v>141603</v>
      </c>
      <c r="N519" s="7"/>
      <c r="O519" s="8">
        <v>19824</v>
      </c>
      <c r="P519" s="7"/>
      <c r="Q519" s="8">
        <v>0</v>
      </c>
      <c r="R519" s="7"/>
      <c r="S519" s="8">
        <v>6057</v>
      </c>
      <c r="T519" s="7"/>
      <c r="U519" s="8">
        <v>0</v>
      </c>
      <c r="V519" s="7"/>
      <c r="W519" s="33">
        <v>167484</v>
      </c>
      <c r="X519" s="7"/>
      <c r="Y519" s="30">
        <v>69.400000000000006</v>
      </c>
      <c r="Z519" s="7"/>
      <c r="AA519" s="30">
        <v>11.4</v>
      </c>
      <c r="AB519" s="7"/>
      <c r="AC519" s="30">
        <v>0</v>
      </c>
      <c r="AD519" s="7"/>
      <c r="AE519" s="30">
        <v>3.3</v>
      </c>
      <c r="AF519" s="7"/>
      <c r="AG519" s="30">
        <v>0</v>
      </c>
      <c r="AI519" s="32">
        <v>84.1</v>
      </c>
      <c r="AK519" s="7" t="str">
        <f t="shared" si="8"/>
        <v>No</v>
      </c>
    </row>
    <row r="520" spans="1:37">
      <c r="A520" s="7" t="s">
        <v>223</v>
      </c>
      <c r="B520" s="7" t="s">
        <v>224</v>
      </c>
      <c r="C520" s="7" t="s">
        <v>42</v>
      </c>
      <c r="D520" s="302">
        <v>5110</v>
      </c>
      <c r="E520" s="297">
        <v>50110</v>
      </c>
      <c r="F520" s="7" t="s">
        <v>165</v>
      </c>
      <c r="G520" s="7" t="s">
        <v>158</v>
      </c>
      <c r="H520" s="8">
        <v>108657</v>
      </c>
      <c r="I520" s="8">
        <v>38</v>
      </c>
      <c r="J520" s="7" t="s">
        <v>7</v>
      </c>
      <c r="K520" s="7" t="s">
        <v>159</v>
      </c>
      <c r="L520" s="8">
        <v>30</v>
      </c>
      <c r="M520" s="8">
        <v>80319</v>
      </c>
      <c r="N520" s="7"/>
      <c r="O520" s="8">
        <v>23334</v>
      </c>
      <c r="P520" s="7"/>
      <c r="Q520" s="8">
        <v>1965</v>
      </c>
      <c r="R520" s="7"/>
      <c r="S520" s="8">
        <v>7454</v>
      </c>
      <c r="T520" s="7"/>
      <c r="U520" s="8">
        <v>0</v>
      </c>
      <c r="V520" s="7"/>
      <c r="W520" s="33">
        <v>113072</v>
      </c>
      <c r="X520" s="7"/>
      <c r="Y520" s="30">
        <v>42</v>
      </c>
      <c r="Z520" s="7"/>
      <c r="AA520" s="30">
        <v>13</v>
      </c>
      <c r="AB520" s="7"/>
      <c r="AC520" s="30">
        <v>1</v>
      </c>
      <c r="AD520" s="7"/>
      <c r="AE520" s="30">
        <v>4</v>
      </c>
      <c r="AF520" s="7"/>
      <c r="AG520" s="30">
        <v>0</v>
      </c>
      <c r="AI520" s="32">
        <v>60</v>
      </c>
      <c r="AK520" s="7" t="str">
        <f t="shared" si="8"/>
        <v>No</v>
      </c>
    </row>
    <row r="521" spans="1:37">
      <c r="A521" s="7" t="s">
        <v>663</v>
      </c>
      <c r="B521" s="7" t="s">
        <v>664</v>
      </c>
      <c r="C521" s="7" t="s">
        <v>69</v>
      </c>
      <c r="D521" s="302">
        <v>6077</v>
      </c>
      <c r="E521" s="297">
        <v>60077</v>
      </c>
      <c r="F521" s="7" t="s">
        <v>162</v>
      </c>
      <c r="G521" s="7" t="s">
        <v>158</v>
      </c>
      <c r="H521" s="8">
        <v>89284</v>
      </c>
      <c r="I521" s="8">
        <v>38</v>
      </c>
      <c r="J521" s="7" t="s">
        <v>7</v>
      </c>
      <c r="K521" s="7" t="s">
        <v>159</v>
      </c>
      <c r="L521" s="8">
        <v>26</v>
      </c>
      <c r="M521" s="8">
        <v>130536</v>
      </c>
      <c r="N521" s="7"/>
      <c r="O521" s="8">
        <v>18264</v>
      </c>
      <c r="P521" s="7"/>
      <c r="Q521" s="8">
        <v>4464</v>
      </c>
      <c r="R521" s="7"/>
      <c r="S521" s="8">
        <v>13763</v>
      </c>
      <c r="T521" s="7"/>
      <c r="U521" s="8">
        <v>0</v>
      </c>
      <c r="V521" s="7"/>
      <c r="W521" s="33">
        <v>167027</v>
      </c>
      <c r="X521" s="7"/>
      <c r="Y521" s="30">
        <v>66.5</v>
      </c>
      <c r="Z521" s="7"/>
      <c r="AA521" s="30">
        <v>10.4</v>
      </c>
      <c r="AB521" s="7"/>
      <c r="AC521" s="30">
        <v>2.4</v>
      </c>
      <c r="AD521" s="7"/>
      <c r="AE521" s="30">
        <v>7.6</v>
      </c>
      <c r="AF521" s="7"/>
      <c r="AG521" s="30">
        <v>0</v>
      </c>
      <c r="AI521" s="32">
        <v>86.9</v>
      </c>
      <c r="AK521" s="7" t="str">
        <f t="shared" si="8"/>
        <v>No</v>
      </c>
    </row>
    <row r="522" spans="1:37">
      <c r="A522" s="7" t="s">
        <v>404</v>
      </c>
      <c r="B522" s="7" t="s">
        <v>405</v>
      </c>
      <c r="C522" s="7" t="s">
        <v>93</v>
      </c>
      <c r="D522" s="302">
        <v>5002</v>
      </c>
      <c r="E522" s="297">
        <v>50002</v>
      </c>
      <c r="F522" s="7" t="s">
        <v>162</v>
      </c>
      <c r="G522" s="7" t="s">
        <v>158</v>
      </c>
      <c r="H522" s="8">
        <v>206520</v>
      </c>
      <c r="I522" s="8">
        <v>38</v>
      </c>
      <c r="J522" s="7" t="s">
        <v>7</v>
      </c>
      <c r="K522" s="7" t="s">
        <v>159</v>
      </c>
      <c r="L522" s="8">
        <v>25</v>
      </c>
      <c r="M522" s="8">
        <v>96915</v>
      </c>
      <c r="N522" s="7"/>
      <c r="O522" s="8">
        <v>17954</v>
      </c>
      <c r="P522" s="7"/>
      <c r="Q522" s="8">
        <v>0</v>
      </c>
      <c r="R522" s="7"/>
      <c r="S522" s="8">
        <v>5044</v>
      </c>
      <c r="T522" s="7"/>
      <c r="U522" s="8">
        <v>0</v>
      </c>
      <c r="V522" s="7"/>
      <c r="W522" s="33">
        <v>119913</v>
      </c>
      <c r="X522" s="7"/>
      <c r="Y522" s="30">
        <v>46</v>
      </c>
      <c r="Z522" s="7"/>
      <c r="AA522" s="30">
        <v>10</v>
      </c>
      <c r="AB522" s="7"/>
      <c r="AC522" s="30">
        <v>0</v>
      </c>
      <c r="AD522" s="7"/>
      <c r="AE522" s="30">
        <v>3</v>
      </c>
      <c r="AF522" s="7"/>
      <c r="AG522" s="30">
        <v>0</v>
      </c>
      <c r="AI522" s="32">
        <v>59</v>
      </c>
      <c r="AK522" s="7" t="str">
        <f t="shared" si="8"/>
        <v>No</v>
      </c>
    </row>
    <row r="523" spans="1:37">
      <c r="A523" s="7" t="s">
        <v>209</v>
      </c>
      <c r="B523" s="7" t="s">
        <v>210</v>
      </c>
      <c r="C523" s="7" t="s">
        <v>77</v>
      </c>
      <c r="D523" s="302">
        <v>3023</v>
      </c>
      <c r="E523" s="297">
        <v>30023</v>
      </c>
      <c r="F523" s="7" t="s">
        <v>165</v>
      </c>
      <c r="G523" s="7" t="s">
        <v>158</v>
      </c>
      <c r="H523" s="8">
        <v>1733853</v>
      </c>
      <c r="I523" s="8">
        <v>38</v>
      </c>
      <c r="J523" s="7" t="s">
        <v>7</v>
      </c>
      <c r="K523" s="7" t="s">
        <v>159</v>
      </c>
      <c r="L523" s="8">
        <v>20</v>
      </c>
      <c r="M523" s="8">
        <v>88645</v>
      </c>
      <c r="N523" s="7"/>
      <c r="O523" s="8">
        <v>17320</v>
      </c>
      <c r="P523" s="7"/>
      <c r="Q523" s="8">
        <v>3759</v>
      </c>
      <c r="R523" s="7"/>
      <c r="S523" s="8">
        <v>7948</v>
      </c>
      <c r="T523" s="7"/>
      <c r="U523" s="8">
        <v>0</v>
      </c>
      <c r="V523" s="7"/>
      <c r="W523" s="33">
        <v>117672</v>
      </c>
      <c r="X523" s="7"/>
      <c r="Y523" s="30">
        <v>46.21</v>
      </c>
      <c r="Z523" s="7"/>
      <c r="AA523" s="30">
        <v>8.5299999999999994</v>
      </c>
      <c r="AB523" s="7"/>
      <c r="AC523" s="30">
        <v>1.86</v>
      </c>
      <c r="AD523" s="7"/>
      <c r="AE523" s="30">
        <v>4.78</v>
      </c>
      <c r="AF523" s="7"/>
      <c r="AG523" s="30">
        <v>0</v>
      </c>
      <c r="AI523" s="32">
        <v>61.38</v>
      </c>
      <c r="AK523" s="7" t="str">
        <f t="shared" si="8"/>
        <v>No</v>
      </c>
    </row>
    <row r="524" spans="1:37">
      <c r="A524" s="7" t="s">
        <v>209</v>
      </c>
      <c r="B524" s="7" t="s">
        <v>210</v>
      </c>
      <c r="C524" s="7" t="s">
        <v>77</v>
      </c>
      <c r="D524" s="302">
        <v>3023</v>
      </c>
      <c r="E524" s="297">
        <v>30023</v>
      </c>
      <c r="F524" s="7" t="s">
        <v>165</v>
      </c>
      <c r="G524" s="7" t="s">
        <v>158</v>
      </c>
      <c r="H524" s="8">
        <v>1733853</v>
      </c>
      <c r="I524" s="8">
        <v>38</v>
      </c>
      <c r="J524" s="7" t="s">
        <v>10</v>
      </c>
      <c r="K524" s="7" t="s">
        <v>159</v>
      </c>
      <c r="L524" s="8">
        <v>18</v>
      </c>
      <c r="M524" s="8">
        <v>42780</v>
      </c>
      <c r="N524" s="7"/>
      <c r="O524" s="8">
        <v>10615</v>
      </c>
      <c r="P524" s="7"/>
      <c r="Q524" s="8">
        <v>2304</v>
      </c>
      <c r="R524" s="7"/>
      <c r="S524" s="8">
        <v>6013</v>
      </c>
      <c r="T524" s="7"/>
      <c r="U524" s="8">
        <v>0</v>
      </c>
      <c r="V524" s="7"/>
      <c r="W524" s="33">
        <v>61712</v>
      </c>
      <c r="X524" s="7"/>
      <c r="Y524" s="30">
        <v>22.55</v>
      </c>
      <c r="Z524" s="7"/>
      <c r="AA524" s="30">
        <v>5.23</v>
      </c>
      <c r="AB524" s="7"/>
      <c r="AC524" s="30">
        <v>1.1399999999999999</v>
      </c>
      <c r="AD524" s="7"/>
      <c r="AE524" s="30">
        <v>3.61</v>
      </c>
      <c r="AF524" s="7"/>
      <c r="AG524" s="30">
        <v>0</v>
      </c>
      <c r="AI524" s="32">
        <v>32.53</v>
      </c>
      <c r="AK524" s="7" t="str">
        <f t="shared" si="8"/>
        <v>No</v>
      </c>
    </row>
    <row r="525" spans="1:37">
      <c r="A525" s="7" t="s">
        <v>573</v>
      </c>
      <c r="B525" s="7" t="s">
        <v>574</v>
      </c>
      <c r="C525" s="7" t="s">
        <v>76</v>
      </c>
      <c r="D525" s="302">
        <v>34</v>
      </c>
      <c r="E525" s="297">
        <v>34</v>
      </c>
      <c r="F525" s="7" t="s">
        <v>165</v>
      </c>
      <c r="G525" s="7" t="s">
        <v>158</v>
      </c>
      <c r="H525" s="8">
        <v>154081</v>
      </c>
      <c r="I525" s="8">
        <v>38</v>
      </c>
      <c r="J525" s="7" t="s">
        <v>7</v>
      </c>
      <c r="K525" s="7" t="s">
        <v>159</v>
      </c>
      <c r="L525" s="8">
        <v>18</v>
      </c>
      <c r="M525" s="8">
        <v>59388</v>
      </c>
      <c r="N525" s="7"/>
      <c r="O525" s="8">
        <v>13171</v>
      </c>
      <c r="P525" s="7"/>
      <c r="Q525" s="8">
        <v>0</v>
      </c>
      <c r="R525" s="7"/>
      <c r="S525" s="8">
        <v>21500</v>
      </c>
      <c r="T525" s="7"/>
      <c r="U525" s="8">
        <v>0</v>
      </c>
      <c r="V525" s="7"/>
      <c r="W525" s="33">
        <v>94059</v>
      </c>
      <c r="X525" s="7"/>
      <c r="Y525" s="30">
        <v>28</v>
      </c>
      <c r="Z525" s="7"/>
      <c r="AA525" s="30">
        <v>6</v>
      </c>
      <c r="AB525" s="7"/>
      <c r="AC525" s="30">
        <v>0</v>
      </c>
      <c r="AD525" s="7"/>
      <c r="AE525" s="30">
        <v>10</v>
      </c>
      <c r="AF525" s="7"/>
      <c r="AG525" s="30">
        <v>0</v>
      </c>
      <c r="AI525" s="32">
        <v>44</v>
      </c>
      <c r="AK525" s="7" t="str">
        <f t="shared" si="8"/>
        <v>No</v>
      </c>
    </row>
    <row r="526" spans="1:37">
      <c r="A526" s="7" t="s">
        <v>1114</v>
      </c>
      <c r="B526" s="7" t="s">
        <v>717</v>
      </c>
      <c r="C526" s="7" t="s">
        <v>17</v>
      </c>
      <c r="D526" s="302">
        <v>9196</v>
      </c>
      <c r="E526" s="297">
        <v>90196</v>
      </c>
      <c r="F526" s="7" t="s">
        <v>162</v>
      </c>
      <c r="G526" s="7" t="s">
        <v>158</v>
      </c>
      <c r="H526" s="8">
        <v>1723634</v>
      </c>
      <c r="I526" s="8">
        <v>38</v>
      </c>
      <c r="J526" s="7" t="s">
        <v>7</v>
      </c>
      <c r="K526" s="7" t="s">
        <v>159</v>
      </c>
      <c r="L526" s="8">
        <v>15</v>
      </c>
      <c r="M526" s="8">
        <v>63798</v>
      </c>
      <c r="N526" s="7"/>
      <c r="O526" s="8">
        <v>9512</v>
      </c>
      <c r="P526" s="7"/>
      <c r="Q526" s="8">
        <v>0</v>
      </c>
      <c r="R526" s="7"/>
      <c r="S526" s="8">
        <v>24001</v>
      </c>
      <c r="T526" s="7"/>
      <c r="U526" s="8">
        <v>0</v>
      </c>
      <c r="V526" s="7"/>
      <c r="W526" s="33">
        <v>97311</v>
      </c>
      <c r="X526" s="7"/>
      <c r="Y526" s="30">
        <v>31.9</v>
      </c>
      <c r="Z526" s="7"/>
      <c r="AA526" s="30">
        <v>5.0999999999999996</v>
      </c>
      <c r="AB526" s="7"/>
      <c r="AC526" s="30">
        <v>0</v>
      </c>
      <c r="AD526" s="7"/>
      <c r="AE526" s="30">
        <v>13.1</v>
      </c>
      <c r="AF526" s="7"/>
      <c r="AG526" s="30">
        <v>0</v>
      </c>
      <c r="AI526" s="32">
        <v>50.1</v>
      </c>
      <c r="AK526" s="7" t="str">
        <f t="shared" si="8"/>
        <v>No</v>
      </c>
    </row>
    <row r="527" spans="1:37">
      <c r="A527" s="7" t="s">
        <v>663</v>
      </c>
      <c r="B527" s="7" t="s">
        <v>664</v>
      </c>
      <c r="C527" s="7" t="s">
        <v>69</v>
      </c>
      <c r="D527" s="302">
        <v>6077</v>
      </c>
      <c r="E527" s="297">
        <v>60077</v>
      </c>
      <c r="F527" s="7" t="s">
        <v>162</v>
      </c>
      <c r="G527" s="7" t="s">
        <v>158</v>
      </c>
      <c r="H527" s="8">
        <v>89284</v>
      </c>
      <c r="I527" s="8">
        <v>38</v>
      </c>
      <c r="J527" s="7" t="s">
        <v>10</v>
      </c>
      <c r="K527" s="7" t="s">
        <v>159</v>
      </c>
      <c r="L527" s="8">
        <v>12</v>
      </c>
      <c r="M527" s="8">
        <v>37953</v>
      </c>
      <c r="N527" s="7"/>
      <c r="O527" s="8">
        <v>4969</v>
      </c>
      <c r="P527" s="7"/>
      <c r="Q527" s="8">
        <v>713</v>
      </c>
      <c r="R527" s="7"/>
      <c r="S527" s="8">
        <v>3441</v>
      </c>
      <c r="T527" s="7"/>
      <c r="U527" s="8">
        <v>0</v>
      </c>
      <c r="V527" s="7"/>
      <c r="W527" s="33">
        <v>47076</v>
      </c>
      <c r="X527" s="7"/>
      <c r="Y527" s="30">
        <v>20</v>
      </c>
      <c r="Z527" s="7"/>
      <c r="AA527" s="30">
        <v>2.6</v>
      </c>
      <c r="AB527" s="7"/>
      <c r="AC527" s="30">
        <v>0.6</v>
      </c>
      <c r="AD527" s="7"/>
      <c r="AE527" s="30">
        <v>1.9</v>
      </c>
      <c r="AF527" s="7"/>
      <c r="AG527" s="30">
        <v>0</v>
      </c>
      <c r="AI527" s="32">
        <v>25.1</v>
      </c>
      <c r="AK527" s="7" t="str">
        <f t="shared" si="8"/>
        <v>No</v>
      </c>
    </row>
    <row r="528" spans="1:37">
      <c r="A528" s="7" t="s">
        <v>223</v>
      </c>
      <c r="B528" s="7" t="s">
        <v>224</v>
      </c>
      <c r="C528" s="7" t="s">
        <v>42</v>
      </c>
      <c r="D528" s="302">
        <v>5110</v>
      </c>
      <c r="E528" s="297">
        <v>50110</v>
      </c>
      <c r="F528" s="7" t="s">
        <v>165</v>
      </c>
      <c r="G528" s="7" t="s">
        <v>158</v>
      </c>
      <c r="H528" s="8">
        <v>108657</v>
      </c>
      <c r="I528" s="8">
        <v>38</v>
      </c>
      <c r="J528" s="7" t="s">
        <v>10</v>
      </c>
      <c r="K528" s="7" t="s">
        <v>159</v>
      </c>
      <c r="L528" s="8">
        <v>8</v>
      </c>
      <c r="M528" s="8">
        <v>12746</v>
      </c>
      <c r="N528" s="7"/>
      <c r="O528" s="8">
        <v>2372</v>
      </c>
      <c r="P528" s="7"/>
      <c r="Q528" s="8">
        <v>344</v>
      </c>
      <c r="R528" s="7"/>
      <c r="S528" s="8">
        <v>2011</v>
      </c>
      <c r="T528" s="7"/>
      <c r="U528" s="8">
        <v>0</v>
      </c>
      <c r="V528" s="7"/>
      <c r="W528" s="33">
        <v>17473</v>
      </c>
      <c r="X528" s="7"/>
      <c r="Y528" s="30">
        <v>7</v>
      </c>
      <c r="Z528" s="7"/>
      <c r="AA528" s="30">
        <v>1.2</v>
      </c>
      <c r="AB528" s="7"/>
      <c r="AC528" s="30">
        <v>0.2</v>
      </c>
      <c r="AD528" s="7"/>
      <c r="AE528" s="30">
        <v>1</v>
      </c>
      <c r="AF528" s="7"/>
      <c r="AG528" s="30">
        <v>0</v>
      </c>
      <c r="AI528" s="32">
        <v>9.4</v>
      </c>
      <c r="AK528" s="7" t="str">
        <f t="shared" si="8"/>
        <v>No</v>
      </c>
    </row>
    <row r="529" spans="1:37">
      <c r="A529" s="7" t="s">
        <v>732</v>
      </c>
      <c r="B529" s="7" t="s">
        <v>438</v>
      </c>
      <c r="C529" s="7" t="s">
        <v>83</v>
      </c>
      <c r="D529" s="302">
        <v>4171</v>
      </c>
      <c r="E529" s="297">
        <v>40171</v>
      </c>
      <c r="F529" s="7" t="s">
        <v>162</v>
      </c>
      <c r="G529" s="7" t="s">
        <v>158</v>
      </c>
      <c r="H529" s="8">
        <v>558696</v>
      </c>
      <c r="I529" s="8">
        <v>37</v>
      </c>
      <c r="J529" s="7" t="s">
        <v>10</v>
      </c>
      <c r="K529" s="7" t="s">
        <v>159</v>
      </c>
      <c r="L529" s="8">
        <v>37</v>
      </c>
      <c r="M529" s="8">
        <v>88863</v>
      </c>
      <c r="N529" s="7"/>
      <c r="O529" s="8">
        <v>0</v>
      </c>
      <c r="P529" s="7"/>
      <c r="Q529" s="8">
        <v>0</v>
      </c>
      <c r="R529" s="7"/>
      <c r="S529" s="8">
        <v>0</v>
      </c>
      <c r="T529" s="7"/>
      <c r="U529" s="8">
        <v>0</v>
      </c>
      <c r="V529" s="7"/>
      <c r="W529" s="33">
        <v>88863</v>
      </c>
      <c r="X529" s="7"/>
      <c r="Y529" s="30">
        <v>44</v>
      </c>
      <c r="Z529" s="7"/>
      <c r="AA529" s="30">
        <v>0</v>
      </c>
      <c r="AB529" s="7"/>
      <c r="AC529" s="30">
        <v>0</v>
      </c>
      <c r="AD529" s="7"/>
      <c r="AE529" s="30">
        <v>0</v>
      </c>
      <c r="AF529" s="7"/>
      <c r="AG529" s="30">
        <v>0</v>
      </c>
      <c r="AI529" s="32">
        <v>44</v>
      </c>
      <c r="AK529" s="7" t="str">
        <f t="shared" si="8"/>
        <v>No</v>
      </c>
    </row>
    <row r="530" spans="1:37">
      <c r="A530" s="7" t="s">
        <v>309</v>
      </c>
      <c r="B530" s="7" t="s">
        <v>310</v>
      </c>
      <c r="C530" s="7" t="s">
        <v>36</v>
      </c>
      <c r="D530" s="302">
        <v>4058</v>
      </c>
      <c r="E530" s="297">
        <v>40058</v>
      </c>
      <c r="F530" s="7" t="s">
        <v>162</v>
      </c>
      <c r="G530" s="7" t="s">
        <v>158</v>
      </c>
      <c r="H530" s="8">
        <v>60851</v>
      </c>
      <c r="I530" s="8">
        <v>37</v>
      </c>
      <c r="J530" s="7" t="s">
        <v>7</v>
      </c>
      <c r="K530" s="7" t="s">
        <v>159</v>
      </c>
      <c r="L530" s="8">
        <v>31</v>
      </c>
      <c r="M530" s="8">
        <v>51356</v>
      </c>
      <c r="N530" s="7"/>
      <c r="O530" s="8">
        <v>13985</v>
      </c>
      <c r="P530" s="7"/>
      <c r="Q530" s="8">
        <v>1917</v>
      </c>
      <c r="R530" s="7"/>
      <c r="S530" s="8">
        <v>15085</v>
      </c>
      <c r="T530" s="7"/>
      <c r="U530" s="8">
        <v>0</v>
      </c>
      <c r="V530" s="7"/>
      <c r="W530" s="33">
        <v>82343</v>
      </c>
      <c r="X530" s="7"/>
      <c r="Y530" s="30">
        <v>26</v>
      </c>
      <c r="Z530" s="7"/>
      <c r="AA530" s="30">
        <v>8</v>
      </c>
      <c r="AB530" s="7"/>
      <c r="AC530" s="30">
        <v>1</v>
      </c>
      <c r="AD530" s="7"/>
      <c r="AE530" s="30">
        <v>10</v>
      </c>
      <c r="AF530" s="7"/>
      <c r="AG530" s="30">
        <v>0</v>
      </c>
      <c r="AI530" s="32">
        <v>45</v>
      </c>
      <c r="AK530" s="7" t="str">
        <f t="shared" si="8"/>
        <v>No</v>
      </c>
    </row>
    <row r="531" spans="1:37">
      <c r="A531" s="7" t="s">
        <v>394</v>
      </c>
      <c r="B531" s="7" t="s">
        <v>395</v>
      </c>
      <c r="C531" s="7" t="s">
        <v>86</v>
      </c>
      <c r="D531" s="302">
        <v>3008</v>
      </c>
      <c r="E531" s="297">
        <v>30008</v>
      </c>
      <c r="F531" s="7" t="s">
        <v>165</v>
      </c>
      <c r="G531" s="7" t="s">
        <v>158</v>
      </c>
      <c r="H531" s="8">
        <v>116636</v>
      </c>
      <c r="I531" s="8">
        <v>37</v>
      </c>
      <c r="J531" s="7" t="s">
        <v>7</v>
      </c>
      <c r="K531" s="7" t="s">
        <v>159</v>
      </c>
      <c r="L531" s="8">
        <v>28</v>
      </c>
      <c r="M531" s="8">
        <v>118332</v>
      </c>
      <c r="N531" s="7"/>
      <c r="O531" s="8">
        <v>18777</v>
      </c>
      <c r="P531" s="7"/>
      <c r="Q531" s="8">
        <v>8704</v>
      </c>
      <c r="R531" s="7"/>
      <c r="S531" s="8">
        <v>15179</v>
      </c>
      <c r="T531" s="7"/>
      <c r="U531" s="8">
        <v>0</v>
      </c>
      <c r="V531" s="7"/>
      <c r="W531" s="33">
        <v>160992</v>
      </c>
      <c r="X531" s="7"/>
      <c r="Y531" s="30">
        <v>42</v>
      </c>
      <c r="Z531" s="7"/>
      <c r="AA531" s="30">
        <v>8.8000000000000007</v>
      </c>
      <c r="AB531" s="7"/>
      <c r="AC531" s="30">
        <v>4.8</v>
      </c>
      <c r="AD531" s="7"/>
      <c r="AE531" s="30">
        <v>9</v>
      </c>
      <c r="AF531" s="7"/>
      <c r="AG531" s="30">
        <v>0</v>
      </c>
      <c r="AI531" s="32">
        <v>64.599999999999994</v>
      </c>
      <c r="AK531" s="7" t="str">
        <f t="shared" si="8"/>
        <v>No</v>
      </c>
    </row>
    <row r="532" spans="1:37">
      <c r="A532" s="7" t="s">
        <v>322</v>
      </c>
      <c r="B532" s="7" t="s">
        <v>323</v>
      </c>
      <c r="C532" s="7" t="s">
        <v>55</v>
      </c>
      <c r="D532" s="302">
        <v>7016</v>
      </c>
      <c r="E532" s="297">
        <v>70016</v>
      </c>
      <c r="F532" s="7" t="s">
        <v>162</v>
      </c>
      <c r="G532" s="7" t="s">
        <v>158</v>
      </c>
      <c r="H532" s="8">
        <v>124748</v>
      </c>
      <c r="I532" s="8">
        <v>37</v>
      </c>
      <c r="J532" s="7" t="s">
        <v>7</v>
      </c>
      <c r="K532" s="7" t="s">
        <v>159</v>
      </c>
      <c r="L532" s="8">
        <v>28</v>
      </c>
      <c r="M532" s="8">
        <v>86485</v>
      </c>
      <c r="N532" s="7"/>
      <c r="O532" s="8">
        <v>6558</v>
      </c>
      <c r="P532" s="7"/>
      <c r="Q532" s="8">
        <v>0</v>
      </c>
      <c r="R532" s="7"/>
      <c r="S532" s="8">
        <v>3309</v>
      </c>
      <c r="T532" s="7"/>
      <c r="U532" s="8">
        <v>0</v>
      </c>
      <c r="V532" s="7"/>
      <c r="W532" s="33">
        <v>96352</v>
      </c>
      <c r="X532" s="7"/>
      <c r="Y532" s="30">
        <v>35</v>
      </c>
      <c r="Z532" s="7"/>
      <c r="AA532" s="30">
        <v>3</v>
      </c>
      <c r="AB532" s="7"/>
      <c r="AC532" s="30">
        <v>0</v>
      </c>
      <c r="AD532" s="7"/>
      <c r="AE532" s="30">
        <v>2</v>
      </c>
      <c r="AF532" s="7"/>
      <c r="AG532" s="30">
        <v>0</v>
      </c>
      <c r="AI532" s="32">
        <v>40</v>
      </c>
      <c r="AK532" s="7" t="str">
        <f t="shared" si="8"/>
        <v>No</v>
      </c>
    </row>
    <row r="533" spans="1:37">
      <c r="A533" s="7" t="s">
        <v>645</v>
      </c>
      <c r="B533" s="7" t="s">
        <v>646</v>
      </c>
      <c r="C533" s="7" t="s">
        <v>96</v>
      </c>
      <c r="D533" s="302">
        <v>3002</v>
      </c>
      <c r="E533" s="297">
        <v>30002</v>
      </c>
      <c r="F533" s="7" t="s">
        <v>165</v>
      </c>
      <c r="G533" s="7" t="s">
        <v>158</v>
      </c>
      <c r="H533" s="8">
        <v>202637</v>
      </c>
      <c r="I533" s="8">
        <v>37</v>
      </c>
      <c r="J533" s="7" t="s">
        <v>7</v>
      </c>
      <c r="K533" s="7" t="s">
        <v>159</v>
      </c>
      <c r="L533" s="8">
        <v>27</v>
      </c>
      <c r="M533" s="8">
        <v>81160</v>
      </c>
      <c r="N533" s="7"/>
      <c r="O533" s="8">
        <v>14936</v>
      </c>
      <c r="P533" s="7"/>
      <c r="Q533" s="8">
        <v>8790</v>
      </c>
      <c r="R533" s="7"/>
      <c r="S533" s="8">
        <v>7186</v>
      </c>
      <c r="T533" s="7"/>
      <c r="U533" s="8">
        <v>0</v>
      </c>
      <c r="V533" s="7"/>
      <c r="W533" s="33">
        <v>112072</v>
      </c>
      <c r="X533" s="7"/>
      <c r="Y533" s="30">
        <v>44</v>
      </c>
      <c r="Z533" s="7"/>
      <c r="AA533" s="30">
        <v>7.8</v>
      </c>
      <c r="AB533" s="7"/>
      <c r="AC533" s="30">
        <v>4.9000000000000004</v>
      </c>
      <c r="AD533" s="7"/>
      <c r="AE533" s="30">
        <v>3.9</v>
      </c>
      <c r="AF533" s="7"/>
      <c r="AG533" s="30">
        <v>0</v>
      </c>
      <c r="AI533" s="32">
        <v>60.6</v>
      </c>
      <c r="AK533" s="7" t="str">
        <f t="shared" si="8"/>
        <v>No</v>
      </c>
    </row>
    <row r="534" spans="1:37">
      <c r="A534" s="7" t="s">
        <v>484</v>
      </c>
      <c r="B534" s="7" t="s">
        <v>485</v>
      </c>
      <c r="C534" s="7" t="s">
        <v>42</v>
      </c>
      <c r="D534" s="302">
        <v>5043</v>
      </c>
      <c r="E534" s="297">
        <v>50043</v>
      </c>
      <c r="F534" s="7" t="s">
        <v>162</v>
      </c>
      <c r="G534" s="7" t="s">
        <v>158</v>
      </c>
      <c r="H534" s="8">
        <v>229351</v>
      </c>
      <c r="I534" s="8">
        <v>37</v>
      </c>
      <c r="J534" s="7" t="s">
        <v>7</v>
      </c>
      <c r="K534" s="7" t="s">
        <v>159</v>
      </c>
      <c r="L534" s="8">
        <v>24</v>
      </c>
      <c r="M534" s="8">
        <v>89225</v>
      </c>
      <c r="N534" s="7"/>
      <c r="O534" s="8">
        <v>13947</v>
      </c>
      <c r="P534" s="7"/>
      <c r="Q534" s="8">
        <v>401</v>
      </c>
      <c r="R534" s="7"/>
      <c r="S534" s="8">
        <v>4821</v>
      </c>
      <c r="T534" s="7"/>
      <c r="U534" s="8">
        <v>0</v>
      </c>
      <c r="V534" s="7"/>
      <c r="W534" s="33">
        <v>108394</v>
      </c>
      <c r="X534" s="7"/>
      <c r="Y534" s="30">
        <v>47.1</v>
      </c>
      <c r="Z534" s="7"/>
      <c r="AA534" s="30">
        <v>7.4</v>
      </c>
      <c r="AB534" s="7"/>
      <c r="AC534" s="30">
        <v>3</v>
      </c>
      <c r="AD534" s="7"/>
      <c r="AE534" s="30">
        <v>3.2</v>
      </c>
      <c r="AF534" s="7"/>
      <c r="AG534" s="30">
        <v>0</v>
      </c>
      <c r="AI534" s="32">
        <v>60.7</v>
      </c>
      <c r="AK534" s="7" t="str">
        <f t="shared" si="8"/>
        <v>No</v>
      </c>
    </row>
    <row r="535" spans="1:37">
      <c r="A535" s="7" t="s">
        <v>651</v>
      </c>
      <c r="B535" s="7" t="s">
        <v>652</v>
      </c>
      <c r="C535" s="7" t="s">
        <v>44</v>
      </c>
      <c r="D535" s="302">
        <v>7014</v>
      </c>
      <c r="E535" s="297">
        <v>70014</v>
      </c>
      <c r="F535" s="7" t="s">
        <v>165</v>
      </c>
      <c r="G535" s="7" t="s">
        <v>158</v>
      </c>
      <c r="H535" s="8">
        <v>150003</v>
      </c>
      <c r="I535" s="8">
        <v>37</v>
      </c>
      <c r="J535" s="7" t="s">
        <v>7</v>
      </c>
      <c r="K535" s="7" t="s">
        <v>159</v>
      </c>
      <c r="L535" s="8">
        <v>22</v>
      </c>
      <c r="M535" s="8">
        <v>86597</v>
      </c>
      <c r="N535" s="7"/>
      <c r="O535" s="8">
        <v>16391</v>
      </c>
      <c r="P535" s="7"/>
      <c r="Q535" s="8">
        <v>6908</v>
      </c>
      <c r="R535" s="7"/>
      <c r="S535" s="8">
        <v>15335</v>
      </c>
      <c r="T535" s="7"/>
      <c r="U535" s="8">
        <v>0</v>
      </c>
      <c r="V535" s="7"/>
      <c r="W535" s="33">
        <v>125231</v>
      </c>
      <c r="X535" s="7"/>
      <c r="Y535" s="30">
        <v>48.1</v>
      </c>
      <c r="Z535" s="7"/>
      <c r="AA535" s="30">
        <v>9.1</v>
      </c>
      <c r="AB535" s="7"/>
      <c r="AC535" s="30">
        <v>3.8</v>
      </c>
      <c r="AD535" s="7"/>
      <c r="AE535" s="30">
        <v>8.5</v>
      </c>
      <c r="AF535" s="7"/>
      <c r="AG535" s="30">
        <v>0</v>
      </c>
      <c r="AI535" s="32">
        <v>69.5</v>
      </c>
      <c r="AK535" s="7" t="str">
        <f t="shared" si="8"/>
        <v>No</v>
      </c>
    </row>
    <row r="536" spans="1:37">
      <c r="A536" s="7" t="s">
        <v>426</v>
      </c>
      <c r="B536" s="7" t="s">
        <v>427</v>
      </c>
      <c r="C536" s="7" t="s">
        <v>86</v>
      </c>
      <c r="D536" s="302">
        <v>3076</v>
      </c>
      <c r="E536" s="297">
        <v>30076</v>
      </c>
      <c r="F536" s="7" t="s">
        <v>165</v>
      </c>
      <c r="G536" s="7" t="s">
        <v>158</v>
      </c>
      <c r="H536" s="8">
        <v>75689</v>
      </c>
      <c r="I536" s="8">
        <v>37</v>
      </c>
      <c r="J536" s="7" t="s">
        <v>7</v>
      </c>
      <c r="K536" s="7" t="s">
        <v>159</v>
      </c>
      <c r="L536" s="8">
        <v>20</v>
      </c>
      <c r="M536" s="8">
        <v>73094</v>
      </c>
      <c r="N536" s="7"/>
      <c r="O536" s="8">
        <v>0</v>
      </c>
      <c r="P536" s="7"/>
      <c r="Q536" s="8">
        <v>0</v>
      </c>
      <c r="R536" s="7"/>
      <c r="S536" s="8">
        <v>8465</v>
      </c>
      <c r="T536" s="7"/>
      <c r="U536" s="8">
        <v>0</v>
      </c>
      <c r="V536" s="7"/>
      <c r="W536" s="33">
        <v>81559</v>
      </c>
      <c r="X536" s="7"/>
      <c r="Y536" s="30">
        <v>41</v>
      </c>
      <c r="Z536" s="7"/>
      <c r="AA536" s="30">
        <v>0</v>
      </c>
      <c r="AB536" s="7"/>
      <c r="AC536" s="30">
        <v>0</v>
      </c>
      <c r="AD536" s="7"/>
      <c r="AE536" s="30">
        <v>5</v>
      </c>
      <c r="AF536" s="7"/>
      <c r="AG536" s="30">
        <v>0</v>
      </c>
      <c r="AI536" s="32">
        <v>46</v>
      </c>
      <c r="AK536" s="7" t="str">
        <f t="shared" si="8"/>
        <v>No</v>
      </c>
    </row>
    <row r="537" spans="1:37">
      <c r="A537" s="7" t="s">
        <v>484</v>
      </c>
      <c r="B537" s="7" t="s">
        <v>485</v>
      </c>
      <c r="C537" s="7" t="s">
        <v>42</v>
      </c>
      <c r="D537" s="302">
        <v>5043</v>
      </c>
      <c r="E537" s="297">
        <v>50043</v>
      </c>
      <c r="F537" s="7" t="s">
        <v>162</v>
      </c>
      <c r="G537" s="7" t="s">
        <v>158</v>
      </c>
      <c r="H537" s="8">
        <v>229351</v>
      </c>
      <c r="I537" s="8">
        <v>37</v>
      </c>
      <c r="J537" s="7" t="s">
        <v>10</v>
      </c>
      <c r="K537" s="7" t="s">
        <v>159</v>
      </c>
      <c r="L537" s="8">
        <v>13</v>
      </c>
      <c r="M537" s="8">
        <v>19619</v>
      </c>
      <c r="N537" s="7"/>
      <c r="O537" s="8">
        <v>5977</v>
      </c>
      <c r="P537" s="7"/>
      <c r="Q537" s="8">
        <v>172</v>
      </c>
      <c r="R537" s="7"/>
      <c r="S537" s="8">
        <v>3018</v>
      </c>
      <c r="T537" s="7"/>
      <c r="U537" s="8">
        <v>0</v>
      </c>
      <c r="V537" s="7"/>
      <c r="W537" s="33">
        <v>28786</v>
      </c>
      <c r="X537" s="7"/>
      <c r="Y537" s="30">
        <v>10</v>
      </c>
      <c r="Z537" s="7"/>
      <c r="AA537" s="30">
        <v>3.2</v>
      </c>
      <c r="AB537" s="7"/>
      <c r="AC537" s="30">
        <v>1.3</v>
      </c>
      <c r="AD537" s="7"/>
      <c r="AE537" s="30">
        <v>1.9</v>
      </c>
      <c r="AF537" s="7"/>
      <c r="AG537" s="30">
        <v>0</v>
      </c>
      <c r="AI537" s="32">
        <v>16.399999999999999</v>
      </c>
      <c r="AK537" s="7" t="str">
        <f t="shared" si="8"/>
        <v>No</v>
      </c>
    </row>
    <row r="538" spans="1:37">
      <c r="A538" s="7" t="s">
        <v>645</v>
      </c>
      <c r="B538" s="7" t="s">
        <v>646</v>
      </c>
      <c r="C538" s="7" t="s">
        <v>96</v>
      </c>
      <c r="D538" s="302">
        <v>3002</v>
      </c>
      <c r="E538" s="297">
        <v>30002</v>
      </c>
      <c r="F538" s="7" t="s">
        <v>165</v>
      </c>
      <c r="G538" s="7" t="s">
        <v>158</v>
      </c>
      <c r="H538" s="8">
        <v>202637</v>
      </c>
      <c r="I538" s="8">
        <v>37</v>
      </c>
      <c r="J538" s="7" t="s">
        <v>10</v>
      </c>
      <c r="K538" s="7" t="s">
        <v>159</v>
      </c>
      <c r="L538" s="8">
        <v>10</v>
      </c>
      <c r="M538" s="8">
        <v>25236</v>
      </c>
      <c r="N538" s="7"/>
      <c r="O538" s="8">
        <v>450</v>
      </c>
      <c r="P538" s="7"/>
      <c r="Q538" s="8">
        <v>52</v>
      </c>
      <c r="R538" s="7"/>
      <c r="S538" s="8">
        <v>208</v>
      </c>
      <c r="T538" s="7"/>
      <c r="U538" s="8">
        <v>0</v>
      </c>
      <c r="V538" s="7"/>
      <c r="W538" s="33">
        <v>25946</v>
      </c>
      <c r="X538" s="7"/>
      <c r="Y538" s="30">
        <v>12</v>
      </c>
      <c r="Z538" s="7"/>
      <c r="AA538" s="30">
        <v>0.2</v>
      </c>
      <c r="AB538" s="7"/>
      <c r="AC538" s="30">
        <v>0.1</v>
      </c>
      <c r="AD538" s="7"/>
      <c r="AE538" s="30">
        <v>0.1</v>
      </c>
      <c r="AF538" s="7"/>
      <c r="AG538" s="30">
        <v>0</v>
      </c>
      <c r="AI538" s="32">
        <v>12.4</v>
      </c>
      <c r="AK538" s="7" t="str">
        <f t="shared" si="8"/>
        <v>No</v>
      </c>
    </row>
    <row r="539" spans="1:37">
      <c r="A539" s="7" t="s">
        <v>322</v>
      </c>
      <c r="B539" s="7" t="s">
        <v>323</v>
      </c>
      <c r="C539" s="7" t="s">
        <v>55</v>
      </c>
      <c r="D539" s="302">
        <v>7016</v>
      </c>
      <c r="E539" s="297">
        <v>70016</v>
      </c>
      <c r="F539" s="7" t="s">
        <v>162</v>
      </c>
      <c r="G539" s="7" t="s">
        <v>158</v>
      </c>
      <c r="H539" s="8">
        <v>124748</v>
      </c>
      <c r="I539" s="8">
        <v>37</v>
      </c>
      <c r="J539" s="7" t="s">
        <v>10</v>
      </c>
      <c r="K539" s="7" t="s">
        <v>159</v>
      </c>
      <c r="L539" s="8">
        <v>9</v>
      </c>
      <c r="M539" s="8">
        <v>26085</v>
      </c>
      <c r="N539" s="7"/>
      <c r="O539" s="8">
        <v>1615</v>
      </c>
      <c r="P539" s="7"/>
      <c r="Q539" s="8">
        <v>0</v>
      </c>
      <c r="R539" s="7"/>
      <c r="S539" s="8">
        <v>2793</v>
      </c>
      <c r="T539" s="7"/>
      <c r="U539" s="8">
        <v>0</v>
      </c>
      <c r="V539" s="7"/>
      <c r="W539" s="33">
        <v>30493</v>
      </c>
      <c r="X539" s="7"/>
      <c r="Y539" s="30">
        <v>14</v>
      </c>
      <c r="Z539" s="7"/>
      <c r="AA539" s="30">
        <v>1</v>
      </c>
      <c r="AB539" s="7"/>
      <c r="AC539" s="30">
        <v>0</v>
      </c>
      <c r="AD539" s="7"/>
      <c r="AE539" s="30">
        <v>2</v>
      </c>
      <c r="AF539" s="7"/>
      <c r="AG539" s="30">
        <v>0</v>
      </c>
      <c r="AI539" s="32">
        <v>17</v>
      </c>
      <c r="AK539" s="7" t="str">
        <f t="shared" si="8"/>
        <v>No</v>
      </c>
    </row>
    <row r="540" spans="1:37">
      <c r="A540" s="7" t="s">
        <v>394</v>
      </c>
      <c r="B540" s="7" t="s">
        <v>395</v>
      </c>
      <c r="C540" s="7" t="s">
        <v>86</v>
      </c>
      <c r="D540" s="302">
        <v>3008</v>
      </c>
      <c r="E540" s="297">
        <v>30008</v>
      </c>
      <c r="F540" s="7" t="s">
        <v>165</v>
      </c>
      <c r="G540" s="7" t="s">
        <v>158</v>
      </c>
      <c r="H540" s="8">
        <v>116636</v>
      </c>
      <c r="I540" s="8">
        <v>37</v>
      </c>
      <c r="J540" s="7" t="s">
        <v>10</v>
      </c>
      <c r="K540" s="7" t="s">
        <v>159</v>
      </c>
      <c r="L540" s="8">
        <v>9</v>
      </c>
      <c r="M540" s="8">
        <v>5963</v>
      </c>
      <c r="N540" s="7"/>
      <c r="O540" s="8">
        <v>580</v>
      </c>
      <c r="P540" s="7"/>
      <c r="Q540" s="8">
        <v>2176</v>
      </c>
      <c r="R540" s="7"/>
      <c r="S540" s="8">
        <v>3428</v>
      </c>
      <c r="T540" s="7"/>
      <c r="U540" s="8">
        <v>0</v>
      </c>
      <c r="V540" s="7"/>
      <c r="W540" s="33">
        <v>12147</v>
      </c>
      <c r="X540" s="7"/>
      <c r="Y540" s="30">
        <v>3</v>
      </c>
      <c r="Z540" s="7"/>
      <c r="AA540" s="30">
        <v>0.3</v>
      </c>
      <c r="AB540" s="7"/>
      <c r="AC540" s="30">
        <v>1.2</v>
      </c>
      <c r="AD540" s="7"/>
      <c r="AE540" s="30">
        <v>2</v>
      </c>
      <c r="AF540" s="7"/>
      <c r="AG540" s="30">
        <v>0</v>
      </c>
      <c r="AI540" s="32">
        <v>6.5</v>
      </c>
      <c r="AK540" s="7" t="str">
        <f t="shared" si="8"/>
        <v>No</v>
      </c>
    </row>
    <row r="541" spans="1:37">
      <c r="A541" s="7" t="s">
        <v>651</v>
      </c>
      <c r="B541" s="7" t="s">
        <v>652</v>
      </c>
      <c r="C541" s="7" t="s">
        <v>44</v>
      </c>
      <c r="D541" s="302">
        <v>7014</v>
      </c>
      <c r="E541" s="297">
        <v>70014</v>
      </c>
      <c r="F541" s="7" t="s">
        <v>165</v>
      </c>
      <c r="G541" s="7" t="s">
        <v>158</v>
      </c>
      <c r="H541" s="8">
        <v>150003</v>
      </c>
      <c r="I541" s="8">
        <v>37</v>
      </c>
      <c r="J541" s="7" t="s">
        <v>10</v>
      </c>
      <c r="K541" s="7" t="s">
        <v>159</v>
      </c>
      <c r="L541" s="8">
        <v>8</v>
      </c>
      <c r="M541" s="8">
        <v>28412</v>
      </c>
      <c r="N541" s="7"/>
      <c r="O541" s="8">
        <v>4738</v>
      </c>
      <c r="P541" s="7"/>
      <c r="Q541" s="8">
        <v>1538</v>
      </c>
      <c r="R541" s="7"/>
      <c r="S541" s="8">
        <v>4119</v>
      </c>
      <c r="T541" s="7"/>
      <c r="U541" s="8">
        <v>0</v>
      </c>
      <c r="V541" s="7"/>
      <c r="W541" s="33">
        <v>38807</v>
      </c>
      <c r="X541" s="7"/>
      <c r="Y541" s="30">
        <v>15.8</v>
      </c>
      <c r="Z541" s="7"/>
      <c r="AA541" s="30">
        <v>2.6</v>
      </c>
      <c r="AB541" s="7"/>
      <c r="AC541" s="30">
        <v>0.9</v>
      </c>
      <c r="AD541" s="7"/>
      <c r="AE541" s="30">
        <v>2.2999999999999998</v>
      </c>
      <c r="AF541" s="7"/>
      <c r="AG541" s="30">
        <v>0</v>
      </c>
      <c r="AI541" s="32">
        <v>21.6</v>
      </c>
      <c r="AK541" s="7" t="str">
        <f t="shared" si="8"/>
        <v>No</v>
      </c>
    </row>
    <row r="542" spans="1:37">
      <c r="A542" s="7" t="s">
        <v>309</v>
      </c>
      <c r="B542" s="7" t="s">
        <v>310</v>
      </c>
      <c r="C542" s="7" t="s">
        <v>36</v>
      </c>
      <c r="D542" s="302">
        <v>4058</v>
      </c>
      <c r="E542" s="297">
        <v>40058</v>
      </c>
      <c r="F542" s="7" t="s">
        <v>162</v>
      </c>
      <c r="G542" s="7" t="s">
        <v>158</v>
      </c>
      <c r="H542" s="8">
        <v>60851</v>
      </c>
      <c r="I542" s="8">
        <v>37</v>
      </c>
      <c r="J542" s="7" t="s">
        <v>10</v>
      </c>
      <c r="K542" s="7" t="s">
        <v>159</v>
      </c>
      <c r="L542" s="8">
        <v>6</v>
      </c>
      <c r="M542" s="8">
        <v>10033</v>
      </c>
      <c r="N542" s="7"/>
      <c r="O542" s="8">
        <v>1704</v>
      </c>
      <c r="P542" s="7"/>
      <c r="Q542" s="8">
        <v>1722</v>
      </c>
      <c r="R542" s="7"/>
      <c r="S542" s="8">
        <v>1558</v>
      </c>
      <c r="T542" s="7"/>
      <c r="U542" s="8">
        <v>0</v>
      </c>
      <c r="V542" s="7"/>
      <c r="W542" s="33">
        <v>15017</v>
      </c>
      <c r="X542" s="7"/>
      <c r="Y542" s="30">
        <v>6</v>
      </c>
      <c r="Z542" s="7"/>
      <c r="AA542" s="30">
        <v>1</v>
      </c>
      <c r="AB542" s="7"/>
      <c r="AC542" s="30">
        <v>1</v>
      </c>
      <c r="AD542" s="7"/>
      <c r="AE542" s="30">
        <v>1</v>
      </c>
      <c r="AF542" s="7"/>
      <c r="AG542" s="30">
        <v>0</v>
      </c>
      <c r="AI542" s="32">
        <v>9</v>
      </c>
      <c r="AK542" s="7" t="str">
        <f t="shared" si="8"/>
        <v>No</v>
      </c>
    </row>
    <row r="543" spans="1:37">
      <c r="A543" s="7" t="s">
        <v>426</v>
      </c>
      <c r="B543" s="7" t="s">
        <v>427</v>
      </c>
      <c r="C543" s="7" t="s">
        <v>86</v>
      </c>
      <c r="D543" s="302">
        <v>3076</v>
      </c>
      <c r="E543" s="297">
        <v>30076</v>
      </c>
      <c r="F543" s="7" t="s">
        <v>165</v>
      </c>
      <c r="G543" s="7" t="s">
        <v>158</v>
      </c>
      <c r="H543" s="8">
        <v>75689</v>
      </c>
      <c r="I543" s="8">
        <v>37</v>
      </c>
      <c r="J543" s="7" t="s">
        <v>10</v>
      </c>
      <c r="K543" s="7" t="s">
        <v>159</v>
      </c>
      <c r="L543" s="8">
        <v>4</v>
      </c>
      <c r="M543" s="8">
        <v>7166</v>
      </c>
      <c r="N543" s="7"/>
      <c r="O543" s="8">
        <v>0</v>
      </c>
      <c r="P543" s="7"/>
      <c r="Q543" s="8">
        <v>0</v>
      </c>
      <c r="R543" s="7"/>
      <c r="S543" s="8">
        <v>1826</v>
      </c>
      <c r="T543" s="7"/>
      <c r="U543" s="8">
        <v>0</v>
      </c>
      <c r="V543" s="7"/>
      <c r="W543" s="33">
        <v>8992</v>
      </c>
      <c r="X543" s="7"/>
      <c r="Y543" s="30">
        <v>5</v>
      </c>
      <c r="Z543" s="7"/>
      <c r="AA543" s="30">
        <v>0</v>
      </c>
      <c r="AB543" s="7"/>
      <c r="AC543" s="30">
        <v>0</v>
      </c>
      <c r="AD543" s="7"/>
      <c r="AE543" s="30">
        <v>1</v>
      </c>
      <c r="AF543" s="7"/>
      <c r="AG543" s="30">
        <v>0</v>
      </c>
      <c r="AI543" s="32">
        <v>6</v>
      </c>
      <c r="AK543" s="7" t="str">
        <f t="shared" si="8"/>
        <v>No</v>
      </c>
    </row>
    <row r="544" spans="1:37">
      <c r="A544" s="7" t="s">
        <v>668</v>
      </c>
      <c r="B544" s="7" t="s">
        <v>669</v>
      </c>
      <c r="C544" s="7" t="s">
        <v>17</v>
      </c>
      <c r="D544" s="302">
        <v>9142</v>
      </c>
      <c r="E544" s="297">
        <v>90142</v>
      </c>
      <c r="F544" s="7" t="s">
        <v>114</v>
      </c>
      <c r="G544" s="7" t="s">
        <v>158</v>
      </c>
      <c r="H544" s="8">
        <v>72794</v>
      </c>
      <c r="I544" s="8">
        <v>36</v>
      </c>
      <c r="J544" s="7" t="s">
        <v>7</v>
      </c>
      <c r="K544" s="7" t="s">
        <v>159</v>
      </c>
      <c r="L544" s="8">
        <v>36</v>
      </c>
      <c r="M544" s="8">
        <v>3853</v>
      </c>
      <c r="N544" s="7"/>
      <c r="O544" s="8">
        <v>13540</v>
      </c>
      <c r="P544" s="7"/>
      <c r="Q544" s="8">
        <v>884</v>
      </c>
      <c r="R544" s="7"/>
      <c r="S544" s="8">
        <v>7238</v>
      </c>
      <c r="T544" s="7"/>
      <c r="U544" s="8">
        <v>0</v>
      </c>
      <c r="V544" s="7"/>
      <c r="W544" s="33">
        <v>25515</v>
      </c>
      <c r="X544" s="7"/>
      <c r="Y544" s="30">
        <v>2</v>
      </c>
      <c r="Z544" s="7"/>
      <c r="AA544" s="30">
        <v>8.5</v>
      </c>
      <c r="AB544" s="7"/>
      <c r="AC544" s="30">
        <v>0.5</v>
      </c>
      <c r="AD544" s="7"/>
      <c r="AE544" s="30">
        <v>4</v>
      </c>
      <c r="AF544" s="7"/>
      <c r="AG544" s="30">
        <v>0</v>
      </c>
      <c r="AI544" s="32">
        <v>15</v>
      </c>
      <c r="AK544" s="7" t="str">
        <f t="shared" si="8"/>
        <v>No</v>
      </c>
    </row>
    <row r="545" spans="1:37">
      <c r="A545" s="7" t="s">
        <v>512</v>
      </c>
      <c r="B545" s="7" t="s">
        <v>513</v>
      </c>
      <c r="C545" s="7" t="s">
        <v>42</v>
      </c>
      <c r="D545" s="302">
        <v>5054</v>
      </c>
      <c r="E545" s="297">
        <v>50054</v>
      </c>
      <c r="F545" s="7" t="s">
        <v>162</v>
      </c>
      <c r="G545" s="7" t="s">
        <v>158</v>
      </c>
      <c r="H545" s="8">
        <v>90580</v>
      </c>
      <c r="I545" s="8">
        <v>36</v>
      </c>
      <c r="J545" s="7" t="s">
        <v>7</v>
      </c>
      <c r="K545" s="7" t="s">
        <v>159</v>
      </c>
      <c r="L545" s="8">
        <v>26</v>
      </c>
      <c r="M545" s="8">
        <v>68740</v>
      </c>
      <c r="N545" s="7"/>
      <c r="O545" s="8">
        <v>9941</v>
      </c>
      <c r="P545" s="7"/>
      <c r="Q545" s="8">
        <v>1629</v>
      </c>
      <c r="R545" s="7"/>
      <c r="S545" s="8">
        <v>12480</v>
      </c>
      <c r="T545" s="7"/>
      <c r="U545" s="8">
        <v>0</v>
      </c>
      <c r="V545" s="7"/>
      <c r="W545" s="33">
        <v>92790</v>
      </c>
      <c r="X545" s="7"/>
      <c r="Y545" s="30">
        <v>32</v>
      </c>
      <c r="Z545" s="7"/>
      <c r="AA545" s="30">
        <v>5</v>
      </c>
      <c r="AB545" s="7"/>
      <c r="AC545" s="30">
        <v>1</v>
      </c>
      <c r="AD545" s="7"/>
      <c r="AE545" s="30">
        <v>8</v>
      </c>
      <c r="AF545" s="7"/>
      <c r="AG545" s="30">
        <v>0</v>
      </c>
      <c r="AI545" s="32">
        <v>46</v>
      </c>
      <c r="AK545" s="7" t="str">
        <f t="shared" si="8"/>
        <v>No</v>
      </c>
    </row>
    <row r="546" spans="1:37">
      <c r="A546" s="7" t="s">
        <v>225</v>
      </c>
      <c r="B546" s="7" t="s">
        <v>226</v>
      </c>
      <c r="C546" s="7" t="s">
        <v>40</v>
      </c>
      <c r="D546" s="302">
        <v>5047</v>
      </c>
      <c r="E546" s="297">
        <v>50047</v>
      </c>
      <c r="F546" s="7" t="s">
        <v>165</v>
      </c>
      <c r="G546" s="7" t="s">
        <v>158</v>
      </c>
      <c r="H546" s="8">
        <v>132600</v>
      </c>
      <c r="I546" s="8">
        <v>36</v>
      </c>
      <c r="J546" s="7" t="s">
        <v>7</v>
      </c>
      <c r="K546" s="7" t="s">
        <v>159</v>
      </c>
      <c r="L546" s="8">
        <v>23</v>
      </c>
      <c r="M546" s="8">
        <v>123196</v>
      </c>
      <c r="N546" s="7"/>
      <c r="O546" s="8">
        <v>16139</v>
      </c>
      <c r="P546" s="7"/>
      <c r="Q546" s="8">
        <v>7595</v>
      </c>
      <c r="R546" s="7"/>
      <c r="S546" s="8">
        <v>20428</v>
      </c>
      <c r="T546" s="7"/>
      <c r="U546" s="8">
        <v>0</v>
      </c>
      <c r="V546" s="7"/>
      <c r="W546" s="33">
        <v>167358</v>
      </c>
      <c r="X546" s="7"/>
      <c r="Y546" s="30">
        <v>70.62</v>
      </c>
      <c r="Z546" s="7"/>
      <c r="AA546" s="30">
        <v>8.9</v>
      </c>
      <c r="AB546" s="7"/>
      <c r="AC546" s="30">
        <v>4.1900000000000004</v>
      </c>
      <c r="AD546" s="7"/>
      <c r="AE546" s="30">
        <v>12.6</v>
      </c>
      <c r="AF546" s="7"/>
      <c r="AG546" s="30">
        <v>0</v>
      </c>
      <c r="AI546" s="32">
        <v>96.31</v>
      </c>
      <c r="AK546" s="7" t="str">
        <f t="shared" si="8"/>
        <v>No</v>
      </c>
    </row>
    <row r="547" spans="1:37">
      <c r="A547" s="7" t="s">
        <v>50</v>
      </c>
      <c r="B547" s="7" t="s">
        <v>376</v>
      </c>
      <c r="C547" s="7" t="s">
        <v>48</v>
      </c>
      <c r="D547" s="302">
        <v>3072</v>
      </c>
      <c r="E547" s="297">
        <v>30072</v>
      </c>
      <c r="F547" s="7" t="s">
        <v>162</v>
      </c>
      <c r="G547" s="7" t="s">
        <v>158</v>
      </c>
      <c r="H547" s="8">
        <v>141576</v>
      </c>
      <c r="I547" s="8">
        <v>36</v>
      </c>
      <c r="J547" s="7" t="s">
        <v>10</v>
      </c>
      <c r="K547" s="7" t="s">
        <v>159</v>
      </c>
      <c r="L547" s="8">
        <v>18</v>
      </c>
      <c r="M547" s="8">
        <v>24841</v>
      </c>
      <c r="N547" s="7"/>
      <c r="O547" s="8">
        <v>473</v>
      </c>
      <c r="P547" s="7"/>
      <c r="Q547" s="8">
        <v>0</v>
      </c>
      <c r="R547" s="7"/>
      <c r="S547" s="8">
        <v>10200</v>
      </c>
      <c r="T547" s="7"/>
      <c r="U547" s="8">
        <v>0</v>
      </c>
      <c r="V547" s="7"/>
      <c r="W547" s="33">
        <v>35514</v>
      </c>
      <c r="X547" s="7"/>
      <c r="Y547" s="30">
        <v>13.2</v>
      </c>
      <c r="Z547" s="7"/>
      <c r="AA547" s="30">
        <v>0.31</v>
      </c>
      <c r="AB547" s="7"/>
      <c r="AC547" s="30">
        <v>0</v>
      </c>
      <c r="AD547" s="7"/>
      <c r="AE547" s="30">
        <v>6</v>
      </c>
      <c r="AF547" s="7"/>
      <c r="AG547" s="30">
        <v>0</v>
      </c>
      <c r="AI547" s="32">
        <v>19.510000000000002</v>
      </c>
      <c r="AK547" s="7" t="str">
        <f t="shared" si="8"/>
        <v>No</v>
      </c>
    </row>
    <row r="548" spans="1:37">
      <c r="A548" s="7" t="s">
        <v>50</v>
      </c>
      <c r="B548" s="7" t="s">
        <v>376</v>
      </c>
      <c r="C548" s="7" t="s">
        <v>48</v>
      </c>
      <c r="D548" s="302">
        <v>3072</v>
      </c>
      <c r="E548" s="297">
        <v>30072</v>
      </c>
      <c r="F548" s="7" t="s">
        <v>162</v>
      </c>
      <c r="G548" s="7" t="s">
        <v>158</v>
      </c>
      <c r="H548" s="8">
        <v>141576</v>
      </c>
      <c r="I548" s="8">
        <v>36</v>
      </c>
      <c r="J548" s="7" t="s">
        <v>7</v>
      </c>
      <c r="K548" s="7" t="s">
        <v>159</v>
      </c>
      <c r="L548" s="8">
        <v>18</v>
      </c>
      <c r="M548" s="8">
        <v>63416</v>
      </c>
      <c r="N548" s="7"/>
      <c r="O548" s="8">
        <v>1053</v>
      </c>
      <c r="P548" s="7"/>
      <c r="Q548" s="8">
        <v>0</v>
      </c>
      <c r="R548" s="7"/>
      <c r="S548" s="8">
        <v>18725</v>
      </c>
      <c r="T548" s="7"/>
      <c r="U548" s="8">
        <v>0</v>
      </c>
      <c r="V548" s="7"/>
      <c r="W548" s="33">
        <v>83194</v>
      </c>
      <c r="X548" s="7"/>
      <c r="Y548" s="30">
        <v>30.8</v>
      </c>
      <c r="Z548" s="7"/>
      <c r="AA548" s="30">
        <v>0.69</v>
      </c>
      <c r="AB548" s="7"/>
      <c r="AC548" s="30">
        <v>0</v>
      </c>
      <c r="AD548" s="7"/>
      <c r="AE548" s="30">
        <v>11.83</v>
      </c>
      <c r="AF548" s="7"/>
      <c r="AG548" s="30">
        <v>0</v>
      </c>
      <c r="AI548" s="32">
        <v>43.32</v>
      </c>
      <c r="AK548" s="7" t="str">
        <f t="shared" si="8"/>
        <v>No</v>
      </c>
    </row>
    <row r="549" spans="1:37">
      <c r="A549" s="7" t="s">
        <v>225</v>
      </c>
      <c r="B549" s="7" t="s">
        <v>226</v>
      </c>
      <c r="C549" s="7" t="s">
        <v>40</v>
      </c>
      <c r="D549" s="302">
        <v>5047</v>
      </c>
      <c r="E549" s="297">
        <v>50047</v>
      </c>
      <c r="F549" s="7" t="s">
        <v>165</v>
      </c>
      <c r="G549" s="7" t="s">
        <v>158</v>
      </c>
      <c r="H549" s="8">
        <v>132600</v>
      </c>
      <c r="I549" s="8">
        <v>36</v>
      </c>
      <c r="J549" s="7" t="s">
        <v>10</v>
      </c>
      <c r="K549" s="7" t="s">
        <v>159</v>
      </c>
      <c r="L549" s="8">
        <v>13</v>
      </c>
      <c r="M549" s="8">
        <v>34746</v>
      </c>
      <c r="N549" s="7"/>
      <c r="O549" s="8">
        <v>4821</v>
      </c>
      <c r="P549" s="7"/>
      <c r="Q549" s="8">
        <v>2268</v>
      </c>
      <c r="R549" s="7"/>
      <c r="S549" s="8">
        <v>8755</v>
      </c>
      <c r="T549" s="7"/>
      <c r="U549" s="8">
        <v>0</v>
      </c>
      <c r="V549" s="7"/>
      <c r="W549" s="33">
        <v>50590</v>
      </c>
      <c r="X549" s="7"/>
      <c r="Y549" s="30">
        <v>18.38</v>
      </c>
      <c r="Z549" s="7"/>
      <c r="AA549" s="30">
        <v>2.66</v>
      </c>
      <c r="AB549" s="7"/>
      <c r="AC549" s="30">
        <v>1.25</v>
      </c>
      <c r="AD549" s="7"/>
      <c r="AE549" s="30">
        <v>5.4</v>
      </c>
      <c r="AF549" s="7"/>
      <c r="AG549" s="30">
        <v>0</v>
      </c>
      <c r="AI549" s="32">
        <v>27.69</v>
      </c>
      <c r="AK549" s="7" t="str">
        <f t="shared" si="8"/>
        <v>No</v>
      </c>
    </row>
    <row r="550" spans="1:37">
      <c r="A550" s="7" t="s">
        <v>512</v>
      </c>
      <c r="B550" s="7" t="s">
        <v>513</v>
      </c>
      <c r="C550" s="7" t="s">
        <v>42</v>
      </c>
      <c r="D550" s="302">
        <v>5054</v>
      </c>
      <c r="E550" s="297">
        <v>50054</v>
      </c>
      <c r="F550" s="7" t="s">
        <v>162</v>
      </c>
      <c r="G550" s="7" t="s">
        <v>158</v>
      </c>
      <c r="H550" s="8">
        <v>90580</v>
      </c>
      <c r="I550" s="8">
        <v>36</v>
      </c>
      <c r="J550" s="7" t="s">
        <v>10</v>
      </c>
      <c r="K550" s="7" t="s">
        <v>159</v>
      </c>
      <c r="L550" s="8">
        <v>10</v>
      </c>
      <c r="M550" s="8">
        <v>19551</v>
      </c>
      <c r="N550" s="7"/>
      <c r="O550" s="8">
        <v>3187</v>
      </c>
      <c r="P550" s="7"/>
      <c r="Q550" s="8">
        <v>0</v>
      </c>
      <c r="R550" s="7"/>
      <c r="S550" s="8">
        <v>4593</v>
      </c>
      <c r="T550" s="7"/>
      <c r="U550" s="8">
        <v>0</v>
      </c>
      <c r="V550" s="7"/>
      <c r="W550" s="33">
        <v>27331</v>
      </c>
      <c r="X550" s="7"/>
      <c r="Y550" s="30">
        <v>9</v>
      </c>
      <c r="Z550" s="7"/>
      <c r="AA550" s="30">
        <v>1.5</v>
      </c>
      <c r="AB550" s="7"/>
      <c r="AC550" s="30">
        <v>0</v>
      </c>
      <c r="AD550" s="7"/>
      <c r="AE550" s="30">
        <v>3</v>
      </c>
      <c r="AF550" s="7"/>
      <c r="AG550" s="30">
        <v>0</v>
      </c>
      <c r="AI550" s="32">
        <v>13.5</v>
      </c>
      <c r="AK550" s="7" t="str">
        <f t="shared" si="8"/>
        <v>No</v>
      </c>
    </row>
    <row r="551" spans="1:37">
      <c r="A551" s="7" t="s">
        <v>1098</v>
      </c>
      <c r="B551" s="7" t="s">
        <v>1099</v>
      </c>
      <c r="C551" s="7" t="s">
        <v>47</v>
      </c>
      <c r="D551" s="302"/>
      <c r="E551" s="297">
        <v>10183</v>
      </c>
      <c r="F551" s="7" t="s">
        <v>165</v>
      </c>
      <c r="G551" s="7" t="s">
        <v>158</v>
      </c>
      <c r="H551" s="8">
        <v>246695</v>
      </c>
      <c r="I551" s="8">
        <v>34</v>
      </c>
      <c r="J551" s="7" t="s">
        <v>7</v>
      </c>
      <c r="K551" s="7" t="s">
        <v>159</v>
      </c>
      <c r="L551" s="8">
        <v>24</v>
      </c>
      <c r="M551" s="8">
        <v>58011</v>
      </c>
      <c r="N551" s="7"/>
      <c r="O551" s="8">
        <v>6337</v>
      </c>
      <c r="P551" s="7"/>
      <c r="Q551" s="8">
        <v>16920</v>
      </c>
      <c r="R551" s="7"/>
      <c r="S551" s="8">
        <v>18134</v>
      </c>
      <c r="T551" s="7"/>
      <c r="U551" s="8">
        <v>0</v>
      </c>
      <c r="V551" s="7"/>
      <c r="W551" s="33">
        <v>99402</v>
      </c>
      <c r="X551" s="7"/>
      <c r="Y551" s="30">
        <v>26</v>
      </c>
      <c r="Z551" s="7"/>
      <c r="AA551" s="30">
        <v>3</v>
      </c>
      <c r="AB551" s="7"/>
      <c r="AC551" s="30">
        <v>9</v>
      </c>
      <c r="AD551" s="7"/>
      <c r="AE551" s="30">
        <v>9</v>
      </c>
      <c r="AF551" s="7"/>
      <c r="AG551" s="30">
        <v>0</v>
      </c>
      <c r="AI551" s="32">
        <v>47</v>
      </c>
      <c r="AK551" s="7" t="str">
        <f t="shared" si="8"/>
        <v>No</v>
      </c>
    </row>
    <row r="552" spans="1:37">
      <c r="A552" s="7" t="s">
        <v>311</v>
      </c>
      <c r="B552" s="7" t="s">
        <v>312</v>
      </c>
      <c r="C552" s="7" t="s">
        <v>17</v>
      </c>
      <c r="D552" s="302">
        <v>9017</v>
      </c>
      <c r="E552" s="297">
        <v>90017</v>
      </c>
      <c r="F552" s="7" t="s">
        <v>162</v>
      </c>
      <c r="G552" s="7" t="s">
        <v>158</v>
      </c>
      <c r="H552" s="8">
        <v>308231</v>
      </c>
      <c r="I552" s="8">
        <v>34</v>
      </c>
      <c r="J552" s="7" t="s">
        <v>7</v>
      </c>
      <c r="K552" s="7" t="s">
        <v>159</v>
      </c>
      <c r="L552" s="8">
        <v>23</v>
      </c>
      <c r="M552" s="8">
        <v>136088</v>
      </c>
      <c r="N552" s="7"/>
      <c r="O552" s="8">
        <v>8766</v>
      </c>
      <c r="P552" s="7"/>
      <c r="Q552" s="8">
        <v>2573</v>
      </c>
      <c r="R552" s="7"/>
      <c r="S552" s="8">
        <v>19083</v>
      </c>
      <c r="T552" s="7"/>
      <c r="U552" s="8">
        <v>0</v>
      </c>
      <c r="V552" s="7"/>
      <c r="W552" s="33">
        <v>166510</v>
      </c>
      <c r="X552" s="7"/>
      <c r="Y552" s="30">
        <v>48.5</v>
      </c>
      <c r="Z552" s="7"/>
      <c r="AA552" s="30">
        <v>3.16</v>
      </c>
      <c r="AB552" s="7"/>
      <c r="AC552" s="30">
        <v>1.24</v>
      </c>
      <c r="AD552" s="7"/>
      <c r="AE552" s="30">
        <v>8.82</v>
      </c>
      <c r="AF552" s="7"/>
      <c r="AG552" s="30">
        <v>0</v>
      </c>
      <c r="AI552" s="32">
        <v>61.72</v>
      </c>
      <c r="AK552" s="7" t="str">
        <f t="shared" si="8"/>
        <v>No</v>
      </c>
    </row>
    <row r="553" spans="1:37">
      <c r="A553" s="7" t="s">
        <v>123</v>
      </c>
      <c r="B553" s="7" t="s">
        <v>200</v>
      </c>
      <c r="C553" s="7" t="s">
        <v>77</v>
      </c>
      <c r="D553" s="302">
        <v>3011</v>
      </c>
      <c r="E553" s="297">
        <v>30011</v>
      </c>
      <c r="F553" s="7" t="s">
        <v>165</v>
      </c>
      <c r="G553" s="7" t="s">
        <v>158</v>
      </c>
      <c r="H553" s="8">
        <v>79930</v>
      </c>
      <c r="I553" s="8">
        <v>34</v>
      </c>
      <c r="J553" s="7" t="s">
        <v>7</v>
      </c>
      <c r="K553" s="7" t="s">
        <v>159</v>
      </c>
      <c r="L553" s="8">
        <v>21</v>
      </c>
      <c r="M553" s="8">
        <v>48056</v>
      </c>
      <c r="N553" s="7"/>
      <c r="O553" s="8">
        <v>14610</v>
      </c>
      <c r="P553" s="7"/>
      <c r="Q553" s="8">
        <v>0</v>
      </c>
      <c r="R553" s="7"/>
      <c r="S553" s="8">
        <v>8732</v>
      </c>
      <c r="T553" s="7"/>
      <c r="U553" s="8">
        <v>0</v>
      </c>
      <c r="V553" s="7"/>
      <c r="W553" s="33">
        <v>71398</v>
      </c>
      <c r="X553" s="7"/>
      <c r="Y553" s="30">
        <v>23</v>
      </c>
      <c r="Z553" s="7"/>
      <c r="AA553" s="30">
        <v>8.02</v>
      </c>
      <c r="AB553" s="7"/>
      <c r="AC553" s="30">
        <v>0</v>
      </c>
      <c r="AD553" s="7"/>
      <c r="AE553" s="30">
        <v>4.93</v>
      </c>
      <c r="AF553" s="7"/>
      <c r="AG553" s="30">
        <v>0</v>
      </c>
      <c r="AI553" s="32">
        <v>35.950000000000003</v>
      </c>
      <c r="AK553" s="7" t="str">
        <f t="shared" si="8"/>
        <v>No</v>
      </c>
    </row>
    <row r="554" spans="1:37">
      <c r="A554" s="7" t="s">
        <v>1098</v>
      </c>
      <c r="B554" s="7" t="s">
        <v>1099</v>
      </c>
      <c r="C554" s="7" t="s">
        <v>47</v>
      </c>
      <c r="D554" s="302"/>
      <c r="E554" s="297">
        <v>10183</v>
      </c>
      <c r="F554" s="7" t="s">
        <v>165</v>
      </c>
      <c r="G554" s="7" t="s">
        <v>158</v>
      </c>
      <c r="H554" s="8">
        <v>246695</v>
      </c>
      <c r="I554" s="8">
        <v>34</v>
      </c>
      <c r="J554" s="7" t="s">
        <v>19</v>
      </c>
      <c r="K554" s="7" t="s">
        <v>159</v>
      </c>
      <c r="L554" s="8">
        <v>10</v>
      </c>
      <c r="M554" s="8">
        <v>680717</v>
      </c>
      <c r="N554" s="7"/>
      <c r="O554" s="8">
        <v>57028</v>
      </c>
      <c r="P554" s="7"/>
      <c r="Q554" s="8">
        <v>16016</v>
      </c>
      <c r="R554" s="7"/>
      <c r="S554" s="8">
        <v>147189</v>
      </c>
      <c r="T554" s="7"/>
      <c r="U554" s="8">
        <v>0</v>
      </c>
      <c r="V554" s="7"/>
      <c r="W554" s="33">
        <v>900950</v>
      </c>
      <c r="X554" s="7"/>
      <c r="Y554" s="30">
        <v>319</v>
      </c>
      <c r="Z554" s="7"/>
      <c r="AA554" s="30">
        <v>25</v>
      </c>
      <c r="AB554" s="7"/>
      <c r="AC554" s="30">
        <v>8</v>
      </c>
      <c r="AD554" s="7"/>
      <c r="AE554" s="30">
        <v>69</v>
      </c>
      <c r="AF554" s="7"/>
      <c r="AG554" s="30">
        <v>0</v>
      </c>
      <c r="AI554" s="32">
        <v>421</v>
      </c>
      <c r="AK554" s="7" t="str">
        <f t="shared" si="8"/>
        <v>No</v>
      </c>
    </row>
    <row r="555" spans="1:37">
      <c r="A555" s="7" t="s">
        <v>123</v>
      </c>
      <c r="B555" s="7" t="s">
        <v>200</v>
      </c>
      <c r="C555" s="7" t="s">
        <v>77</v>
      </c>
      <c r="D555" s="302">
        <v>3011</v>
      </c>
      <c r="E555" s="297">
        <v>30011</v>
      </c>
      <c r="F555" s="7" t="s">
        <v>165</v>
      </c>
      <c r="G555" s="7" t="s">
        <v>158</v>
      </c>
      <c r="H555" s="8">
        <v>79930</v>
      </c>
      <c r="I555" s="8">
        <v>34</v>
      </c>
      <c r="J555" s="7" t="s">
        <v>10</v>
      </c>
      <c r="K555" s="7" t="s">
        <v>159</v>
      </c>
      <c r="L555" s="8">
        <v>1</v>
      </c>
      <c r="M555" s="8">
        <v>0</v>
      </c>
      <c r="N555" s="7"/>
      <c r="O555" s="8">
        <v>52</v>
      </c>
      <c r="P555" s="7"/>
      <c r="Q555" s="8">
        <v>6</v>
      </c>
      <c r="R555" s="7"/>
      <c r="S555" s="8">
        <v>34</v>
      </c>
      <c r="T555" s="7"/>
      <c r="U555" s="8">
        <v>0</v>
      </c>
      <c r="V555" s="7"/>
      <c r="W555" s="33">
        <v>92</v>
      </c>
      <c r="X555" s="7"/>
      <c r="Y555" s="30">
        <v>0</v>
      </c>
      <c r="Z555" s="7"/>
      <c r="AA555" s="30">
        <v>0.03</v>
      </c>
      <c r="AB555" s="7"/>
      <c r="AC555" s="30">
        <v>0</v>
      </c>
      <c r="AD555" s="7"/>
      <c r="AE555" s="30">
        <v>0.02</v>
      </c>
      <c r="AF555" s="7"/>
      <c r="AG555" s="30">
        <v>0</v>
      </c>
      <c r="AI555" s="32">
        <v>0.05</v>
      </c>
      <c r="AK555" s="7" t="str">
        <f t="shared" si="8"/>
        <v>No</v>
      </c>
    </row>
    <row r="556" spans="1:37">
      <c r="A556" s="7" t="s">
        <v>241</v>
      </c>
      <c r="B556" s="7" t="s">
        <v>242</v>
      </c>
      <c r="C556" s="7" t="s">
        <v>32</v>
      </c>
      <c r="D556" s="302">
        <v>4097</v>
      </c>
      <c r="E556" s="297">
        <v>40097</v>
      </c>
      <c r="F556" s="7" t="s">
        <v>243</v>
      </c>
      <c r="G556" s="7" t="s">
        <v>158</v>
      </c>
      <c r="H556" s="8">
        <v>376047</v>
      </c>
      <c r="I556" s="8">
        <v>33</v>
      </c>
      <c r="J556" s="7" t="s">
        <v>10</v>
      </c>
      <c r="K556" s="7" t="s">
        <v>159</v>
      </c>
      <c r="L556" s="8">
        <v>24</v>
      </c>
      <c r="M556" s="8">
        <v>69929</v>
      </c>
      <c r="N556" s="7"/>
      <c r="O556" s="8">
        <v>0</v>
      </c>
      <c r="P556" s="7"/>
      <c r="Q556" s="8">
        <v>0</v>
      </c>
      <c r="R556" s="7"/>
      <c r="S556" s="8">
        <v>10668</v>
      </c>
      <c r="T556" s="7"/>
      <c r="U556" s="8">
        <v>0</v>
      </c>
      <c r="V556" s="7"/>
      <c r="W556" s="33">
        <v>80597</v>
      </c>
      <c r="X556" s="7"/>
      <c r="Y556" s="30">
        <v>36.799999999999997</v>
      </c>
      <c r="Z556" s="7"/>
      <c r="AA556" s="30">
        <v>0</v>
      </c>
      <c r="AB556" s="7"/>
      <c r="AC556" s="30">
        <v>0</v>
      </c>
      <c r="AD556" s="7"/>
      <c r="AE556" s="30">
        <v>6</v>
      </c>
      <c r="AF556" s="7"/>
      <c r="AG556" s="30">
        <v>0</v>
      </c>
      <c r="AI556" s="32">
        <v>42.8</v>
      </c>
      <c r="AK556" s="7" t="str">
        <f t="shared" si="8"/>
        <v>No</v>
      </c>
    </row>
    <row r="557" spans="1:37">
      <c r="A557" s="7" t="s">
        <v>503</v>
      </c>
      <c r="B557" s="7" t="s">
        <v>504</v>
      </c>
      <c r="C557" s="7" t="s">
        <v>57</v>
      </c>
      <c r="D557" s="302">
        <v>8009</v>
      </c>
      <c r="E557" s="297">
        <v>80009</v>
      </c>
      <c r="F557" s="7" t="s">
        <v>165</v>
      </c>
      <c r="G557" s="7" t="s">
        <v>158</v>
      </c>
      <c r="H557" s="8">
        <v>82157</v>
      </c>
      <c r="I557" s="8">
        <v>33</v>
      </c>
      <c r="J557" s="7" t="s">
        <v>7</v>
      </c>
      <c r="K557" s="7" t="s">
        <v>159</v>
      </c>
      <c r="L557" s="8">
        <v>24</v>
      </c>
      <c r="M557" s="8">
        <v>55489</v>
      </c>
      <c r="N557" s="7"/>
      <c r="O557" s="8">
        <v>14617</v>
      </c>
      <c r="P557" s="7"/>
      <c r="Q557" s="8">
        <v>1067</v>
      </c>
      <c r="R557" s="7"/>
      <c r="S557" s="8">
        <v>17098</v>
      </c>
      <c r="T557" s="7"/>
      <c r="U557" s="8">
        <v>0</v>
      </c>
      <c r="V557" s="7"/>
      <c r="W557" s="33">
        <v>88271</v>
      </c>
      <c r="X557" s="7"/>
      <c r="Y557" s="30">
        <v>32.92</v>
      </c>
      <c r="Z557" s="7"/>
      <c r="AA557" s="30">
        <v>7.03</v>
      </c>
      <c r="AB557" s="7"/>
      <c r="AC557" s="30">
        <v>0.51</v>
      </c>
      <c r="AD557" s="7"/>
      <c r="AE557" s="30">
        <v>9.4700000000000006</v>
      </c>
      <c r="AF557" s="7"/>
      <c r="AG557" s="30">
        <v>0</v>
      </c>
      <c r="AI557" s="32">
        <v>49.93</v>
      </c>
      <c r="AK557" s="7" t="str">
        <f t="shared" si="8"/>
        <v>No</v>
      </c>
    </row>
    <row r="558" spans="1:37">
      <c r="A558" s="7" t="s">
        <v>287</v>
      </c>
      <c r="B558" s="7" t="s">
        <v>288</v>
      </c>
      <c r="C558" s="7" t="s">
        <v>84</v>
      </c>
      <c r="D558" s="302">
        <v>6014</v>
      </c>
      <c r="E558" s="297">
        <v>60014</v>
      </c>
      <c r="F558" s="7" t="s">
        <v>162</v>
      </c>
      <c r="G558" s="7" t="s">
        <v>158</v>
      </c>
      <c r="H558" s="8">
        <v>217585</v>
      </c>
      <c r="I558" s="8">
        <v>33</v>
      </c>
      <c r="J558" s="7" t="s">
        <v>7</v>
      </c>
      <c r="K558" s="7" t="s">
        <v>159</v>
      </c>
      <c r="L558" s="8">
        <v>19</v>
      </c>
      <c r="M558" s="8">
        <v>88288</v>
      </c>
      <c r="N558" s="7"/>
      <c r="O558" s="8">
        <v>5599</v>
      </c>
      <c r="P558" s="7"/>
      <c r="Q558" s="8">
        <v>20300</v>
      </c>
      <c r="R558" s="7"/>
      <c r="S558" s="8">
        <v>11748</v>
      </c>
      <c r="T558" s="7"/>
      <c r="U558" s="8">
        <v>0</v>
      </c>
      <c r="V558" s="7"/>
      <c r="W558" s="33">
        <v>125935</v>
      </c>
      <c r="X558" s="7"/>
      <c r="Y558" s="30">
        <v>45</v>
      </c>
      <c r="Z558" s="7"/>
      <c r="AA558" s="30">
        <v>2.54</v>
      </c>
      <c r="AB558" s="7"/>
      <c r="AC558" s="30">
        <v>12</v>
      </c>
      <c r="AD558" s="7"/>
      <c r="AE558" s="30">
        <v>7</v>
      </c>
      <c r="AF558" s="7"/>
      <c r="AG558" s="30">
        <v>0</v>
      </c>
      <c r="AI558" s="32">
        <v>66.540000000000006</v>
      </c>
      <c r="AK558" s="7" t="str">
        <f t="shared" si="8"/>
        <v>No</v>
      </c>
    </row>
    <row r="559" spans="1:37">
      <c r="A559" s="7" t="s">
        <v>503</v>
      </c>
      <c r="B559" s="7" t="s">
        <v>504</v>
      </c>
      <c r="C559" s="7" t="s">
        <v>57</v>
      </c>
      <c r="D559" s="302">
        <v>8009</v>
      </c>
      <c r="E559" s="297">
        <v>80009</v>
      </c>
      <c r="F559" s="7" t="s">
        <v>165</v>
      </c>
      <c r="G559" s="7" t="s">
        <v>158</v>
      </c>
      <c r="H559" s="8">
        <v>82157</v>
      </c>
      <c r="I559" s="8">
        <v>33</v>
      </c>
      <c r="J559" s="7" t="s">
        <v>10</v>
      </c>
      <c r="K559" s="7" t="s">
        <v>159</v>
      </c>
      <c r="L559" s="8">
        <v>9</v>
      </c>
      <c r="M559" s="8">
        <v>12640</v>
      </c>
      <c r="N559" s="7"/>
      <c r="O559" s="8">
        <v>364</v>
      </c>
      <c r="P559" s="7"/>
      <c r="Q559" s="8">
        <v>27</v>
      </c>
      <c r="R559" s="7"/>
      <c r="S559" s="8">
        <v>4274</v>
      </c>
      <c r="T559" s="7"/>
      <c r="U559" s="8">
        <v>0</v>
      </c>
      <c r="V559" s="7"/>
      <c r="W559" s="33">
        <v>17305</v>
      </c>
      <c r="X559" s="7"/>
      <c r="Y559" s="30">
        <v>6.54</v>
      </c>
      <c r="Z559" s="7"/>
      <c r="AA559" s="30">
        <v>0.17</v>
      </c>
      <c r="AB559" s="7"/>
      <c r="AC559" s="30">
        <v>0.01</v>
      </c>
      <c r="AD559" s="7"/>
      <c r="AE559" s="30">
        <v>2.29</v>
      </c>
      <c r="AF559" s="7"/>
      <c r="AG559" s="30">
        <v>0</v>
      </c>
      <c r="AI559" s="32">
        <v>9.01</v>
      </c>
      <c r="AK559" s="7" t="str">
        <f t="shared" si="8"/>
        <v>No</v>
      </c>
    </row>
    <row r="560" spans="1:37">
      <c r="A560" s="7" t="s">
        <v>241</v>
      </c>
      <c r="B560" s="7" t="s">
        <v>242</v>
      </c>
      <c r="C560" s="7" t="s">
        <v>32</v>
      </c>
      <c r="D560" s="302">
        <v>4097</v>
      </c>
      <c r="E560" s="297">
        <v>40097</v>
      </c>
      <c r="F560" s="7" t="s">
        <v>243</v>
      </c>
      <c r="G560" s="7" t="s">
        <v>158</v>
      </c>
      <c r="H560" s="8">
        <v>376047</v>
      </c>
      <c r="I560" s="8">
        <v>33</v>
      </c>
      <c r="J560" s="7" t="s">
        <v>7</v>
      </c>
      <c r="K560" s="7" t="s">
        <v>159</v>
      </c>
      <c r="L560" s="8">
        <v>9</v>
      </c>
      <c r="M560" s="8">
        <v>33459</v>
      </c>
      <c r="N560" s="7"/>
      <c r="O560" s="8">
        <v>0</v>
      </c>
      <c r="P560" s="7"/>
      <c r="Q560" s="8">
        <v>0</v>
      </c>
      <c r="R560" s="7"/>
      <c r="S560" s="8">
        <v>16192</v>
      </c>
      <c r="T560" s="7"/>
      <c r="U560" s="8">
        <v>0</v>
      </c>
      <c r="V560" s="7"/>
      <c r="W560" s="33">
        <v>49651</v>
      </c>
      <c r="X560" s="7"/>
      <c r="Y560" s="30">
        <v>17.75</v>
      </c>
      <c r="Z560" s="7"/>
      <c r="AA560" s="30">
        <v>0</v>
      </c>
      <c r="AB560" s="7"/>
      <c r="AC560" s="30">
        <v>0</v>
      </c>
      <c r="AD560" s="7"/>
      <c r="AE560" s="30">
        <v>8.26</v>
      </c>
      <c r="AF560" s="7"/>
      <c r="AG560" s="30">
        <v>0</v>
      </c>
      <c r="AI560" s="32">
        <v>26.01</v>
      </c>
      <c r="AK560" s="7" t="str">
        <f t="shared" si="8"/>
        <v>No</v>
      </c>
    </row>
    <row r="561" spans="1:37">
      <c r="A561" s="7" t="s">
        <v>287</v>
      </c>
      <c r="B561" s="7" t="s">
        <v>288</v>
      </c>
      <c r="C561" s="7" t="s">
        <v>84</v>
      </c>
      <c r="D561" s="302">
        <v>6014</v>
      </c>
      <c r="E561" s="297">
        <v>60014</v>
      </c>
      <c r="F561" s="7" t="s">
        <v>162</v>
      </c>
      <c r="G561" s="7" t="s">
        <v>158</v>
      </c>
      <c r="H561" s="8">
        <v>217585</v>
      </c>
      <c r="I561" s="8">
        <v>33</v>
      </c>
      <c r="J561" s="7" t="s">
        <v>10</v>
      </c>
      <c r="K561" s="7" t="s">
        <v>159</v>
      </c>
      <c r="L561" s="8">
        <v>8</v>
      </c>
      <c r="M561" s="8">
        <v>21283</v>
      </c>
      <c r="N561" s="7"/>
      <c r="O561" s="8">
        <v>1007</v>
      </c>
      <c r="P561" s="7"/>
      <c r="Q561" s="8">
        <v>3654</v>
      </c>
      <c r="R561" s="7"/>
      <c r="S561" s="8">
        <v>2554</v>
      </c>
      <c r="T561" s="7"/>
      <c r="U561" s="8">
        <v>0</v>
      </c>
      <c r="V561" s="7"/>
      <c r="W561" s="33">
        <v>28498</v>
      </c>
      <c r="X561" s="7"/>
      <c r="Y561" s="30">
        <v>10</v>
      </c>
      <c r="Z561" s="7"/>
      <c r="AA561" s="30">
        <v>0.46</v>
      </c>
      <c r="AB561" s="7"/>
      <c r="AC561" s="30">
        <v>2</v>
      </c>
      <c r="AD561" s="7"/>
      <c r="AE561" s="30">
        <v>1</v>
      </c>
      <c r="AF561" s="7"/>
      <c r="AG561" s="30">
        <v>0</v>
      </c>
      <c r="AI561" s="32">
        <v>13.46</v>
      </c>
      <c r="AK561" s="7" t="str">
        <f t="shared" si="8"/>
        <v>No</v>
      </c>
    </row>
    <row r="562" spans="1:37">
      <c r="A562" s="7" t="s">
        <v>72</v>
      </c>
      <c r="B562" s="7" t="s">
        <v>505</v>
      </c>
      <c r="C562" s="7" t="s">
        <v>70</v>
      </c>
      <c r="D562" s="302">
        <v>2135</v>
      </c>
      <c r="E562" s="297">
        <v>20135</v>
      </c>
      <c r="F562" s="7" t="s">
        <v>173</v>
      </c>
      <c r="G562" s="7" t="s">
        <v>158</v>
      </c>
      <c r="H562" s="8">
        <v>18351295</v>
      </c>
      <c r="I562" s="8">
        <v>32</v>
      </c>
      <c r="J562" s="7" t="s">
        <v>18</v>
      </c>
      <c r="K562" s="7" t="s">
        <v>159</v>
      </c>
      <c r="L562" s="8">
        <v>32</v>
      </c>
      <c r="M562" s="8">
        <v>57110</v>
      </c>
      <c r="N562" s="7"/>
      <c r="O562" s="8">
        <v>17231</v>
      </c>
      <c r="P562" s="7"/>
      <c r="Q562" s="8">
        <v>0</v>
      </c>
      <c r="R562" s="7"/>
      <c r="S562" s="8">
        <v>20254</v>
      </c>
      <c r="T562" s="7"/>
      <c r="U562" s="8">
        <v>0</v>
      </c>
      <c r="V562" s="7"/>
      <c r="W562" s="33">
        <v>94595</v>
      </c>
      <c r="X562" s="7"/>
      <c r="Y562" s="30">
        <v>29</v>
      </c>
      <c r="Z562" s="7"/>
      <c r="AA562" s="30">
        <v>9</v>
      </c>
      <c r="AB562" s="7"/>
      <c r="AC562" s="30">
        <v>0</v>
      </c>
      <c r="AD562" s="7"/>
      <c r="AE562" s="30">
        <v>11</v>
      </c>
      <c r="AF562" s="7"/>
      <c r="AG562" s="30">
        <v>0</v>
      </c>
      <c r="AI562" s="32">
        <v>49</v>
      </c>
      <c r="AK562" s="7" t="str">
        <f t="shared" si="8"/>
        <v>No</v>
      </c>
    </row>
    <row r="563" spans="1:37">
      <c r="A563" s="7" t="s">
        <v>579</v>
      </c>
      <c r="B563" s="7" t="s">
        <v>580</v>
      </c>
      <c r="C563" s="7" t="s">
        <v>52</v>
      </c>
      <c r="D563" s="302">
        <v>5039</v>
      </c>
      <c r="E563" s="297">
        <v>50039</v>
      </c>
      <c r="F563" s="7" t="s">
        <v>165</v>
      </c>
      <c r="G563" s="7" t="s">
        <v>158</v>
      </c>
      <c r="H563" s="8">
        <v>126265</v>
      </c>
      <c r="I563" s="8">
        <v>32</v>
      </c>
      <c r="J563" s="7" t="s">
        <v>7</v>
      </c>
      <c r="K563" s="7" t="s">
        <v>159</v>
      </c>
      <c r="L563" s="8">
        <v>28</v>
      </c>
      <c r="M563" s="8">
        <v>61451</v>
      </c>
      <c r="N563" s="7"/>
      <c r="O563" s="8">
        <v>18175</v>
      </c>
      <c r="P563" s="7"/>
      <c r="Q563" s="8">
        <v>5642</v>
      </c>
      <c r="R563" s="7"/>
      <c r="S563" s="8">
        <v>18287</v>
      </c>
      <c r="T563" s="7"/>
      <c r="U563" s="8">
        <v>0</v>
      </c>
      <c r="V563" s="7"/>
      <c r="W563" s="33">
        <v>103555</v>
      </c>
      <c r="X563" s="7"/>
      <c r="Y563" s="30">
        <v>38.6</v>
      </c>
      <c r="Z563" s="7"/>
      <c r="AA563" s="30">
        <v>9.1999999999999993</v>
      </c>
      <c r="AB563" s="7"/>
      <c r="AC563" s="30">
        <v>5</v>
      </c>
      <c r="AD563" s="7"/>
      <c r="AE563" s="30">
        <v>13.4</v>
      </c>
      <c r="AF563" s="7"/>
      <c r="AG563" s="30">
        <v>0</v>
      </c>
      <c r="AI563" s="32">
        <v>66.2</v>
      </c>
      <c r="AK563" s="7" t="str">
        <f t="shared" si="8"/>
        <v>No</v>
      </c>
    </row>
    <row r="564" spans="1:37">
      <c r="A564" s="7" t="s">
        <v>1144</v>
      </c>
      <c r="B564" s="7" t="s">
        <v>717</v>
      </c>
      <c r="C564" s="7" t="s">
        <v>51</v>
      </c>
      <c r="D564" s="302">
        <v>1098</v>
      </c>
      <c r="E564" s="297">
        <v>10098</v>
      </c>
      <c r="F564" s="7" t="s">
        <v>187</v>
      </c>
      <c r="G564" s="7" t="s">
        <v>158</v>
      </c>
      <c r="H564" s="8">
        <v>59397</v>
      </c>
      <c r="I564" s="8">
        <v>32</v>
      </c>
      <c r="J564" s="7" t="s">
        <v>10</v>
      </c>
      <c r="K564" s="7" t="s">
        <v>159</v>
      </c>
      <c r="L564" s="8">
        <v>20</v>
      </c>
      <c r="M564" s="8">
        <v>44302</v>
      </c>
      <c r="N564" s="7"/>
      <c r="O564" s="8">
        <v>4753</v>
      </c>
      <c r="P564" s="7"/>
      <c r="Q564" s="8">
        <v>228</v>
      </c>
      <c r="R564" s="7"/>
      <c r="S564" s="8">
        <v>911</v>
      </c>
      <c r="T564" s="7"/>
      <c r="U564" s="8">
        <v>0</v>
      </c>
      <c r="V564" s="7"/>
      <c r="W564" s="33">
        <v>50194</v>
      </c>
      <c r="X564" s="7"/>
      <c r="Y564" s="30">
        <v>21</v>
      </c>
      <c r="Z564" s="7"/>
      <c r="AA564" s="30">
        <v>6</v>
      </c>
      <c r="AB564" s="7"/>
      <c r="AC564" s="30">
        <v>1</v>
      </c>
      <c r="AD564" s="7"/>
      <c r="AE564" s="30">
        <v>5</v>
      </c>
      <c r="AF564" s="7"/>
      <c r="AG564" s="30">
        <v>0</v>
      </c>
      <c r="AI564" s="32">
        <v>33</v>
      </c>
      <c r="AK564" s="7" t="str">
        <f t="shared" si="8"/>
        <v>No</v>
      </c>
    </row>
    <row r="565" spans="1:37">
      <c r="A565" s="7" t="s">
        <v>188</v>
      </c>
      <c r="B565" s="7" t="s">
        <v>189</v>
      </c>
      <c r="C565" s="7" t="s">
        <v>77</v>
      </c>
      <c r="D565" s="302">
        <v>3087</v>
      </c>
      <c r="E565" s="297">
        <v>30087</v>
      </c>
      <c r="F565" s="7" t="s">
        <v>162</v>
      </c>
      <c r="G565" s="7" t="s">
        <v>158</v>
      </c>
      <c r="H565" s="8">
        <v>51370</v>
      </c>
      <c r="I565" s="8">
        <v>32</v>
      </c>
      <c r="J565" s="7" t="s">
        <v>10</v>
      </c>
      <c r="K565" s="7" t="s">
        <v>159</v>
      </c>
      <c r="L565" s="8">
        <v>20</v>
      </c>
      <c r="M565" s="8">
        <v>40437</v>
      </c>
      <c r="N565" s="7"/>
      <c r="O565" s="8">
        <v>4222</v>
      </c>
      <c r="P565" s="7"/>
      <c r="Q565" s="8">
        <v>1028</v>
      </c>
      <c r="R565" s="7"/>
      <c r="S565" s="8">
        <v>5420</v>
      </c>
      <c r="T565" s="7"/>
      <c r="U565" s="8">
        <v>208</v>
      </c>
      <c r="V565" s="7"/>
      <c r="W565" s="33">
        <v>51315</v>
      </c>
      <c r="X565" s="7"/>
      <c r="Y565" s="30">
        <v>21</v>
      </c>
      <c r="Z565" s="7"/>
      <c r="AA565" s="30">
        <v>2.14</v>
      </c>
      <c r="AB565" s="7"/>
      <c r="AC565" s="30">
        <v>0.66</v>
      </c>
      <c r="AD565" s="7"/>
      <c r="AE565" s="30">
        <v>2.8</v>
      </c>
      <c r="AF565" s="7"/>
      <c r="AG565" s="30">
        <v>0.11</v>
      </c>
      <c r="AI565" s="32">
        <v>26.71</v>
      </c>
      <c r="AK565" s="7" t="str">
        <f t="shared" si="8"/>
        <v>No</v>
      </c>
    </row>
    <row r="566" spans="1:37">
      <c r="A566" s="7" t="s">
        <v>11</v>
      </c>
      <c r="B566" s="7" t="s">
        <v>298</v>
      </c>
      <c r="C566" s="7" t="s">
        <v>9</v>
      </c>
      <c r="D566" s="302">
        <v>4071</v>
      </c>
      <c r="E566" s="297">
        <v>40071</v>
      </c>
      <c r="F566" s="7" t="s">
        <v>162</v>
      </c>
      <c r="G566" s="7" t="s">
        <v>158</v>
      </c>
      <c r="H566" s="8">
        <v>286692</v>
      </c>
      <c r="I566" s="8">
        <v>32</v>
      </c>
      <c r="J566" s="7" t="s">
        <v>10</v>
      </c>
      <c r="K566" s="7" t="s">
        <v>159</v>
      </c>
      <c r="L566" s="8">
        <v>19</v>
      </c>
      <c r="M566" s="8">
        <v>34294</v>
      </c>
      <c r="N566" s="7"/>
      <c r="O566" s="8">
        <v>2015</v>
      </c>
      <c r="P566" s="7"/>
      <c r="Q566" s="8">
        <v>148</v>
      </c>
      <c r="R566" s="7"/>
      <c r="S566" s="8">
        <v>2544</v>
      </c>
      <c r="T566" s="7"/>
      <c r="U566" s="8">
        <v>0</v>
      </c>
      <c r="V566" s="7"/>
      <c r="W566" s="33">
        <v>39001</v>
      </c>
      <c r="X566" s="7"/>
      <c r="Y566" s="30">
        <v>17.100000000000001</v>
      </c>
      <c r="Z566" s="7"/>
      <c r="AA566" s="30">
        <v>1.05</v>
      </c>
      <c r="AB566" s="7"/>
      <c r="AC566" s="30">
        <v>0.09</v>
      </c>
      <c r="AD566" s="7"/>
      <c r="AE566" s="30">
        <v>1.4</v>
      </c>
      <c r="AF566" s="7"/>
      <c r="AG566" s="30">
        <v>0</v>
      </c>
      <c r="AI566" s="32">
        <v>19.64</v>
      </c>
      <c r="AK566" s="7" t="str">
        <f t="shared" si="8"/>
        <v>No</v>
      </c>
    </row>
    <row r="567" spans="1:37">
      <c r="A567" s="7" t="s">
        <v>738</v>
      </c>
      <c r="B567" s="7" t="s">
        <v>739</v>
      </c>
      <c r="C567" s="7" t="s">
        <v>13</v>
      </c>
      <c r="D567" s="302">
        <v>9219</v>
      </c>
      <c r="E567" s="297">
        <v>90219</v>
      </c>
      <c r="F567" s="7" t="s">
        <v>165</v>
      </c>
      <c r="G567" s="7" t="s">
        <v>158</v>
      </c>
      <c r="H567" s="8">
        <v>71957</v>
      </c>
      <c r="I567" s="8">
        <v>32</v>
      </c>
      <c r="J567" s="7" t="s">
        <v>7</v>
      </c>
      <c r="K567" s="7" t="s">
        <v>159</v>
      </c>
      <c r="L567" s="8">
        <v>18</v>
      </c>
      <c r="M567" s="8">
        <v>84283</v>
      </c>
      <c r="N567" s="7"/>
      <c r="O567" s="8">
        <v>10868</v>
      </c>
      <c r="P567" s="7"/>
      <c r="Q567" s="8">
        <v>6138</v>
      </c>
      <c r="R567" s="7"/>
      <c r="S567" s="8">
        <v>20648</v>
      </c>
      <c r="T567" s="7"/>
      <c r="U567" s="8">
        <v>1872</v>
      </c>
      <c r="V567" s="7"/>
      <c r="W567" s="33">
        <v>123809</v>
      </c>
      <c r="X567" s="7"/>
      <c r="Y567" s="30">
        <v>45.5</v>
      </c>
      <c r="Z567" s="7"/>
      <c r="AA567" s="30">
        <v>5.16</v>
      </c>
      <c r="AB567" s="7"/>
      <c r="AC567" s="30">
        <v>3.56</v>
      </c>
      <c r="AD567" s="7"/>
      <c r="AE567" s="30">
        <v>12.21</v>
      </c>
      <c r="AF567" s="7"/>
      <c r="AG567" s="30">
        <v>1</v>
      </c>
      <c r="AI567" s="32">
        <v>67.430000000000007</v>
      </c>
      <c r="AK567" s="7" t="str">
        <f t="shared" si="8"/>
        <v>No</v>
      </c>
    </row>
    <row r="568" spans="1:37">
      <c r="A568" s="7" t="s">
        <v>1142</v>
      </c>
      <c r="B568" s="7" t="s">
        <v>1143</v>
      </c>
      <c r="C568" s="7" t="s">
        <v>17</v>
      </c>
      <c r="D568" s="302">
        <v>9229</v>
      </c>
      <c r="E568" s="297">
        <v>90229</v>
      </c>
      <c r="F568" s="7" t="s">
        <v>165</v>
      </c>
      <c r="G568" s="7" t="s">
        <v>158</v>
      </c>
      <c r="H568" s="8">
        <v>1723634</v>
      </c>
      <c r="I568" s="8">
        <v>32</v>
      </c>
      <c r="J568" s="7" t="s">
        <v>10</v>
      </c>
      <c r="K568" s="7" t="s">
        <v>159</v>
      </c>
      <c r="L568" s="8">
        <v>15</v>
      </c>
      <c r="M568" s="8">
        <v>18117</v>
      </c>
      <c r="N568" s="7"/>
      <c r="O568" s="8">
        <v>3484</v>
      </c>
      <c r="P568" s="7"/>
      <c r="Q568" s="8">
        <v>1394</v>
      </c>
      <c r="R568" s="7"/>
      <c r="S568" s="8">
        <v>4181</v>
      </c>
      <c r="T568" s="7"/>
      <c r="U568" s="8">
        <v>1394</v>
      </c>
      <c r="V568" s="7"/>
      <c r="W568" s="33">
        <v>28570</v>
      </c>
      <c r="X568" s="7"/>
      <c r="Y568" s="30">
        <v>10.4</v>
      </c>
      <c r="Z568" s="7"/>
      <c r="AA568" s="30">
        <v>2</v>
      </c>
      <c r="AB568" s="7"/>
      <c r="AC568" s="30">
        <v>0.8</v>
      </c>
      <c r="AD568" s="7"/>
      <c r="AE568" s="30">
        <v>2.4</v>
      </c>
      <c r="AF568" s="7"/>
      <c r="AG568" s="30">
        <v>0.8</v>
      </c>
      <c r="AI568" s="32">
        <v>16.399999999999999</v>
      </c>
      <c r="AK568" s="7" t="str">
        <f t="shared" si="8"/>
        <v>No</v>
      </c>
    </row>
    <row r="569" spans="1:37">
      <c r="A569" s="7" t="s">
        <v>11</v>
      </c>
      <c r="B569" s="7" t="s">
        <v>298</v>
      </c>
      <c r="C569" s="7" t="s">
        <v>9</v>
      </c>
      <c r="D569" s="302">
        <v>4071</v>
      </c>
      <c r="E569" s="297">
        <v>40071</v>
      </c>
      <c r="F569" s="7" t="s">
        <v>162</v>
      </c>
      <c r="G569" s="7" t="s">
        <v>158</v>
      </c>
      <c r="H569" s="8">
        <v>286692</v>
      </c>
      <c r="I569" s="8">
        <v>32</v>
      </c>
      <c r="J569" s="7" t="s">
        <v>7</v>
      </c>
      <c r="K569" s="7" t="s">
        <v>159</v>
      </c>
      <c r="L569" s="8">
        <v>13</v>
      </c>
      <c r="M569" s="8">
        <v>35125</v>
      </c>
      <c r="N569" s="7"/>
      <c r="O569" s="8">
        <v>4084</v>
      </c>
      <c r="P569" s="7"/>
      <c r="Q569" s="8">
        <v>308</v>
      </c>
      <c r="R569" s="7"/>
      <c r="S569" s="8">
        <v>2461</v>
      </c>
      <c r="T569" s="7"/>
      <c r="U569" s="8">
        <v>0</v>
      </c>
      <c r="V569" s="7"/>
      <c r="W569" s="33">
        <v>41978</v>
      </c>
      <c r="X569" s="7"/>
      <c r="Y569" s="30">
        <v>17.899999999999999</v>
      </c>
      <c r="Z569" s="7"/>
      <c r="AA569" s="30">
        <v>2</v>
      </c>
      <c r="AB569" s="7"/>
      <c r="AC569" s="30">
        <v>0.2</v>
      </c>
      <c r="AD569" s="7"/>
      <c r="AE569" s="30">
        <v>1.2</v>
      </c>
      <c r="AF569" s="7"/>
      <c r="AG569" s="30">
        <v>0</v>
      </c>
      <c r="AI569" s="32">
        <v>21.3</v>
      </c>
      <c r="AK569" s="7" t="str">
        <f t="shared" si="8"/>
        <v>No</v>
      </c>
    </row>
    <row r="570" spans="1:37">
      <c r="A570" s="7" t="s">
        <v>1144</v>
      </c>
      <c r="B570" s="7" t="s">
        <v>717</v>
      </c>
      <c r="C570" s="7" t="s">
        <v>51</v>
      </c>
      <c r="D570" s="302">
        <v>1098</v>
      </c>
      <c r="E570" s="297">
        <v>10098</v>
      </c>
      <c r="F570" s="7" t="s">
        <v>187</v>
      </c>
      <c r="G570" s="7" t="s">
        <v>158</v>
      </c>
      <c r="H570" s="8">
        <v>59397</v>
      </c>
      <c r="I570" s="8">
        <v>32</v>
      </c>
      <c r="J570" s="7" t="s">
        <v>7</v>
      </c>
      <c r="K570" s="7" t="s">
        <v>159</v>
      </c>
      <c r="L570" s="8">
        <v>12</v>
      </c>
      <c r="M570" s="8">
        <v>1662</v>
      </c>
      <c r="N570" s="7"/>
      <c r="O570" s="8">
        <v>1817</v>
      </c>
      <c r="P570" s="7"/>
      <c r="Q570" s="8">
        <v>228</v>
      </c>
      <c r="R570" s="7"/>
      <c r="S570" s="8">
        <v>1488</v>
      </c>
      <c r="T570" s="7"/>
      <c r="U570" s="8">
        <v>0</v>
      </c>
      <c r="V570" s="7"/>
      <c r="W570" s="33">
        <v>5195</v>
      </c>
      <c r="X570" s="7"/>
      <c r="Y570" s="30">
        <v>4</v>
      </c>
      <c r="Z570" s="7"/>
      <c r="AA570" s="30">
        <v>5</v>
      </c>
      <c r="AB570" s="7"/>
      <c r="AC570" s="30">
        <v>1</v>
      </c>
      <c r="AD570" s="7"/>
      <c r="AE570" s="30">
        <v>7</v>
      </c>
      <c r="AF570" s="7"/>
      <c r="AG570" s="30">
        <v>0</v>
      </c>
      <c r="AI570" s="32">
        <v>17</v>
      </c>
      <c r="AK570" s="7" t="str">
        <f t="shared" si="8"/>
        <v>No</v>
      </c>
    </row>
    <row r="571" spans="1:37">
      <c r="A571" s="7" t="s">
        <v>1142</v>
      </c>
      <c r="B571" s="7" t="s">
        <v>1143</v>
      </c>
      <c r="C571" s="7" t="s">
        <v>17</v>
      </c>
      <c r="D571" s="302">
        <v>9229</v>
      </c>
      <c r="E571" s="297">
        <v>90229</v>
      </c>
      <c r="F571" s="7" t="s">
        <v>165</v>
      </c>
      <c r="G571" s="7" t="s">
        <v>158</v>
      </c>
      <c r="H571" s="8">
        <v>1723634</v>
      </c>
      <c r="I571" s="8">
        <v>32</v>
      </c>
      <c r="J571" s="7" t="s">
        <v>18</v>
      </c>
      <c r="K571" s="7" t="s">
        <v>159</v>
      </c>
      <c r="L571" s="8">
        <v>11</v>
      </c>
      <c r="M571" s="8">
        <v>14946</v>
      </c>
      <c r="N571" s="7"/>
      <c r="O571" s="8">
        <v>2874</v>
      </c>
      <c r="P571" s="7"/>
      <c r="Q571" s="8">
        <v>1150</v>
      </c>
      <c r="R571" s="7"/>
      <c r="S571" s="8">
        <v>3449</v>
      </c>
      <c r="T571" s="7"/>
      <c r="U571" s="8">
        <v>1150</v>
      </c>
      <c r="V571" s="7"/>
      <c r="W571" s="33">
        <v>23569</v>
      </c>
      <c r="X571" s="7"/>
      <c r="Y571" s="30">
        <v>8.58</v>
      </c>
      <c r="Z571" s="7"/>
      <c r="AA571" s="30">
        <v>1.65</v>
      </c>
      <c r="AB571" s="7"/>
      <c r="AC571" s="30">
        <v>0.66</v>
      </c>
      <c r="AD571" s="7"/>
      <c r="AE571" s="30">
        <v>1.98</v>
      </c>
      <c r="AF571" s="7"/>
      <c r="AG571" s="30">
        <v>0.66</v>
      </c>
      <c r="AI571" s="32">
        <v>13.53</v>
      </c>
      <c r="AK571" s="7" t="str">
        <f t="shared" si="8"/>
        <v>No</v>
      </c>
    </row>
    <row r="572" spans="1:37">
      <c r="A572" s="7" t="s">
        <v>43</v>
      </c>
      <c r="B572" s="7" t="s">
        <v>521</v>
      </c>
      <c r="C572" s="7" t="s">
        <v>42</v>
      </c>
      <c r="D572" s="302">
        <v>5103</v>
      </c>
      <c r="E572" s="297">
        <v>50103</v>
      </c>
      <c r="F572" s="7" t="s">
        <v>162</v>
      </c>
      <c r="G572" s="7" t="s">
        <v>158</v>
      </c>
      <c r="H572" s="8">
        <v>8608208</v>
      </c>
      <c r="I572" s="8">
        <v>32</v>
      </c>
      <c r="J572" s="7" t="s">
        <v>10</v>
      </c>
      <c r="K572" s="7" t="s">
        <v>159</v>
      </c>
      <c r="L572" s="8">
        <v>7</v>
      </c>
      <c r="M572" s="8">
        <v>10070</v>
      </c>
      <c r="N572" s="7"/>
      <c r="O572" s="8">
        <v>0</v>
      </c>
      <c r="P572" s="7"/>
      <c r="Q572" s="8">
        <v>0</v>
      </c>
      <c r="R572" s="7"/>
      <c r="S572" s="8">
        <v>4013</v>
      </c>
      <c r="T572" s="7"/>
      <c r="U572" s="8">
        <v>0</v>
      </c>
      <c r="V572" s="7"/>
      <c r="W572" s="33">
        <v>14083</v>
      </c>
      <c r="X572" s="7"/>
      <c r="Y572" s="30">
        <v>5</v>
      </c>
      <c r="Z572" s="7"/>
      <c r="AA572" s="30">
        <v>0</v>
      </c>
      <c r="AB572" s="7"/>
      <c r="AC572" s="30">
        <v>0</v>
      </c>
      <c r="AD572" s="7"/>
      <c r="AE572" s="30">
        <v>3</v>
      </c>
      <c r="AF572" s="7"/>
      <c r="AG572" s="30">
        <v>0</v>
      </c>
      <c r="AI572" s="32">
        <v>8</v>
      </c>
      <c r="AK572" s="7" t="str">
        <f t="shared" si="8"/>
        <v>No</v>
      </c>
    </row>
    <row r="573" spans="1:37">
      <c r="A573" s="7" t="s">
        <v>188</v>
      </c>
      <c r="B573" s="7" t="s">
        <v>189</v>
      </c>
      <c r="C573" s="7" t="s">
        <v>77</v>
      </c>
      <c r="D573" s="302">
        <v>3087</v>
      </c>
      <c r="E573" s="297">
        <v>30087</v>
      </c>
      <c r="F573" s="7" t="s">
        <v>162</v>
      </c>
      <c r="G573" s="7" t="s">
        <v>158</v>
      </c>
      <c r="H573" s="8">
        <v>51370</v>
      </c>
      <c r="I573" s="8">
        <v>32</v>
      </c>
      <c r="J573" s="7" t="s">
        <v>7</v>
      </c>
      <c r="K573" s="7" t="s">
        <v>159</v>
      </c>
      <c r="L573" s="8">
        <v>7</v>
      </c>
      <c r="M573" s="8">
        <v>17127</v>
      </c>
      <c r="N573" s="7"/>
      <c r="O573" s="8">
        <v>2587</v>
      </c>
      <c r="P573" s="7"/>
      <c r="Q573" s="8">
        <v>605</v>
      </c>
      <c r="R573" s="7"/>
      <c r="S573" s="8">
        <v>4024</v>
      </c>
      <c r="T573" s="7"/>
      <c r="U573" s="8">
        <v>106</v>
      </c>
      <c r="V573" s="7"/>
      <c r="W573" s="33">
        <v>24449</v>
      </c>
      <c r="X573" s="7"/>
      <c r="Y573" s="30">
        <v>9</v>
      </c>
      <c r="Z573" s="7"/>
      <c r="AA573" s="30">
        <v>1.3</v>
      </c>
      <c r="AB573" s="7"/>
      <c r="AC573" s="30">
        <v>0.6</v>
      </c>
      <c r="AD573" s="7"/>
      <c r="AE573" s="30">
        <v>2</v>
      </c>
      <c r="AF573" s="7"/>
      <c r="AG573" s="30">
        <v>0.1</v>
      </c>
      <c r="AI573" s="32">
        <v>13</v>
      </c>
      <c r="AK573" s="7" t="str">
        <f t="shared" si="8"/>
        <v>No</v>
      </c>
    </row>
    <row r="574" spans="1:37">
      <c r="A574" s="7" t="s">
        <v>1142</v>
      </c>
      <c r="B574" s="7" t="s">
        <v>1143</v>
      </c>
      <c r="C574" s="7" t="s">
        <v>17</v>
      </c>
      <c r="D574" s="302">
        <v>9229</v>
      </c>
      <c r="E574" s="297">
        <v>90229</v>
      </c>
      <c r="F574" s="7" t="s">
        <v>165</v>
      </c>
      <c r="G574" s="7" t="s">
        <v>158</v>
      </c>
      <c r="H574" s="8">
        <v>1723634</v>
      </c>
      <c r="I574" s="8">
        <v>32</v>
      </c>
      <c r="J574" s="7" t="s">
        <v>7</v>
      </c>
      <c r="K574" s="7" t="s">
        <v>159</v>
      </c>
      <c r="L574" s="8">
        <v>6</v>
      </c>
      <c r="M574" s="8">
        <v>12229</v>
      </c>
      <c r="N574" s="7"/>
      <c r="O574" s="8">
        <v>2352</v>
      </c>
      <c r="P574" s="7"/>
      <c r="Q574" s="8">
        <v>941</v>
      </c>
      <c r="R574" s="7"/>
      <c r="S574" s="8">
        <v>2822</v>
      </c>
      <c r="T574" s="7"/>
      <c r="U574" s="8">
        <v>941</v>
      </c>
      <c r="V574" s="7"/>
      <c r="W574" s="33">
        <v>19285</v>
      </c>
      <c r="X574" s="7"/>
      <c r="Y574" s="30">
        <v>7.02</v>
      </c>
      <c r="Z574" s="7"/>
      <c r="AA574" s="30">
        <v>1.35</v>
      </c>
      <c r="AB574" s="7"/>
      <c r="AC574" s="30">
        <v>0.54</v>
      </c>
      <c r="AD574" s="7"/>
      <c r="AE574" s="30">
        <v>1.62</v>
      </c>
      <c r="AF574" s="7"/>
      <c r="AG574" s="30">
        <v>0.54</v>
      </c>
      <c r="AI574" s="32">
        <v>11.07</v>
      </c>
      <c r="AK574" s="7" t="str">
        <f t="shared" si="8"/>
        <v>No</v>
      </c>
    </row>
    <row r="575" spans="1:37">
      <c r="A575" s="7" t="s">
        <v>738</v>
      </c>
      <c r="B575" s="7" t="s">
        <v>739</v>
      </c>
      <c r="C575" s="7" t="s">
        <v>13</v>
      </c>
      <c r="D575" s="302">
        <v>9219</v>
      </c>
      <c r="E575" s="297">
        <v>90219</v>
      </c>
      <c r="F575" s="7" t="s">
        <v>165</v>
      </c>
      <c r="G575" s="7" t="s">
        <v>158</v>
      </c>
      <c r="H575" s="8">
        <v>71957</v>
      </c>
      <c r="I575" s="8">
        <v>32</v>
      </c>
      <c r="J575" s="7" t="s">
        <v>10</v>
      </c>
      <c r="K575" s="7" t="s">
        <v>159</v>
      </c>
      <c r="L575" s="8">
        <v>6</v>
      </c>
      <c r="M575" s="8">
        <v>13153</v>
      </c>
      <c r="N575" s="7"/>
      <c r="O575" s="8">
        <v>1769</v>
      </c>
      <c r="P575" s="7"/>
      <c r="Q575" s="8">
        <v>766</v>
      </c>
      <c r="R575" s="7"/>
      <c r="S575" s="8">
        <v>4453</v>
      </c>
      <c r="T575" s="7"/>
      <c r="U575" s="8">
        <v>0</v>
      </c>
      <c r="V575" s="7"/>
      <c r="W575" s="33">
        <v>20141</v>
      </c>
      <c r="X575" s="7"/>
      <c r="Y575" s="30">
        <v>11.5</v>
      </c>
      <c r="Z575" s="7"/>
      <c r="AA575" s="30">
        <v>0.84</v>
      </c>
      <c r="AB575" s="7"/>
      <c r="AC575" s="30">
        <v>0.44</v>
      </c>
      <c r="AD575" s="7"/>
      <c r="AE575" s="30">
        <v>2.99</v>
      </c>
      <c r="AF575" s="7"/>
      <c r="AG575" s="30">
        <v>0</v>
      </c>
      <c r="AI575" s="32">
        <v>15.77</v>
      </c>
      <c r="AK575" s="7" t="str">
        <f t="shared" si="8"/>
        <v>No</v>
      </c>
    </row>
    <row r="576" spans="1:37">
      <c r="A576" s="7" t="s">
        <v>579</v>
      </c>
      <c r="B576" s="7" t="s">
        <v>580</v>
      </c>
      <c r="C576" s="7" t="s">
        <v>52</v>
      </c>
      <c r="D576" s="302">
        <v>5039</v>
      </c>
      <c r="E576" s="297">
        <v>50039</v>
      </c>
      <c r="F576" s="7" t="s">
        <v>165</v>
      </c>
      <c r="G576" s="7" t="s">
        <v>158</v>
      </c>
      <c r="H576" s="8">
        <v>126265</v>
      </c>
      <c r="I576" s="8">
        <v>32</v>
      </c>
      <c r="J576" s="7" t="s">
        <v>10</v>
      </c>
      <c r="K576" s="7" t="s">
        <v>159</v>
      </c>
      <c r="L576" s="8">
        <v>4</v>
      </c>
      <c r="M576" s="8">
        <v>14176</v>
      </c>
      <c r="N576" s="7"/>
      <c r="O576" s="8">
        <v>3488</v>
      </c>
      <c r="P576" s="7"/>
      <c r="Q576" s="8">
        <v>1083</v>
      </c>
      <c r="R576" s="7"/>
      <c r="S576" s="8">
        <v>3509</v>
      </c>
      <c r="T576" s="7"/>
      <c r="U576" s="8">
        <v>0</v>
      </c>
      <c r="V576" s="7"/>
      <c r="W576" s="33">
        <v>22256</v>
      </c>
      <c r="X576" s="7"/>
      <c r="Y576" s="30">
        <v>7.4</v>
      </c>
      <c r="Z576" s="7"/>
      <c r="AA576" s="30">
        <v>1.8</v>
      </c>
      <c r="AB576" s="7"/>
      <c r="AC576" s="30">
        <v>1</v>
      </c>
      <c r="AD576" s="7"/>
      <c r="AE576" s="30">
        <v>2.6</v>
      </c>
      <c r="AF576" s="7"/>
      <c r="AG576" s="30">
        <v>0</v>
      </c>
      <c r="AI576" s="32">
        <v>12.8</v>
      </c>
      <c r="AK576" s="7" t="str">
        <f t="shared" si="8"/>
        <v>No</v>
      </c>
    </row>
    <row r="577" spans="1:37">
      <c r="A577" s="7" t="s">
        <v>219</v>
      </c>
      <c r="B577" s="7" t="s">
        <v>220</v>
      </c>
      <c r="C577" s="7" t="s">
        <v>57</v>
      </c>
      <c r="D577" s="302">
        <v>8004</v>
      </c>
      <c r="E577" s="297">
        <v>80004</v>
      </c>
      <c r="F577" s="7" t="s">
        <v>162</v>
      </c>
      <c r="G577" s="7" t="s">
        <v>158</v>
      </c>
      <c r="H577" s="8">
        <v>114773</v>
      </c>
      <c r="I577" s="8">
        <v>31</v>
      </c>
      <c r="J577" s="7" t="s">
        <v>7</v>
      </c>
      <c r="K577" s="7" t="s">
        <v>159</v>
      </c>
      <c r="L577" s="8">
        <v>20</v>
      </c>
      <c r="M577" s="8">
        <v>54217</v>
      </c>
      <c r="N577" s="7"/>
      <c r="O577" s="8">
        <v>6660</v>
      </c>
      <c r="P577" s="7"/>
      <c r="Q577" s="8">
        <v>5064</v>
      </c>
      <c r="R577" s="7"/>
      <c r="S577" s="8">
        <v>5189</v>
      </c>
      <c r="T577" s="7"/>
      <c r="U577" s="8">
        <v>0</v>
      </c>
      <c r="V577" s="7"/>
      <c r="W577" s="33">
        <v>71130</v>
      </c>
      <c r="X577" s="7"/>
      <c r="Y577" s="30">
        <v>32</v>
      </c>
      <c r="Z577" s="7"/>
      <c r="AA577" s="30">
        <v>3.4</v>
      </c>
      <c r="AB577" s="7"/>
      <c r="AC577" s="30">
        <v>2.75</v>
      </c>
      <c r="AD577" s="7"/>
      <c r="AE577" s="30">
        <v>3</v>
      </c>
      <c r="AF577" s="7"/>
      <c r="AG577" s="30">
        <v>0</v>
      </c>
      <c r="AI577" s="32">
        <v>41.15</v>
      </c>
      <c r="AK577" s="7" t="str">
        <f t="shared" si="8"/>
        <v>No</v>
      </c>
    </row>
    <row r="578" spans="1:37">
      <c r="A578" s="7" t="s">
        <v>347</v>
      </c>
      <c r="B578" s="7" t="s">
        <v>348</v>
      </c>
      <c r="C578" s="7" t="s">
        <v>40</v>
      </c>
      <c r="D578" s="302">
        <v>5061</v>
      </c>
      <c r="E578" s="297">
        <v>50061</v>
      </c>
      <c r="F578" s="7" t="s">
        <v>162</v>
      </c>
      <c r="G578" s="7" t="s">
        <v>158</v>
      </c>
      <c r="H578" s="8">
        <v>93863</v>
      </c>
      <c r="I578" s="8">
        <v>31</v>
      </c>
      <c r="J578" s="7" t="s">
        <v>7</v>
      </c>
      <c r="K578" s="7" t="s">
        <v>159</v>
      </c>
      <c r="L578" s="8">
        <v>19</v>
      </c>
      <c r="M578" s="8">
        <v>82871</v>
      </c>
      <c r="N578" s="7"/>
      <c r="O578" s="8">
        <v>11571</v>
      </c>
      <c r="P578" s="7"/>
      <c r="Q578" s="8">
        <v>9473</v>
      </c>
      <c r="R578" s="7"/>
      <c r="S578" s="8">
        <v>4723</v>
      </c>
      <c r="T578" s="7"/>
      <c r="U578" s="8">
        <v>0</v>
      </c>
      <c r="V578" s="7"/>
      <c r="W578" s="33">
        <v>108638</v>
      </c>
      <c r="X578" s="7"/>
      <c r="Y578" s="30">
        <v>47.2</v>
      </c>
      <c r="Z578" s="7"/>
      <c r="AA578" s="30">
        <v>6.4</v>
      </c>
      <c r="AB578" s="7"/>
      <c r="AC578" s="30">
        <v>4.8</v>
      </c>
      <c r="AD578" s="7"/>
      <c r="AE578" s="30">
        <v>3</v>
      </c>
      <c r="AF578" s="7"/>
      <c r="AG578" s="30">
        <v>0</v>
      </c>
      <c r="AI578" s="32">
        <v>61.4</v>
      </c>
      <c r="AK578" s="7" t="str">
        <f t="shared" ref="AK578:AK641" si="9">IF(AJ578&amp;AH578&amp;AF578&amp;AD578&amp;AB578&amp;Z578&amp;X578&amp;V578&amp;T578&amp;R578&amp;P578&amp;N578&lt;&gt;"","Yes","No")</f>
        <v>No</v>
      </c>
    </row>
    <row r="579" spans="1:37">
      <c r="A579" s="7" t="s">
        <v>219</v>
      </c>
      <c r="B579" s="7" t="s">
        <v>220</v>
      </c>
      <c r="C579" s="7" t="s">
        <v>57</v>
      </c>
      <c r="D579" s="302">
        <v>8004</v>
      </c>
      <c r="E579" s="297">
        <v>80004</v>
      </c>
      <c r="F579" s="7" t="s">
        <v>162</v>
      </c>
      <c r="G579" s="7" t="s">
        <v>158</v>
      </c>
      <c r="H579" s="8">
        <v>114773</v>
      </c>
      <c r="I579" s="8">
        <v>31</v>
      </c>
      <c r="J579" s="7" t="s">
        <v>10</v>
      </c>
      <c r="K579" s="7" t="s">
        <v>159</v>
      </c>
      <c r="L579" s="8">
        <v>11</v>
      </c>
      <c r="M579" s="8">
        <v>25319</v>
      </c>
      <c r="N579" s="7"/>
      <c r="O579" s="8">
        <v>2192</v>
      </c>
      <c r="P579" s="7"/>
      <c r="Q579" s="8">
        <v>189</v>
      </c>
      <c r="R579" s="7"/>
      <c r="S579" s="8">
        <v>698</v>
      </c>
      <c r="T579" s="7"/>
      <c r="U579" s="8">
        <v>0</v>
      </c>
      <c r="V579" s="7"/>
      <c r="W579" s="33">
        <v>28398</v>
      </c>
      <c r="X579" s="7"/>
      <c r="Y579" s="30">
        <v>13.1</v>
      </c>
      <c r="Z579" s="7"/>
      <c r="AA579" s="30">
        <v>1.25</v>
      </c>
      <c r="AB579" s="7"/>
      <c r="AC579" s="30">
        <v>0.1</v>
      </c>
      <c r="AD579" s="7"/>
      <c r="AE579" s="30">
        <v>0.4</v>
      </c>
      <c r="AF579" s="7"/>
      <c r="AG579" s="30">
        <v>0</v>
      </c>
      <c r="AI579" s="32">
        <v>14.85</v>
      </c>
      <c r="AK579" s="7" t="str">
        <f t="shared" si="9"/>
        <v>No</v>
      </c>
    </row>
    <row r="580" spans="1:37">
      <c r="A580" s="7" t="s">
        <v>347</v>
      </c>
      <c r="B580" s="7" t="s">
        <v>348</v>
      </c>
      <c r="C580" s="7" t="s">
        <v>40</v>
      </c>
      <c r="D580" s="302">
        <v>5061</v>
      </c>
      <c r="E580" s="297">
        <v>50061</v>
      </c>
      <c r="F580" s="7" t="s">
        <v>162</v>
      </c>
      <c r="G580" s="7" t="s">
        <v>158</v>
      </c>
      <c r="H580" s="8">
        <v>93863</v>
      </c>
      <c r="I580" s="8">
        <v>31</v>
      </c>
      <c r="J580" s="7" t="s">
        <v>10</v>
      </c>
      <c r="K580" s="7" t="s">
        <v>159</v>
      </c>
      <c r="L580" s="8">
        <v>6</v>
      </c>
      <c r="M580" s="8">
        <v>12251</v>
      </c>
      <c r="N580" s="7"/>
      <c r="O580" s="8">
        <v>2314</v>
      </c>
      <c r="P580" s="7"/>
      <c r="Q580" s="8">
        <v>1895</v>
      </c>
      <c r="R580" s="7"/>
      <c r="S580" s="8">
        <v>4723</v>
      </c>
      <c r="T580" s="7"/>
      <c r="U580" s="8">
        <v>0</v>
      </c>
      <c r="V580" s="7"/>
      <c r="W580" s="33">
        <v>21183</v>
      </c>
      <c r="X580" s="7"/>
      <c r="Y580" s="30">
        <v>6</v>
      </c>
      <c r="Z580" s="7"/>
      <c r="AA580" s="30">
        <v>1.2</v>
      </c>
      <c r="AB580" s="7"/>
      <c r="AC580" s="30">
        <v>1.2</v>
      </c>
      <c r="AD580" s="7"/>
      <c r="AE580" s="30">
        <v>2.25</v>
      </c>
      <c r="AF580" s="7"/>
      <c r="AG580" s="30">
        <v>0</v>
      </c>
      <c r="AI580" s="32">
        <v>10.65</v>
      </c>
      <c r="AK580" s="7" t="str">
        <f t="shared" si="9"/>
        <v>No</v>
      </c>
    </row>
    <row r="581" spans="1:37">
      <c r="A581" s="7" t="s">
        <v>301</v>
      </c>
      <c r="B581" s="7" t="s">
        <v>302</v>
      </c>
      <c r="C581" s="7" t="s">
        <v>42</v>
      </c>
      <c r="D581" s="302">
        <v>5145</v>
      </c>
      <c r="E581" s="297">
        <v>50145</v>
      </c>
      <c r="F581" s="7" t="s">
        <v>162</v>
      </c>
      <c r="G581" s="7" t="s">
        <v>158</v>
      </c>
      <c r="H581" s="8">
        <v>62182</v>
      </c>
      <c r="I581" s="8">
        <v>30</v>
      </c>
      <c r="J581" s="7" t="s">
        <v>10</v>
      </c>
      <c r="K581" s="7" t="s">
        <v>159</v>
      </c>
      <c r="L581" s="8">
        <v>25</v>
      </c>
      <c r="M581" s="8">
        <v>7773</v>
      </c>
      <c r="N581" s="7"/>
      <c r="O581" s="8">
        <v>711</v>
      </c>
      <c r="P581" s="7"/>
      <c r="Q581" s="8">
        <v>0</v>
      </c>
      <c r="R581" s="7"/>
      <c r="S581" s="8">
        <v>728</v>
      </c>
      <c r="T581" s="7"/>
      <c r="U581" s="8">
        <v>0</v>
      </c>
      <c r="V581" s="7"/>
      <c r="W581" s="33">
        <v>9212</v>
      </c>
      <c r="X581" s="7"/>
      <c r="Y581" s="30">
        <v>2.8</v>
      </c>
      <c r="Z581" s="7"/>
      <c r="AA581" s="30">
        <v>0.36</v>
      </c>
      <c r="AB581" s="7"/>
      <c r="AC581" s="30">
        <v>0</v>
      </c>
      <c r="AD581" s="7"/>
      <c r="AE581" s="30">
        <v>0.7</v>
      </c>
      <c r="AF581" s="7"/>
      <c r="AG581" s="30">
        <v>0</v>
      </c>
      <c r="AI581" s="32">
        <v>3.86</v>
      </c>
      <c r="AK581" s="7" t="str">
        <f t="shared" si="9"/>
        <v>No</v>
      </c>
    </row>
    <row r="582" spans="1:37">
      <c r="A582" s="7" t="s">
        <v>440</v>
      </c>
      <c r="B582" s="7" t="s">
        <v>441</v>
      </c>
      <c r="C582" s="7" t="s">
        <v>93</v>
      </c>
      <c r="D582" s="302">
        <v>5004</v>
      </c>
      <c r="E582" s="297">
        <v>50004</v>
      </c>
      <c r="F582" s="7" t="s">
        <v>162</v>
      </c>
      <c r="G582" s="7" t="s">
        <v>158</v>
      </c>
      <c r="H582" s="8">
        <v>100868</v>
      </c>
      <c r="I582" s="8">
        <v>30</v>
      </c>
      <c r="J582" s="7" t="s">
        <v>7</v>
      </c>
      <c r="K582" s="7" t="s">
        <v>159</v>
      </c>
      <c r="L582" s="8">
        <v>16</v>
      </c>
      <c r="M582" s="8">
        <v>57865</v>
      </c>
      <c r="N582" s="7"/>
      <c r="O582" s="8">
        <v>11003</v>
      </c>
      <c r="P582" s="7"/>
      <c r="Q582" s="8">
        <v>450</v>
      </c>
      <c r="R582" s="7"/>
      <c r="S582" s="8">
        <v>6051</v>
      </c>
      <c r="T582" s="7"/>
      <c r="U582" s="8">
        <v>150</v>
      </c>
      <c r="V582" s="7"/>
      <c r="W582" s="33">
        <v>75519</v>
      </c>
      <c r="X582" s="7"/>
      <c r="Y582" s="30">
        <v>38</v>
      </c>
      <c r="Z582" s="7"/>
      <c r="AA582" s="30">
        <v>6.3</v>
      </c>
      <c r="AB582" s="7"/>
      <c r="AC582" s="30">
        <v>0.3</v>
      </c>
      <c r="AD582" s="7"/>
      <c r="AE582" s="30">
        <v>3.5</v>
      </c>
      <c r="AF582" s="7"/>
      <c r="AG582" s="30">
        <v>0.1</v>
      </c>
      <c r="AI582" s="32">
        <v>48.2</v>
      </c>
      <c r="AK582" s="7" t="str">
        <f t="shared" si="9"/>
        <v>No</v>
      </c>
    </row>
    <row r="583" spans="1:37">
      <c r="A583" s="7" t="s">
        <v>94</v>
      </c>
      <c r="B583" s="7" t="s">
        <v>539</v>
      </c>
      <c r="C583" s="7" t="s">
        <v>93</v>
      </c>
      <c r="D583" s="302">
        <v>5009</v>
      </c>
      <c r="E583" s="297">
        <v>50009</v>
      </c>
      <c r="F583" s="7" t="s">
        <v>162</v>
      </c>
      <c r="G583" s="7" t="s">
        <v>158</v>
      </c>
      <c r="H583" s="8">
        <v>74495</v>
      </c>
      <c r="I583" s="8">
        <v>30</v>
      </c>
      <c r="J583" s="7" t="s">
        <v>7</v>
      </c>
      <c r="K583" s="7" t="s">
        <v>159</v>
      </c>
      <c r="L583" s="8">
        <v>9</v>
      </c>
      <c r="M583" s="8">
        <v>36857</v>
      </c>
      <c r="N583" s="7"/>
      <c r="O583" s="8">
        <v>6644</v>
      </c>
      <c r="P583" s="7"/>
      <c r="Q583" s="8">
        <v>1852</v>
      </c>
      <c r="R583" s="7"/>
      <c r="S583" s="8">
        <v>8023</v>
      </c>
      <c r="T583" s="7"/>
      <c r="U583" s="8">
        <v>0</v>
      </c>
      <c r="V583" s="7"/>
      <c r="W583" s="33">
        <v>53376</v>
      </c>
      <c r="X583" s="7"/>
      <c r="Y583" s="30">
        <v>21</v>
      </c>
      <c r="Z583" s="7"/>
      <c r="AA583" s="30">
        <v>4</v>
      </c>
      <c r="AB583" s="7"/>
      <c r="AC583" s="30">
        <v>1</v>
      </c>
      <c r="AD583" s="7"/>
      <c r="AE583" s="30">
        <v>4</v>
      </c>
      <c r="AF583" s="7"/>
      <c r="AG583" s="30">
        <v>0</v>
      </c>
      <c r="AI583" s="32">
        <v>30</v>
      </c>
      <c r="AK583" s="7" t="str">
        <f t="shared" si="9"/>
        <v>No</v>
      </c>
    </row>
    <row r="584" spans="1:37">
      <c r="A584" s="7" t="s">
        <v>709</v>
      </c>
      <c r="B584" s="7" t="s">
        <v>710</v>
      </c>
      <c r="C584" s="7" t="s">
        <v>93</v>
      </c>
      <c r="D584" s="302">
        <v>5161</v>
      </c>
      <c r="E584" s="297">
        <v>50161</v>
      </c>
      <c r="F584" s="7" t="s">
        <v>162</v>
      </c>
      <c r="G584" s="7" t="s">
        <v>158</v>
      </c>
      <c r="H584" s="8">
        <v>1376476</v>
      </c>
      <c r="I584" s="8">
        <v>30</v>
      </c>
      <c r="J584" s="7" t="s">
        <v>18</v>
      </c>
      <c r="K584" s="7" t="s">
        <v>159</v>
      </c>
      <c r="L584" s="8">
        <v>7</v>
      </c>
      <c r="M584" s="8">
        <v>13767</v>
      </c>
      <c r="N584" s="7"/>
      <c r="O584" s="8">
        <v>2102</v>
      </c>
      <c r="P584" s="7"/>
      <c r="Q584" s="8">
        <v>238</v>
      </c>
      <c r="R584" s="7"/>
      <c r="S584" s="8">
        <v>932</v>
      </c>
      <c r="T584" s="7"/>
      <c r="U584" s="8">
        <v>0</v>
      </c>
      <c r="V584" s="7"/>
      <c r="W584" s="33">
        <v>17039</v>
      </c>
      <c r="X584" s="7"/>
      <c r="Y584" s="30">
        <v>5.6</v>
      </c>
      <c r="Z584" s="7"/>
      <c r="AA584" s="30">
        <v>1.1000000000000001</v>
      </c>
      <c r="AB584" s="7"/>
      <c r="AC584" s="30">
        <v>0.1</v>
      </c>
      <c r="AD584" s="7"/>
      <c r="AE584" s="30">
        <v>0.6</v>
      </c>
      <c r="AF584" s="7"/>
      <c r="AG584" s="30">
        <v>0</v>
      </c>
      <c r="AI584" s="32">
        <v>7.4</v>
      </c>
      <c r="AK584" s="7" t="str">
        <f t="shared" si="9"/>
        <v>No</v>
      </c>
    </row>
    <row r="585" spans="1:37">
      <c r="A585" s="7" t="s">
        <v>301</v>
      </c>
      <c r="B585" s="7" t="s">
        <v>302</v>
      </c>
      <c r="C585" s="7" t="s">
        <v>42</v>
      </c>
      <c r="D585" s="302">
        <v>5145</v>
      </c>
      <c r="E585" s="297">
        <v>50145</v>
      </c>
      <c r="F585" s="7" t="s">
        <v>162</v>
      </c>
      <c r="G585" s="7" t="s">
        <v>158</v>
      </c>
      <c r="H585" s="8">
        <v>62182</v>
      </c>
      <c r="I585" s="8">
        <v>30</v>
      </c>
      <c r="J585" s="7" t="s">
        <v>7</v>
      </c>
      <c r="K585" s="7" t="s">
        <v>159</v>
      </c>
      <c r="L585" s="8">
        <v>5</v>
      </c>
      <c r="M585" s="8">
        <v>4439</v>
      </c>
      <c r="N585" s="7"/>
      <c r="O585" s="8">
        <v>282</v>
      </c>
      <c r="P585" s="7"/>
      <c r="Q585" s="8">
        <v>0</v>
      </c>
      <c r="R585" s="7"/>
      <c r="S585" s="8">
        <v>2300</v>
      </c>
      <c r="T585" s="7"/>
      <c r="U585" s="8">
        <v>0</v>
      </c>
      <c r="V585" s="7"/>
      <c r="W585" s="33">
        <v>7021</v>
      </c>
      <c r="X585" s="7"/>
      <c r="Y585" s="30">
        <v>1.2</v>
      </c>
      <c r="Z585" s="7"/>
      <c r="AA585" s="30">
        <v>0.18</v>
      </c>
      <c r="AB585" s="7"/>
      <c r="AC585" s="30">
        <v>0</v>
      </c>
      <c r="AD585" s="7"/>
      <c r="AE585" s="30">
        <v>1.1499999999999999</v>
      </c>
      <c r="AF585" s="7"/>
      <c r="AG585" s="30">
        <v>0</v>
      </c>
      <c r="AI585" s="32">
        <v>2.5299999999999998</v>
      </c>
      <c r="AK585" s="7" t="str">
        <f t="shared" si="9"/>
        <v>No</v>
      </c>
    </row>
    <row r="586" spans="1:37">
      <c r="A586" s="7" t="s">
        <v>370</v>
      </c>
      <c r="B586" s="7" t="s">
        <v>371</v>
      </c>
      <c r="C586" s="7" t="s">
        <v>38</v>
      </c>
      <c r="D586" s="302">
        <v>7008</v>
      </c>
      <c r="E586" s="297">
        <v>70008</v>
      </c>
      <c r="F586" s="7" t="s">
        <v>162</v>
      </c>
      <c r="G586" s="7" t="s">
        <v>158</v>
      </c>
      <c r="H586" s="8">
        <v>177844</v>
      </c>
      <c r="I586" s="8">
        <v>29</v>
      </c>
      <c r="J586" s="7" t="s">
        <v>7</v>
      </c>
      <c r="K586" s="7" t="s">
        <v>159</v>
      </c>
      <c r="L586" s="8">
        <v>22</v>
      </c>
      <c r="M586" s="8">
        <v>91397</v>
      </c>
      <c r="N586" s="7"/>
      <c r="O586" s="8">
        <v>7188</v>
      </c>
      <c r="P586" s="7"/>
      <c r="Q586" s="8">
        <v>1687</v>
      </c>
      <c r="R586" s="7"/>
      <c r="S586" s="8">
        <v>5053</v>
      </c>
      <c r="T586" s="7"/>
      <c r="U586" s="8">
        <v>0</v>
      </c>
      <c r="V586" s="7"/>
      <c r="W586" s="33">
        <v>105325</v>
      </c>
      <c r="X586" s="7"/>
      <c r="Y586" s="30">
        <v>48</v>
      </c>
      <c r="Z586" s="7"/>
      <c r="AA586" s="30">
        <v>4</v>
      </c>
      <c r="AB586" s="7"/>
      <c r="AC586" s="30">
        <v>1</v>
      </c>
      <c r="AD586" s="7"/>
      <c r="AE586" s="30">
        <v>3</v>
      </c>
      <c r="AF586" s="7"/>
      <c r="AG586" s="30">
        <v>0</v>
      </c>
      <c r="AI586" s="32">
        <v>56</v>
      </c>
      <c r="AK586" s="7" t="str">
        <f t="shared" si="9"/>
        <v>No</v>
      </c>
    </row>
    <row r="587" spans="1:37">
      <c r="A587" s="7" t="s">
        <v>517</v>
      </c>
      <c r="B587" s="7" t="s">
        <v>479</v>
      </c>
      <c r="C587" s="7" t="s">
        <v>70</v>
      </c>
      <c r="D587" s="302">
        <v>2082</v>
      </c>
      <c r="E587" s="297">
        <v>20082</v>
      </c>
      <c r="F587" s="7" t="s">
        <v>162</v>
      </c>
      <c r="G587" s="7" t="s">
        <v>158</v>
      </c>
      <c r="H587" s="8">
        <v>18351295</v>
      </c>
      <c r="I587" s="8">
        <v>29</v>
      </c>
      <c r="J587" s="7" t="s">
        <v>19</v>
      </c>
      <c r="K587" s="7" t="s">
        <v>159</v>
      </c>
      <c r="L587" s="8">
        <v>4</v>
      </c>
      <c r="M587" s="8">
        <v>947088</v>
      </c>
      <c r="N587" s="7"/>
      <c r="O587" s="8">
        <v>208368</v>
      </c>
      <c r="P587" s="7"/>
      <c r="Q587" s="8">
        <v>208369</v>
      </c>
      <c r="R587" s="7"/>
      <c r="S587" s="8">
        <v>53566</v>
      </c>
      <c r="T587" s="7"/>
      <c r="U587" s="8">
        <v>30074</v>
      </c>
      <c r="V587" s="7"/>
      <c r="W587" s="33">
        <v>1447465</v>
      </c>
      <c r="X587" s="7"/>
      <c r="Y587" s="30">
        <v>423</v>
      </c>
      <c r="Z587" s="7"/>
      <c r="AA587" s="30">
        <v>89</v>
      </c>
      <c r="AB587" s="7"/>
      <c r="AC587" s="30">
        <v>61</v>
      </c>
      <c r="AD587" s="7"/>
      <c r="AE587" s="30">
        <v>28</v>
      </c>
      <c r="AF587" s="7"/>
      <c r="AG587" s="30">
        <v>14</v>
      </c>
      <c r="AI587" s="32">
        <v>615</v>
      </c>
      <c r="AK587" s="7" t="str">
        <f t="shared" si="9"/>
        <v>No</v>
      </c>
    </row>
    <row r="588" spans="1:37">
      <c r="A588" s="7" t="s">
        <v>160</v>
      </c>
      <c r="B588" s="7" t="s">
        <v>161</v>
      </c>
      <c r="C588" s="7" t="s">
        <v>17</v>
      </c>
      <c r="D588" s="302">
        <v>9119</v>
      </c>
      <c r="E588" s="297">
        <v>90119</v>
      </c>
      <c r="F588" s="7" t="s">
        <v>162</v>
      </c>
      <c r="G588" s="7" t="s">
        <v>158</v>
      </c>
      <c r="H588" s="8">
        <v>583681</v>
      </c>
      <c r="I588" s="8">
        <v>28</v>
      </c>
      <c r="J588" s="7" t="s">
        <v>7</v>
      </c>
      <c r="K588" s="7" t="s">
        <v>159</v>
      </c>
      <c r="L588" s="8">
        <v>28</v>
      </c>
      <c r="M588" s="8">
        <v>4392</v>
      </c>
      <c r="N588" s="7"/>
      <c r="O588" s="8">
        <v>9687</v>
      </c>
      <c r="P588" s="7"/>
      <c r="Q588" s="8">
        <v>0</v>
      </c>
      <c r="R588" s="7"/>
      <c r="S588" s="8">
        <v>1788</v>
      </c>
      <c r="T588" s="7"/>
      <c r="U588" s="8">
        <v>0</v>
      </c>
      <c r="V588" s="7"/>
      <c r="W588" s="33">
        <v>15867</v>
      </c>
      <c r="X588" s="7"/>
      <c r="Y588" s="30">
        <v>2</v>
      </c>
      <c r="Z588" s="7"/>
      <c r="AA588" s="30">
        <v>5</v>
      </c>
      <c r="AB588" s="7"/>
      <c r="AC588" s="30">
        <v>0</v>
      </c>
      <c r="AD588" s="7"/>
      <c r="AE588" s="30">
        <v>1</v>
      </c>
      <c r="AF588" s="7"/>
      <c r="AG588" s="30">
        <v>0</v>
      </c>
      <c r="AI588" s="32">
        <v>8</v>
      </c>
      <c r="AK588" s="7" t="str">
        <f t="shared" si="9"/>
        <v>No</v>
      </c>
    </row>
    <row r="589" spans="1:37">
      <c r="A589" s="7" t="s">
        <v>670</v>
      </c>
      <c r="B589" s="7" t="s">
        <v>422</v>
      </c>
      <c r="C589" s="7" t="s">
        <v>38</v>
      </c>
      <c r="D589" s="302">
        <v>7019</v>
      </c>
      <c r="E589" s="297">
        <v>70019</v>
      </c>
      <c r="F589" s="7" t="s">
        <v>114</v>
      </c>
      <c r="G589" s="7" t="s">
        <v>158</v>
      </c>
      <c r="H589" s="8">
        <v>106621</v>
      </c>
      <c r="I589" s="8">
        <v>28</v>
      </c>
      <c r="J589" s="7" t="s">
        <v>7</v>
      </c>
      <c r="K589" s="7" t="s">
        <v>159</v>
      </c>
      <c r="L589" s="8">
        <v>25</v>
      </c>
      <c r="M589" s="8">
        <v>1482</v>
      </c>
      <c r="N589" s="7"/>
      <c r="O589" s="8">
        <v>6801</v>
      </c>
      <c r="P589" s="7"/>
      <c r="Q589" s="8">
        <v>664</v>
      </c>
      <c r="R589" s="7"/>
      <c r="S589" s="8">
        <v>370</v>
      </c>
      <c r="T589" s="7"/>
      <c r="U589" s="8">
        <v>0</v>
      </c>
      <c r="V589" s="7"/>
      <c r="W589" s="33">
        <v>9317</v>
      </c>
      <c r="X589" s="7"/>
      <c r="Y589" s="30">
        <v>0.8</v>
      </c>
      <c r="Z589" s="7"/>
      <c r="AA589" s="30">
        <v>3.7</v>
      </c>
      <c r="AB589" s="7"/>
      <c r="AC589" s="30">
        <v>0.4</v>
      </c>
      <c r="AD589" s="7"/>
      <c r="AE589" s="30">
        <v>0.2</v>
      </c>
      <c r="AF589" s="7"/>
      <c r="AG589" s="30">
        <v>0</v>
      </c>
      <c r="AI589" s="32">
        <v>5.0999999999999996</v>
      </c>
      <c r="AK589" s="7" t="str">
        <f t="shared" si="9"/>
        <v>No</v>
      </c>
    </row>
    <row r="590" spans="1:37">
      <c r="A590" s="7" t="s">
        <v>324</v>
      </c>
      <c r="B590" s="7" t="s">
        <v>325</v>
      </c>
      <c r="C590" s="7" t="s">
        <v>6</v>
      </c>
      <c r="D590" s="302">
        <v>6072</v>
      </c>
      <c r="E590" s="297">
        <v>60072</v>
      </c>
      <c r="F590" s="7" t="s">
        <v>165</v>
      </c>
      <c r="G590" s="7" t="s">
        <v>158</v>
      </c>
      <c r="H590" s="8">
        <v>295083</v>
      </c>
      <c r="I590" s="8">
        <v>28</v>
      </c>
      <c r="J590" s="7" t="s">
        <v>7</v>
      </c>
      <c r="K590" s="7" t="s">
        <v>159</v>
      </c>
      <c r="L590" s="8">
        <v>16</v>
      </c>
      <c r="M590" s="8">
        <v>78119</v>
      </c>
      <c r="N590" s="7"/>
      <c r="O590" s="8">
        <v>10940</v>
      </c>
      <c r="P590" s="7"/>
      <c r="Q590" s="8">
        <v>3840</v>
      </c>
      <c r="R590" s="7"/>
      <c r="S590" s="8">
        <v>12166</v>
      </c>
      <c r="T590" s="7"/>
      <c r="U590" s="8">
        <v>0</v>
      </c>
      <c r="V590" s="7"/>
      <c r="W590" s="33">
        <v>105065</v>
      </c>
      <c r="X590" s="7"/>
      <c r="Y590" s="30">
        <v>41</v>
      </c>
      <c r="Z590" s="7"/>
      <c r="AA590" s="30">
        <v>6</v>
      </c>
      <c r="AB590" s="7"/>
      <c r="AC590" s="30">
        <v>2</v>
      </c>
      <c r="AD590" s="7"/>
      <c r="AE590" s="30">
        <v>6</v>
      </c>
      <c r="AF590" s="7"/>
      <c r="AG590" s="30">
        <v>0</v>
      </c>
      <c r="AI590" s="32">
        <v>55</v>
      </c>
      <c r="AK590" s="7" t="str">
        <f t="shared" si="9"/>
        <v>No</v>
      </c>
    </row>
    <row r="591" spans="1:37">
      <c r="A591" s="7" t="s">
        <v>324</v>
      </c>
      <c r="B591" s="7" t="s">
        <v>325</v>
      </c>
      <c r="C591" s="7" t="s">
        <v>6</v>
      </c>
      <c r="D591" s="302">
        <v>6072</v>
      </c>
      <c r="E591" s="297">
        <v>60072</v>
      </c>
      <c r="F591" s="7" t="s">
        <v>165</v>
      </c>
      <c r="G591" s="7" t="s">
        <v>158</v>
      </c>
      <c r="H591" s="8">
        <v>295083</v>
      </c>
      <c r="I591" s="8">
        <v>28</v>
      </c>
      <c r="J591" s="7" t="s">
        <v>10</v>
      </c>
      <c r="K591" s="7" t="s">
        <v>159</v>
      </c>
      <c r="L591" s="8">
        <v>12</v>
      </c>
      <c r="M591" s="8">
        <v>29059</v>
      </c>
      <c r="N591" s="7"/>
      <c r="O591" s="8">
        <v>4255</v>
      </c>
      <c r="P591" s="7"/>
      <c r="Q591" s="8">
        <v>1514</v>
      </c>
      <c r="R591" s="7"/>
      <c r="S591" s="8">
        <v>4054</v>
      </c>
      <c r="T591" s="7"/>
      <c r="U591" s="8">
        <v>0</v>
      </c>
      <c r="V591" s="7"/>
      <c r="W591" s="33">
        <v>38882</v>
      </c>
      <c r="X591" s="7"/>
      <c r="Y591" s="30">
        <v>15</v>
      </c>
      <c r="Z591" s="7"/>
      <c r="AA591" s="30">
        <v>2</v>
      </c>
      <c r="AB591" s="7"/>
      <c r="AC591" s="30">
        <v>1</v>
      </c>
      <c r="AD591" s="7"/>
      <c r="AE591" s="30">
        <v>2</v>
      </c>
      <c r="AF591" s="7"/>
      <c r="AG591" s="30">
        <v>0</v>
      </c>
      <c r="AI591" s="32">
        <v>20</v>
      </c>
      <c r="AK591" s="7" t="str">
        <f t="shared" si="9"/>
        <v>No</v>
      </c>
    </row>
    <row r="592" spans="1:37">
      <c r="A592" s="7" t="s">
        <v>643</v>
      </c>
      <c r="B592" s="7" t="s">
        <v>644</v>
      </c>
      <c r="C592" s="7" t="s">
        <v>84</v>
      </c>
      <c r="D592" s="302">
        <v>6082</v>
      </c>
      <c r="E592" s="297">
        <v>60082</v>
      </c>
      <c r="F592" s="7" t="s">
        <v>165</v>
      </c>
      <c r="G592" s="7" t="s">
        <v>158</v>
      </c>
      <c r="H592" s="8">
        <v>106383</v>
      </c>
      <c r="I592" s="8">
        <v>28</v>
      </c>
      <c r="J592" s="7" t="s">
        <v>7</v>
      </c>
      <c r="K592" s="7" t="s">
        <v>159</v>
      </c>
      <c r="L592" s="8">
        <v>12</v>
      </c>
      <c r="M592" s="8">
        <v>40100</v>
      </c>
      <c r="N592" s="7"/>
      <c r="O592" s="8">
        <v>1645</v>
      </c>
      <c r="P592" s="7"/>
      <c r="Q592" s="8">
        <v>0</v>
      </c>
      <c r="R592" s="7"/>
      <c r="S592" s="8">
        <v>5077</v>
      </c>
      <c r="T592" s="7"/>
      <c r="U592" s="8">
        <v>0</v>
      </c>
      <c r="V592" s="7"/>
      <c r="W592" s="33">
        <v>46822</v>
      </c>
      <c r="X592" s="7"/>
      <c r="Y592" s="30">
        <v>18</v>
      </c>
      <c r="Z592" s="7"/>
      <c r="AA592" s="30">
        <v>0.99</v>
      </c>
      <c r="AB592" s="7"/>
      <c r="AC592" s="30">
        <v>0</v>
      </c>
      <c r="AD592" s="7"/>
      <c r="AE592" s="30">
        <v>2.85</v>
      </c>
      <c r="AF592" s="7"/>
      <c r="AG592" s="30">
        <v>0</v>
      </c>
      <c r="AI592" s="32">
        <v>21.84</v>
      </c>
      <c r="AK592" s="7" t="str">
        <f t="shared" si="9"/>
        <v>No</v>
      </c>
    </row>
    <row r="593" spans="1:37">
      <c r="A593" s="7" t="s">
        <v>33</v>
      </c>
      <c r="B593" s="7" t="s">
        <v>707</v>
      </c>
      <c r="C593" s="7" t="s">
        <v>32</v>
      </c>
      <c r="D593" s="302">
        <v>4129</v>
      </c>
      <c r="E593" s="297">
        <v>40129</v>
      </c>
      <c r="F593" s="7" t="s">
        <v>162</v>
      </c>
      <c r="G593" s="7" t="s">
        <v>158</v>
      </c>
      <c r="H593" s="8">
        <v>169541</v>
      </c>
      <c r="I593" s="8">
        <v>28</v>
      </c>
      <c r="J593" s="7" t="s">
        <v>8</v>
      </c>
      <c r="K593" s="7" t="s">
        <v>159</v>
      </c>
      <c r="L593" s="8">
        <v>6</v>
      </c>
      <c r="M593" s="8">
        <v>0</v>
      </c>
      <c r="N593" s="7"/>
      <c r="O593" s="8">
        <v>0</v>
      </c>
      <c r="P593" s="7"/>
      <c r="Q593" s="8">
        <v>0</v>
      </c>
      <c r="R593" s="7"/>
      <c r="S593" s="8">
        <v>0</v>
      </c>
      <c r="T593" s="7"/>
      <c r="U593" s="8">
        <v>0</v>
      </c>
      <c r="V593" s="7"/>
      <c r="W593" s="33">
        <v>0</v>
      </c>
      <c r="X593" s="7"/>
      <c r="Y593" s="30">
        <v>0</v>
      </c>
      <c r="Z593" s="7"/>
      <c r="AA593" s="30">
        <v>0</v>
      </c>
      <c r="AB593" s="7"/>
      <c r="AC593" s="30">
        <v>0</v>
      </c>
      <c r="AD593" s="7"/>
      <c r="AE593" s="30">
        <v>0</v>
      </c>
      <c r="AF593" s="7"/>
      <c r="AG593" s="30">
        <v>0</v>
      </c>
      <c r="AI593" s="32">
        <v>0</v>
      </c>
      <c r="AK593" s="7" t="str">
        <f t="shared" si="9"/>
        <v>No</v>
      </c>
    </row>
    <row r="594" spans="1:37">
      <c r="A594" s="7" t="s">
        <v>643</v>
      </c>
      <c r="B594" s="7" t="s">
        <v>644</v>
      </c>
      <c r="C594" s="7" t="s">
        <v>84</v>
      </c>
      <c r="D594" s="302">
        <v>6082</v>
      </c>
      <c r="E594" s="297">
        <v>60082</v>
      </c>
      <c r="F594" s="7" t="s">
        <v>165</v>
      </c>
      <c r="G594" s="7" t="s">
        <v>158</v>
      </c>
      <c r="H594" s="8">
        <v>106383</v>
      </c>
      <c r="I594" s="8">
        <v>28</v>
      </c>
      <c r="J594" s="7" t="s">
        <v>10</v>
      </c>
      <c r="K594" s="7" t="s">
        <v>159</v>
      </c>
      <c r="L594" s="8">
        <v>4</v>
      </c>
      <c r="M594" s="8">
        <v>6081</v>
      </c>
      <c r="N594" s="7"/>
      <c r="O594" s="8">
        <v>680</v>
      </c>
      <c r="P594" s="7"/>
      <c r="Q594" s="8">
        <v>0</v>
      </c>
      <c r="R594" s="7"/>
      <c r="S594" s="8">
        <v>2051</v>
      </c>
      <c r="T594" s="7"/>
      <c r="U594" s="8">
        <v>0</v>
      </c>
      <c r="V594" s="7"/>
      <c r="W594" s="33">
        <v>8812</v>
      </c>
      <c r="X594" s="7"/>
      <c r="Y594" s="30">
        <v>2.7</v>
      </c>
      <c r="Z594" s="7"/>
      <c r="AA594" s="30">
        <v>0.41</v>
      </c>
      <c r="AB594" s="7"/>
      <c r="AC594" s="30">
        <v>0</v>
      </c>
      <c r="AD594" s="7"/>
      <c r="AE594" s="30">
        <v>1.1499999999999999</v>
      </c>
      <c r="AF594" s="7"/>
      <c r="AG594" s="30">
        <v>0</v>
      </c>
      <c r="AI594" s="32">
        <v>4.26</v>
      </c>
      <c r="AK594" s="7" t="str">
        <f t="shared" si="9"/>
        <v>No</v>
      </c>
    </row>
    <row r="595" spans="1:37">
      <c r="A595" s="7" t="s">
        <v>670</v>
      </c>
      <c r="B595" s="7" t="s">
        <v>422</v>
      </c>
      <c r="C595" s="7" t="s">
        <v>38</v>
      </c>
      <c r="D595" s="302">
        <v>7019</v>
      </c>
      <c r="E595" s="297">
        <v>70019</v>
      </c>
      <c r="F595" s="7" t="s">
        <v>114</v>
      </c>
      <c r="G595" s="7" t="s">
        <v>158</v>
      </c>
      <c r="H595" s="8">
        <v>106621</v>
      </c>
      <c r="I595" s="8">
        <v>28</v>
      </c>
      <c r="J595" s="7" t="s">
        <v>10</v>
      </c>
      <c r="K595" s="7" t="s">
        <v>159</v>
      </c>
      <c r="L595" s="8">
        <v>3</v>
      </c>
      <c r="M595" s="8">
        <v>296</v>
      </c>
      <c r="N595" s="7"/>
      <c r="O595" s="8">
        <v>1287</v>
      </c>
      <c r="P595" s="7"/>
      <c r="Q595" s="8">
        <v>70</v>
      </c>
      <c r="R595" s="7"/>
      <c r="S595" s="8">
        <v>78</v>
      </c>
      <c r="T595" s="7"/>
      <c r="U595" s="8">
        <v>0</v>
      </c>
      <c r="V595" s="7"/>
      <c r="W595" s="33">
        <v>1731</v>
      </c>
      <c r="X595" s="7"/>
      <c r="Y595" s="30">
        <v>0.15</v>
      </c>
      <c r="Z595" s="7"/>
      <c r="AA595" s="30">
        <v>0.66</v>
      </c>
      <c r="AB595" s="7"/>
      <c r="AC595" s="30">
        <v>0.04</v>
      </c>
      <c r="AD595" s="7"/>
      <c r="AE595" s="30">
        <v>0.05</v>
      </c>
      <c r="AF595" s="7"/>
      <c r="AG595" s="30">
        <v>0</v>
      </c>
      <c r="AI595" s="32">
        <v>0.9</v>
      </c>
      <c r="AK595" s="7" t="str">
        <f t="shared" si="9"/>
        <v>No</v>
      </c>
    </row>
    <row r="596" spans="1:37">
      <c r="A596" s="7" t="s">
        <v>600</v>
      </c>
      <c r="B596" s="7" t="s">
        <v>601</v>
      </c>
      <c r="C596" s="7" t="s">
        <v>77</v>
      </c>
      <c r="D596" s="302">
        <v>3055</v>
      </c>
      <c r="E596" s="297">
        <v>30055</v>
      </c>
      <c r="F596" s="7" t="s">
        <v>162</v>
      </c>
      <c r="G596" s="7" t="s">
        <v>158</v>
      </c>
      <c r="H596" s="8">
        <v>387550</v>
      </c>
      <c r="I596" s="8">
        <v>27</v>
      </c>
      <c r="J596" s="7" t="s">
        <v>10</v>
      </c>
      <c r="K596" s="7" t="s">
        <v>159</v>
      </c>
      <c r="L596" s="8">
        <v>22</v>
      </c>
      <c r="M596" s="8">
        <v>13641</v>
      </c>
      <c r="N596" s="7"/>
      <c r="O596" s="8">
        <v>2239</v>
      </c>
      <c r="P596" s="7"/>
      <c r="Q596" s="8">
        <v>527</v>
      </c>
      <c r="R596" s="7"/>
      <c r="S596" s="8">
        <v>4452</v>
      </c>
      <c r="T596" s="7"/>
      <c r="U596" s="8">
        <v>0</v>
      </c>
      <c r="V596" s="7"/>
      <c r="W596" s="33">
        <v>20859</v>
      </c>
      <c r="X596" s="7"/>
      <c r="Y596" s="30">
        <v>8</v>
      </c>
      <c r="Z596" s="7"/>
      <c r="AA596" s="30">
        <v>1.25</v>
      </c>
      <c r="AB596" s="7"/>
      <c r="AC596" s="30">
        <v>0.25</v>
      </c>
      <c r="AD596" s="7"/>
      <c r="AE596" s="30">
        <v>2.5</v>
      </c>
      <c r="AF596" s="7"/>
      <c r="AG596" s="30">
        <v>0</v>
      </c>
      <c r="AI596" s="32">
        <v>12</v>
      </c>
      <c r="AK596" s="7" t="str">
        <f t="shared" si="9"/>
        <v>No</v>
      </c>
    </row>
    <row r="597" spans="1:37">
      <c r="A597" s="7" t="s">
        <v>510</v>
      </c>
      <c r="B597" s="7" t="s">
        <v>511</v>
      </c>
      <c r="C597" s="7" t="s">
        <v>9</v>
      </c>
      <c r="D597" s="302">
        <v>4044</v>
      </c>
      <c r="E597" s="297">
        <v>40044</v>
      </c>
      <c r="F597" s="7" t="s">
        <v>162</v>
      </c>
      <c r="G597" s="7" t="s">
        <v>158</v>
      </c>
      <c r="H597" s="8">
        <v>263907</v>
      </c>
      <c r="I597" s="8">
        <v>27</v>
      </c>
      <c r="J597" s="7" t="s">
        <v>7</v>
      </c>
      <c r="K597" s="7" t="s">
        <v>159</v>
      </c>
      <c r="L597" s="8">
        <v>19</v>
      </c>
      <c r="M597" s="8">
        <v>99908</v>
      </c>
      <c r="N597" s="7"/>
      <c r="O597" s="8">
        <v>16670</v>
      </c>
      <c r="P597" s="7"/>
      <c r="Q597" s="8">
        <v>3303</v>
      </c>
      <c r="R597" s="7"/>
      <c r="S597" s="8">
        <v>10697</v>
      </c>
      <c r="T597" s="7"/>
      <c r="U597" s="8">
        <v>0</v>
      </c>
      <c r="V597" s="7"/>
      <c r="W597" s="33">
        <v>130578</v>
      </c>
      <c r="X597" s="7"/>
      <c r="Y597" s="30">
        <v>57</v>
      </c>
      <c r="Z597" s="7"/>
      <c r="AA597" s="30">
        <v>9</v>
      </c>
      <c r="AB597" s="7"/>
      <c r="AC597" s="30">
        <v>1.75</v>
      </c>
      <c r="AD597" s="7"/>
      <c r="AE597" s="30">
        <v>6</v>
      </c>
      <c r="AF597" s="7"/>
      <c r="AG597" s="30">
        <v>0</v>
      </c>
      <c r="AI597" s="32">
        <v>73.75</v>
      </c>
      <c r="AK597" s="7" t="str">
        <f t="shared" si="9"/>
        <v>No</v>
      </c>
    </row>
    <row r="598" spans="1:37">
      <c r="A598" s="7" t="s">
        <v>408</v>
      </c>
      <c r="B598" s="7" t="s">
        <v>409</v>
      </c>
      <c r="C598" s="7" t="s">
        <v>84</v>
      </c>
      <c r="D598" s="302">
        <v>6041</v>
      </c>
      <c r="E598" s="297">
        <v>60041</v>
      </c>
      <c r="F598" s="7" t="s">
        <v>162</v>
      </c>
      <c r="G598" s="7" t="s">
        <v>158</v>
      </c>
      <c r="H598" s="8">
        <v>5121892</v>
      </c>
      <c r="I598" s="8">
        <v>27</v>
      </c>
      <c r="J598" s="7" t="s">
        <v>10</v>
      </c>
      <c r="K598" s="7" t="s">
        <v>159</v>
      </c>
      <c r="L598" s="8">
        <v>16</v>
      </c>
      <c r="M598" s="8">
        <v>52622</v>
      </c>
      <c r="N598" s="7"/>
      <c r="O598" s="8">
        <v>0</v>
      </c>
      <c r="P598" s="7"/>
      <c r="Q598" s="8">
        <v>0</v>
      </c>
      <c r="R598" s="7"/>
      <c r="S598" s="8">
        <v>4290</v>
      </c>
      <c r="T598" s="7"/>
      <c r="U598" s="8">
        <v>0</v>
      </c>
      <c r="V598" s="7"/>
      <c r="W598" s="33">
        <v>56912</v>
      </c>
      <c r="X598" s="7"/>
      <c r="Y598" s="30">
        <v>30</v>
      </c>
      <c r="Z598" s="7"/>
      <c r="AA598" s="30">
        <v>0</v>
      </c>
      <c r="AB598" s="7"/>
      <c r="AC598" s="30">
        <v>0</v>
      </c>
      <c r="AD598" s="7"/>
      <c r="AE598" s="30">
        <v>2</v>
      </c>
      <c r="AF598" s="7"/>
      <c r="AG598" s="30">
        <v>0</v>
      </c>
      <c r="AI598" s="32">
        <v>32</v>
      </c>
      <c r="AK598" s="7" t="str">
        <f t="shared" si="9"/>
        <v>No</v>
      </c>
    </row>
    <row r="599" spans="1:37">
      <c r="A599" s="7" t="s">
        <v>510</v>
      </c>
      <c r="B599" s="7" t="s">
        <v>511</v>
      </c>
      <c r="C599" s="7" t="s">
        <v>9</v>
      </c>
      <c r="D599" s="302">
        <v>4044</v>
      </c>
      <c r="E599" s="297">
        <v>40044</v>
      </c>
      <c r="F599" s="7" t="s">
        <v>162</v>
      </c>
      <c r="G599" s="7" t="s">
        <v>158</v>
      </c>
      <c r="H599" s="8">
        <v>263907</v>
      </c>
      <c r="I599" s="8">
        <v>27</v>
      </c>
      <c r="J599" s="7" t="s">
        <v>10</v>
      </c>
      <c r="K599" s="7" t="s">
        <v>159</v>
      </c>
      <c r="L599" s="8">
        <v>8</v>
      </c>
      <c r="M599" s="8">
        <v>21230</v>
      </c>
      <c r="N599" s="7"/>
      <c r="O599" s="8">
        <v>5088</v>
      </c>
      <c r="P599" s="7"/>
      <c r="Q599" s="8">
        <v>460</v>
      </c>
      <c r="R599" s="7"/>
      <c r="S599" s="8">
        <v>4252</v>
      </c>
      <c r="T599" s="7"/>
      <c r="U599" s="8">
        <v>0</v>
      </c>
      <c r="V599" s="7"/>
      <c r="W599" s="33">
        <v>31030</v>
      </c>
      <c r="X599" s="7"/>
      <c r="Y599" s="30">
        <v>12</v>
      </c>
      <c r="Z599" s="7"/>
      <c r="AA599" s="30">
        <v>2.8</v>
      </c>
      <c r="AB599" s="7"/>
      <c r="AC599" s="30">
        <v>0.25</v>
      </c>
      <c r="AD599" s="7"/>
      <c r="AE599" s="30">
        <v>2.5</v>
      </c>
      <c r="AF599" s="7"/>
      <c r="AG599" s="30">
        <v>0</v>
      </c>
      <c r="AI599" s="32">
        <v>17.55</v>
      </c>
      <c r="AK599" s="7" t="str">
        <f t="shared" si="9"/>
        <v>No</v>
      </c>
    </row>
    <row r="600" spans="1:37">
      <c r="A600" s="7" t="s">
        <v>600</v>
      </c>
      <c r="B600" s="7" t="s">
        <v>601</v>
      </c>
      <c r="C600" s="7" t="s">
        <v>77</v>
      </c>
      <c r="D600" s="302">
        <v>3055</v>
      </c>
      <c r="E600" s="297">
        <v>30055</v>
      </c>
      <c r="F600" s="7" t="s">
        <v>162</v>
      </c>
      <c r="G600" s="7" t="s">
        <v>158</v>
      </c>
      <c r="H600" s="8">
        <v>387550</v>
      </c>
      <c r="I600" s="8">
        <v>27</v>
      </c>
      <c r="J600" s="7" t="s">
        <v>7</v>
      </c>
      <c r="K600" s="7" t="s">
        <v>159</v>
      </c>
      <c r="L600" s="8">
        <v>5</v>
      </c>
      <c r="M600" s="8">
        <v>7748</v>
      </c>
      <c r="N600" s="7"/>
      <c r="O600" s="8">
        <v>5169</v>
      </c>
      <c r="P600" s="7"/>
      <c r="Q600" s="8">
        <v>527</v>
      </c>
      <c r="R600" s="7"/>
      <c r="S600" s="8">
        <v>2644</v>
      </c>
      <c r="T600" s="7"/>
      <c r="U600" s="8">
        <v>0</v>
      </c>
      <c r="V600" s="7"/>
      <c r="W600" s="33">
        <v>16088</v>
      </c>
      <c r="X600" s="7"/>
      <c r="Y600" s="30">
        <v>4</v>
      </c>
      <c r="Z600" s="7"/>
      <c r="AA600" s="30">
        <v>2.75</v>
      </c>
      <c r="AB600" s="7"/>
      <c r="AC600" s="30">
        <v>0.25</v>
      </c>
      <c r="AD600" s="7"/>
      <c r="AE600" s="30">
        <v>1.5</v>
      </c>
      <c r="AF600" s="7"/>
      <c r="AG600" s="30">
        <v>0</v>
      </c>
      <c r="AI600" s="32">
        <v>8.5</v>
      </c>
      <c r="AK600" s="7" t="str">
        <f t="shared" si="9"/>
        <v>No</v>
      </c>
    </row>
    <row r="601" spans="1:37">
      <c r="A601" s="7" t="s">
        <v>398</v>
      </c>
      <c r="B601" s="7" t="s">
        <v>254</v>
      </c>
      <c r="C601" s="7" t="s">
        <v>51</v>
      </c>
      <c r="D601" s="302">
        <v>1016</v>
      </c>
      <c r="E601" s="297">
        <v>10016</v>
      </c>
      <c r="F601" s="7" t="s">
        <v>165</v>
      </c>
      <c r="G601" s="7" t="s">
        <v>158</v>
      </c>
      <c r="H601" s="8">
        <v>203914</v>
      </c>
      <c r="I601" s="8">
        <v>26</v>
      </c>
      <c r="J601" s="7" t="s">
        <v>7</v>
      </c>
      <c r="K601" s="7" t="s">
        <v>159</v>
      </c>
      <c r="L601" s="8">
        <v>26</v>
      </c>
      <c r="M601" s="8">
        <v>118777</v>
      </c>
      <c r="N601" s="7"/>
      <c r="O601" s="8">
        <v>20118</v>
      </c>
      <c r="P601" s="7"/>
      <c r="Q601" s="8">
        <v>4120</v>
      </c>
      <c r="R601" s="7"/>
      <c r="S601" s="8">
        <v>17988</v>
      </c>
      <c r="T601" s="7"/>
      <c r="U601" s="8">
        <v>0</v>
      </c>
      <c r="V601" s="7"/>
      <c r="W601" s="33">
        <v>161003</v>
      </c>
      <c r="X601" s="7"/>
      <c r="Y601" s="30">
        <v>56</v>
      </c>
      <c r="Z601" s="7"/>
      <c r="AA601" s="30">
        <v>9.85</v>
      </c>
      <c r="AB601" s="7"/>
      <c r="AC601" s="30">
        <v>2.15</v>
      </c>
      <c r="AD601" s="7"/>
      <c r="AE601" s="30">
        <v>9</v>
      </c>
      <c r="AF601" s="7"/>
      <c r="AG601" s="30">
        <v>0</v>
      </c>
      <c r="AI601" s="32">
        <v>77</v>
      </c>
      <c r="AK601" s="7" t="str">
        <f t="shared" si="9"/>
        <v>No</v>
      </c>
    </row>
    <row r="602" spans="1:37">
      <c r="A602" s="7" t="s">
        <v>181</v>
      </c>
      <c r="B602" s="7" t="s">
        <v>182</v>
      </c>
      <c r="C602" s="7" t="s">
        <v>70</v>
      </c>
      <c r="D602" s="302">
        <v>2177</v>
      </c>
      <c r="E602" s="297">
        <v>20177</v>
      </c>
      <c r="F602" s="7" t="s">
        <v>173</v>
      </c>
      <c r="G602" s="7" t="s">
        <v>158</v>
      </c>
      <c r="H602" s="8">
        <v>18351295</v>
      </c>
      <c r="I602" s="8">
        <v>26</v>
      </c>
      <c r="J602" s="7" t="s">
        <v>18</v>
      </c>
      <c r="K602" s="7" t="s">
        <v>159</v>
      </c>
      <c r="L602" s="8">
        <v>26</v>
      </c>
      <c r="M602" s="8">
        <v>143993</v>
      </c>
      <c r="N602" s="7"/>
      <c r="O602" s="8">
        <v>73320</v>
      </c>
      <c r="P602" s="7"/>
      <c r="Q602" s="8">
        <v>0</v>
      </c>
      <c r="R602" s="7"/>
      <c r="S602" s="8">
        <v>37133</v>
      </c>
      <c r="T602" s="7"/>
      <c r="U602" s="8">
        <v>0</v>
      </c>
      <c r="V602" s="7"/>
      <c r="W602" s="33">
        <v>254446</v>
      </c>
      <c r="X602" s="7"/>
      <c r="Y602" s="30">
        <v>63</v>
      </c>
      <c r="Z602" s="7"/>
      <c r="AA602" s="30">
        <v>39</v>
      </c>
      <c r="AB602" s="7"/>
      <c r="AC602" s="30">
        <v>0</v>
      </c>
      <c r="AD602" s="7"/>
      <c r="AE602" s="30">
        <v>18</v>
      </c>
      <c r="AF602" s="7"/>
      <c r="AG602" s="30">
        <v>0</v>
      </c>
      <c r="AI602" s="32">
        <v>120</v>
      </c>
      <c r="AK602" s="7" t="str">
        <f t="shared" si="9"/>
        <v>No</v>
      </c>
    </row>
    <row r="603" spans="1:37">
      <c r="A603" s="7" t="s">
        <v>691</v>
      </c>
      <c r="B603" s="7" t="s">
        <v>692</v>
      </c>
      <c r="C603" s="7" t="s">
        <v>77</v>
      </c>
      <c r="D603" s="302">
        <v>3026</v>
      </c>
      <c r="E603" s="297">
        <v>30026</v>
      </c>
      <c r="F603" s="7" t="s">
        <v>162</v>
      </c>
      <c r="G603" s="7" t="s">
        <v>158</v>
      </c>
      <c r="H603" s="8">
        <v>56142</v>
      </c>
      <c r="I603" s="8">
        <v>26</v>
      </c>
      <c r="J603" s="7" t="s">
        <v>7</v>
      </c>
      <c r="K603" s="7" t="s">
        <v>159</v>
      </c>
      <c r="L603" s="8">
        <v>23</v>
      </c>
      <c r="M603" s="8">
        <v>77775</v>
      </c>
      <c r="N603" s="7"/>
      <c r="O603" s="8">
        <v>17274</v>
      </c>
      <c r="P603" s="7"/>
      <c r="Q603" s="8">
        <v>1990</v>
      </c>
      <c r="R603" s="7"/>
      <c r="S603" s="8">
        <v>7592</v>
      </c>
      <c r="T603" s="7"/>
      <c r="U603" s="8">
        <v>473</v>
      </c>
      <c r="V603" s="7"/>
      <c r="W603" s="33">
        <v>105104</v>
      </c>
      <c r="X603" s="7"/>
      <c r="Y603" s="30">
        <v>40</v>
      </c>
      <c r="Z603" s="7"/>
      <c r="AA603" s="30">
        <v>8</v>
      </c>
      <c r="AB603" s="7"/>
      <c r="AC603" s="30">
        <v>1</v>
      </c>
      <c r="AD603" s="7"/>
      <c r="AE603" s="30">
        <v>3.75</v>
      </c>
      <c r="AF603" s="7"/>
      <c r="AG603" s="30">
        <v>0.25</v>
      </c>
      <c r="AI603" s="32">
        <v>53</v>
      </c>
      <c r="AK603" s="7" t="str">
        <f t="shared" si="9"/>
        <v>No</v>
      </c>
    </row>
    <row r="604" spans="1:37">
      <c r="A604" s="7" t="s">
        <v>604</v>
      </c>
      <c r="B604" s="7" t="s">
        <v>605</v>
      </c>
      <c r="C604" s="7" t="s">
        <v>38</v>
      </c>
      <c r="D604" s="302">
        <v>7012</v>
      </c>
      <c r="E604" s="297">
        <v>70012</v>
      </c>
      <c r="F604" s="7" t="s">
        <v>162</v>
      </c>
      <c r="G604" s="7" t="s">
        <v>158</v>
      </c>
      <c r="H604" s="8">
        <v>106494</v>
      </c>
      <c r="I604" s="8">
        <v>26</v>
      </c>
      <c r="J604" s="7" t="s">
        <v>7</v>
      </c>
      <c r="K604" s="7" t="s">
        <v>159</v>
      </c>
      <c r="L604" s="8">
        <v>21</v>
      </c>
      <c r="M604" s="8">
        <v>22978</v>
      </c>
      <c r="N604" s="7"/>
      <c r="O604" s="8">
        <v>5000</v>
      </c>
      <c r="P604" s="7"/>
      <c r="Q604" s="8">
        <v>0</v>
      </c>
      <c r="R604" s="7"/>
      <c r="S604" s="8">
        <v>6001</v>
      </c>
      <c r="T604" s="7"/>
      <c r="U604" s="8">
        <v>0</v>
      </c>
      <c r="V604" s="7"/>
      <c r="W604" s="33">
        <v>33979</v>
      </c>
      <c r="X604" s="7"/>
      <c r="Y604" s="30">
        <v>13</v>
      </c>
      <c r="Z604" s="7"/>
      <c r="AA604" s="30">
        <v>2.6</v>
      </c>
      <c r="AB604" s="7"/>
      <c r="AC604" s="30">
        <v>0</v>
      </c>
      <c r="AD604" s="7"/>
      <c r="AE604" s="30">
        <v>3.3</v>
      </c>
      <c r="AF604" s="7"/>
      <c r="AG604" s="30">
        <v>0</v>
      </c>
      <c r="AI604" s="32">
        <v>18.899999999999999</v>
      </c>
      <c r="AK604" s="7" t="str">
        <f t="shared" si="9"/>
        <v>No</v>
      </c>
    </row>
    <row r="605" spans="1:37">
      <c r="A605" s="7" t="s">
        <v>691</v>
      </c>
      <c r="B605" s="7" t="s">
        <v>692</v>
      </c>
      <c r="C605" s="7" t="s">
        <v>77</v>
      </c>
      <c r="D605" s="302">
        <v>3026</v>
      </c>
      <c r="E605" s="297">
        <v>30026</v>
      </c>
      <c r="F605" s="7" t="s">
        <v>162</v>
      </c>
      <c r="G605" s="7" t="s">
        <v>158</v>
      </c>
      <c r="H605" s="8">
        <v>56142</v>
      </c>
      <c r="I605" s="8">
        <v>26</v>
      </c>
      <c r="J605" s="7" t="s">
        <v>10</v>
      </c>
      <c r="K605" s="7" t="s">
        <v>159</v>
      </c>
      <c r="L605" s="8">
        <v>1</v>
      </c>
      <c r="M605" s="8">
        <v>9</v>
      </c>
      <c r="N605" s="7"/>
      <c r="O605" s="8">
        <v>0</v>
      </c>
      <c r="P605" s="7"/>
      <c r="Q605" s="8">
        <v>0</v>
      </c>
      <c r="R605" s="7"/>
      <c r="S605" s="8">
        <v>0</v>
      </c>
      <c r="T605" s="7"/>
      <c r="U605" s="8">
        <v>0</v>
      </c>
      <c r="V605" s="7"/>
      <c r="W605" s="33">
        <v>9</v>
      </c>
      <c r="X605" s="7"/>
      <c r="Y605" s="30">
        <v>0.01</v>
      </c>
      <c r="Z605" s="7"/>
      <c r="AA605" s="30">
        <v>0</v>
      </c>
      <c r="AB605" s="7"/>
      <c r="AC605" s="30">
        <v>0</v>
      </c>
      <c r="AD605" s="7"/>
      <c r="AE605" s="30">
        <v>0</v>
      </c>
      <c r="AF605" s="7"/>
      <c r="AG605" s="30">
        <v>0</v>
      </c>
      <c r="AI605" s="32">
        <v>0.01</v>
      </c>
      <c r="AK605" s="7" t="str">
        <f t="shared" si="9"/>
        <v>No</v>
      </c>
    </row>
    <row r="606" spans="1:37">
      <c r="A606" s="7" t="s">
        <v>307</v>
      </c>
      <c r="B606" s="7" t="s">
        <v>308</v>
      </c>
      <c r="C606" s="7" t="s">
        <v>17</v>
      </c>
      <c r="D606" s="302">
        <v>9086</v>
      </c>
      <c r="E606" s="297">
        <v>90086</v>
      </c>
      <c r="F606" s="7" t="s">
        <v>162</v>
      </c>
      <c r="G606" s="7" t="s">
        <v>158</v>
      </c>
      <c r="H606" s="8">
        <v>1932666</v>
      </c>
      <c r="I606" s="8">
        <v>25</v>
      </c>
      <c r="J606" s="7" t="s">
        <v>10</v>
      </c>
      <c r="K606" s="7" t="s">
        <v>159</v>
      </c>
      <c r="L606" s="8">
        <v>25</v>
      </c>
      <c r="M606" s="8">
        <v>56534</v>
      </c>
      <c r="N606" s="7"/>
      <c r="O606" s="8">
        <v>0</v>
      </c>
      <c r="P606" s="7"/>
      <c r="Q606" s="8">
        <v>0</v>
      </c>
      <c r="R606" s="7"/>
      <c r="S606" s="8">
        <v>7262</v>
      </c>
      <c r="T606" s="7"/>
      <c r="U606" s="8">
        <v>0</v>
      </c>
      <c r="V606" s="7"/>
      <c r="W606" s="33">
        <v>63796</v>
      </c>
      <c r="X606" s="7"/>
      <c r="Y606" s="30">
        <v>35</v>
      </c>
      <c r="Z606" s="7"/>
      <c r="AA606" s="30">
        <v>0</v>
      </c>
      <c r="AB606" s="7"/>
      <c r="AC606" s="30">
        <v>0</v>
      </c>
      <c r="AD606" s="7"/>
      <c r="AE606" s="30">
        <v>4</v>
      </c>
      <c r="AF606" s="7"/>
      <c r="AG606" s="30">
        <v>0</v>
      </c>
      <c r="AI606" s="32">
        <v>39</v>
      </c>
      <c r="AK606" s="7" t="str">
        <f t="shared" si="9"/>
        <v>No</v>
      </c>
    </row>
    <row r="607" spans="1:37">
      <c r="A607" s="7" t="s">
        <v>745</v>
      </c>
      <c r="B607" s="7" t="s">
        <v>746</v>
      </c>
      <c r="C607" s="7" t="s">
        <v>62</v>
      </c>
      <c r="D607" s="302">
        <v>1119</v>
      </c>
      <c r="E607" s="297">
        <v>10119</v>
      </c>
      <c r="F607" s="7" t="s">
        <v>114</v>
      </c>
      <c r="G607" s="7" t="s">
        <v>158</v>
      </c>
      <c r="H607" s="8">
        <v>88087</v>
      </c>
      <c r="I607" s="8">
        <v>25</v>
      </c>
      <c r="J607" s="7" t="s">
        <v>7</v>
      </c>
      <c r="K607" s="7" t="s">
        <v>159</v>
      </c>
      <c r="L607" s="8">
        <v>25</v>
      </c>
      <c r="M607" s="8">
        <v>11276</v>
      </c>
      <c r="N607" s="7"/>
      <c r="O607" s="8">
        <v>8734</v>
      </c>
      <c r="P607" s="7"/>
      <c r="Q607" s="8">
        <v>0</v>
      </c>
      <c r="R607" s="7"/>
      <c r="S607" s="8">
        <v>16702</v>
      </c>
      <c r="T607" s="7"/>
      <c r="U607" s="8">
        <v>0</v>
      </c>
      <c r="V607" s="7"/>
      <c r="W607" s="33">
        <v>36712</v>
      </c>
      <c r="X607" s="7"/>
      <c r="Y607" s="30">
        <v>6</v>
      </c>
      <c r="Z607" s="7"/>
      <c r="AA607" s="30">
        <v>5</v>
      </c>
      <c r="AB607" s="7"/>
      <c r="AC607" s="30">
        <v>0</v>
      </c>
      <c r="AD607" s="7"/>
      <c r="AE607" s="30">
        <v>10</v>
      </c>
      <c r="AF607" s="7"/>
      <c r="AG607" s="30">
        <v>0</v>
      </c>
      <c r="AI607" s="32">
        <v>21</v>
      </c>
      <c r="AK607" s="7" t="str">
        <f t="shared" si="9"/>
        <v>No</v>
      </c>
    </row>
    <row r="608" spans="1:37">
      <c r="A608" s="7" t="s">
        <v>205</v>
      </c>
      <c r="B608" s="7" t="s">
        <v>206</v>
      </c>
      <c r="C608" s="7" t="s">
        <v>36</v>
      </c>
      <c r="D608" s="302">
        <v>4047</v>
      </c>
      <c r="E608" s="297">
        <v>40047</v>
      </c>
      <c r="F608" s="7" t="s">
        <v>162</v>
      </c>
      <c r="G608" s="7" t="s">
        <v>158</v>
      </c>
      <c r="H608" s="8">
        <v>128754</v>
      </c>
      <c r="I608" s="8">
        <v>25</v>
      </c>
      <c r="J608" s="7" t="s">
        <v>7</v>
      </c>
      <c r="K608" s="7" t="s">
        <v>159</v>
      </c>
      <c r="L608" s="8">
        <v>22</v>
      </c>
      <c r="M608" s="8">
        <v>71352</v>
      </c>
      <c r="N608" s="7"/>
      <c r="O608" s="8">
        <v>16304</v>
      </c>
      <c r="P608" s="7"/>
      <c r="Q608" s="8">
        <v>5597</v>
      </c>
      <c r="R608" s="7"/>
      <c r="S608" s="8">
        <v>4999</v>
      </c>
      <c r="T608" s="7"/>
      <c r="U608" s="8">
        <v>0</v>
      </c>
      <c r="V608" s="7"/>
      <c r="W608" s="33">
        <v>98252</v>
      </c>
      <c r="X608" s="7"/>
      <c r="Y608" s="30">
        <v>38.1</v>
      </c>
      <c r="Z608" s="7"/>
      <c r="AA608" s="30">
        <v>8.1</v>
      </c>
      <c r="AB608" s="7"/>
      <c r="AC608" s="30">
        <v>3.6</v>
      </c>
      <c r="AD608" s="7"/>
      <c r="AE608" s="30">
        <v>2.7</v>
      </c>
      <c r="AF608" s="7"/>
      <c r="AG608" s="30">
        <v>0</v>
      </c>
      <c r="AI608" s="32">
        <v>52.5</v>
      </c>
      <c r="AK608" s="7" t="str">
        <f t="shared" si="9"/>
        <v>No</v>
      </c>
    </row>
    <row r="609" spans="1:37">
      <c r="A609" s="7" t="s">
        <v>678</v>
      </c>
      <c r="B609" s="7" t="s">
        <v>679</v>
      </c>
      <c r="C609" s="7" t="s">
        <v>84</v>
      </c>
      <c r="D609" s="302">
        <v>6012</v>
      </c>
      <c r="E609" s="297">
        <v>60012</v>
      </c>
      <c r="F609" s="7" t="s">
        <v>162</v>
      </c>
      <c r="G609" s="7" t="s">
        <v>158</v>
      </c>
      <c r="H609" s="8">
        <v>172378</v>
      </c>
      <c r="I609" s="8">
        <v>25</v>
      </c>
      <c r="J609" s="7" t="s">
        <v>7</v>
      </c>
      <c r="K609" s="7" t="s">
        <v>159</v>
      </c>
      <c r="L609" s="8">
        <v>16</v>
      </c>
      <c r="M609" s="8">
        <v>81428</v>
      </c>
      <c r="N609" s="7"/>
      <c r="O609" s="8">
        <v>14522</v>
      </c>
      <c r="P609" s="7"/>
      <c r="Q609" s="8">
        <v>8043</v>
      </c>
      <c r="R609" s="7"/>
      <c r="S609" s="8">
        <v>14170</v>
      </c>
      <c r="T609" s="7"/>
      <c r="U609" s="8">
        <v>0</v>
      </c>
      <c r="V609" s="7"/>
      <c r="W609" s="33">
        <v>118163</v>
      </c>
      <c r="X609" s="7"/>
      <c r="Y609" s="30">
        <v>44.8</v>
      </c>
      <c r="Z609" s="7"/>
      <c r="AA609" s="30">
        <v>5.6</v>
      </c>
      <c r="AB609" s="7"/>
      <c r="AC609" s="30">
        <v>4.8</v>
      </c>
      <c r="AD609" s="7"/>
      <c r="AE609" s="30">
        <v>9.8000000000000007</v>
      </c>
      <c r="AF609" s="7"/>
      <c r="AG609" s="30">
        <v>0</v>
      </c>
      <c r="AI609" s="32">
        <v>65</v>
      </c>
      <c r="AK609" s="7" t="str">
        <f t="shared" si="9"/>
        <v>No</v>
      </c>
    </row>
    <row r="610" spans="1:37">
      <c r="A610" s="7" t="s">
        <v>678</v>
      </c>
      <c r="B610" s="7" t="s">
        <v>679</v>
      </c>
      <c r="C610" s="7" t="s">
        <v>84</v>
      </c>
      <c r="D610" s="302">
        <v>6012</v>
      </c>
      <c r="E610" s="297">
        <v>60012</v>
      </c>
      <c r="F610" s="7" t="s">
        <v>162</v>
      </c>
      <c r="G610" s="7" t="s">
        <v>158</v>
      </c>
      <c r="H610" s="8">
        <v>172378</v>
      </c>
      <c r="I610" s="8">
        <v>25</v>
      </c>
      <c r="J610" s="7" t="s">
        <v>10</v>
      </c>
      <c r="K610" s="7" t="s">
        <v>159</v>
      </c>
      <c r="L610" s="8">
        <v>9</v>
      </c>
      <c r="M610" s="8">
        <v>20357</v>
      </c>
      <c r="N610" s="7"/>
      <c r="O610" s="8">
        <v>3630</v>
      </c>
      <c r="P610" s="7"/>
      <c r="Q610" s="8">
        <v>2011</v>
      </c>
      <c r="R610" s="7"/>
      <c r="S610" s="8">
        <v>3269</v>
      </c>
      <c r="T610" s="7"/>
      <c r="U610" s="8">
        <v>0</v>
      </c>
      <c r="V610" s="7"/>
      <c r="W610" s="33">
        <v>29267</v>
      </c>
      <c r="X610" s="7"/>
      <c r="Y610" s="30">
        <v>11.2</v>
      </c>
      <c r="Z610" s="7"/>
      <c r="AA610" s="30">
        <v>1.4</v>
      </c>
      <c r="AB610" s="7"/>
      <c r="AC610" s="30">
        <v>1.2</v>
      </c>
      <c r="AD610" s="7"/>
      <c r="AE610" s="30">
        <v>2.2000000000000002</v>
      </c>
      <c r="AF610" s="7"/>
      <c r="AG610" s="30">
        <v>0</v>
      </c>
      <c r="AI610" s="32">
        <v>16</v>
      </c>
      <c r="AK610" s="7" t="str">
        <f t="shared" si="9"/>
        <v>No</v>
      </c>
    </row>
    <row r="611" spans="1:37">
      <c r="A611" s="7" t="s">
        <v>205</v>
      </c>
      <c r="B611" s="7" t="s">
        <v>206</v>
      </c>
      <c r="C611" s="7" t="s">
        <v>36</v>
      </c>
      <c r="D611" s="302">
        <v>4047</v>
      </c>
      <c r="E611" s="297">
        <v>40047</v>
      </c>
      <c r="F611" s="7" t="s">
        <v>162</v>
      </c>
      <c r="G611" s="7" t="s">
        <v>158</v>
      </c>
      <c r="H611" s="8">
        <v>128754</v>
      </c>
      <c r="I611" s="8">
        <v>25</v>
      </c>
      <c r="J611" s="7" t="s">
        <v>10</v>
      </c>
      <c r="K611" s="7" t="s">
        <v>159</v>
      </c>
      <c r="L611" s="8">
        <v>3</v>
      </c>
      <c r="M611" s="8">
        <v>8702</v>
      </c>
      <c r="N611" s="7"/>
      <c r="O611" s="8">
        <v>1812</v>
      </c>
      <c r="P611" s="7"/>
      <c r="Q611" s="8">
        <v>622</v>
      </c>
      <c r="R611" s="7"/>
      <c r="S611" s="8">
        <v>555</v>
      </c>
      <c r="T611" s="7"/>
      <c r="U611" s="8">
        <v>0</v>
      </c>
      <c r="V611" s="7"/>
      <c r="W611" s="33">
        <v>11691</v>
      </c>
      <c r="X611" s="7"/>
      <c r="Y611" s="30">
        <v>3.9</v>
      </c>
      <c r="Z611" s="7"/>
      <c r="AA611" s="30">
        <v>0.9</v>
      </c>
      <c r="AB611" s="7"/>
      <c r="AC611" s="30">
        <v>0.4</v>
      </c>
      <c r="AD611" s="7"/>
      <c r="AE611" s="30">
        <v>0.3</v>
      </c>
      <c r="AF611" s="7"/>
      <c r="AG611" s="30">
        <v>0</v>
      </c>
      <c r="AI611" s="32">
        <v>5.5</v>
      </c>
      <c r="AK611" s="7" t="str">
        <f t="shared" si="9"/>
        <v>No</v>
      </c>
    </row>
    <row r="612" spans="1:37">
      <c r="A612" s="7" t="s">
        <v>737</v>
      </c>
      <c r="B612" s="7" t="s">
        <v>422</v>
      </c>
      <c r="C612" s="7" t="s">
        <v>38</v>
      </c>
      <c r="D612" s="302">
        <v>7045</v>
      </c>
      <c r="E612" s="297">
        <v>70045</v>
      </c>
      <c r="F612" s="7" t="s">
        <v>162</v>
      </c>
      <c r="G612" s="7" t="s">
        <v>158</v>
      </c>
      <c r="H612" s="8">
        <v>106621</v>
      </c>
      <c r="I612" s="8">
        <v>24</v>
      </c>
      <c r="J612" s="7" t="s">
        <v>10</v>
      </c>
      <c r="K612" s="7" t="s">
        <v>159</v>
      </c>
      <c r="L612" s="8">
        <v>24</v>
      </c>
      <c r="M612" s="8">
        <v>33890</v>
      </c>
      <c r="N612" s="7"/>
      <c r="O612" s="8">
        <v>1021</v>
      </c>
      <c r="P612" s="7"/>
      <c r="Q612" s="8">
        <v>0</v>
      </c>
      <c r="R612" s="7"/>
      <c r="S612" s="8">
        <v>4656</v>
      </c>
      <c r="T612" s="7"/>
      <c r="U612" s="8">
        <v>0</v>
      </c>
      <c r="V612" s="7"/>
      <c r="W612" s="33">
        <v>39567</v>
      </c>
      <c r="X612" s="7"/>
      <c r="Y612" s="30">
        <v>23</v>
      </c>
      <c r="Z612" s="7"/>
      <c r="AA612" s="30">
        <v>2</v>
      </c>
      <c r="AB612" s="7"/>
      <c r="AC612" s="30">
        <v>0</v>
      </c>
      <c r="AD612" s="7"/>
      <c r="AE612" s="30">
        <v>3</v>
      </c>
      <c r="AF612" s="7"/>
      <c r="AG612" s="30">
        <v>0</v>
      </c>
      <c r="AI612" s="32">
        <v>28</v>
      </c>
      <c r="AK612" s="7" t="str">
        <f t="shared" si="9"/>
        <v>No</v>
      </c>
    </row>
    <row r="613" spans="1:37">
      <c r="A613" s="7" t="s">
        <v>1106</v>
      </c>
      <c r="B613" s="7" t="s">
        <v>1107</v>
      </c>
      <c r="C613" s="7" t="s">
        <v>32</v>
      </c>
      <c r="D613" s="302" t="s">
        <v>1108</v>
      </c>
      <c r="E613" s="297">
        <v>41068</v>
      </c>
      <c r="F613" s="7" t="s">
        <v>162</v>
      </c>
      <c r="G613" s="7" t="s">
        <v>158</v>
      </c>
      <c r="H613" s="8">
        <v>349064</v>
      </c>
      <c r="I613" s="8">
        <v>24</v>
      </c>
      <c r="J613" s="7" t="s">
        <v>10</v>
      </c>
      <c r="K613" s="7" t="s">
        <v>159</v>
      </c>
      <c r="L613" s="8">
        <v>24</v>
      </c>
      <c r="M613" s="8">
        <v>53664</v>
      </c>
      <c r="N613" s="7"/>
      <c r="O613" s="8">
        <v>0</v>
      </c>
      <c r="P613" s="7"/>
      <c r="Q613" s="8">
        <v>0</v>
      </c>
      <c r="R613" s="7"/>
      <c r="S613" s="8">
        <v>4160</v>
      </c>
      <c r="T613" s="7"/>
      <c r="U613" s="8">
        <v>0</v>
      </c>
      <c r="V613" s="7"/>
      <c r="W613" s="33">
        <v>57824</v>
      </c>
      <c r="X613" s="7"/>
      <c r="Y613" s="30">
        <v>24</v>
      </c>
      <c r="Z613" s="7"/>
      <c r="AA613" s="30">
        <v>0</v>
      </c>
      <c r="AB613" s="7"/>
      <c r="AC613" s="30">
        <v>0</v>
      </c>
      <c r="AD613" s="7"/>
      <c r="AE613" s="30">
        <v>2</v>
      </c>
      <c r="AF613" s="7"/>
      <c r="AG613" s="30">
        <v>0</v>
      </c>
      <c r="AI613" s="32">
        <v>26</v>
      </c>
      <c r="AK613" s="7" t="str">
        <f t="shared" si="9"/>
        <v>No</v>
      </c>
    </row>
    <row r="614" spans="1:37">
      <c r="A614" s="7" t="s">
        <v>795</v>
      </c>
      <c r="B614" s="7" t="s">
        <v>791</v>
      </c>
      <c r="C614" s="7" t="s">
        <v>792</v>
      </c>
      <c r="D614" s="302">
        <v>9242</v>
      </c>
      <c r="E614" s="297">
        <v>90242</v>
      </c>
      <c r="F614" s="7" t="s">
        <v>187</v>
      </c>
      <c r="G614" s="7" t="s">
        <v>158</v>
      </c>
      <c r="H614" s="8">
        <v>1886011</v>
      </c>
      <c r="I614" s="8">
        <v>24</v>
      </c>
      <c r="J614" s="7" t="s">
        <v>34</v>
      </c>
      <c r="K614" s="7" t="s">
        <v>159</v>
      </c>
      <c r="L614" s="8">
        <v>24</v>
      </c>
      <c r="M614" s="8">
        <v>164800</v>
      </c>
      <c r="N614" s="7"/>
      <c r="O614" s="8">
        <v>41120</v>
      </c>
      <c r="P614" s="7"/>
      <c r="Q614" s="8">
        <v>5680</v>
      </c>
      <c r="R614" s="7"/>
      <c r="S614" s="8">
        <v>32840</v>
      </c>
      <c r="T614" s="7"/>
      <c r="U614" s="8">
        <v>0</v>
      </c>
      <c r="V614" s="7"/>
      <c r="W614" s="33">
        <v>244440</v>
      </c>
      <c r="X614" s="7"/>
      <c r="Y614" s="30">
        <v>88</v>
      </c>
      <c r="Z614" s="7"/>
      <c r="AA614" s="30">
        <v>24</v>
      </c>
      <c r="AB614" s="7"/>
      <c r="AC614" s="30">
        <v>3</v>
      </c>
      <c r="AD614" s="7"/>
      <c r="AE614" s="30">
        <v>17</v>
      </c>
      <c r="AF614" s="7"/>
      <c r="AG614" s="30">
        <v>0</v>
      </c>
      <c r="AI614" s="32">
        <v>132</v>
      </c>
      <c r="AK614" s="7" t="str">
        <f t="shared" si="9"/>
        <v>No</v>
      </c>
    </row>
    <row r="615" spans="1:37">
      <c r="A615" s="7" t="s">
        <v>1145</v>
      </c>
      <c r="B615" s="7" t="s">
        <v>284</v>
      </c>
      <c r="C615" s="7" t="s">
        <v>55</v>
      </c>
      <c r="D615" s="302">
        <v>7003</v>
      </c>
      <c r="E615" s="297">
        <v>70003</v>
      </c>
      <c r="F615" s="7" t="s">
        <v>162</v>
      </c>
      <c r="G615" s="7" t="s">
        <v>158</v>
      </c>
      <c r="H615" s="8">
        <v>273724</v>
      </c>
      <c r="I615" s="8">
        <v>24</v>
      </c>
      <c r="J615" s="7" t="s">
        <v>7</v>
      </c>
      <c r="K615" s="7" t="s">
        <v>159</v>
      </c>
      <c r="L615" s="8">
        <v>20</v>
      </c>
      <c r="M615" s="8">
        <v>103146</v>
      </c>
      <c r="N615" s="7"/>
      <c r="O615" s="8">
        <v>16875</v>
      </c>
      <c r="P615" s="7"/>
      <c r="Q615" s="8">
        <v>2275</v>
      </c>
      <c r="R615" s="7"/>
      <c r="S615" s="8">
        <v>11080</v>
      </c>
      <c r="T615" s="7"/>
      <c r="U615" s="8">
        <v>0</v>
      </c>
      <c r="V615" s="7"/>
      <c r="W615" s="33">
        <v>133376</v>
      </c>
      <c r="X615" s="7"/>
      <c r="Y615" s="30">
        <v>49.8</v>
      </c>
      <c r="Z615" s="7"/>
      <c r="AA615" s="30">
        <v>9.3000000000000007</v>
      </c>
      <c r="AB615" s="7"/>
      <c r="AC615" s="30">
        <v>1.2</v>
      </c>
      <c r="AD615" s="7"/>
      <c r="AE615" s="30">
        <v>6.1</v>
      </c>
      <c r="AF615" s="7"/>
      <c r="AG615" s="30">
        <v>0</v>
      </c>
      <c r="AI615" s="32">
        <v>66.400000000000006</v>
      </c>
      <c r="AK615" s="7" t="str">
        <f t="shared" si="9"/>
        <v>No</v>
      </c>
    </row>
    <row r="616" spans="1:37">
      <c r="A616" s="7" t="s">
        <v>528</v>
      </c>
      <c r="B616" s="7" t="s">
        <v>527</v>
      </c>
      <c r="C616" s="7" t="s">
        <v>17</v>
      </c>
      <c r="D616" s="302">
        <v>9022</v>
      </c>
      <c r="E616" s="297">
        <v>90022</v>
      </c>
      <c r="F616" s="7" t="s">
        <v>162</v>
      </c>
      <c r="G616" s="7" t="s">
        <v>158</v>
      </c>
      <c r="H616" s="8">
        <v>12150996</v>
      </c>
      <c r="I616" s="8">
        <v>24</v>
      </c>
      <c r="J616" s="7" t="s">
        <v>7</v>
      </c>
      <c r="K616" s="7" t="s">
        <v>159</v>
      </c>
      <c r="L616" s="8">
        <v>19</v>
      </c>
      <c r="M616" s="8">
        <v>59987</v>
      </c>
      <c r="N616" s="7"/>
      <c r="O616" s="8">
        <v>19584</v>
      </c>
      <c r="P616" s="7"/>
      <c r="Q616" s="8">
        <v>2176</v>
      </c>
      <c r="R616" s="7"/>
      <c r="S616" s="8">
        <v>17736</v>
      </c>
      <c r="T616" s="7"/>
      <c r="U616" s="8">
        <v>0</v>
      </c>
      <c r="V616" s="7"/>
      <c r="W616" s="33">
        <v>99483</v>
      </c>
      <c r="X616" s="7"/>
      <c r="Y616" s="30">
        <v>37</v>
      </c>
      <c r="Z616" s="7"/>
      <c r="AA616" s="30">
        <v>13</v>
      </c>
      <c r="AB616" s="7"/>
      <c r="AC616" s="30">
        <v>1</v>
      </c>
      <c r="AD616" s="7"/>
      <c r="AE616" s="30">
        <v>10</v>
      </c>
      <c r="AF616" s="7"/>
      <c r="AG616" s="30">
        <v>0</v>
      </c>
      <c r="AI616" s="32">
        <v>61</v>
      </c>
      <c r="AK616" s="7" t="str">
        <f t="shared" si="9"/>
        <v>No</v>
      </c>
    </row>
    <row r="617" spans="1:37">
      <c r="A617" s="7" t="s">
        <v>558</v>
      </c>
      <c r="B617" s="7" t="s">
        <v>559</v>
      </c>
      <c r="C617" s="7" t="s">
        <v>26</v>
      </c>
      <c r="D617" s="302">
        <v>8007</v>
      </c>
      <c r="E617" s="297">
        <v>80007</v>
      </c>
      <c r="F617" s="7" t="s">
        <v>162</v>
      </c>
      <c r="G617" s="7" t="s">
        <v>158</v>
      </c>
      <c r="H617" s="8">
        <v>136550</v>
      </c>
      <c r="I617" s="8">
        <v>24</v>
      </c>
      <c r="J617" s="7" t="s">
        <v>7</v>
      </c>
      <c r="K617" s="7" t="s">
        <v>159</v>
      </c>
      <c r="L617" s="8">
        <v>13</v>
      </c>
      <c r="M617" s="8">
        <v>53079</v>
      </c>
      <c r="N617" s="7"/>
      <c r="O617" s="8">
        <v>8728</v>
      </c>
      <c r="P617" s="7"/>
      <c r="Q617" s="8">
        <v>1473</v>
      </c>
      <c r="R617" s="7" t="s">
        <v>121</v>
      </c>
      <c r="S617" s="8">
        <v>5631</v>
      </c>
      <c r="T617" s="7"/>
      <c r="U617" s="8">
        <v>0</v>
      </c>
      <c r="V617" s="7"/>
      <c r="W617" s="33">
        <v>68911</v>
      </c>
      <c r="X617" s="7" t="s">
        <v>121</v>
      </c>
      <c r="Y617" s="30">
        <v>33</v>
      </c>
      <c r="Z617" s="7"/>
      <c r="AA617" s="30">
        <v>6</v>
      </c>
      <c r="AB617" s="7"/>
      <c r="AC617" s="30">
        <v>2</v>
      </c>
      <c r="AD617" s="7"/>
      <c r="AE617" s="30">
        <v>3</v>
      </c>
      <c r="AF617" s="7"/>
      <c r="AG617" s="30">
        <v>0</v>
      </c>
      <c r="AI617" s="32">
        <v>44</v>
      </c>
      <c r="AK617" s="7" t="str">
        <f t="shared" si="9"/>
        <v>Yes</v>
      </c>
    </row>
    <row r="618" spans="1:37">
      <c r="A618" s="7" t="s">
        <v>715</v>
      </c>
      <c r="B618" s="7" t="s">
        <v>716</v>
      </c>
      <c r="C618" s="7" t="s">
        <v>77</v>
      </c>
      <c r="D618" s="302">
        <v>3095</v>
      </c>
      <c r="E618" s="297">
        <v>30095</v>
      </c>
      <c r="F618" s="7" t="s">
        <v>165</v>
      </c>
      <c r="G618" s="7" t="s">
        <v>158</v>
      </c>
      <c r="H618" s="8">
        <v>77086</v>
      </c>
      <c r="I618" s="8">
        <v>24</v>
      </c>
      <c r="J618" s="7" t="s">
        <v>10</v>
      </c>
      <c r="K618" s="7" t="s">
        <v>159</v>
      </c>
      <c r="L618" s="8">
        <v>12</v>
      </c>
      <c r="M618" s="8">
        <v>19521</v>
      </c>
      <c r="N618" s="7"/>
      <c r="O618" s="8">
        <v>4065</v>
      </c>
      <c r="P618" s="7"/>
      <c r="Q618" s="8">
        <v>0</v>
      </c>
      <c r="R618" s="7"/>
      <c r="S618" s="8">
        <v>1540</v>
      </c>
      <c r="T618" s="7"/>
      <c r="U618" s="8">
        <v>0</v>
      </c>
      <c r="V618" s="7"/>
      <c r="W618" s="33">
        <v>25126</v>
      </c>
      <c r="X618" s="7"/>
      <c r="Y618" s="30">
        <v>10.5</v>
      </c>
      <c r="Z618" s="7"/>
      <c r="AA618" s="30">
        <v>2.2000000000000002</v>
      </c>
      <c r="AB618" s="7"/>
      <c r="AC618" s="30">
        <v>0</v>
      </c>
      <c r="AD618" s="7"/>
      <c r="AE618" s="30">
        <v>1</v>
      </c>
      <c r="AF618" s="7"/>
      <c r="AG618" s="30">
        <v>0</v>
      </c>
      <c r="AI618" s="32">
        <v>13.7</v>
      </c>
      <c r="AK618" s="7" t="str">
        <f t="shared" si="9"/>
        <v>No</v>
      </c>
    </row>
    <row r="619" spans="1:37">
      <c r="A619" s="7" t="s">
        <v>715</v>
      </c>
      <c r="B619" s="7" t="s">
        <v>716</v>
      </c>
      <c r="C619" s="7" t="s">
        <v>77</v>
      </c>
      <c r="D619" s="302">
        <v>3095</v>
      </c>
      <c r="E619" s="297">
        <v>30095</v>
      </c>
      <c r="F619" s="7" t="s">
        <v>165</v>
      </c>
      <c r="G619" s="7" t="s">
        <v>158</v>
      </c>
      <c r="H619" s="8">
        <v>77086</v>
      </c>
      <c r="I619" s="8">
        <v>24</v>
      </c>
      <c r="J619" s="7" t="s">
        <v>7</v>
      </c>
      <c r="K619" s="7" t="s">
        <v>159</v>
      </c>
      <c r="L619" s="8">
        <v>8</v>
      </c>
      <c r="M619" s="8">
        <v>30068</v>
      </c>
      <c r="N619" s="7"/>
      <c r="O619" s="8">
        <v>6183</v>
      </c>
      <c r="P619" s="7"/>
      <c r="Q619" s="8">
        <v>1733</v>
      </c>
      <c r="R619" s="7"/>
      <c r="S619" s="8">
        <v>5879</v>
      </c>
      <c r="T619" s="7"/>
      <c r="U619" s="8">
        <v>0</v>
      </c>
      <c r="V619" s="7"/>
      <c r="W619" s="33">
        <v>43863</v>
      </c>
      <c r="X619" s="7"/>
      <c r="Y619" s="30">
        <v>14.44</v>
      </c>
      <c r="Z619" s="7"/>
      <c r="AA619" s="30">
        <v>3.46</v>
      </c>
      <c r="AB619" s="7"/>
      <c r="AC619" s="30">
        <v>0.96</v>
      </c>
      <c r="AD619" s="7"/>
      <c r="AE619" s="30">
        <v>3.7</v>
      </c>
      <c r="AF619" s="7"/>
      <c r="AG619" s="30">
        <v>0</v>
      </c>
      <c r="AI619" s="32">
        <v>22.56</v>
      </c>
      <c r="AK619" s="7" t="str">
        <f t="shared" si="9"/>
        <v>No</v>
      </c>
    </row>
    <row r="620" spans="1:37">
      <c r="A620" s="7" t="s">
        <v>1145</v>
      </c>
      <c r="B620" s="7" t="s">
        <v>284</v>
      </c>
      <c r="C620" s="7" t="s">
        <v>55</v>
      </c>
      <c r="D620" s="302">
        <v>7003</v>
      </c>
      <c r="E620" s="297">
        <v>70003</v>
      </c>
      <c r="F620" s="7" t="s">
        <v>162</v>
      </c>
      <c r="G620" s="7" t="s">
        <v>158</v>
      </c>
      <c r="H620" s="8">
        <v>273724</v>
      </c>
      <c r="I620" s="8">
        <v>24</v>
      </c>
      <c r="J620" s="7" t="s">
        <v>10</v>
      </c>
      <c r="K620" s="7" t="s">
        <v>159</v>
      </c>
      <c r="L620" s="8">
        <v>4</v>
      </c>
      <c r="M620" s="8">
        <v>12748</v>
      </c>
      <c r="N620" s="7"/>
      <c r="O620" s="8">
        <v>2086</v>
      </c>
      <c r="P620" s="7"/>
      <c r="Q620" s="8">
        <v>281</v>
      </c>
      <c r="R620" s="7"/>
      <c r="S620" s="8">
        <v>1369</v>
      </c>
      <c r="T620" s="7"/>
      <c r="U620" s="8">
        <v>0</v>
      </c>
      <c r="V620" s="7"/>
      <c r="W620" s="33">
        <v>16484</v>
      </c>
      <c r="X620" s="7"/>
      <c r="Y620" s="30">
        <v>6.2</v>
      </c>
      <c r="Z620" s="7"/>
      <c r="AA620" s="30">
        <v>1.1000000000000001</v>
      </c>
      <c r="AB620" s="7"/>
      <c r="AC620" s="30">
        <v>0.15</v>
      </c>
      <c r="AD620" s="7"/>
      <c r="AE620" s="30">
        <v>0.8</v>
      </c>
      <c r="AF620" s="7"/>
      <c r="AG620" s="30">
        <v>0</v>
      </c>
      <c r="AI620" s="32">
        <v>8.25</v>
      </c>
      <c r="AK620" s="7" t="str">
        <f t="shared" si="9"/>
        <v>No</v>
      </c>
    </row>
    <row r="621" spans="1:37">
      <c r="A621" s="7" t="s">
        <v>715</v>
      </c>
      <c r="B621" s="7" t="s">
        <v>716</v>
      </c>
      <c r="C621" s="7" t="s">
        <v>77</v>
      </c>
      <c r="D621" s="302">
        <v>3095</v>
      </c>
      <c r="E621" s="297">
        <v>30095</v>
      </c>
      <c r="F621" s="7" t="s">
        <v>165</v>
      </c>
      <c r="G621" s="7" t="s">
        <v>158</v>
      </c>
      <c r="H621" s="8">
        <v>77086</v>
      </c>
      <c r="I621" s="8">
        <v>24</v>
      </c>
      <c r="J621" s="7" t="s">
        <v>18</v>
      </c>
      <c r="K621" s="7" t="s">
        <v>159</v>
      </c>
      <c r="L621" s="8">
        <v>4</v>
      </c>
      <c r="M621" s="8">
        <v>6908</v>
      </c>
      <c r="N621" s="7"/>
      <c r="O621" s="8">
        <v>1581</v>
      </c>
      <c r="P621" s="7"/>
      <c r="Q621" s="8">
        <v>433</v>
      </c>
      <c r="R621" s="7"/>
      <c r="S621" s="8">
        <v>2068</v>
      </c>
      <c r="T621" s="7"/>
      <c r="U621" s="8">
        <v>0</v>
      </c>
      <c r="V621" s="7"/>
      <c r="W621" s="33">
        <v>10990</v>
      </c>
      <c r="X621" s="7"/>
      <c r="Y621" s="30">
        <v>3.36</v>
      </c>
      <c r="Z621" s="7"/>
      <c r="AA621" s="30">
        <v>0.84</v>
      </c>
      <c r="AB621" s="7"/>
      <c r="AC621" s="30">
        <v>0.24</v>
      </c>
      <c r="AD621" s="7"/>
      <c r="AE621" s="30">
        <v>1.3</v>
      </c>
      <c r="AF621" s="7"/>
      <c r="AG621" s="30">
        <v>0</v>
      </c>
      <c r="AI621" s="32">
        <v>5.74</v>
      </c>
      <c r="AK621" s="7" t="str">
        <f t="shared" si="9"/>
        <v>No</v>
      </c>
    </row>
    <row r="622" spans="1:37">
      <c r="A622" s="7" t="s">
        <v>1109</v>
      </c>
      <c r="B622" s="7" t="s">
        <v>477</v>
      </c>
      <c r="C622" s="7" t="s">
        <v>54</v>
      </c>
      <c r="D622" s="302">
        <v>5218</v>
      </c>
      <c r="E622" s="297">
        <v>50515</v>
      </c>
      <c r="F622" s="7" t="s">
        <v>114</v>
      </c>
      <c r="G622" s="7" t="s">
        <v>158</v>
      </c>
      <c r="H622" s="8">
        <v>2650890</v>
      </c>
      <c r="I622" s="8">
        <v>24</v>
      </c>
      <c r="J622" s="7" t="s">
        <v>10</v>
      </c>
      <c r="K622" s="7" t="s">
        <v>159</v>
      </c>
      <c r="L622" s="8">
        <v>3</v>
      </c>
      <c r="M622" s="8">
        <v>4557</v>
      </c>
      <c r="N622" s="7"/>
      <c r="O622" s="8">
        <v>0</v>
      </c>
      <c r="P622" s="7"/>
      <c r="Q622" s="8">
        <v>0</v>
      </c>
      <c r="R622" s="7"/>
      <c r="S622" s="8">
        <v>1664</v>
      </c>
      <c r="T622" s="7"/>
      <c r="U622" s="8">
        <v>0</v>
      </c>
      <c r="V622" s="7"/>
      <c r="W622" s="33">
        <v>6221</v>
      </c>
      <c r="X622" s="7"/>
      <c r="Y622" s="30">
        <v>3</v>
      </c>
      <c r="Z622" s="7"/>
      <c r="AA622" s="30">
        <v>0</v>
      </c>
      <c r="AB622" s="7"/>
      <c r="AC622" s="30">
        <v>0</v>
      </c>
      <c r="AD622" s="7"/>
      <c r="AE622" s="30">
        <v>2</v>
      </c>
      <c r="AF622" s="7"/>
      <c r="AG622" s="30">
        <v>0</v>
      </c>
      <c r="AI622" s="32">
        <v>5</v>
      </c>
      <c r="AK622" s="7" t="str">
        <f t="shared" si="9"/>
        <v>No</v>
      </c>
    </row>
    <row r="623" spans="1:37">
      <c r="A623" s="7" t="s">
        <v>163</v>
      </c>
      <c r="B623" s="7" t="s">
        <v>164</v>
      </c>
      <c r="C623" s="7" t="s">
        <v>28</v>
      </c>
      <c r="D623" s="302">
        <v>1040</v>
      </c>
      <c r="E623" s="297">
        <v>10040</v>
      </c>
      <c r="F623" s="7" t="s">
        <v>165</v>
      </c>
      <c r="G623" s="7" t="s">
        <v>158</v>
      </c>
      <c r="H623" s="8">
        <v>209190</v>
      </c>
      <c r="I623" s="8">
        <v>23</v>
      </c>
      <c r="J623" s="7" t="s">
        <v>7</v>
      </c>
      <c r="K623" s="7" t="s">
        <v>159</v>
      </c>
      <c r="L623" s="8">
        <v>18</v>
      </c>
      <c r="M623" s="8">
        <v>87052</v>
      </c>
      <c r="N623" s="7"/>
      <c r="O623" s="8">
        <v>19970</v>
      </c>
      <c r="P623" s="7"/>
      <c r="Q623" s="8">
        <v>905</v>
      </c>
      <c r="R623" s="7"/>
      <c r="S623" s="8">
        <v>5378</v>
      </c>
      <c r="T623" s="7"/>
      <c r="U623" s="8">
        <v>245</v>
      </c>
      <c r="V623" s="7"/>
      <c r="W623" s="33">
        <v>113550</v>
      </c>
      <c r="X623" s="7"/>
      <c r="Y623" s="30">
        <v>49</v>
      </c>
      <c r="Z623" s="7"/>
      <c r="AA623" s="30">
        <v>11.5</v>
      </c>
      <c r="AB623" s="7"/>
      <c r="AC623" s="30">
        <v>0.5</v>
      </c>
      <c r="AD623" s="7"/>
      <c r="AE623" s="30">
        <v>3</v>
      </c>
      <c r="AF623" s="7"/>
      <c r="AG623" s="30">
        <v>0.13</v>
      </c>
      <c r="AI623" s="32">
        <v>64.13</v>
      </c>
      <c r="AK623" s="7" t="str">
        <f t="shared" si="9"/>
        <v>No</v>
      </c>
    </row>
    <row r="624" spans="1:37">
      <c r="A624" s="7" t="s">
        <v>95</v>
      </c>
      <c r="B624" s="7" t="s">
        <v>599</v>
      </c>
      <c r="C624" s="7" t="s">
        <v>93</v>
      </c>
      <c r="D624" s="302">
        <v>5088</v>
      </c>
      <c r="E624" s="297">
        <v>50088</v>
      </c>
      <c r="F624" s="7" t="s">
        <v>162</v>
      </c>
      <c r="G624" s="7" t="s">
        <v>158</v>
      </c>
      <c r="H624" s="8">
        <v>71313</v>
      </c>
      <c r="I624" s="8">
        <v>23</v>
      </c>
      <c r="J624" s="7" t="s">
        <v>7</v>
      </c>
      <c r="K624" s="7" t="s">
        <v>159</v>
      </c>
      <c r="L624" s="8">
        <v>17</v>
      </c>
      <c r="M624" s="8">
        <v>35528</v>
      </c>
      <c r="N624" s="7"/>
      <c r="O624" s="8">
        <v>4794</v>
      </c>
      <c r="P624" s="7"/>
      <c r="Q624" s="8">
        <v>0</v>
      </c>
      <c r="R624" s="7"/>
      <c r="S624" s="8">
        <v>5581</v>
      </c>
      <c r="T624" s="7"/>
      <c r="U624" s="8">
        <v>0</v>
      </c>
      <c r="V624" s="7"/>
      <c r="W624" s="33">
        <v>45903</v>
      </c>
      <c r="X624" s="7"/>
      <c r="Y624" s="30">
        <v>20.399999999999999</v>
      </c>
      <c r="Z624" s="7"/>
      <c r="AA624" s="30">
        <v>2.8</v>
      </c>
      <c r="AB624" s="7"/>
      <c r="AC624" s="30">
        <v>0</v>
      </c>
      <c r="AD624" s="7"/>
      <c r="AE624" s="30">
        <v>3.2</v>
      </c>
      <c r="AF624" s="7"/>
      <c r="AG624" s="30">
        <v>0</v>
      </c>
      <c r="AI624" s="32">
        <v>26.4</v>
      </c>
      <c r="AK624" s="7" t="str">
        <f t="shared" si="9"/>
        <v>No</v>
      </c>
    </row>
    <row r="625" spans="1:37">
      <c r="A625" s="7" t="s">
        <v>326</v>
      </c>
      <c r="B625" s="7" t="s">
        <v>327</v>
      </c>
      <c r="C625" s="7" t="s">
        <v>89</v>
      </c>
      <c r="D625" s="302">
        <v>16</v>
      </c>
      <c r="E625" s="297">
        <v>16</v>
      </c>
      <c r="F625" s="7" t="s">
        <v>162</v>
      </c>
      <c r="G625" s="7" t="s">
        <v>158</v>
      </c>
      <c r="H625" s="8">
        <v>63952</v>
      </c>
      <c r="I625" s="8">
        <v>23</v>
      </c>
      <c r="J625" s="7" t="s">
        <v>7</v>
      </c>
      <c r="K625" s="7" t="s">
        <v>159</v>
      </c>
      <c r="L625" s="8">
        <v>9</v>
      </c>
      <c r="M625" s="8">
        <v>32538</v>
      </c>
      <c r="N625" s="7"/>
      <c r="O625" s="8">
        <v>1703</v>
      </c>
      <c r="P625" s="7"/>
      <c r="Q625" s="8">
        <v>1348</v>
      </c>
      <c r="R625" s="7"/>
      <c r="S625" s="8">
        <v>4270</v>
      </c>
      <c r="T625" s="7"/>
      <c r="U625" s="8">
        <v>0</v>
      </c>
      <c r="V625" s="7"/>
      <c r="W625" s="33">
        <v>39859</v>
      </c>
      <c r="X625" s="7"/>
      <c r="Y625" s="30">
        <v>14</v>
      </c>
      <c r="Z625" s="7"/>
      <c r="AA625" s="30">
        <v>0.81</v>
      </c>
      <c r="AB625" s="7"/>
      <c r="AC625" s="30">
        <v>1</v>
      </c>
      <c r="AD625" s="7"/>
      <c r="AE625" s="30">
        <v>2.2000000000000002</v>
      </c>
      <c r="AF625" s="7"/>
      <c r="AG625" s="30">
        <v>0</v>
      </c>
      <c r="AI625" s="32">
        <v>18.010000000000002</v>
      </c>
      <c r="AK625" s="7" t="str">
        <f t="shared" si="9"/>
        <v>No</v>
      </c>
    </row>
    <row r="626" spans="1:37">
      <c r="A626" s="7" t="s">
        <v>95</v>
      </c>
      <c r="B626" s="7" t="s">
        <v>599</v>
      </c>
      <c r="C626" s="7" t="s">
        <v>93</v>
      </c>
      <c r="D626" s="302">
        <v>5088</v>
      </c>
      <c r="E626" s="297">
        <v>50088</v>
      </c>
      <c r="F626" s="7" t="s">
        <v>162</v>
      </c>
      <c r="G626" s="7" t="s">
        <v>158</v>
      </c>
      <c r="H626" s="8">
        <v>71313</v>
      </c>
      <c r="I626" s="8">
        <v>23</v>
      </c>
      <c r="J626" s="7" t="s">
        <v>10</v>
      </c>
      <c r="K626" s="7" t="s">
        <v>159</v>
      </c>
      <c r="L626" s="8">
        <v>6</v>
      </c>
      <c r="M626" s="8">
        <v>3619</v>
      </c>
      <c r="N626" s="7"/>
      <c r="O626" s="8">
        <v>2055</v>
      </c>
      <c r="P626" s="7"/>
      <c r="Q626" s="8">
        <v>0</v>
      </c>
      <c r="R626" s="7"/>
      <c r="S626" s="8">
        <v>2505</v>
      </c>
      <c r="T626" s="7"/>
      <c r="U626" s="8">
        <v>0</v>
      </c>
      <c r="V626" s="7"/>
      <c r="W626" s="33">
        <v>8179</v>
      </c>
      <c r="X626" s="7"/>
      <c r="Y626" s="30">
        <v>2</v>
      </c>
      <c r="Z626" s="7"/>
      <c r="AA626" s="30">
        <v>1.2</v>
      </c>
      <c r="AB626" s="7"/>
      <c r="AC626" s="30">
        <v>0</v>
      </c>
      <c r="AD626" s="7"/>
      <c r="AE626" s="30">
        <v>1.4</v>
      </c>
      <c r="AF626" s="7"/>
      <c r="AG626" s="30">
        <v>0</v>
      </c>
      <c r="AI626" s="32">
        <v>4.5999999999999996</v>
      </c>
      <c r="AK626" s="7" t="str">
        <f t="shared" si="9"/>
        <v>No</v>
      </c>
    </row>
    <row r="627" spans="1:37">
      <c r="A627" s="7" t="s">
        <v>326</v>
      </c>
      <c r="B627" s="7" t="s">
        <v>327</v>
      </c>
      <c r="C627" s="7" t="s">
        <v>89</v>
      </c>
      <c r="D627" s="302">
        <v>16</v>
      </c>
      <c r="E627" s="297">
        <v>16</v>
      </c>
      <c r="F627" s="7" t="s">
        <v>162</v>
      </c>
      <c r="G627" s="7" t="s">
        <v>158</v>
      </c>
      <c r="H627" s="8">
        <v>63952</v>
      </c>
      <c r="I627" s="8">
        <v>23</v>
      </c>
      <c r="J627" s="7" t="s">
        <v>8</v>
      </c>
      <c r="K627" s="7" t="s">
        <v>159</v>
      </c>
      <c r="L627" s="8">
        <v>1</v>
      </c>
      <c r="M627" s="8">
        <v>0</v>
      </c>
      <c r="N627" s="7"/>
      <c r="O627" s="8">
        <v>5</v>
      </c>
      <c r="P627" s="7"/>
      <c r="Q627" s="8">
        <v>0</v>
      </c>
      <c r="R627" s="7"/>
      <c r="S627" s="8">
        <v>81</v>
      </c>
      <c r="T627" s="7"/>
      <c r="U627" s="8">
        <v>0</v>
      </c>
      <c r="V627" s="7"/>
      <c r="W627" s="33">
        <v>86</v>
      </c>
      <c r="X627" s="7"/>
      <c r="Y627" s="30">
        <v>0</v>
      </c>
      <c r="Z627" s="7"/>
      <c r="AA627" s="30">
        <v>0.01</v>
      </c>
      <c r="AB627" s="7"/>
      <c r="AC627" s="30">
        <v>0</v>
      </c>
      <c r="AD627" s="7"/>
      <c r="AE627" s="30">
        <v>0.03</v>
      </c>
      <c r="AF627" s="7"/>
      <c r="AG627" s="30">
        <v>0</v>
      </c>
      <c r="AI627" s="32">
        <v>0.04</v>
      </c>
      <c r="AK627" s="7" t="str">
        <f t="shared" si="9"/>
        <v>No</v>
      </c>
    </row>
    <row r="628" spans="1:37">
      <c r="A628" s="7" t="s">
        <v>183</v>
      </c>
      <c r="B628" s="7" t="s">
        <v>184</v>
      </c>
      <c r="C628" s="7" t="s">
        <v>70</v>
      </c>
      <c r="D628" s="302">
        <v>2178</v>
      </c>
      <c r="E628" s="297">
        <v>20178</v>
      </c>
      <c r="F628" s="7" t="s">
        <v>162</v>
      </c>
      <c r="G628" s="7" t="s">
        <v>158</v>
      </c>
      <c r="H628" s="8">
        <v>423566</v>
      </c>
      <c r="I628" s="8">
        <v>22</v>
      </c>
      <c r="J628" s="7" t="s">
        <v>7</v>
      </c>
      <c r="K628" s="7" t="s">
        <v>159</v>
      </c>
      <c r="L628" s="8">
        <v>18</v>
      </c>
      <c r="M628" s="8">
        <v>56281</v>
      </c>
      <c r="N628" s="7"/>
      <c r="O628" s="8">
        <v>11784</v>
      </c>
      <c r="P628" s="7"/>
      <c r="Q628" s="8">
        <v>1385</v>
      </c>
      <c r="R628" s="7"/>
      <c r="S628" s="8">
        <v>10558</v>
      </c>
      <c r="T628" s="7"/>
      <c r="U628" s="8">
        <v>652</v>
      </c>
      <c r="V628" s="7"/>
      <c r="W628" s="33">
        <v>80660</v>
      </c>
      <c r="X628" s="7"/>
      <c r="Y628" s="30">
        <v>31</v>
      </c>
      <c r="Z628" s="7"/>
      <c r="AA628" s="30">
        <v>6.5</v>
      </c>
      <c r="AB628" s="7"/>
      <c r="AC628" s="30">
        <v>0.9</v>
      </c>
      <c r="AD628" s="7"/>
      <c r="AE628" s="30">
        <v>5.25</v>
      </c>
      <c r="AF628" s="7"/>
      <c r="AG628" s="30">
        <v>0.35</v>
      </c>
      <c r="AI628" s="32">
        <v>44</v>
      </c>
      <c r="AK628" s="7" t="str">
        <f t="shared" si="9"/>
        <v>No</v>
      </c>
    </row>
    <row r="629" spans="1:37">
      <c r="A629" s="7" t="s">
        <v>729</v>
      </c>
      <c r="B629" s="7" t="s">
        <v>730</v>
      </c>
      <c r="C629" s="7" t="s">
        <v>85</v>
      </c>
      <c r="D629" s="302">
        <v>8028</v>
      </c>
      <c r="E629" s="297">
        <v>80028</v>
      </c>
      <c r="F629" s="7" t="s">
        <v>165</v>
      </c>
      <c r="G629" s="7" t="s">
        <v>158</v>
      </c>
      <c r="H629" s="8">
        <v>94983</v>
      </c>
      <c r="I629" s="8">
        <v>22</v>
      </c>
      <c r="J629" s="7" t="s">
        <v>7</v>
      </c>
      <c r="K629" s="7" t="s">
        <v>159</v>
      </c>
      <c r="L629" s="8">
        <v>17</v>
      </c>
      <c r="M629" s="8">
        <v>46473</v>
      </c>
      <c r="N629" s="7"/>
      <c r="O629" s="8">
        <v>7615</v>
      </c>
      <c r="P629" s="7" t="s">
        <v>121</v>
      </c>
      <c r="Q629" s="8">
        <v>1511</v>
      </c>
      <c r="R629" s="7"/>
      <c r="S629" s="8">
        <v>11533</v>
      </c>
      <c r="T629" s="7" t="s">
        <v>121</v>
      </c>
      <c r="U629" s="8">
        <v>123</v>
      </c>
      <c r="V629" s="7"/>
      <c r="W629" s="33">
        <v>67255</v>
      </c>
      <c r="X629" s="7" t="s">
        <v>121</v>
      </c>
      <c r="Y629" s="30">
        <v>24.6</v>
      </c>
      <c r="Z629" s="7"/>
      <c r="AA629" s="30">
        <v>4.0999999999999996</v>
      </c>
      <c r="AB629" s="7"/>
      <c r="AC629" s="30">
        <v>0.82</v>
      </c>
      <c r="AD629" s="7"/>
      <c r="AE629" s="30">
        <v>6.56</v>
      </c>
      <c r="AF629" s="7"/>
      <c r="AG629" s="30">
        <v>7.0000000000000007E-2</v>
      </c>
      <c r="AI629" s="32">
        <v>36.15</v>
      </c>
      <c r="AK629" s="7" t="str">
        <f t="shared" si="9"/>
        <v>Yes</v>
      </c>
    </row>
    <row r="630" spans="1:37">
      <c r="A630" s="7" t="s">
        <v>415</v>
      </c>
      <c r="B630" s="7" t="s">
        <v>416</v>
      </c>
      <c r="C630" s="7" t="s">
        <v>70</v>
      </c>
      <c r="D630" s="302">
        <v>2071</v>
      </c>
      <c r="E630" s="297">
        <v>20071</v>
      </c>
      <c r="F630" s="7" t="s">
        <v>162</v>
      </c>
      <c r="G630" s="7" t="s">
        <v>158</v>
      </c>
      <c r="H630" s="8">
        <v>18351295</v>
      </c>
      <c r="I630" s="8">
        <v>22</v>
      </c>
      <c r="J630" s="7" t="s">
        <v>10</v>
      </c>
      <c r="K630" s="7" t="s">
        <v>159</v>
      </c>
      <c r="L630" s="8">
        <v>14</v>
      </c>
      <c r="M630" s="8">
        <v>12928</v>
      </c>
      <c r="N630" s="7"/>
      <c r="O630" s="8">
        <v>4012</v>
      </c>
      <c r="P630" s="7"/>
      <c r="Q630" s="8">
        <v>211</v>
      </c>
      <c r="R630" s="7"/>
      <c r="S630" s="8">
        <v>1846</v>
      </c>
      <c r="T630" s="7"/>
      <c r="U630" s="8">
        <v>0</v>
      </c>
      <c r="V630" s="7"/>
      <c r="W630" s="33">
        <v>18997</v>
      </c>
      <c r="X630" s="7"/>
      <c r="Y630" s="30">
        <v>8.42</v>
      </c>
      <c r="Z630" s="7"/>
      <c r="AA630" s="30">
        <v>2.4500000000000002</v>
      </c>
      <c r="AB630" s="7"/>
      <c r="AC630" s="30">
        <v>0.13</v>
      </c>
      <c r="AD630" s="7"/>
      <c r="AE630" s="30">
        <v>1.1299999999999999</v>
      </c>
      <c r="AF630" s="7"/>
      <c r="AG630" s="30">
        <v>0</v>
      </c>
      <c r="AI630" s="32">
        <v>12.13</v>
      </c>
      <c r="AK630" s="7" t="str">
        <f t="shared" si="9"/>
        <v>No</v>
      </c>
    </row>
    <row r="631" spans="1:37">
      <c r="A631" s="7" t="s">
        <v>415</v>
      </c>
      <c r="B631" s="7" t="s">
        <v>416</v>
      </c>
      <c r="C631" s="7" t="s">
        <v>70</v>
      </c>
      <c r="D631" s="302">
        <v>2071</v>
      </c>
      <c r="E631" s="297">
        <v>20071</v>
      </c>
      <c r="F631" s="7" t="s">
        <v>162</v>
      </c>
      <c r="G631" s="7" t="s">
        <v>158</v>
      </c>
      <c r="H631" s="8">
        <v>18351295</v>
      </c>
      <c r="I631" s="8">
        <v>22</v>
      </c>
      <c r="J631" s="7" t="s">
        <v>7</v>
      </c>
      <c r="K631" s="7" t="s">
        <v>159</v>
      </c>
      <c r="L631" s="8">
        <v>8</v>
      </c>
      <c r="M631" s="8">
        <v>22420</v>
      </c>
      <c r="N631" s="7"/>
      <c r="O631" s="8">
        <v>3609</v>
      </c>
      <c r="P631" s="7"/>
      <c r="Q631" s="8">
        <v>190</v>
      </c>
      <c r="R631" s="7"/>
      <c r="S631" s="8">
        <v>1918</v>
      </c>
      <c r="T631" s="7"/>
      <c r="U631" s="8">
        <v>0</v>
      </c>
      <c r="V631" s="7"/>
      <c r="W631" s="33">
        <v>28137</v>
      </c>
      <c r="X631" s="7"/>
      <c r="Y631" s="30">
        <v>12.54</v>
      </c>
      <c r="Z631" s="7"/>
      <c r="AA631" s="30">
        <v>2.2599999999999998</v>
      </c>
      <c r="AB631" s="7"/>
      <c r="AC631" s="30">
        <v>0.12</v>
      </c>
      <c r="AD631" s="7"/>
      <c r="AE631" s="30">
        <v>1.17</v>
      </c>
      <c r="AF631" s="7"/>
      <c r="AG631" s="30">
        <v>0</v>
      </c>
      <c r="AI631" s="32">
        <v>16.09</v>
      </c>
      <c r="AK631" s="7" t="str">
        <f t="shared" si="9"/>
        <v>No</v>
      </c>
    </row>
    <row r="632" spans="1:37">
      <c r="A632" s="7" t="s">
        <v>729</v>
      </c>
      <c r="B632" s="7" t="s">
        <v>730</v>
      </c>
      <c r="C632" s="7" t="s">
        <v>85</v>
      </c>
      <c r="D632" s="302">
        <v>8028</v>
      </c>
      <c r="E632" s="297">
        <v>80028</v>
      </c>
      <c r="F632" s="7" t="s">
        <v>165</v>
      </c>
      <c r="G632" s="7" t="s">
        <v>158</v>
      </c>
      <c r="H632" s="8">
        <v>94983</v>
      </c>
      <c r="I632" s="8">
        <v>22</v>
      </c>
      <c r="J632" s="7" t="s">
        <v>10</v>
      </c>
      <c r="K632" s="7" t="s">
        <v>159</v>
      </c>
      <c r="L632" s="8">
        <v>5</v>
      </c>
      <c r="M632" s="8">
        <v>10201</v>
      </c>
      <c r="N632" s="7"/>
      <c r="O632" s="8">
        <v>1671</v>
      </c>
      <c r="P632" s="7" t="s">
        <v>121</v>
      </c>
      <c r="Q632" s="8">
        <v>331</v>
      </c>
      <c r="R632" s="7"/>
      <c r="S632" s="8">
        <v>2531</v>
      </c>
      <c r="T632" s="7" t="s">
        <v>121</v>
      </c>
      <c r="U632" s="8">
        <v>27</v>
      </c>
      <c r="V632" s="7"/>
      <c r="W632" s="33">
        <v>14761</v>
      </c>
      <c r="X632" s="7" t="s">
        <v>121</v>
      </c>
      <c r="Y632" s="30">
        <v>5.4</v>
      </c>
      <c r="Z632" s="7"/>
      <c r="AA632" s="30">
        <v>0.9</v>
      </c>
      <c r="AB632" s="7"/>
      <c r="AC632" s="30">
        <v>0.18</v>
      </c>
      <c r="AD632" s="7"/>
      <c r="AE632" s="30">
        <v>1.44</v>
      </c>
      <c r="AF632" s="7"/>
      <c r="AG632" s="30">
        <v>0.02</v>
      </c>
      <c r="AI632" s="32">
        <v>7.94</v>
      </c>
      <c r="AK632" s="7" t="str">
        <f t="shared" si="9"/>
        <v>Yes</v>
      </c>
    </row>
    <row r="633" spans="1:37">
      <c r="A633" s="7" t="s">
        <v>183</v>
      </c>
      <c r="B633" s="7" t="s">
        <v>184</v>
      </c>
      <c r="C633" s="7" t="s">
        <v>70</v>
      </c>
      <c r="D633" s="302">
        <v>2178</v>
      </c>
      <c r="E633" s="297">
        <v>20178</v>
      </c>
      <c r="F633" s="7" t="s">
        <v>162</v>
      </c>
      <c r="G633" s="7" t="s">
        <v>158</v>
      </c>
      <c r="H633" s="8">
        <v>423566</v>
      </c>
      <c r="I633" s="8">
        <v>22</v>
      </c>
      <c r="J633" s="7" t="s">
        <v>10</v>
      </c>
      <c r="K633" s="7" t="s">
        <v>159</v>
      </c>
      <c r="L633" s="8">
        <v>4</v>
      </c>
      <c r="M633" s="8">
        <v>9193</v>
      </c>
      <c r="N633" s="7"/>
      <c r="O633" s="8">
        <v>1025</v>
      </c>
      <c r="P633" s="7"/>
      <c r="Q633" s="8">
        <v>154</v>
      </c>
      <c r="R633" s="7"/>
      <c r="S633" s="8">
        <v>691</v>
      </c>
      <c r="T633" s="7"/>
      <c r="U633" s="8">
        <v>0</v>
      </c>
      <c r="V633" s="7"/>
      <c r="W633" s="33">
        <v>11063</v>
      </c>
      <c r="X633" s="7"/>
      <c r="Y633" s="30">
        <v>5</v>
      </c>
      <c r="Z633" s="7"/>
      <c r="AA633" s="30">
        <v>0.5</v>
      </c>
      <c r="AB633" s="7"/>
      <c r="AC633" s="30">
        <v>0.1</v>
      </c>
      <c r="AD633" s="7"/>
      <c r="AE633" s="30">
        <v>0.4</v>
      </c>
      <c r="AF633" s="7"/>
      <c r="AG633" s="30">
        <v>0</v>
      </c>
      <c r="AI633" s="32">
        <v>6</v>
      </c>
      <c r="AK633" s="7" t="str">
        <f t="shared" si="9"/>
        <v>No</v>
      </c>
    </row>
    <row r="634" spans="1:37">
      <c r="A634" s="7" t="s">
        <v>421</v>
      </c>
      <c r="B634" s="7" t="s">
        <v>422</v>
      </c>
      <c r="C634" s="7" t="s">
        <v>38</v>
      </c>
      <c r="D634" s="302">
        <v>7018</v>
      </c>
      <c r="E634" s="297">
        <v>70018</v>
      </c>
      <c r="F634" s="7" t="s">
        <v>162</v>
      </c>
      <c r="G634" s="7" t="s">
        <v>158</v>
      </c>
      <c r="H634" s="8">
        <v>106621</v>
      </c>
      <c r="I634" s="8">
        <v>21</v>
      </c>
      <c r="J634" s="7" t="s">
        <v>7</v>
      </c>
      <c r="K634" s="7" t="s">
        <v>159</v>
      </c>
      <c r="L634" s="8">
        <v>21</v>
      </c>
      <c r="M634" s="8">
        <v>60175</v>
      </c>
      <c r="N634" s="7"/>
      <c r="O634" s="8">
        <v>8467</v>
      </c>
      <c r="P634" s="7"/>
      <c r="Q634" s="8">
        <v>3842</v>
      </c>
      <c r="R634" s="7"/>
      <c r="S634" s="8">
        <v>5752</v>
      </c>
      <c r="T634" s="7"/>
      <c r="U634" s="8">
        <v>0</v>
      </c>
      <c r="V634" s="7"/>
      <c r="W634" s="33">
        <v>78236</v>
      </c>
      <c r="X634" s="7"/>
      <c r="Y634" s="30">
        <v>31</v>
      </c>
      <c r="Z634" s="7"/>
      <c r="AA634" s="30">
        <v>4.5</v>
      </c>
      <c r="AB634" s="7"/>
      <c r="AC634" s="30">
        <v>2</v>
      </c>
      <c r="AD634" s="7"/>
      <c r="AE634" s="30">
        <v>3</v>
      </c>
      <c r="AF634" s="7"/>
      <c r="AG634" s="30">
        <v>0</v>
      </c>
      <c r="AI634" s="32">
        <v>40.5</v>
      </c>
      <c r="AK634" s="7" t="str">
        <f t="shared" si="9"/>
        <v>No</v>
      </c>
    </row>
    <row r="635" spans="1:37">
      <c r="A635" s="7" t="s">
        <v>742</v>
      </c>
      <c r="B635" s="7" t="s">
        <v>743</v>
      </c>
      <c r="C635" s="7" t="s">
        <v>83</v>
      </c>
      <c r="D635" s="302">
        <v>4178</v>
      </c>
      <c r="E635" s="297">
        <v>40178</v>
      </c>
      <c r="F635" s="7" t="s">
        <v>243</v>
      </c>
      <c r="G635" s="7" t="s">
        <v>158</v>
      </c>
      <c r="H635" s="8">
        <v>969587</v>
      </c>
      <c r="I635" s="8">
        <v>21</v>
      </c>
      <c r="J635" s="7" t="s">
        <v>8</v>
      </c>
      <c r="K635" s="7" t="s">
        <v>159</v>
      </c>
      <c r="L635" s="8">
        <v>21</v>
      </c>
      <c r="M635" s="8">
        <v>508</v>
      </c>
      <c r="N635" s="7"/>
      <c r="O635" s="8">
        <v>258</v>
      </c>
      <c r="P635" s="7"/>
      <c r="Q635" s="8">
        <v>50</v>
      </c>
      <c r="R635" s="7"/>
      <c r="S635" s="8">
        <v>1199</v>
      </c>
      <c r="T635" s="7"/>
      <c r="U635" s="8">
        <v>0</v>
      </c>
      <c r="V635" s="7"/>
      <c r="W635" s="33">
        <v>2015</v>
      </c>
      <c r="X635" s="7"/>
      <c r="Y635" s="30">
        <v>0.28000000000000003</v>
      </c>
      <c r="Z635" s="7"/>
      <c r="AA635" s="30">
        <v>0.14000000000000001</v>
      </c>
      <c r="AB635" s="7"/>
      <c r="AC635" s="30">
        <v>0.03</v>
      </c>
      <c r="AD635" s="7"/>
      <c r="AE635" s="30">
        <v>0.65</v>
      </c>
      <c r="AF635" s="7"/>
      <c r="AG635" s="30">
        <v>0</v>
      </c>
      <c r="AI635" s="32">
        <v>1.1000000000000001</v>
      </c>
      <c r="AK635" s="7" t="str">
        <f t="shared" si="9"/>
        <v>No</v>
      </c>
    </row>
    <row r="636" spans="1:37">
      <c r="A636" s="7" t="s">
        <v>733</v>
      </c>
      <c r="B636" s="7" t="s">
        <v>734</v>
      </c>
      <c r="C636" s="7" t="s">
        <v>52</v>
      </c>
      <c r="D636" s="302">
        <v>5184</v>
      </c>
      <c r="E636" s="297">
        <v>50184</v>
      </c>
      <c r="F636" s="7" t="s">
        <v>165</v>
      </c>
      <c r="G636" s="7" t="s">
        <v>158</v>
      </c>
      <c r="H636" s="8">
        <v>99941</v>
      </c>
      <c r="I636" s="8">
        <v>21</v>
      </c>
      <c r="J636" s="7" t="s">
        <v>10</v>
      </c>
      <c r="K636" s="7" t="s">
        <v>159</v>
      </c>
      <c r="L636" s="8">
        <v>13</v>
      </c>
      <c r="M636" s="8">
        <v>37226</v>
      </c>
      <c r="N636" s="7"/>
      <c r="O636" s="8">
        <v>1138</v>
      </c>
      <c r="P636" s="7"/>
      <c r="Q636" s="8">
        <v>1138</v>
      </c>
      <c r="R636" s="7"/>
      <c r="S636" s="8">
        <v>7662</v>
      </c>
      <c r="T636" s="7"/>
      <c r="U636" s="8">
        <v>0</v>
      </c>
      <c r="V636" s="7"/>
      <c r="W636" s="33">
        <v>47164</v>
      </c>
      <c r="X636" s="7"/>
      <c r="Y636" s="30">
        <v>21</v>
      </c>
      <c r="Z636" s="7"/>
      <c r="AA636" s="30">
        <v>0.5</v>
      </c>
      <c r="AB636" s="7"/>
      <c r="AC636" s="30">
        <v>0.5</v>
      </c>
      <c r="AD636" s="7"/>
      <c r="AE636" s="30">
        <v>4</v>
      </c>
      <c r="AF636" s="7"/>
      <c r="AG636" s="30">
        <v>0</v>
      </c>
      <c r="AI636" s="32">
        <v>26</v>
      </c>
      <c r="AK636" s="7" t="str">
        <f t="shared" si="9"/>
        <v>No</v>
      </c>
    </row>
    <row r="637" spans="1:37">
      <c r="A637" s="7" t="s">
        <v>733</v>
      </c>
      <c r="B637" s="7" t="s">
        <v>734</v>
      </c>
      <c r="C637" s="7" t="s">
        <v>52</v>
      </c>
      <c r="D637" s="302">
        <v>5184</v>
      </c>
      <c r="E637" s="297">
        <v>50184</v>
      </c>
      <c r="F637" s="7" t="s">
        <v>165</v>
      </c>
      <c r="G637" s="7" t="s">
        <v>158</v>
      </c>
      <c r="H637" s="8">
        <v>99941</v>
      </c>
      <c r="I637" s="8">
        <v>21</v>
      </c>
      <c r="J637" s="7" t="s">
        <v>7</v>
      </c>
      <c r="K637" s="7" t="s">
        <v>159</v>
      </c>
      <c r="L637" s="8">
        <v>8</v>
      </c>
      <c r="M637" s="8">
        <v>40766</v>
      </c>
      <c r="N637" s="7"/>
      <c r="O637" s="8">
        <v>1246</v>
      </c>
      <c r="P637" s="7"/>
      <c r="Q637" s="8">
        <v>1246</v>
      </c>
      <c r="R637" s="7"/>
      <c r="S637" s="8">
        <v>8391</v>
      </c>
      <c r="T637" s="7"/>
      <c r="U637" s="8">
        <v>0</v>
      </c>
      <c r="V637" s="7"/>
      <c r="W637" s="33">
        <v>51649</v>
      </c>
      <c r="X637" s="7"/>
      <c r="Y637" s="30">
        <v>23</v>
      </c>
      <c r="Z637" s="7"/>
      <c r="AA637" s="30">
        <v>0.5</v>
      </c>
      <c r="AB637" s="7"/>
      <c r="AC637" s="30">
        <v>0.5</v>
      </c>
      <c r="AD637" s="7"/>
      <c r="AE637" s="30">
        <v>5</v>
      </c>
      <c r="AF637" s="7"/>
      <c r="AG637" s="30">
        <v>0</v>
      </c>
      <c r="AI637" s="32">
        <v>29</v>
      </c>
      <c r="AK637" s="7" t="str">
        <f t="shared" si="9"/>
        <v>No</v>
      </c>
    </row>
    <row r="638" spans="1:37">
      <c r="A638" s="7" t="s">
        <v>758</v>
      </c>
      <c r="B638" s="7" t="s">
        <v>759</v>
      </c>
      <c r="C638" s="7" t="s">
        <v>63</v>
      </c>
      <c r="D638" s="302">
        <v>2193</v>
      </c>
      <c r="E638" s="297">
        <v>20193</v>
      </c>
      <c r="F638" s="7" t="s">
        <v>162</v>
      </c>
      <c r="G638" s="7" t="s">
        <v>158</v>
      </c>
      <c r="H638" s="8">
        <v>95259</v>
      </c>
      <c r="I638" s="8">
        <v>20</v>
      </c>
      <c r="J638" s="7" t="s">
        <v>10</v>
      </c>
      <c r="K638" s="7" t="s">
        <v>159</v>
      </c>
      <c r="L638" s="8">
        <v>20</v>
      </c>
      <c r="M638" s="8">
        <v>33812</v>
      </c>
      <c r="N638" s="7"/>
      <c r="O638" s="8">
        <v>2873</v>
      </c>
      <c r="P638" s="7"/>
      <c r="Q638" s="8">
        <v>0</v>
      </c>
      <c r="R638" s="7"/>
      <c r="S638" s="8">
        <v>2916</v>
      </c>
      <c r="T638" s="7"/>
      <c r="U638" s="8">
        <v>0</v>
      </c>
      <c r="V638" s="7"/>
      <c r="W638" s="33">
        <v>39601</v>
      </c>
      <c r="X638" s="7"/>
      <c r="Y638" s="30">
        <v>23</v>
      </c>
      <c r="Z638" s="7"/>
      <c r="AA638" s="30">
        <v>2</v>
      </c>
      <c r="AB638" s="7"/>
      <c r="AC638" s="30">
        <v>0</v>
      </c>
      <c r="AD638" s="7"/>
      <c r="AE638" s="30">
        <v>2</v>
      </c>
      <c r="AF638" s="7"/>
      <c r="AG638" s="30">
        <v>0</v>
      </c>
      <c r="AI638" s="32">
        <v>27</v>
      </c>
      <c r="AK638" s="7" t="str">
        <f t="shared" si="9"/>
        <v>No</v>
      </c>
    </row>
    <row r="639" spans="1:37">
      <c r="A639" s="7" t="s">
        <v>406</v>
      </c>
      <c r="B639" s="7" t="s">
        <v>407</v>
      </c>
      <c r="C639" s="7" t="s">
        <v>81</v>
      </c>
      <c r="D639" s="302">
        <v>4053</v>
      </c>
      <c r="E639" s="297">
        <v>40053</v>
      </c>
      <c r="F639" s="7" t="s">
        <v>165</v>
      </c>
      <c r="G639" s="7" t="s">
        <v>158</v>
      </c>
      <c r="H639" s="8">
        <v>400492</v>
      </c>
      <c r="I639" s="8">
        <v>20</v>
      </c>
      <c r="J639" s="7" t="s">
        <v>7</v>
      </c>
      <c r="K639" s="7" t="s">
        <v>159</v>
      </c>
      <c r="L639" s="8">
        <v>17</v>
      </c>
      <c r="M639" s="8">
        <v>70739</v>
      </c>
      <c r="N639" s="7"/>
      <c r="O639" s="8">
        <v>16861</v>
      </c>
      <c r="P639" s="7"/>
      <c r="Q639" s="8">
        <v>2025</v>
      </c>
      <c r="R639" s="7"/>
      <c r="S639" s="8">
        <v>25638</v>
      </c>
      <c r="T639" s="7"/>
      <c r="U639" s="8">
        <v>0</v>
      </c>
      <c r="V639" s="7"/>
      <c r="W639" s="33">
        <v>115263</v>
      </c>
      <c r="X639" s="7"/>
      <c r="Y639" s="30">
        <v>41</v>
      </c>
      <c r="Z639" s="7"/>
      <c r="AA639" s="30">
        <v>6.88</v>
      </c>
      <c r="AB639" s="7"/>
      <c r="AC639" s="30">
        <v>0.93</v>
      </c>
      <c r="AD639" s="7"/>
      <c r="AE639" s="30">
        <v>15</v>
      </c>
      <c r="AF639" s="7"/>
      <c r="AG639" s="30">
        <v>0</v>
      </c>
      <c r="AI639" s="32">
        <v>63.81</v>
      </c>
      <c r="AK639" s="7" t="str">
        <f t="shared" si="9"/>
        <v>No</v>
      </c>
    </row>
    <row r="640" spans="1:37">
      <c r="A640" s="7" t="s">
        <v>381</v>
      </c>
      <c r="B640" s="7" t="s">
        <v>382</v>
      </c>
      <c r="C640" s="7" t="s">
        <v>42</v>
      </c>
      <c r="D640" s="302">
        <v>5045</v>
      </c>
      <c r="E640" s="297">
        <v>50045</v>
      </c>
      <c r="F640" s="7" t="s">
        <v>162</v>
      </c>
      <c r="G640" s="7" t="s">
        <v>158</v>
      </c>
      <c r="H640" s="8">
        <v>8608208</v>
      </c>
      <c r="I640" s="8">
        <v>20</v>
      </c>
      <c r="J640" s="7" t="s">
        <v>7</v>
      </c>
      <c r="K640" s="7" t="s">
        <v>159</v>
      </c>
      <c r="L640" s="8">
        <v>16</v>
      </c>
      <c r="M640" s="8">
        <v>66801</v>
      </c>
      <c r="N640" s="7"/>
      <c r="O640" s="8">
        <v>19905</v>
      </c>
      <c r="P640" s="7"/>
      <c r="Q640" s="8">
        <v>10440</v>
      </c>
      <c r="R640" s="7"/>
      <c r="S640" s="8">
        <v>17825</v>
      </c>
      <c r="T640" s="7"/>
      <c r="U640" s="8">
        <v>0</v>
      </c>
      <c r="V640" s="7"/>
      <c r="W640" s="33">
        <v>114971</v>
      </c>
      <c r="X640" s="7"/>
      <c r="Y640" s="30">
        <v>34</v>
      </c>
      <c r="Z640" s="7"/>
      <c r="AA640" s="30">
        <v>11.5</v>
      </c>
      <c r="AB640" s="7"/>
      <c r="AC640" s="30">
        <v>5</v>
      </c>
      <c r="AD640" s="7"/>
      <c r="AE640" s="30">
        <v>8</v>
      </c>
      <c r="AF640" s="7"/>
      <c r="AG640" s="30">
        <v>0</v>
      </c>
      <c r="AI640" s="32">
        <v>58.5</v>
      </c>
      <c r="AK640" s="7" t="str">
        <f t="shared" si="9"/>
        <v>No</v>
      </c>
    </row>
    <row r="641" spans="1:37">
      <c r="A641" s="7" t="s">
        <v>705</v>
      </c>
      <c r="B641" s="7" t="s">
        <v>706</v>
      </c>
      <c r="C641" s="7" t="s">
        <v>57</v>
      </c>
      <c r="D641" s="302">
        <v>8012</v>
      </c>
      <c r="E641" s="297">
        <v>80012</v>
      </c>
      <c r="F641" s="7" t="s">
        <v>165</v>
      </c>
      <c r="G641" s="7" t="s">
        <v>158</v>
      </c>
      <c r="H641" s="8">
        <v>65207</v>
      </c>
      <c r="I641" s="8">
        <v>20</v>
      </c>
      <c r="J641" s="7" t="s">
        <v>7</v>
      </c>
      <c r="K641" s="7" t="s">
        <v>159</v>
      </c>
      <c r="L641" s="8">
        <v>13</v>
      </c>
      <c r="M641" s="8">
        <v>30927</v>
      </c>
      <c r="N641" s="7"/>
      <c r="O641" s="8">
        <v>6137</v>
      </c>
      <c r="P641" s="7"/>
      <c r="Q641" s="8">
        <v>1666</v>
      </c>
      <c r="R641" s="7"/>
      <c r="S641" s="8">
        <v>5211</v>
      </c>
      <c r="T641" s="7"/>
      <c r="U641" s="8">
        <v>0</v>
      </c>
      <c r="V641" s="7"/>
      <c r="W641" s="33">
        <v>43941</v>
      </c>
      <c r="X641" s="7"/>
      <c r="Y641" s="30">
        <v>17</v>
      </c>
      <c r="Z641" s="7"/>
      <c r="AA641" s="30">
        <v>4</v>
      </c>
      <c r="AB641" s="7"/>
      <c r="AC641" s="30">
        <v>1</v>
      </c>
      <c r="AD641" s="7"/>
      <c r="AE641" s="30">
        <v>3</v>
      </c>
      <c r="AF641" s="7"/>
      <c r="AG641" s="30">
        <v>0</v>
      </c>
      <c r="AI641" s="32">
        <v>25</v>
      </c>
      <c r="AK641" s="7" t="str">
        <f t="shared" si="9"/>
        <v>No</v>
      </c>
    </row>
    <row r="642" spans="1:37">
      <c r="A642" s="7" t="s">
        <v>300</v>
      </c>
      <c r="B642" s="7" t="s">
        <v>299</v>
      </c>
      <c r="C642" s="7" t="s">
        <v>52</v>
      </c>
      <c r="D642" s="302">
        <v>5034</v>
      </c>
      <c r="E642" s="297">
        <v>50034</v>
      </c>
      <c r="F642" s="7" t="s">
        <v>165</v>
      </c>
      <c r="G642" s="7" t="s">
        <v>158</v>
      </c>
      <c r="H642" s="8">
        <v>90057</v>
      </c>
      <c r="I642" s="8">
        <v>20</v>
      </c>
      <c r="J642" s="7" t="s">
        <v>10</v>
      </c>
      <c r="K642" s="7" t="s">
        <v>159</v>
      </c>
      <c r="L642" s="8">
        <v>10</v>
      </c>
      <c r="M642" s="8">
        <v>20616</v>
      </c>
      <c r="N642" s="7"/>
      <c r="O642" s="8">
        <v>7383</v>
      </c>
      <c r="P642" s="7"/>
      <c r="Q642" s="8">
        <v>1647</v>
      </c>
      <c r="R642" s="7"/>
      <c r="S642" s="8">
        <v>4248</v>
      </c>
      <c r="T642" s="7"/>
      <c r="U642" s="8">
        <v>0</v>
      </c>
      <c r="V642" s="7"/>
      <c r="W642" s="33">
        <v>33894</v>
      </c>
      <c r="X642" s="7"/>
      <c r="Y642" s="30">
        <v>11</v>
      </c>
      <c r="Z642" s="7"/>
      <c r="AA642" s="30">
        <v>4</v>
      </c>
      <c r="AB642" s="7"/>
      <c r="AC642" s="30">
        <v>1</v>
      </c>
      <c r="AD642" s="7"/>
      <c r="AE642" s="30">
        <v>2</v>
      </c>
      <c r="AF642" s="7"/>
      <c r="AG642" s="30">
        <v>0</v>
      </c>
      <c r="AI642" s="32">
        <v>18</v>
      </c>
      <c r="AK642" s="7" t="str">
        <f t="shared" ref="AK642:AK705" si="10">IF(AJ642&amp;AH642&amp;AF642&amp;AD642&amp;AB642&amp;Z642&amp;X642&amp;V642&amp;T642&amp;R642&amp;P642&amp;N642&lt;&gt;"","Yes","No")</f>
        <v>No</v>
      </c>
    </row>
    <row r="643" spans="1:37">
      <c r="A643" s="7" t="s">
        <v>300</v>
      </c>
      <c r="B643" s="7" t="s">
        <v>299</v>
      </c>
      <c r="C643" s="7" t="s">
        <v>52</v>
      </c>
      <c r="D643" s="302">
        <v>5034</v>
      </c>
      <c r="E643" s="297">
        <v>50034</v>
      </c>
      <c r="F643" s="7" t="s">
        <v>165</v>
      </c>
      <c r="G643" s="7" t="s">
        <v>158</v>
      </c>
      <c r="H643" s="8">
        <v>90057</v>
      </c>
      <c r="I643" s="8">
        <v>20</v>
      </c>
      <c r="J643" s="7" t="s">
        <v>7</v>
      </c>
      <c r="K643" s="7" t="s">
        <v>159</v>
      </c>
      <c r="L643" s="8">
        <v>10</v>
      </c>
      <c r="M643" s="8">
        <v>31909</v>
      </c>
      <c r="N643" s="7"/>
      <c r="O643" s="8">
        <v>11426</v>
      </c>
      <c r="P643" s="7"/>
      <c r="Q643" s="8">
        <v>2549</v>
      </c>
      <c r="R643" s="7"/>
      <c r="S643" s="8">
        <v>6574</v>
      </c>
      <c r="T643" s="7"/>
      <c r="U643" s="8">
        <v>0</v>
      </c>
      <c r="V643" s="7"/>
      <c r="W643" s="33">
        <v>52458</v>
      </c>
      <c r="X643" s="7"/>
      <c r="Y643" s="30">
        <v>18</v>
      </c>
      <c r="Z643" s="7"/>
      <c r="AA643" s="30">
        <v>6</v>
      </c>
      <c r="AB643" s="7"/>
      <c r="AC643" s="30">
        <v>1</v>
      </c>
      <c r="AD643" s="7"/>
      <c r="AE643" s="30">
        <v>4</v>
      </c>
      <c r="AF643" s="7"/>
      <c r="AG643" s="30">
        <v>0</v>
      </c>
      <c r="AI643" s="32">
        <v>29</v>
      </c>
      <c r="AK643" s="7" t="str">
        <f t="shared" si="10"/>
        <v>No</v>
      </c>
    </row>
    <row r="644" spans="1:37">
      <c r="A644" s="7" t="s">
        <v>705</v>
      </c>
      <c r="B644" s="7" t="s">
        <v>706</v>
      </c>
      <c r="C644" s="7" t="s">
        <v>57</v>
      </c>
      <c r="D644" s="302">
        <v>8012</v>
      </c>
      <c r="E644" s="297">
        <v>80012</v>
      </c>
      <c r="F644" s="7" t="s">
        <v>165</v>
      </c>
      <c r="G644" s="7" t="s">
        <v>158</v>
      </c>
      <c r="H644" s="8">
        <v>65207</v>
      </c>
      <c r="I644" s="8">
        <v>20</v>
      </c>
      <c r="J644" s="7" t="s">
        <v>10</v>
      </c>
      <c r="K644" s="7" t="s">
        <v>159</v>
      </c>
      <c r="L644" s="8">
        <v>7</v>
      </c>
      <c r="M644" s="8">
        <v>1767</v>
      </c>
      <c r="N644" s="7"/>
      <c r="O644" s="8">
        <v>184</v>
      </c>
      <c r="P644" s="7"/>
      <c r="Q644" s="8">
        <v>13</v>
      </c>
      <c r="R644" s="7"/>
      <c r="S644" s="8">
        <v>1915</v>
      </c>
      <c r="T644" s="7"/>
      <c r="U644" s="8">
        <v>0</v>
      </c>
      <c r="V644" s="7"/>
      <c r="W644" s="33">
        <v>3879</v>
      </c>
      <c r="X644" s="7"/>
      <c r="Y644" s="30">
        <v>1</v>
      </c>
      <c r="Z644" s="7"/>
      <c r="AA644" s="30">
        <v>0.1</v>
      </c>
      <c r="AB644" s="7"/>
      <c r="AC644" s="30">
        <v>0.01</v>
      </c>
      <c r="AD644" s="7"/>
      <c r="AE644" s="30">
        <v>1</v>
      </c>
      <c r="AF644" s="7"/>
      <c r="AG644" s="30">
        <v>0</v>
      </c>
      <c r="AI644" s="32">
        <v>2.11</v>
      </c>
      <c r="AK644" s="7" t="str">
        <f t="shared" si="10"/>
        <v>No</v>
      </c>
    </row>
    <row r="645" spans="1:37">
      <c r="A645" s="7" t="s">
        <v>381</v>
      </c>
      <c r="B645" s="7" t="s">
        <v>382</v>
      </c>
      <c r="C645" s="7" t="s">
        <v>42</v>
      </c>
      <c r="D645" s="302">
        <v>5045</v>
      </c>
      <c r="E645" s="297">
        <v>50045</v>
      </c>
      <c r="F645" s="7" t="s">
        <v>162</v>
      </c>
      <c r="G645" s="7" t="s">
        <v>158</v>
      </c>
      <c r="H645" s="8">
        <v>8608208</v>
      </c>
      <c r="I645" s="8">
        <v>20</v>
      </c>
      <c r="J645" s="7" t="s">
        <v>10</v>
      </c>
      <c r="K645" s="7" t="s">
        <v>159</v>
      </c>
      <c r="L645" s="8">
        <v>4</v>
      </c>
      <c r="M645" s="8">
        <v>15299</v>
      </c>
      <c r="N645" s="7"/>
      <c r="O645" s="8">
        <v>5309</v>
      </c>
      <c r="P645" s="7"/>
      <c r="Q645" s="8">
        <v>1048</v>
      </c>
      <c r="R645" s="7"/>
      <c r="S645" s="8">
        <v>5108</v>
      </c>
      <c r="T645" s="7"/>
      <c r="U645" s="8">
        <v>0</v>
      </c>
      <c r="V645" s="7"/>
      <c r="W645" s="33">
        <v>26764</v>
      </c>
      <c r="X645" s="7"/>
      <c r="Y645" s="30">
        <v>12</v>
      </c>
      <c r="Z645" s="7"/>
      <c r="AA645" s="30">
        <v>3</v>
      </c>
      <c r="AB645" s="7"/>
      <c r="AC645" s="30">
        <v>0.5</v>
      </c>
      <c r="AD645" s="7"/>
      <c r="AE645" s="30">
        <v>2.5</v>
      </c>
      <c r="AF645" s="7"/>
      <c r="AG645" s="30">
        <v>0</v>
      </c>
      <c r="AI645" s="32">
        <v>18</v>
      </c>
      <c r="AK645" s="7" t="str">
        <f t="shared" si="10"/>
        <v>No</v>
      </c>
    </row>
    <row r="646" spans="1:37">
      <c r="A646" s="7" t="s">
        <v>406</v>
      </c>
      <c r="B646" s="7" t="s">
        <v>407</v>
      </c>
      <c r="C646" s="7" t="s">
        <v>81</v>
      </c>
      <c r="D646" s="302">
        <v>4053</v>
      </c>
      <c r="E646" s="297">
        <v>40053</v>
      </c>
      <c r="F646" s="7" t="s">
        <v>165</v>
      </c>
      <c r="G646" s="7" t="s">
        <v>158</v>
      </c>
      <c r="H646" s="8">
        <v>400492</v>
      </c>
      <c r="I646" s="8">
        <v>20</v>
      </c>
      <c r="J646" s="7" t="s">
        <v>10</v>
      </c>
      <c r="K646" s="7" t="s">
        <v>159</v>
      </c>
      <c r="L646" s="8">
        <v>3</v>
      </c>
      <c r="M646" s="8">
        <v>9969</v>
      </c>
      <c r="N646" s="7"/>
      <c r="O646" s="8">
        <v>1269</v>
      </c>
      <c r="P646" s="7"/>
      <c r="Q646" s="8">
        <v>152</v>
      </c>
      <c r="R646" s="7"/>
      <c r="S646" s="8">
        <v>5215</v>
      </c>
      <c r="T646" s="7"/>
      <c r="U646" s="8">
        <v>0</v>
      </c>
      <c r="V646" s="7"/>
      <c r="W646" s="33">
        <v>16605</v>
      </c>
      <c r="X646" s="7"/>
      <c r="Y646" s="30">
        <v>9</v>
      </c>
      <c r="Z646" s="7"/>
      <c r="AA646" s="30">
        <v>0.62</v>
      </c>
      <c r="AB646" s="7"/>
      <c r="AC646" s="30">
        <v>7.0000000000000007E-2</v>
      </c>
      <c r="AD646" s="7"/>
      <c r="AE646" s="30">
        <v>3</v>
      </c>
      <c r="AF646" s="7"/>
      <c r="AG646" s="30">
        <v>0</v>
      </c>
      <c r="AI646" s="32">
        <v>12.69</v>
      </c>
      <c r="AK646" s="7" t="str">
        <f t="shared" si="10"/>
        <v>No</v>
      </c>
    </row>
    <row r="647" spans="1:37">
      <c r="A647" s="7" t="s">
        <v>682</v>
      </c>
      <c r="B647" s="7" t="s">
        <v>266</v>
      </c>
      <c r="C647" s="7" t="s">
        <v>89</v>
      </c>
      <c r="D647" s="302">
        <v>35</v>
      </c>
      <c r="E647" s="297">
        <v>35</v>
      </c>
      <c r="F647" s="7" t="s">
        <v>157</v>
      </c>
      <c r="G647" s="7" t="s">
        <v>158</v>
      </c>
      <c r="H647" s="8">
        <v>3059393</v>
      </c>
      <c r="I647" s="8">
        <v>19</v>
      </c>
      <c r="J647" s="7" t="s">
        <v>19</v>
      </c>
      <c r="K647" s="7" t="s">
        <v>159</v>
      </c>
      <c r="L647" s="8">
        <v>19</v>
      </c>
      <c r="M647" s="8">
        <v>2555714</v>
      </c>
      <c r="N647" s="7"/>
      <c r="O647" s="8">
        <v>252956</v>
      </c>
      <c r="P647" s="7"/>
      <c r="Q647" s="8">
        <v>125411</v>
      </c>
      <c r="R647" s="7"/>
      <c r="S647" s="8">
        <v>109046</v>
      </c>
      <c r="T647" s="7"/>
      <c r="U647" s="8">
        <v>203352</v>
      </c>
      <c r="V647" s="7"/>
      <c r="W647" s="33">
        <v>3246479</v>
      </c>
      <c r="X647" s="7"/>
      <c r="Y647" s="30">
        <v>1298</v>
      </c>
      <c r="Z647" s="7"/>
      <c r="AA647" s="30">
        <v>116</v>
      </c>
      <c r="AB647" s="7"/>
      <c r="AC647" s="30">
        <v>67</v>
      </c>
      <c r="AD647" s="7"/>
      <c r="AE647" s="30">
        <v>71</v>
      </c>
      <c r="AF647" s="7"/>
      <c r="AG647" s="30">
        <v>104</v>
      </c>
      <c r="AI647" s="32">
        <v>1656</v>
      </c>
      <c r="AK647" s="7" t="str">
        <f t="shared" si="10"/>
        <v>No</v>
      </c>
    </row>
    <row r="648" spans="1:37">
      <c r="A648" s="7" t="s">
        <v>303</v>
      </c>
      <c r="B648" s="7" t="s">
        <v>304</v>
      </c>
      <c r="C648" s="7" t="s">
        <v>46</v>
      </c>
      <c r="D648" s="302">
        <v>6038</v>
      </c>
      <c r="E648" s="297">
        <v>60038</v>
      </c>
      <c r="F648" s="7" t="s">
        <v>162</v>
      </c>
      <c r="G648" s="7" t="s">
        <v>158</v>
      </c>
      <c r="H648" s="8">
        <v>252720</v>
      </c>
      <c r="I648" s="8">
        <v>19</v>
      </c>
      <c r="J648" s="7" t="s">
        <v>7</v>
      </c>
      <c r="K648" s="7" t="s">
        <v>159</v>
      </c>
      <c r="L648" s="8">
        <v>13</v>
      </c>
      <c r="M648" s="8">
        <v>58610</v>
      </c>
      <c r="N648" s="7"/>
      <c r="O648" s="8">
        <v>0</v>
      </c>
      <c r="P648" s="7"/>
      <c r="Q648" s="8">
        <v>2107</v>
      </c>
      <c r="R648" s="7"/>
      <c r="S648" s="8">
        <v>5490</v>
      </c>
      <c r="T648" s="7"/>
      <c r="U648" s="8">
        <v>0</v>
      </c>
      <c r="V648" s="7"/>
      <c r="W648" s="33">
        <v>66207</v>
      </c>
      <c r="X648" s="7"/>
      <c r="Y648" s="30">
        <v>32</v>
      </c>
      <c r="Z648" s="7"/>
      <c r="AA648" s="30">
        <v>0</v>
      </c>
      <c r="AB648" s="7"/>
      <c r="AC648" s="30">
        <v>1</v>
      </c>
      <c r="AD648" s="7"/>
      <c r="AE648" s="30">
        <v>3</v>
      </c>
      <c r="AF648" s="7"/>
      <c r="AG648" s="30">
        <v>0</v>
      </c>
      <c r="AI648" s="32">
        <v>36</v>
      </c>
      <c r="AK648" s="7" t="str">
        <f t="shared" si="10"/>
        <v>No</v>
      </c>
    </row>
    <row r="649" spans="1:37">
      <c r="A649" s="7" t="s">
        <v>14</v>
      </c>
      <c r="B649" s="7" t="s">
        <v>297</v>
      </c>
      <c r="C649" s="7" t="s">
        <v>13</v>
      </c>
      <c r="D649" s="302">
        <v>9034</v>
      </c>
      <c r="E649" s="297">
        <v>90034</v>
      </c>
      <c r="F649" s="7" t="s">
        <v>162</v>
      </c>
      <c r="G649" s="7" t="s">
        <v>158</v>
      </c>
      <c r="H649" s="8">
        <v>3629114</v>
      </c>
      <c r="I649" s="8">
        <v>18</v>
      </c>
      <c r="J649" s="7" t="s">
        <v>10</v>
      </c>
      <c r="K649" s="7" t="s">
        <v>159</v>
      </c>
      <c r="L649" s="8">
        <v>15</v>
      </c>
      <c r="M649" s="8">
        <v>41920</v>
      </c>
      <c r="N649" s="7"/>
      <c r="O649" s="8">
        <v>1809</v>
      </c>
      <c r="P649" s="7"/>
      <c r="Q649" s="8">
        <v>441</v>
      </c>
      <c r="R649" s="7"/>
      <c r="S649" s="8">
        <v>10764</v>
      </c>
      <c r="T649" s="7"/>
      <c r="U649" s="8">
        <v>0</v>
      </c>
      <c r="V649" s="7"/>
      <c r="W649" s="33">
        <v>54934</v>
      </c>
      <c r="X649" s="7"/>
      <c r="Y649" s="30">
        <v>19.18</v>
      </c>
      <c r="Z649" s="7"/>
      <c r="AA649" s="30">
        <v>0.87</v>
      </c>
      <c r="AB649" s="7"/>
      <c r="AC649" s="30">
        <v>0.21</v>
      </c>
      <c r="AD649" s="7"/>
      <c r="AE649" s="30">
        <v>5.41</v>
      </c>
      <c r="AF649" s="7"/>
      <c r="AG649" s="30">
        <v>0</v>
      </c>
      <c r="AI649" s="32">
        <v>25.67</v>
      </c>
      <c r="AK649" s="7" t="str">
        <f t="shared" si="10"/>
        <v>No</v>
      </c>
    </row>
    <row r="650" spans="1:37">
      <c r="A650" s="7" t="s">
        <v>1097</v>
      </c>
      <c r="B650" s="7" t="s">
        <v>350</v>
      </c>
      <c r="C650" s="7" t="s">
        <v>62</v>
      </c>
      <c r="D650" s="302">
        <v>1086</v>
      </c>
      <c r="E650" s="297">
        <v>10086</v>
      </c>
      <c r="F650" s="7" t="s">
        <v>165</v>
      </c>
      <c r="G650" s="7" t="s">
        <v>158</v>
      </c>
      <c r="H650" s="8">
        <v>88087</v>
      </c>
      <c r="I650" s="8">
        <v>18</v>
      </c>
      <c r="J650" s="7" t="s">
        <v>7</v>
      </c>
      <c r="K650" s="7" t="s">
        <v>159</v>
      </c>
      <c r="L650" s="8">
        <v>14</v>
      </c>
      <c r="M650" s="8">
        <v>67036</v>
      </c>
      <c r="N650" s="7"/>
      <c r="O650" s="8">
        <v>4431</v>
      </c>
      <c r="P650" s="7"/>
      <c r="Q650" s="8">
        <v>0</v>
      </c>
      <c r="R650" s="7"/>
      <c r="S650" s="8">
        <v>8546</v>
      </c>
      <c r="T650" s="7"/>
      <c r="U650" s="8">
        <v>0</v>
      </c>
      <c r="V650" s="7"/>
      <c r="W650" s="33">
        <v>80013</v>
      </c>
      <c r="X650" s="7"/>
      <c r="Y650" s="30">
        <v>33.9</v>
      </c>
      <c r="Z650" s="7"/>
      <c r="AA650" s="30">
        <v>2.2999999999999998</v>
      </c>
      <c r="AB650" s="7"/>
      <c r="AC650" s="30">
        <v>0</v>
      </c>
      <c r="AD650" s="7"/>
      <c r="AE650" s="30">
        <v>4.7</v>
      </c>
      <c r="AF650" s="7"/>
      <c r="AG650" s="30">
        <v>0</v>
      </c>
      <c r="AI650" s="32">
        <v>40.9</v>
      </c>
      <c r="AK650" s="7" t="str">
        <f t="shared" si="10"/>
        <v>No</v>
      </c>
    </row>
    <row r="651" spans="1:37">
      <c r="A651" s="7" t="s">
        <v>777</v>
      </c>
      <c r="B651" s="7" t="s">
        <v>778</v>
      </c>
      <c r="C651" s="7" t="s">
        <v>73</v>
      </c>
      <c r="D651" s="302">
        <v>5199</v>
      </c>
      <c r="E651" s="297">
        <v>50199</v>
      </c>
      <c r="F651" s="7" t="s">
        <v>165</v>
      </c>
      <c r="G651" s="7" t="s">
        <v>158</v>
      </c>
      <c r="H651" s="8">
        <v>1368035</v>
      </c>
      <c r="I651" s="8">
        <v>18</v>
      </c>
      <c r="J651" s="7" t="s">
        <v>7</v>
      </c>
      <c r="K651" s="7" t="s">
        <v>159</v>
      </c>
      <c r="L651" s="8">
        <v>12</v>
      </c>
      <c r="M651" s="8">
        <v>16290</v>
      </c>
      <c r="N651" s="7"/>
      <c r="O651" s="8">
        <v>2324</v>
      </c>
      <c r="P651" s="7"/>
      <c r="Q651" s="8">
        <v>0</v>
      </c>
      <c r="R651" s="7"/>
      <c r="S651" s="8">
        <v>7955</v>
      </c>
      <c r="T651" s="7"/>
      <c r="U651" s="8">
        <v>0</v>
      </c>
      <c r="V651" s="7"/>
      <c r="W651" s="33">
        <v>26569</v>
      </c>
      <c r="X651" s="7"/>
      <c r="Y651" s="30">
        <v>10</v>
      </c>
      <c r="Z651" s="7"/>
      <c r="AA651" s="30">
        <v>1.32</v>
      </c>
      <c r="AB651" s="7"/>
      <c r="AC651" s="30">
        <v>0</v>
      </c>
      <c r="AD651" s="7"/>
      <c r="AE651" s="30">
        <v>5</v>
      </c>
      <c r="AF651" s="7"/>
      <c r="AG651" s="30">
        <v>0</v>
      </c>
      <c r="AI651" s="32">
        <v>16.32</v>
      </c>
      <c r="AK651" s="7" t="str">
        <f t="shared" si="10"/>
        <v>No</v>
      </c>
    </row>
    <row r="652" spans="1:37">
      <c r="A652" s="7" t="s">
        <v>387</v>
      </c>
      <c r="B652" s="7" t="s">
        <v>388</v>
      </c>
      <c r="C652" s="7" t="s">
        <v>59</v>
      </c>
      <c r="D652" s="302">
        <v>8008</v>
      </c>
      <c r="E652" s="297">
        <v>80008</v>
      </c>
      <c r="F652" s="7" t="s">
        <v>162</v>
      </c>
      <c r="G652" s="7" t="s">
        <v>158</v>
      </c>
      <c r="H652" s="8">
        <v>61270</v>
      </c>
      <c r="I652" s="8">
        <v>18</v>
      </c>
      <c r="J652" s="7" t="s">
        <v>7</v>
      </c>
      <c r="K652" s="7" t="s">
        <v>159</v>
      </c>
      <c r="L652" s="8">
        <v>8</v>
      </c>
      <c r="M652" s="8">
        <v>24817</v>
      </c>
      <c r="N652" s="7"/>
      <c r="O652" s="8">
        <v>4542</v>
      </c>
      <c r="P652" s="7"/>
      <c r="Q652" s="8">
        <v>0</v>
      </c>
      <c r="R652" s="7"/>
      <c r="S652" s="8">
        <v>4678</v>
      </c>
      <c r="T652" s="7"/>
      <c r="U652" s="8">
        <v>0</v>
      </c>
      <c r="V652" s="7"/>
      <c r="W652" s="33">
        <v>34037</v>
      </c>
      <c r="X652" s="7"/>
      <c r="Y652" s="30">
        <v>16</v>
      </c>
      <c r="Z652" s="7"/>
      <c r="AA652" s="30">
        <v>2.5</v>
      </c>
      <c r="AB652" s="7"/>
      <c r="AC652" s="30">
        <v>0</v>
      </c>
      <c r="AD652" s="7"/>
      <c r="AE652" s="30">
        <v>2.5</v>
      </c>
      <c r="AF652" s="7"/>
      <c r="AG652" s="30">
        <v>0</v>
      </c>
      <c r="AI652" s="32">
        <v>21</v>
      </c>
      <c r="AK652" s="7" t="str">
        <f t="shared" si="10"/>
        <v>No</v>
      </c>
    </row>
    <row r="653" spans="1:37">
      <c r="A653" s="7" t="s">
        <v>777</v>
      </c>
      <c r="B653" s="7" t="s">
        <v>778</v>
      </c>
      <c r="C653" s="7" t="s">
        <v>73</v>
      </c>
      <c r="D653" s="302">
        <v>5199</v>
      </c>
      <c r="E653" s="297">
        <v>50199</v>
      </c>
      <c r="F653" s="7" t="s">
        <v>165</v>
      </c>
      <c r="G653" s="7" t="s">
        <v>158</v>
      </c>
      <c r="H653" s="8">
        <v>1368035</v>
      </c>
      <c r="I653" s="8">
        <v>18</v>
      </c>
      <c r="J653" s="7" t="s">
        <v>10</v>
      </c>
      <c r="K653" s="7" t="s">
        <v>159</v>
      </c>
      <c r="L653" s="8">
        <v>6</v>
      </c>
      <c r="M653" s="8">
        <v>8366</v>
      </c>
      <c r="N653" s="7"/>
      <c r="O653" s="8">
        <v>1193</v>
      </c>
      <c r="P653" s="7"/>
      <c r="Q653" s="8">
        <v>0</v>
      </c>
      <c r="R653" s="7"/>
      <c r="S653" s="8">
        <v>4085</v>
      </c>
      <c r="T653" s="7"/>
      <c r="U653" s="8">
        <v>0</v>
      </c>
      <c r="V653" s="7"/>
      <c r="W653" s="33">
        <v>13644</v>
      </c>
      <c r="X653" s="7"/>
      <c r="Y653" s="30">
        <v>5</v>
      </c>
      <c r="Z653" s="7"/>
      <c r="AA653" s="30">
        <v>0.68</v>
      </c>
      <c r="AB653" s="7"/>
      <c r="AC653" s="30">
        <v>0</v>
      </c>
      <c r="AD653" s="7"/>
      <c r="AE653" s="30">
        <v>2</v>
      </c>
      <c r="AF653" s="7"/>
      <c r="AG653" s="30">
        <v>0</v>
      </c>
      <c r="AI653" s="32">
        <v>7.68</v>
      </c>
      <c r="AK653" s="7" t="str">
        <f t="shared" si="10"/>
        <v>No</v>
      </c>
    </row>
    <row r="654" spans="1:37">
      <c r="A654" s="7" t="s">
        <v>1097</v>
      </c>
      <c r="B654" s="7" t="s">
        <v>350</v>
      </c>
      <c r="C654" s="7" t="s">
        <v>62</v>
      </c>
      <c r="D654" s="302">
        <v>1086</v>
      </c>
      <c r="E654" s="297">
        <v>10086</v>
      </c>
      <c r="F654" s="7" t="s">
        <v>165</v>
      </c>
      <c r="G654" s="7" t="s">
        <v>158</v>
      </c>
      <c r="H654" s="8">
        <v>88087</v>
      </c>
      <c r="I654" s="8">
        <v>18</v>
      </c>
      <c r="J654" s="7" t="s">
        <v>10</v>
      </c>
      <c r="K654" s="7" t="s">
        <v>159</v>
      </c>
      <c r="L654" s="8">
        <v>4</v>
      </c>
      <c r="M654" s="8">
        <v>20199</v>
      </c>
      <c r="N654" s="7"/>
      <c r="O654" s="8">
        <v>1313</v>
      </c>
      <c r="P654" s="7"/>
      <c r="Q654" s="8">
        <v>0</v>
      </c>
      <c r="R654" s="7"/>
      <c r="S654" s="8">
        <v>2447</v>
      </c>
      <c r="T654" s="7"/>
      <c r="U654" s="8">
        <v>0</v>
      </c>
      <c r="V654" s="7"/>
      <c r="W654" s="33">
        <v>23959</v>
      </c>
      <c r="X654" s="7"/>
      <c r="Y654" s="30">
        <v>11.1</v>
      </c>
      <c r="Z654" s="7"/>
      <c r="AA654" s="30">
        <v>0.7</v>
      </c>
      <c r="AB654" s="7"/>
      <c r="AC654" s="30">
        <v>0</v>
      </c>
      <c r="AD654" s="7"/>
      <c r="AE654" s="30">
        <v>1.3</v>
      </c>
      <c r="AF654" s="7"/>
      <c r="AG654" s="30">
        <v>0</v>
      </c>
      <c r="AI654" s="32">
        <v>13.1</v>
      </c>
      <c r="AK654" s="7" t="str">
        <f t="shared" si="10"/>
        <v>No</v>
      </c>
    </row>
    <row r="655" spans="1:37">
      <c r="A655" s="7" t="s">
        <v>14</v>
      </c>
      <c r="B655" s="7" t="s">
        <v>297</v>
      </c>
      <c r="C655" s="7" t="s">
        <v>13</v>
      </c>
      <c r="D655" s="302">
        <v>9034</v>
      </c>
      <c r="E655" s="297">
        <v>90034</v>
      </c>
      <c r="F655" s="7" t="s">
        <v>162</v>
      </c>
      <c r="G655" s="7" t="s">
        <v>158</v>
      </c>
      <c r="H655" s="8">
        <v>3629114</v>
      </c>
      <c r="I655" s="8">
        <v>18</v>
      </c>
      <c r="J655" s="7" t="s">
        <v>7</v>
      </c>
      <c r="K655" s="7" t="s">
        <v>159</v>
      </c>
      <c r="L655" s="8">
        <v>3</v>
      </c>
      <c r="M655" s="8">
        <v>4312</v>
      </c>
      <c r="N655" s="7"/>
      <c r="O655" s="8">
        <v>561</v>
      </c>
      <c r="P655" s="7"/>
      <c r="Q655" s="8">
        <v>161</v>
      </c>
      <c r="R655" s="7"/>
      <c r="S655" s="8">
        <v>3941</v>
      </c>
      <c r="T655" s="7"/>
      <c r="U655" s="8">
        <v>0</v>
      </c>
      <c r="V655" s="7"/>
      <c r="W655" s="33">
        <v>8975</v>
      </c>
      <c r="X655" s="7"/>
      <c r="Y655" s="30">
        <v>1.98</v>
      </c>
      <c r="Z655" s="7"/>
      <c r="AA655" s="30">
        <v>0.27</v>
      </c>
      <c r="AB655" s="7"/>
      <c r="AC655" s="30">
        <v>0.08</v>
      </c>
      <c r="AD655" s="7"/>
      <c r="AE655" s="30">
        <v>1.91</v>
      </c>
      <c r="AF655" s="7"/>
      <c r="AG655" s="30">
        <v>0</v>
      </c>
      <c r="AI655" s="32">
        <v>4.24</v>
      </c>
      <c r="AK655" s="7" t="str">
        <f t="shared" si="10"/>
        <v>No</v>
      </c>
    </row>
    <row r="656" spans="1:37">
      <c r="A656" s="7" t="s">
        <v>773</v>
      </c>
      <c r="B656" s="7" t="s">
        <v>774</v>
      </c>
      <c r="C656" s="7" t="s">
        <v>73</v>
      </c>
      <c r="D656" s="302">
        <v>5198</v>
      </c>
      <c r="E656" s="297">
        <v>50198</v>
      </c>
      <c r="F656" s="7" t="s">
        <v>162</v>
      </c>
      <c r="G656" s="7" t="s">
        <v>158</v>
      </c>
      <c r="H656" s="8">
        <v>1780673</v>
      </c>
      <c r="I656" s="8">
        <v>17</v>
      </c>
      <c r="J656" s="7" t="s">
        <v>10</v>
      </c>
      <c r="K656" s="7" t="s">
        <v>159</v>
      </c>
      <c r="L656" s="8">
        <v>11</v>
      </c>
      <c r="M656" s="8">
        <v>13126</v>
      </c>
      <c r="N656" s="7"/>
      <c r="O656" s="8">
        <v>0</v>
      </c>
      <c r="P656" s="7"/>
      <c r="Q656" s="8">
        <v>0</v>
      </c>
      <c r="R656" s="7"/>
      <c r="S656" s="8">
        <v>2073</v>
      </c>
      <c r="T656" s="7"/>
      <c r="U656" s="8">
        <v>0</v>
      </c>
      <c r="V656" s="7"/>
      <c r="W656" s="33">
        <v>15199</v>
      </c>
      <c r="X656" s="7"/>
      <c r="Y656" s="30">
        <v>8.52</v>
      </c>
      <c r="Z656" s="7"/>
      <c r="AA656" s="30">
        <v>0</v>
      </c>
      <c r="AB656" s="7"/>
      <c r="AC656" s="30">
        <v>0</v>
      </c>
      <c r="AD656" s="7"/>
      <c r="AE656" s="30">
        <v>1.28</v>
      </c>
      <c r="AF656" s="7"/>
      <c r="AG656" s="30">
        <v>0</v>
      </c>
      <c r="AI656" s="32">
        <v>9.8000000000000007</v>
      </c>
      <c r="AK656" s="7" t="str">
        <f t="shared" si="10"/>
        <v>No</v>
      </c>
    </row>
    <row r="657" spans="1:37">
      <c r="A657" s="7" t="s">
        <v>773</v>
      </c>
      <c r="B657" s="7" t="s">
        <v>774</v>
      </c>
      <c r="C657" s="7" t="s">
        <v>73</v>
      </c>
      <c r="D657" s="302">
        <v>5198</v>
      </c>
      <c r="E657" s="297">
        <v>50198</v>
      </c>
      <c r="F657" s="7" t="s">
        <v>162</v>
      </c>
      <c r="G657" s="7" t="s">
        <v>158</v>
      </c>
      <c r="H657" s="8">
        <v>1780673</v>
      </c>
      <c r="I657" s="8">
        <v>17</v>
      </c>
      <c r="J657" s="7" t="s">
        <v>7</v>
      </c>
      <c r="K657" s="7" t="s">
        <v>159</v>
      </c>
      <c r="L657" s="8">
        <v>5</v>
      </c>
      <c r="M657" s="8">
        <v>7235</v>
      </c>
      <c r="N657" s="7"/>
      <c r="O657" s="8">
        <v>0</v>
      </c>
      <c r="P657" s="7"/>
      <c r="Q657" s="8">
        <v>0</v>
      </c>
      <c r="R657" s="7"/>
      <c r="S657" s="8">
        <v>931</v>
      </c>
      <c r="T657" s="7"/>
      <c r="U657" s="8">
        <v>0</v>
      </c>
      <c r="V657" s="7"/>
      <c r="W657" s="33">
        <v>8166</v>
      </c>
      <c r="X657" s="7"/>
      <c r="Y657" s="30">
        <v>4.4800000000000004</v>
      </c>
      <c r="Z657" s="7"/>
      <c r="AA657" s="30">
        <v>0</v>
      </c>
      <c r="AB657" s="7"/>
      <c r="AC657" s="30">
        <v>0</v>
      </c>
      <c r="AD657" s="7"/>
      <c r="AE657" s="30">
        <v>0.56999999999999995</v>
      </c>
      <c r="AF657" s="7"/>
      <c r="AG657" s="30">
        <v>0</v>
      </c>
      <c r="AI657" s="32">
        <v>5.05</v>
      </c>
      <c r="AK657" s="7" t="str">
        <f t="shared" si="10"/>
        <v>No</v>
      </c>
    </row>
    <row r="658" spans="1:37">
      <c r="A658" s="7" t="s">
        <v>1146</v>
      </c>
      <c r="B658" s="7" t="s">
        <v>1147</v>
      </c>
      <c r="C658" s="7" t="s">
        <v>81</v>
      </c>
      <c r="D658" s="302">
        <v>4208</v>
      </c>
      <c r="E658" s="297">
        <v>40208</v>
      </c>
      <c r="F658" s="7" t="s">
        <v>162</v>
      </c>
      <c r="G658" s="7" t="s">
        <v>158</v>
      </c>
      <c r="H658" s="8">
        <v>400492</v>
      </c>
      <c r="I658" s="8">
        <v>16</v>
      </c>
      <c r="J658" s="7" t="s">
        <v>7</v>
      </c>
      <c r="K658" s="7" t="s">
        <v>159</v>
      </c>
      <c r="L658" s="8">
        <v>16</v>
      </c>
      <c r="M658" s="8">
        <v>22069</v>
      </c>
      <c r="N658" s="7"/>
      <c r="O658" s="8">
        <v>8198</v>
      </c>
      <c r="P658" s="7"/>
      <c r="Q658" s="8">
        <v>0</v>
      </c>
      <c r="R658" s="7"/>
      <c r="S658" s="8">
        <v>11314</v>
      </c>
      <c r="T658" s="7"/>
      <c r="U658" s="8">
        <v>0</v>
      </c>
      <c r="V658" s="7"/>
      <c r="W658" s="33">
        <v>41581</v>
      </c>
      <c r="X658" s="7"/>
      <c r="Y658" s="30">
        <v>12</v>
      </c>
      <c r="Z658" s="7"/>
      <c r="AA658" s="30">
        <v>4</v>
      </c>
      <c r="AB658" s="7"/>
      <c r="AC658" s="30">
        <v>0</v>
      </c>
      <c r="AD658" s="7"/>
      <c r="AE658" s="30">
        <v>6</v>
      </c>
      <c r="AF658" s="7"/>
      <c r="AG658" s="30">
        <v>0</v>
      </c>
      <c r="AI658" s="32">
        <v>22</v>
      </c>
      <c r="AK658" s="7" t="str">
        <f t="shared" si="10"/>
        <v>No</v>
      </c>
    </row>
    <row r="659" spans="1:37">
      <c r="A659" s="7" t="s">
        <v>203</v>
      </c>
      <c r="B659" s="7" t="s">
        <v>204</v>
      </c>
      <c r="C659" s="7" t="s">
        <v>58</v>
      </c>
      <c r="D659" s="302">
        <v>4005</v>
      </c>
      <c r="E659" s="297">
        <v>40005</v>
      </c>
      <c r="F659" s="7" t="s">
        <v>162</v>
      </c>
      <c r="G659" s="7" t="s">
        <v>158</v>
      </c>
      <c r="H659" s="8">
        <v>280648</v>
      </c>
      <c r="I659" s="8">
        <v>16</v>
      </c>
      <c r="J659" s="7" t="s">
        <v>7</v>
      </c>
      <c r="K659" s="7" t="s">
        <v>159</v>
      </c>
      <c r="L659" s="8">
        <v>16</v>
      </c>
      <c r="M659" s="8">
        <v>98876</v>
      </c>
      <c r="N659" s="7"/>
      <c r="O659" s="8">
        <v>14967</v>
      </c>
      <c r="P659" s="7"/>
      <c r="Q659" s="8">
        <v>4294</v>
      </c>
      <c r="R659" s="7"/>
      <c r="S659" s="8">
        <v>6408</v>
      </c>
      <c r="T659" s="7"/>
      <c r="U659" s="8">
        <v>0</v>
      </c>
      <c r="V659" s="7"/>
      <c r="W659" s="33">
        <v>124545</v>
      </c>
      <c r="X659" s="7"/>
      <c r="Y659" s="30">
        <v>51</v>
      </c>
      <c r="Z659" s="7"/>
      <c r="AA659" s="30">
        <v>7</v>
      </c>
      <c r="AB659" s="7"/>
      <c r="AC659" s="30">
        <v>2</v>
      </c>
      <c r="AD659" s="7"/>
      <c r="AE659" s="30">
        <v>3</v>
      </c>
      <c r="AF659" s="7"/>
      <c r="AG659" s="30">
        <v>0</v>
      </c>
      <c r="AI659" s="32">
        <v>63</v>
      </c>
      <c r="AK659" s="7" t="str">
        <f t="shared" si="10"/>
        <v>No</v>
      </c>
    </row>
    <row r="660" spans="1:37">
      <c r="A660" s="7" t="s">
        <v>531</v>
      </c>
      <c r="B660" s="7" t="s">
        <v>532</v>
      </c>
      <c r="C660" s="7" t="s">
        <v>96</v>
      </c>
      <c r="D660" s="302">
        <v>3035</v>
      </c>
      <c r="E660" s="297">
        <v>30035</v>
      </c>
      <c r="F660" s="7" t="s">
        <v>165</v>
      </c>
      <c r="G660" s="7" t="s">
        <v>158</v>
      </c>
      <c r="H660" s="8">
        <v>81249</v>
      </c>
      <c r="I660" s="8">
        <v>16</v>
      </c>
      <c r="J660" s="7" t="s">
        <v>7</v>
      </c>
      <c r="K660" s="7" t="s">
        <v>159</v>
      </c>
      <c r="L660" s="8">
        <v>14</v>
      </c>
      <c r="M660" s="8">
        <v>56732</v>
      </c>
      <c r="N660" s="7"/>
      <c r="O660" s="8">
        <v>13989</v>
      </c>
      <c r="P660" s="7"/>
      <c r="Q660" s="8">
        <v>1554</v>
      </c>
      <c r="R660" s="7"/>
      <c r="S660" s="8">
        <v>7684</v>
      </c>
      <c r="T660" s="7"/>
      <c r="U660" s="8">
        <v>0</v>
      </c>
      <c r="V660" s="7"/>
      <c r="W660" s="33">
        <v>79959</v>
      </c>
      <c r="X660" s="7"/>
      <c r="Y660" s="30">
        <v>29</v>
      </c>
      <c r="Z660" s="7"/>
      <c r="AA660" s="30">
        <v>6.8</v>
      </c>
      <c r="AB660" s="7"/>
      <c r="AC660" s="30">
        <v>0.8</v>
      </c>
      <c r="AD660" s="7"/>
      <c r="AE660" s="30">
        <v>4.2</v>
      </c>
      <c r="AF660" s="7"/>
      <c r="AG660" s="30">
        <v>0</v>
      </c>
      <c r="AI660" s="32">
        <v>40.799999999999997</v>
      </c>
      <c r="AK660" s="7" t="str">
        <f t="shared" si="10"/>
        <v>No</v>
      </c>
    </row>
    <row r="661" spans="1:37">
      <c r="A661" s="7" t="s">
        <v>495</v>
      </c>
      <c r="B661" s="7" t="s">
        <v>496</v>
      </c>
      <c r="C661" s="7" t="s">
        <v>28</v>
      </c>
      <c r="D661" s="302">
        <v>1063</v>
      </c>
      <c r="E661" s="297">
        <v>10063</v>
      </c>
      <c r="F661" s="7" t="s">
        <v>165</v>
      </c>
      <c r="G661" s="7" t="s">
        <v>158</v>
      </c>
      <c r="H661" s="8">
        <v>924859</v>
      </c>
      <c r="I661" s="8">
        <v>16</v>
      </c>
      <c r="J661" s="7" t="s">
        <v>7</v>
      </c>
      <c r="K661" s="7" t="s">
        <v>159</v>
      </c>
      <c r="L661" s="8">
        <v>9</v>
      </c>
      <c r="M661" s="8">
        <v>31654</v>
      </c>
      <c r="N661" s="7"/>
      <c r="O661" s="8">
        <v>4563</v>
      </c>
      <c r="P661" s="7"/>
      <c r="Q661" s="8">
        <v>3395</v>
      </c>
      <c r="R661" s="7"/>
      <c r="S661" s="8">
        <v>15299</v>
      </c>
      <c r="T661" s="7"/>
      <c r="U661" s="8">
        <v>0</v>
      </c>
      <c r="V661" s="7"/>
      <c r="W661" s="33">
        <v>54911</v>
      </c>
      <c r="X661" s="7"/>
      <c r="Y661" s="30">
        <v>18</v>
      </c>
      <c r="Z661" s="7"/>
      <c r="AA661" s="30">
        <v>2</v>
      </c>
      <c r="AB661" s="7"/>
      <c r="AC661" s="30">
        <v>2</v>
      </c>
      <c r="AD661" s="7"/>
      <c r="AE661" s="30">
        <v>7</v>
      </c>
      <c r="AF661" s="7"/>
      <c r="AG661" s="30">
        <v>0</v>
      </c>
      <c r="AI661" s="32">
        <v>29</v>
      </c>
      <c r="AK661" s="7" t="str">
        <f t="shared" si="10"/>
        <v>No</v>
      </c>
    </row>
    <row r="662" spans="1:37">
      <c r="A662" s="7" t="s">
        <v>495</v>
      </c>
      <c r="B662" s="7" t="s">
        <v>496</v>
      </c>
      <c r="C662" s="7" t="s">
        <v>28</v>
      </c>
      <c r="D662" s="302">
        <v>1063</v>
      </c>
      <c r="E662" s="297">
        <v>10063</v>
      </c>
      <c r="F662" s="7" t="s">
        <v>165</v>
      </c>
      <c r="G662" s="7" t="s">
        <v>158</v>
      </c>
      <c r="H662" s="8">
        <v>924859</v>
      </c>
      <c r="I662" s="8">
        <v>16</v>
      </c>
      <c r="J662" s="7" t="s">
        <v>10</v>
      </c>
      <c r="K662" s="7" t="s">
        <v>159</v>
      </c>
      <c r="L662" s="8">
        <v>7</v>
      </c>
      <c r="M662" s="8">
        <v>15845</v>
      </c>
      <c r="N662" s="7"/>
      <c r="O662" s="8">
        <v>0</v>
      </c>
      <c r="P662" s="7"/>
      <c r="Q662" s="8">
        <v>0</v>
      </c>
      <c r="R662" s="7"/>
      <c r="S662" s="8">
        <v>3191</v>
      </c>
      <c r="T662" s="7"/>
      <c r="U662" s="8">
        <v>0</v>
      </c>
      <c r="V662" s="7"/>
      <c r="W662" s="33">
        <v>19036</v>
      </c>
      <c r="X662" s="7"/>
      <c r="Y662" s="30">
        <v>8</v>
      </c>
      <c r="Z662" s="7"/>
      <c r="AA662" s="30">
        <v>0</v>
      </c>
      <c r="AB662" s="7"/>
      <c r="AC662" s="30">
        <v>0</v>
      </c>
      <c r="AD662" s="7"/>
      <c r="AE662" s="30">
        <v>2</v>
      </c>
      <c r="AF662" s="7"/>
      <c r="AG662" s="30">
        <v>0</v>
      </c>
      <c r="AI662" s="32">
        <v>10</v>
      </c>
      <c r="AK662" s="7" t="str">
        <f t="shared" si="10"/>
        <v>No</v>
      </c>
    </row>
    <row r="663" spans="1:37">
      <c r="A663" s="7" t="s">
        <v>531</v>
      </c>
      <c r="B663" s="7" t="s">
        <v>532</v>
      </c>
      <c r="C663" s="7" t="s">
        <v>96</v>
      </c>
      <c r="D663" s="302">
        <v>3035</v>
      </c>
      <c r="E663" s="297">
        <v>30035</v>
      </c>
      <c r="F663" s="7" t="s">
        <v>165</v>
      </c>
      <c r="G663" s="7" t="s">
        <v>158</v>
      </c>
      <c r="H663" s="8">
        <v>81249</v>
      </c>
      <c r="I663" s="8">
        <v>16</v>
      </c>
      <c r="J663" s="7" t="s">
        <v>10</v>
      </c>
      <c r="K663" s="7" t="s">
        <v>159</v>
      </c>
      <c r="L663" s="8">
        <v>2</v>
      </c>
      <c r="M663" s="8">
        <v>3741</v>
      </c>
      <c r="N663" s="7"/>
      <c r="O663" s="8">
        <v>1908</v>
      </c>
      <c r="P663" s="7"/>
      <c r="Q663" s="8">
        <v>207</v>
      </c>
      <c r="R663" s="7"/>
      <c r="S663" s="8">
        <v>1356</v>
      </c>
      <c r="T663" s="7"/>
      <c r="U663" s="8">
        <v>0</v>
      </c>
      <c r="V663" s="7"/>
      <c r="W663" s="33">
        <v>7212</v>
      </c>
      <c r="X663" s="7"/>
      <c r="Y663" s="30">
        <v>2</v>
      </c>
      <c r="Z663" s="7"/>
      <c r="AA663" s="30">
        <v>1.27</v>
      </c>
      <c r="AB663" s="7"/>
      <c r="AC663" s="30">
        <v>0.13</v>
      </c>
      <c r="AD663" s="7"/>
      <c r="AE663" s="30">
        <v>0.8</v>
      </c>
      <c r="AF663" s="7"/>
      <c r="AG663" s="30">
        <v>0</v>
      </c>
      <c r="AI663" s="32">
        <v>4.2</v>
      </c>
      <c r="AK663" s="7" t="str">
        <f t="shared" si="10"/>
        <v>No</v>
      </c>
    </row>
    <row r="664" spans="1:37">
      <c r="A664" s="7" t="s">
        <v>534</v>
      </c>
      <c r="B664" s="7" t="s">
        <v>535</v>
      </c>
      <c r="C664" s="7" t="s">
        <v>42</v>
      </c>
      <c r="D664" s="302">
        <v>5131</v>
      </c>
      <c r="E664" s="297">
        <v>50131</v>
      </c>
      <c r="F664" s="7" t="s">
        <v>187</v>
      </c>
      <c r="G664" s="7" t="s">
        <v>158</v>
      </c>
      <c r="H664" s="8">
        <v>8608208</v>
      </c>
      <c r="I664" s="8">
        <v>15</v>
      </c>
      <c r="J664" s="7" t="s">
        <v>10</v>
      </c>
      <c r="K664" s="7" t="s">
        <v>159</v>
      </c>
      <c r="L664" s="8">
        <v>15</v>
      </c>
      <c r="M664" s="8">
        <v>30981</v>
      </c>
      <c r="N664" s="7"/>
      <c r="O664" s="8">
        <v>0</v>
      </c>
      <c r="P664" s="7"/>
      <c r="Q664" s="8">
        <v>52</v>
      </c>
      <c r="R664" s="7"/>
      <c r="S664" s="8">
        <v>2160</v>
      </c>
      <c r="T664" s="7"/>
      <c r="U664" s="8">
        <v>0</v>
      </c>
      <c r="V664" s="7"/>
      <c r="W664" s="33">
        <v>33193</v>
      </c>
      <c r="X664" s="7"/>
      <c r="Y664" s="30">
        <v>14</v>
      </c>
      <c r="Z664" s="7"/>
      <c r="AA664" s="30">
        <v>0</v>
      </c>
      <c r="AB664" s="7"/>
      <c r="AC664" s="30">
        <v>0.03</v>
      </c>
      <c r="AD664" s="7"/>
      <c r="AE664" s="30">
        <v>1</v>
      </c>
      <c r="AF664" s="7"/>
      <c r="AG664" s="30">
        <v>0</v>
      </c>
      <c r="AI664" s="32">
        <v>15.03</v>
      </c>
      <c r="AK664" s="7" t="str">
        <f t="shared" si="10"/>
        <v>No</v>
      </c>
    </row>
    <row r="665" spans="1:37">
      <c r="A665" s="7" t="s">
        <v>423</v>
      </c>
      <c r="B665" s="7" t="s">
        <v>299</v>
      </c>
      <c r="C665" s="7" t="s">
        <v>83</v>
      </c>
      <c r="D665" s="302">
        <v>4057</v>
      </c>
      <c r="E665" s="297">
        <v>40057</v>
      </c>
      <c r="F665" s="7" t="s">
        <v>165</v>
      </c>
      <c r="G665" s="7" t="s">
        <v>158</v>
      </c>
      <c r="H665" s="8">
        <v>71880</v>
      </c>
      <c r="I665" s="8">
        <v>15</v>
      </c>
      <c r="J665" s="7" t="s">
        <v>7</v>
      </c>
      <c r="K665" s="7" t="s">
        <v>159</v>
      </c>
      <c r="L665" s="8">
        <v>9</v>
      </c>
      <c r="M665" s="8">
        <v>38885</v>
      </c>
      <c r="N665" s="7"/>
      <c r="O665" s="8">
        <v>8002</v>
      </c>
      <c r="P665" s="7"/>
      <c r="Q665" s="8">
        <v>0</v>
      </c>
      <c r="R665" s="7"/>
      <c r="S665" s="8">
        <v>4060</v>
      </c>
      <c r="T665" s="7"/>
      <c r="U665" s="8">
        <v>0</v>
      </c>
      <c r="V665" s="7"/>
      <c r="W665" s="33">
        <v>50947</v>
      </c>
      <c r="X665" s="7"/>
      <c r="Y665" s="30">
        <v>21.25</v>
      </c>
      <c r="Z665" s="7"/>
      <c r="AA665" s="30">
        <v>4.2</v>
      </c>
      <c r="AB665" s="7"/>
      <c r="AC665" s="30">
        <v>0</v>
      </c>
      <c r="AD665" s="7"/>
      <c r="AE665" s="30">
        <v>2.1</v>
      </c>
      <c r="AF665" s="7"/>
      <c r="AG665" s="30">
        <v>0</v>
      </c>
      <c r="AI665" s="32">
        <v>27.55</v>
      </c>
      <c r="AK665" s="7" t="str">
        <f t="shared" si="10"/>
        <v>No</v>
      </c>
    </row>
    <row r="666" spans="1:37">
      <c r="A666" s="7" t="s">
        <v>423</v>
      </c>
      <c r="B666" s="7" t="s">
        <v>299</v>
      </c>
      <c r="C666" s="7" t="s">
        <v>83</v>
      </c>
      <c r="D666" s="302">
        <v>4057</v>
      </c>
      <c r="E666" s="297">
        <v>40057</v>
      </c>
      <c r="F666" s="7" t="s">
        <v>165</v>
      </c>
      <c r="G666" s="7" t="s">
        <v>158</v>
      </c>
      <c r="H666" s="8">
        <v>71880</v>
      </c>
      <c r="I666" s="8">
        <v>15</v>
      </c>
      <c r="J666" s="7" t="s">
        <v>10</v>
      </c>
      <c r="K666" s="7" t="s">
        <v>159</v>
      </c>
      <c r="L666" s="8">
        <v>6</v>
      </c>
      <c r="M666" s="8">
        <v>14671</v>
      </c>
      <c r="N666" s="7"/>
      <c r="O666" s="8">
        <v>3430</v>
      </c>
      <c r="P666" s="7"/>
      <c r="Q666" s="8">
        <v>0</v>
      </c>
      <c r="R666" s="7"/>
      <c r="S666" s="8">
        <v>1740</v>
      </c>
      <c r="T666" s="7"/>
      <c r="U666" s="8">
        <v>0</v>
      </c>
      <c r="V666" s="7"/>
      <c r="W666" s="33">
        <v>19841</v>
      </c>
      <c r="X666" s="7"/>
      <c r="Y666" s="30">
        <v>6.75</v>
      </c>
      <c r="Z666" s="7"/>
      <c r="AA666" s="30">
        <v>1.8</v>
      </c>
      <c r="AB666" s="7"/>
      <c r="AC666" s="30">
        <v>0</v>
      </c>
      <c r="AD666" s="7"/>
      <c r="AE666" s="30">
        <v>0.9</v>
      </c>
      <c r="AF666" s="7"/>
      <c r="AG666" s="30">
        <v>0</v>
      </c>
      <c r="AI666" s="32">
        <v>9.4499999999999993</v>
      </c>
      <c r="AK666" s="7" t="str">
        <f t="shared" si="10"/>
        <v>No</v>
      </c>
    </row>
    <row r="667" spans="1:37">
      <c r="A667" s="7" t="s">
        <v>185</v>
      </c>
      <c r="B667" s="7" t="s">
        <v>186</v>
      </c>
      <c r="C667" s="7" t="s">
        <v>42</v>
      </c>
      <c r="D667" s="302">
        <v>5167</v>
      </c>
      <c r="E667" s="297">
        <v>50167</v>
      </c>
      <c r="F667" s="7" t="s">
        <v>187</v>
      </c>
      <c r="G667" s="7" t="s">
        <v>158</v>
      </c>
      <c r="H667" s="8">
        <v>8608208</v>
      </c>
      <c r="I667" s="8">
        <v>14</v>
      </c>
      <c r="J667" s="7" t="s">
        <v>10</v>
      </c>
      <c r="K667" s="7" t="s">
        <v>159</v>
      </c>
      <c r="L667" s="8">
        <v>14</v>
      </c>
      <c r="M667" s="8">
        <v>33150</v>
      </c>
      <c r="N667" s="7"/>
      <c r="O667" s="8">
        <v>0</v>
      </c>
      <c r="P667" s="7"/>
      <c r="Q667" s="8">
        <v>0</v>
      </c>
      <c r="R667" s="7"/>
      <c r="S667" s="8">
        <v>1277</v>
      </c>
      <c r="T667" s="7"/>
      <c r="U667" s="8">
        <v>0</v>
      </c>
      <c r="V667" s="7"/>
      <c r="W667" s="33">
        <v>34427</v>
      </c>
      <c r="X667" s="7"/>
      <c r="Y667" s="30">
        <v>17</v>
      </c>
      <c r="Z667" s="7"/>
      <c r="AA667" s="30">
        <v>0</v>
      </c>
      <c r="AB667" s="7"/>
      <c r="AC667" s="30">
        <v>0</v>
      </c>
      <c r="AD667" s="7"/>
      <c r="AE667" s="30">
        <v>0.75</v>
      </c>
      <c r="AF667" s="7"/>
      <c r="AG667" s="30">
        <v>0</v>
      </c>
      <c r="AI667" s="32">
        <v>17.75</v>
      </c>
      <c r="AK667" s="7" t="str">
        <f t="shared" si="10"/>
        <v>No</v>
      </c>
    </row>
    <row r="668" spans="1:37">
      <c r="A668" s="7" t="s">
        <v>289</v>
      </c>
      <c r="B668" s="7" t="s">
        <v>290</v>
      </c>
      <c r="C668" s="7" t="s">
        <v>17</v>
      </c>
      <c r="D668" s="302">
        <v>9043</v>
      </c>
      <c r="E668" s="297">
        <v>90043</v>
      </c>
      <c r="F668" s="7" t="s">
        <v>162</v>
      </c>
      <c r="G668" s="7" t="s">
        <v>158</v>
      </c>
      <c r="H668" s="8">
        <v>12150996</v>
      </c>
      <c r="I668" s="8">
        <v>14</v>
      </c>
      <c r="J668" s="7" t="s">
        <v>7</v>
      </c>
      <c r="K668" s="7" t="s">
        <v>159</v>
      </c>
      <c r="L668" s="8">
        <v>10</v>
      </c>
      <c r="M668" s="8">
        <v>25694</v>
      </c>
      <c r="N668" s="7"/>
      <c r="O668" s="8">
        <v>939</v>
      </c>
      <c r="P668" s="7"/>
      <c r="Q668" s="8">
        <v>219</v>
      </c>
      <c r="R668" s="7"/>
      <c r="S668" s="8">
        <v>390</v>
      </c>
      <c r="T668" s="7"/>
      <c r="U668" s="8">
        <v>0</v>
      </c>
      <c r="V668" s="7"/>
      <c r="W668" s="33">
        <v>27242</v>
      </c>
      <c r="X668" s="7"/>
      <c r="Y668" s="30">
        <v>11.7</v>
      </c>
      <c r="Z668" s="7"/>
      <c r="AA668" s="30">
        <v>0.6</v>
      </c>
      <c r="AB668" s="7"/>
      <c r="AC668" s="30">
        <v>0.1</v>
      </c>
      <c r="AD668" s="7"/>
      <c r="AE668" s="30">
        <v>0.2</v>
      </c>
      <c r="AF668" s="7"/>
      <c r="AG668" s="30">
        <v>0</v>
      </c>
      <c r="AI668" s="32">
        <v>12.6</v>
      </c>
      <c r="AK668" s="7" t="str">
        <f t="shared" si="10"/>
        <v>No</v>
      </c>
    </row>
    <row r="669" spans="1:37">
      <c r="A669" s="7" t="s">
        <v>497</v>
      </c>
      <c r="B669" s="7" t="s">
        <v>498</v>
      </c>
      <c r="C669" s="7" t="s">
        <v>28</v>
      </c>
      <c r="D669" s="302">
        <v>1107</v>
      </c>
      <c r="E669" s="297">
        <v>10107</v>
      </c>
      <c r="F669" s="7" t="s">
        <v>165</v>
      </c>
      <c r="G669" s="7" t="s">
        <v>158</v>
      </c>
      <c r="H669" s="8">
        <v>923311</v>
      </c>
      <c r="I669" s="8">
        <v>14</v>
      </c>
      <c r="J669" s="7" t="s">
        <v>10</v>
      </c>
      <c r="K669" s="7" t="s">
        <v>159</v>
      </c>
      <c r="L669" s="8">
        <v>8</v>
      </c>
      <c r="M669" s="8">
        <v>17506</v>
      </c>
      <c r="N669" s="7"/>
      <c r="O669" s="8">
        <v>2019</v>
      </c>
      <c r="P669" s="7"/>
      <c r="Q669" s="8">
        <v>0</v>
      </c>
      <c r="R669" s="7"/>
      <c r="S669" s="8">
        <v>4136</v>
      </c>
      <c r="T669" s="7"/>
      <c r="U669" s="8">
        <v>0</v>
      </c>
      <c r="V669" s="7"/>
      <c r="W669" s="33">
        <v>23661</v>
      </c>
      <c r="X669" s="7"/>
      <c r="Y669" s="30">
        <v>9</v>
      </c>
      <c r="Z669" s="7"/>
      <c r="AA669" s="30">
        <v>1</v>
      </c>
      <c r="AB669" s="7"/>
      <c r="AC669" s="30">
        <v>0</v>
      </c>
      <c r="AD669" s="7"/>
      <c r="AE669" s="30">
        <v>2</v>
      </c>
      <c r="AF669" s="7"/>
      <c r="AG669" s="30">
        <v>0</v>
      </c>
      <c r="AI669" s="32">
        <v>12</v>
      </c>
      <c r="AK669" s="7" t="str">
        <f t="shared" si="10"/>
        <v>No</v>
      </c>
    </row>
    <row r="670" spans="1:37">
      <c r="A670" s="7" t="s">
        <v>198</v>
      </c>
      <c r="B670" s="7" t="s">
        <v>199</v>
      </c>
      <c r="C670" s="7" t="s">
        <v>36</v>
      </c>
      <c r="D670" s="302">
        <v>4021</v>
      </c>
      <c r="E670" s="297">
        <v>40021</v>
      </c>
      <c r="F670" s="7" t="s">
        <v>162</v>
      </c>
      <c r="G670" s="7" t="s">
        <v>158</v>
      </c>
      <c r="H670" s="8">
        <v>95779</v>
      </c>
      <c r="I670" s="8">
        <v>14</v>
      </c>
      <c r="J670" s="7" t="s">
        <v>7</v>
      </c>
      <c r="K670" s="7" t="s">
        <v>159</v>
      </c>
      <c r="L670" s="8">
        <v>8</v>
      </c>
      <c r="M670" s="8">
        <v>41640</v>
      </c>
      <c r="N670" s="7"/>
      <c r="O670" s="8">
        <v>8795</v>
      </c>
      <c r="P670" s="7"/>
      <c r="Q670" s="8">
        <v>2603</v>
      </c>
      <c r="R670" s="7"/>
      <c r="S670" s="8">
        <v>5592</v>
      </c>
      <c r="T670" s="7"/>
      <c r="U670" s="8">
        <v>0</v>
      </c>
      <c r="V670" s="7"/>
      <c r="W670" s="33">
        <v>58630</v>
      </c>
      <c r="X670" s="7"/>
      <c r="Y670" s="30">
        <v>21</v>
      </c>
      <c r="Z670" s="7"/>
      <c r="AA670" s="30">
        <v>4</v>
      </c>
      <c r="AB670" s="7"/>
      <c r="AC670" s="30">
        <v>1.7</v>
      </c>
      <c r="AD670" s="7"/>
      <c r="AE670" s="30">
        <v>3</v>
      </c>
      <c r="AF670" s="7"/>
      <c r="AG670" s="30">
        <v>0</v>
      </c>
      <c r="AI670" s="32">
        <v>29.7</v>
      </c>
      <c r="AK670" s="7" t="str">
        <f t="shared" si="10"/>
        <v>No</v>
      </c>
    </row>
    <row r="671" spans="1:37">
      <c r="A671" s="7" t="s">
        <v>497</v>
      </c>
      <c r="B671" s="7" t="s">
        <v>498</v>
      </c>
      <c r="C671" s="7" t="s">
        <v>28</v>
      </c>
      <c r="D671" s="302">
        <v>1107</v>
      </c>
      <c r="E671" s="297">
        <v>10107</v>
      </c>
      <c r="F671" s="7" t="s">
        <v>165</v>
      </c>
      <c r="G671" s="7" t="s">
        <v>158</v>
      </c>
      <c r="H671" s="8">
        <v>923311</v>
      </c>
      <c r="I671" s="8">
        <v>14</v>
      </c>
      <c r="J671" s="7" t="s">
        <v>7</v>
      </c>
      <c r="K671" s="7" t="s">
        <v>159</v>
      </c>
      <c r="L671" s="8">
        <v>6</v>
      </c>
      <c r="M671" s="8">
        <v>21840</v>
      </c>
      <c r="N671" s="7"/>
      <c r="O671" s="8">
        <v>3987</v>
      </c>
      <c r="P671" s="7"/>
      <c r="Q671" s="8">
        <v>0</v>
      </c>
      <c r="R671" s="7"/>
      <c r="S671" s="8">
        <v>5812</v>
      </c>
      <c r="T671" s="7"/>
      <c r="U671" s="8">
        <v>0</v>
      </c>
      <c r="V671" s="7"/>
      <c r="W671" s="33">
        <v>31639</v>
      </c>
      <c r="X671" s="7"/>
      <c r="Y671" s="30">
        <v>10</v>
      </c>
      <c r="Z671" s="7"/>
      <c r="AA671" s="30">
        <v>2</v>
      </c>
      <c r="AB671" s="7"/>
      <c r="AC671" s="30">
        <v>0</v>
      </c>
      <c r="AD671" s="7"/>
      <c r="AE671" s="30">
        <v>3</v>
      </c>
      <c r="AF671" s="7"/>
      <c r="AG671" s="30">
        <v>0</v>
      </c>
      <c r="AI671" s="32">
        <v>15</v>
      </c>
      <c r="AK671" s="7" t="str">
        <f t="shared" si="10"/>
        <v>No</v>
      </c>
    </row>
    <row r="672" spans="1:37">
      <c r="A672" s="7" t="s">
        <v>198</v>
      </c>
      <c r="B672" s="7" t="s">
        <v>199</v>
      </c>
      <c r="C672" s="7" t="s">
        <v>36</v>
      </c>
      <c r="D672" s="302">
        <v>4021</v>
      </c>
      <c r="E672" s="297">
        <v>40021</v>
      </c>
      <c r="F672" s="7" t="s">
        <v>162</v>
      </c>
      <c r="G672" s="7" t="s">
        <v>158</v>
      </c>
      <c r="H672" s="8">
        <v>95779</v>
      </c>
      <c r="I672" s="8">
        <v>14</v>
      </c>
      <c r="J672" s="7" t="s">
        <v>10</v>
      </c>
      <c r="K672" s="7" t="s">
        <v>159</v>
      </c>
      <c r="L672" s="8">
        <v>6</v>
      </c>
      <c r="M672" s="8">
        <v>13518</v>
      </c>
      <c r="N672" s="7"/>
      <c r="O672" s="8">
        <v>4145</v>
      </c>
      <c r="P672" s="7"/>
      <c r="Q672" s="8">
        <v>566</v>
      </c>
      <c r="R672" s="7"/>
      <c r="S672" s="8">
        <v>1554</v>
      </c>
      <c r="T672" s="7"/>
      <c r="U672" s="8">
        <v>0</v>
      </c>
      <c r="V672" s="7"/>
      <c r="W672" s="33">
        <v>19783</v>
      </c>
      <c r="X672" s="7"/>
      <c r="Y672" s="30">
        <v>9</v>
      </c>
      <c r="Z672" s="7"/>
      <c r="AA672" s="30">
        <v>2</v>
      </c>
      <c r="AB672" s="7"/>
      <c r="AC672" s="30">
        <v>0.3</v>
      </c>
      <c r="AD672" s="7"/>
      <c r="AE672" s="30">
        <v>1</v>
      </c>
      <c r="AF672" s="7"/>
      <c r="AG672" s="30">
        <v>0</v>
      </c>
      <c r="AI672" s="32">
        <v>12.3</v>
      </c>
      <c r="AK672" s="7" t="str">
        <f t="shared" si="10"/>
        <v>No</v>
      </c>
    </row>
    <row r="673" spans="1:37">
      <c r="A673" s="7" t="s">
        <v>289</v>
      </c>
      <c r="B673" s="7" t="s">
        <v>290</v>
      </c>
      <c r="C673" s="7" t="s">
        <v>17</v>
      </c>
      <c r="D673" s="302">
        <v>9043</v>
      </c>
      <c r="E673" s="297">
        <v>90043</v>
      </c>
      <c r="F673" s="7" t="s">
        <v>162</v>
      </c>
      <c r="G673" s="7" t="s">
        <v>158</v>
      </c>
      <c r="H673" s="8">
        <v>12150996</v>
      </c>
      <c r="I673" s="8">
        <v>14</v>
      </c>
      <c r="J673" s="7" t="s">
        <v>10</v>
      </c>
      <c r="K673" s="7" t="s">
        <v>159</v>
      </c>
      <c r="L673" s="8">
        <v>4</v>
      </c>
      <c r="M673" s="8">
        <v>7554</v>
      </c>
      <c r="N673" s="7"/>
      <c r="O673" s="8">
        <v>998</v>
      </c>
      <c r="P673" s="7"/>
      <c r="Q673" s="8">
        <v>668</v>
      </c>
      <c r="R673" s="7"/>
      <c r="S673" s="8">
        <v>150</v>
      </c>
      <c r="T673" s="7"/>
      <c r="U673" s="8">
        <v>0</v>
      </c>
      <c r="V673" s="7"/>
      <c r="W673" s="33">
        <v>9370</v>
      </c>
      <c r="X673" s="7"/>
      <c r="Y673" s="30">
        <v>3.8</v>
      </c>
      <c r="Z673" s="7"/>
      <c r="AA673" s="30">
        <v>0.6</v>
      </c>
      <c r="AB673" s="7"/>
      <c r="AC673" s="30">
        <v>0.4</v>
      </c>
      <c r="AD673" s="7"/>
      <c r="AE673" s="30">
        <v>0.1</v>
      </c>
      <c r="AF673" s="7"/>
      <c r="AG673" s="30">
        <v>0</v>
      </c>
      <c r="AI673" s="32">
        <v>4.9000000000000004</v>
      </c>
      <c r="AK673" s="7" t="str">
        <f t="shared" si="10"/>
        <v>No</v>
      </c>
    </row>
    <row r="674" spans="1:37">
      <c r="A674" s="7" t="s">
        <v>71</v>
      </c>
      <c r="B674" s="7" t="s">
        <v>190</v>
      </c>
      <c r="C674" s="7" t="s">
        <v>70</v>
      </c>
      <c r="D674" s="302">
        <v>2137</v>
      </c>
      <c r="E674" s="297">
        <v>20137</v>
      </c>
      <c r="F674" s="7" t="s">
        <v>173</v>
      </c>
      <c r="G674" s="7" t="s">
        <v>158</v>
      </c>
      <c r="H674" s="8">
        <v>423566</v>
      </c>
      <c r="I674" s="8">
        <v>12</v>
      </c>
      <c r="J674" s="7" t="s">
        <v>18</v>
      </c>
      <c r="K674" s="7" t="s">
        <v>159</v>
      </c>
      <c r="L674" s="8">
        <v>12</v>
      </c>
      <c r="M674" s="8">
        <v>18865</v>
      </c>
      <c r="N674" s="7"/>
      <c r="O674" s="8">
        <v>5586</v>
      </c>
      <c r="P674" s="7"/>
      <c r="Q674" s="8">
        <v>0</v>
      </c>
      <c r="R674" s="7"/>
      <c r="S674" s="8">
        <v>5513</v>
      </c>
      <c r="T674" s="7"/>
      <c r="U674" s="8">
        <v>0</v>
      </c>
      <c r="V674" s="7"/>
      <c r="W674" s="33">
        <v>29964</v>
      </c>
      <c r="X674" s="7"/>
      <c r="Y674" s="30">
        <v>11</v>
      </c>
      <c r="Z674" s="7"/>
      <c r="AA674" s="30">
        <v>3</v>
      </c>
      <c r="AB674" s="7"/>
      <c r="AC674" s="30">
        <v>0</v>
      </c>
      <c r="AD674" s="7"/>
      <c r="AE674" s="30">
        <v>3</v>
      </c>
      <c r="AF674" s="7"/>
      <c r="AG674" s="30">
        <v>0</v>
      </c>
      <c r="AI674" s="32">
        <v>17</v>
      </c>
      <c r="AK674" s="7" t="str">
        <f t="shared" si="10"/>
        <v>No</v>
      </c>
    </row>
    <row r="675" spans="1:37">
      <c r="A675" s="7" t="s">
        <v>676</v>
      </c>
      <c r="B675" s="7" t="s">
        <v>677</v>
      </c>
      <c r="C675" s="7" t="s">
        <v>28</v>
      </c>
      <c r="D675" s="302">
        <v>1042</v>
      </c>
      <c r="E675" s="297">
        <v>10042</v>
      </c>
      <c r="F675" s="7" t="s">
        <v>165</v>
      </c>
      <c r="G675" s="7" t="s">
        <v>158</v>
      </c>
      <c r="H675" s="8">
        <v>923311</v>
      </c>
      <c r="I675" s="8">
        <v>12</v>
      </c>
      <c r="J675" s="7" t="s">
        <v>10</v>
      </c>
      <c r="K675" s="7" t="s">
        <v>159</v>
      </c>
      <c r="L675" s="8">
        <v>12</v>
      </c>
      <c r="M675" s="8">
        <v>17515</v>
      </c>
      <c r="N675" s="7"/>
      <c r="O675" s="8">
        <v>2093</v>
      </c>
      <c r="P675" s="7"/>
      <c r="Q675" s="8">
        <v>0</v>
      </c>
      <c r="R675" s="7"/>
      <c r="S675" s="8">
        <v>4580</v>
      </c>
      <c r="T675" s="7"/>
      <c r="U675" s="8">
        <v>0</v>
      </c>
      <c r="V675" s="7"/>
      <c r="W675" s="33">
        <v>24188</v>
      </c>
      <c r="X675" s="7"/>
      <c r="Y675" s="30">
        <v>10</v>
      </c>
      <c r="Z675" s="7"/>
      <c r="AA675" s="30">
        <v>1</v>
      </c>
      <c r="AB675" s="7"/>
      <c r="AC675" s="30">
        <v>0</v>
      </c>
      <c r="AD675" s="7"/>
      <c r="AE675" s="30">
        <v>3</v>
      </c>
      <c r="AF675" s="7"/>
      <c r="AG675" s="30">
        <v>0</v>
      </c>
      <c r="AI675" s="32">
        <v>14</v>
      </c>
      <c r="AK675" s="7" t="str">
        <f t="shared" si="10"/>
        <v>No</v>
      </c>
    </row>
    <row r="676" spans="1:37">
      <c r="A676" s="7" t="s">
        <v>305</v>
      </c>
      <c r="B676" s="7" t="s">
        <v>306</v>
      </c>
      <c r="C676" s="7" t="s">
        <v>70</v>
      </c>
      <c r="D676" s="302">
        <v>2006</v>
      </c>
      <c r="E676" s="297">
        <v>20006</v>
      </c>
      <c r="F676" s="7" t="s">
        <v>162</v>
      </c>
      <c r="G676" s="7" t="s">
        <v>158</v>
      </c>
      <c r="H676" s="8">
        <v>18351295</v>
      </c>
      <c r="I676" s="8">
        <v>11</v>
      </c>
      <c r="J676" s="7" t="s">
        <v>7</v>
      </c>
      <c r="K676" s="7" t="s">
        <v>159</v>
      </c>
      <c r="L676" s="8">
        <v>8</v>
      </c>
      <c r="M676" s="8">
        <v>19800</v>
      </c>
      <c r="N676" s="7"/>
      <c r="O676" s="8">
        <v>5824</v>
      </c>
      <c r="P676" s="7"/>
      <c r="Q676" s="8">
        <v>0</v>
      </c>
      <c r="R676" s="7"/>
      <c r="S676" s="8">
        <v>1508</v>
      </c>
      <c r="T676" s="7"/>
      <c r="U676" s="8">
        <v>0</v>
      </c>
      <c r="V676" s="7"/>
      <c r="W676" s="33">
        <v>27132</v>
      </c>
      <c r="X676" s="7"/>
      <c r="Y676" s="30">
        <v>11</v>
      </c>
      <c r="Z676" s="7"/>
      <c r="AA676" s="30">
        <v>3</v>
      </c>
      <c r="AB676" s="7"/>
      <c r="AC676" s="30">
        <v>0</v>
      </c>
      <c r="AD676" s="7"/>
      <c r="AE676" s="30">
        <v>0.7</v>
      </c>
      <c r="AF676" s="7"/>
      <c r="AG676" s="30">
        <v>0</v>
      </c>
      <c r="AI676" s="32">
        <v>14.7</v>
      </c>
      <c r="AK676" s="7" t="str">
        <f t="shared" si="10"/>
        <v>No</v>
      </c>
    </row>
    <row r="677" spans="1:37">
      <c r="A677" s="7" t="s">
        <v>637</v>
      </c>
      <c r="B677" s="7" t="s">
        <v>638</v>
      </c>
      <c r="C677" s="7" t="s">
        <v>42</v>
      </c>
      <c r="D677" s="302">
        <v>5053</v>
      </c>
      <c r="E677" s="297">
        <v>50053</v>
      </c>
      <c r="F677" s="7" t="s">
        <v>162</v>
      </c>
      <c r="G677" s="7" t="s">
        <v>158</v>
      </c>
      <c r="H677" s="8">
        <v>92742</v>
      </c>
      <c r="I677" s="8">
        <v>11</v>
      </c>
      <c r="J677" s="7" t="s">
        <v>7</v>
      </c>
      <c r="K677" s="7" t="s">
        <v>159</v>
      </c>
      <c r="L677" s="8">
        <v>8</v>
      </c>
      <c r="M677" s="8">
        <v>34838</v>
      </c>
      <c r="N677" s="7"/>
      <c r="O677" s="8">
        <v>2020</v>
      </c>
      <c r="P677" s="7"/>
      <c r="Q677" s="8">
        <v>2018</v>
      </c>
      <c r="R677" s="7"/>
      <c r="S677" s="8">
        <v>11511</v>
      </c>
      <c r="T677" s="7"/>
      <c r="U677" s="8">
        <v>0</v>
      </c>
      <c r="V677" s="7"/>
      <c r="W677" s="33">
        <v>50387</v>
      </c>
      <c r="X677" s="7"/>
      <c r="Y677" s="30">
        <v>17</v>
      </c>
      <c r="Z677" s="7"/>
      <c r="AA677" s="30">
        <v>1</v>
      </c>
      <c r="AB677" s="7"/>
      <c r="AC677" s="30">
        <v>1</v>
      </c>
      <c r="AD677" s="7"/>
      <c r="AE677" s="30">
        <v>5.7</v>
      </c>
      <c r="AF677" s="7"/>
      <c r="AG677" s="30">
        <v>0</v>
      </c>
      <c r="AI677" s="32">
        <v>24.7</v>
      </c>
      <c r="AK677" s="7" t="str">
        <f t="shared" si="10"/>
        <v>No</v>
      </c>
    </row>
    <row r="678" spans="1:37">
      <c r="A678" s="7" t="s">
        <v>305</v>
      </c>
      <c r="B678" s="7" t="s">
        <v>306</v>
      </c>
      <c r="C678" s="7" t="s">
        <v>70</v>
      </c>
      <c r="D678" s="302">
        <v>2006</v>
      </c>
      <c r="E678" s="297">
        <v>20006</v>
      </c>
      <c r="F678" s="7" t="s">
        <v>162</v>
      </c>
      <c r="G678" s="7" t="s">
        <v>158</v>
      </c>
      <c r="H678" s="8">
        <v>18351295</v>
      </c>
      <c r="I678" s="8">
        <v>11</v>
      </c>
      <c r="J678" s="7" t="s">
        <v>10</v>
      </c>
      <c r="K678" s="7" t="s">
        <v>159</v>
      </c>
      <c r="L678" s="8">
        <v>3</v>
      </c>
      <c r="M678" s="8">
        <v>6084</v>
      </c>
      <c r="N678" s="7"/>
      <c r="O678" s="8">
        <v>1014</v>
      </c>
      <c r="P678" s="7"/>
      <c r="Q678" s="8">
        <v>0</v>
      </c>
      <c r="R678" s="7"/>
      <c r="S678" s="8">
        <v>1027</v>
      </c>
      <c r="T678" s="7"/>
      <c r="U678" s="8">
        <v>0</v>
      </c>
      <c r="V678" s="7"/>
      <c r="W678" s="33">
        <v>8125</v>
      </c>
      <c r="X678" s="7"/>
      <c r="Y678" s="30">
        <v>3</v>
      </c>
      <c r="Z678" s="7"/>
      <c r="AA678" s="30">
        <v>0.5</v>
      </c>
      <c r="AB678" s="7"/>
      <c r="AC678" s="30">
        <v>0</v>
      </c>
      <c r="AD678" s="7"/>
      <c r="AE678" s="30">
        <v>0.5</v>
      </c>
      <c r="AF678" s="7"/>
      <c r="AG678" s="30">
        <v>0</v>
      </c>
      <c r="AI678" s="32">
        <v>4</v>
      </c>
      <c r="AK678" s="7" t="str">
        <f t="shared" si="10"/>
        <v>No</v>
      </c>
    </row>
    <row r="679" spans="1:37">
      <c r="A679" s="7" t="s">
        <v>637</v>
      </c>
      <c r="B679" s="7" t="s">
        <v>638</v>
      </c>
      <c r="C679" s="7" t="s">
        <v>42</v>
      </c>
      <c r="D679" s="302">
        <v>5053</v>
      </c>
      <c r="E679" s="297">
        <v>50053</v>
      </c>
      <c r="F679" s="7" t="s">
        <v>162</v>
      </c>
      <c r="G679" s="7" t="s">
        <v>158</v>
      </c>
      <c r="H679" s="8">
        <v>92742</v>
      </c>
      <c r="I679" s="8">
        <v>11</v>
      </c>
      <c r="J679" s="7" t="s">
        <v>10</v>
      </c>
      <c r="K679" s="7" t="s">
        <v>159</v>
      </c>
      <c r="L679" s="8">
        <v>3</v>
      </c>
      <c r="M679" s="8">
        <v>10736</v>
      </c>
      <c r="N679" s="7"/>
      <c r="O679" s="8">
        <v>2014</v>
      </c>
      <c r="P679" s="7"/>
      <c r="Q679" s="8">
        <v>2012</v>
      </c>
      <c r="R679" s="7"/>
      <c r="S679" s="8">
        <v>1950</v>
      </c>
      <c r="T679" s="7"/>
      <c r="U679" s="8">
        <v>0</v>
      </c>
      <c r="V679" s="7"/>
      <c r="W679" s="33">
        <v>16712</v>
      </c>
      <c r="X679" s="7"/>
      <c r="Y679" s="30">
        <v>4</v>
      </c>
      <c r="Z679" s="7"/>
      <c r="AA679" s="30">
        <v>1</v>
      </c>
      <c r="AB679" s="7"/>
      <c r="AC679" s="30">
        <v>1</v>
      </c>
      <c r="AD679" s="7"/>
      <c r="AE679" s="30">
        <v>1.3</v>
      </c>
      <c r="AF679" s="7"/>
      <c r="AG679" s="30">
        <v>0</v>
      </c>
      <c r="AI679" s="32">
        <v>7.3</v>
      </c>
      <c r="AK679" s="7" t="str">
        <f t="shared" si="10"/>
        <v>No</v>
      </c>
    </row>
    <row r="680" spans="1:37">
      <c r="A680" s="7" t="s">
        <v>1148</v>
      </c>
      <c r="B680" s="7" t="s">
        <v>744</v>
      </c>
      <c r="C680" s="7" t="s">
        <v>79</v>
      </c>
      <c r="D680" s="302">
        <v>4175</v>
      </c>
      <c r="E680" s="297">
        <v>40175</v>
      </c>
      <c r="F680" s="7" t="s">
        <v>157</v>
      </c>
      <c r="G680" s="7" t="s">
        <v>158</v>
      </c>
      <c r="H680" s="8">
        <v>2148346</v>
      </c>
      <c r="I680" s="8">
        <v>10</v>
      </c>
      <c r="J680" s="7" t="s">
        <v>19</v>
      </c>
      <c r="K680" s="7" t="s">
        <v>159</v>
      </c>
      <c r="L680" s="8">
        <v>10</v>
      </c>
      <c r="M680" s="8">
        <v>190685</v>
      </c>
      <c r="N680" s="7"/>
      <c r="O680" s="8">
        <v>125368</v>
      </c>
      <c r="P680" s="7"/>
      <c r="Q680" s="8">
        <v>19370</v>
      </c>
      <c r="R680" s="7"/>
      <c r="S680" s="8">
        <v>72020</v>
      </c>
      <c r="T680" s="7"/>
      <c r="U680" s="8">
        <v>0</v>
      </c>
      <c r="V680" s="7"/>
      <c r="W680" s="33">
        <v>407443</v>
      </c>
      <c r="X680" s="7"/>
      <c r="Y680" s="30">
        <v>113</v>
      </c>
      <c r="Z680" s="7"/>
      <c r="AA680" s="30">
        <v>68</v>
      </c>
      <c r="AB680" s="7"/>
      <c r="AC680" s="30">
        <v>13</v>
      </c>
      <c r="AD680" s="7"/>
      <c r="AE680" s="30">
        <v>37</v>
      </c>
      <c r="AF680" s="7"/>
      <c r="AG680" s="30">
        <v>0</v>
      </c>
      <c r="AI680" s="32">
        <v>231</v>
      </c>
      <c r="AK680" s="7" t="str">
        <f t="shared" si="10"/>
        <v>No</v>
      </c>
    </row>
    <row r="681" spans="1:37">
      <c r="A681" s="7" t="s">
        <v>353</v>
      </c>
      <c r="B681" s="7" t="s">
        <v>292</v>
      </c>
      <c r="C681" s="7" t="s">
        <v>52</v>
      </c>
      <c r="D681" s="302">
        <v>5141</v>
      </c>
      <c r="E681" s="297">
        <v>50141</v>
      </c>
      <c r="F681" s="7" t="s">
        <v>165</v>
      </c>
      <c r="G681" s="7" t="s">
        <v>158</v>
      </c>
      <c r="H681" s="8">
        <v>3734090</v>
      </c>
      <c r="I681" s="8">
        <v>10</v>
      </c>
      <c r="J681" s="7" t="s">
        <v>34</v>
      </c>
      <c r="K681" s="7" t="s">
        <v>159</v>
      </c>
      <c r="L681" s="8">
        <v>10</v>
      </c>
      <c r="M681" s="8">
        <v>140607</v>
      </c>
      <c r="N681" s="7"/>
      <c r="O681" s="8">
        <v>61586</v>
      </c>
      <c r="P681" s="7"/>
      <c r="Q681" s="8">
        <v>0</v>
      </c>
      <c r="R681" s="7"/>
      <c r="S681" s="8">
        <v>33474</v>
      </c>
      <c r="T681" s="7"/>
      <c r="U681" s="8">
        <v>0</v>
      </c>
      <c r="V681" s="7"/>
      <c r="W681" s="33">
        <v>235667</v>
      </c>
      <c r="X681" s="7"/>
      <c r="Y681" s="30">
        <v>81</v>
      </c>
      <c r="Z681" s="7"/>
      <c r="AA681" s="30">
        <v>22</v>
      </c>
      <c r="AB681" s="7"/>
      <c r="AC681" s="30">
        <v>0</v>
      </c>
      <c r="AD681" s="7"/>
      <c r="AE681" s="30">
        <v>16</v>
      </c>
      <c r="AF681" s="7"/>
      <c r="AG681" s="30">
        <v>0</v>
      </c>
      <c r="AI681" s="32">
        <v>119</v>
      </c>
      <c r="AK681" s="7" t="str">
        <f t="shared" si="10"/>
        <v>No</v>
      </c>
    </row>
    <row r="682" spans="1:37">
      <c r="A682" s="7" t="s">
        <v>293</v>
      </c>
      <c r="B682" s="7" t="s">
        <v>294</v>
      </c>
      <c r="C682" s="7" t="s">
        <v>86</v>
      </c>
      <c r="D682" s="302">
        <v>3058</v>
      </c>
      <c r="E682" s="297">
        <v>30058</v>
      </c>
      <c r="F682" s="7" t="s">
        <v>162</v>
      </c>
      <c r="G682" s="7" t="s">
        <v>158</v>
      </c>
      <c r="H682" s="8">
        <v>4586770</v>
      </c>
      <c r="I682" s="8">
        <v>8</v>
      </c>
      <c r="J682" s="7" t="s">
        <v>7</v>
      </c>
      <c r="K682" s="7" t="s">
        <v>159</v>
      </c>
      <c r="L682" s="8">
        <v>8</v>
      </c>
      <c r="M682" s="8">
        <v>40788</v>
      </c>
      <c r="N682" s="7"/>
      <c r="O682" s="8">
        <v>3950</v>
      </c>
      <c r="P682" s="7"/>
      <c r="Q682" s="8">
        <v>0</v>
      </c>
      <c r="R682" s="7"/>
      <c r="S682" s="8">
        <v>6265</v>
      </c>
      <c r="T682" s="7"/>
      <c r="U682" s="8">
        <v>0</v>
      </c>
      <c r="V682" s="7"/>
      <c r="W682" s="33">
        <v>51003</v>
      </c>
      <c r="X682" s="7"/>
      <c r="Y682" s="30">
        <v>23.7</v>
      </c>
      <c r="Z682" s="7"/>
      <c r="AA682" s="30">
        <v>2.2000000000000002</v>
      </c>
      <c r="AB682" s="7"/>
      <c r="AC682" s="30">
        <v>0</v>
      </c>
      <c r="AD682" s="7"/>
      <c r="AE682" s="30">
        <v>43.9</v>
      </c>
      <c r="AF682" s="7"/>
      <c r="AG682" s="30">
        <v>0</v>
      </c>
      <c r="AI682" s="32">
        <v>69.8</v>
      </c>
      <c r="AK682" s="7" t="str">
        <f t="shared" si="10"/>
        <v>No</v>
      </c>
    </row>
    <row r="683" spans="1:37">
      <c r="A683" s="7" t="s">
        <v>1149</v>
      </c>
      <c r="B683" s="7" t="s">
        <v>1150</v>
      </c>
      <c r="C683" s="7" t="s">
        <v>32</v>
      </c>
      <c r="D683" s="302"/>
      <c r="E683" s="297">
        <v>40259</v>
      </c>
      <c r="F683" s="7" t="s">
        <v>187</v>
      </c>
      <c r="G683" s="7" t="s">
        <v>158</v>
      </c>
      <c r="H683" s="8">
        <v>2441770</v>
      </c>
      <c r="I683" s="8">
        <v>8</v>
      </c>
      <c r="J683" s="7" t="s">
        <v>7</v>
      </c>
      <c r="K683" s="7" t="s">
        <v>159</v>
      </c>
      <c r="L683" s="8">
        <v>8</v>
      </c>
      <c r="M683" s="8">
        <v>10500</v>
      </c>
      <c r="N683" s="7"/>
      <c r="O683" s="8">
        <v>1800</v>
      </c>
      <c r="P683" s="7"/>
      <c r="Q683" s="8">
        <v>1880</v>
      </c>
      <c r="R683" s="7"/>
      <c r="S683" s="8">
        <v>4100</v>
      </c>
      <c r="T683" s="7"/>
      <c r="U683" s="8">
        <v>0</v>
      </c>
      <c r="V683" s="7"/>
      <c r="W683" s="33">
        <v>18280</v>
      </c>
      <c r="X683" s="7"/>
      <c r="Y683" s="30">
        <v>5</v>
      </c>
      <c r="Z683" s="7"/>
      <c r="AA683" s="30">
        <v>1</v>
      </c>
      <c r="AB683" s="7"/>
      <c r="AC683" s="30">
        <v>1</v>
      </c>
      <c r="AD683" s="7"/>
      <c r="AE683" s="30">
        <v>2</v>
      </c>
      <c r="AF683" s="7"/>
      <c r="AG683" s="30">
        <v>0</v>
      </c>
      <c r="AI683" s="32">
        <v>9</v>
      </c>
      <c r="AK683" s="7" t="str">
        <f t="shared" si="10"/>
        <v>No</v>
      </c>
    </row>
    <row r="684" spans="1:37">
      <c r="A684" s="7" t="s">
        <v>1151</v>
      </c>
      <c r="B684" s="7" t="s">
        <v>1152</v>
      </c>
      <c r="C684" s="7" t="s">
        <v>86</v>
      </c>
      <c r="D684" s="302">
        <v>3103</v>
      </c>
      <c r="E684" s="297">
        <v>30103</v>
      </c>
      <c r="F684" s="7" t="s">
        <v>173</v>
      </c>
      <c r="G684" s="7" t="s">
        <v>158</v>
      </c>
      <c r="H684" s="8">
        <v>4586770</v>
      </c>
      <c r="I684" s="8">
        <v>7</v>
      </c>
      <c r="J684" s="7" t="s">
        <v>18</v>
      </c>
      <c r="K684" s="7" t="s">
        <v>159</v>
      </c>
      <c r="L684" s="8">
        <v>7</v>
      </c>
      <c r="M684" s="8">
        <v>12191</v>
      </c>
      <c r="N684" s="7"/>
      <c r="O684" s="8">
        <v>283</v>
      </c>
      <c r="P684" s="7" t="s">
        <v>121</v>
      </c>
      <c r="Q684" s="8">
        <v>665</v>
      </c>
      <c r="R684" s="7"/>
      <c r="S684" s="8">
        <v>1058</v>
      </c>
      <c r="T684" s="7"/>
      <c r="U684" s="8">
        <v>0</v>
      </c>
      <c r="V684" s="7"/>
      <c r="W684" s="33">
        <v>14197</v>
      </c>
      <c r="X684" s="7" t="s">
        <v>121</v>
      </c>
      <c r="Y684" s="30">
        <v>4.93</v>
      </c>
      <c r="Z684" s="7"/>
      <c r="AA684" s="30">
        <v>0.34</v>
      </c>
      <c r="AB684" s="7" t="s">
        <v>121</v>
      </c>
      <c r="AC684" s="30">
        <v>0.34</v>
      </c>
      <c r="AD684" s="7"/>
      <c r="AE684" s="30">
        <v>0.51</v>
      </c>
      <c r="AF684" s="7"/>
      <c r="AG684" s="30">
        <v>0</v>
      </c>
      <c r="AI684" s="32">
        <v>6.12</v>
      </c>
      <c r="AJ684" s="7" t="s">
        <v>121</v>
      </c>
      <c r="AK684" s="7" t="str">
        <f t="shared" si="10"/>
        <v>Yes</v>
      </c>
    </row>
    <row r="685" spans="1:37">
      <c r="A685" s="7" t="s">
        <v>332</v>
      </c>
      <c r="B685" s="7" t="s">
        <v>333</v>
      </c>
      <c r="C685" s="7" t="s">
        <v>38</v>
      </c>
      <c r="D685" s="302">
        <v>7030</v>
      </c>
      <c r="E685" s="297">
        <v>70030</v>
      </c>
      <c r="F685" s="7" t="s">
        <v>162</v>
      </c>
      <c r="G685" s="7" t="s">
        <v>158</v>
      </c>
      <c r="H685" s="8">
        <v>106621</v>
      </c>
      <c r="I685" s="8">
        <v>7</v>
      </c>
      <c r="J685" s="7" t="s">
        <v>7</v>
      </c>
      <c r="K685" s="7" t="s">
        <v>159</v>
      </c>
      <c r="L685" s="8">
        <v>7</v>
      </c>
      <c r="M685" s="8">
        <v>13534</v>
      </c>
      <c r="N685" s="7"/>
      <c r="O685" s="8">
        <v>3518</v>
      </c>
      <c r="P685" s="7"/>
      <c r="Q685" s="8">
        <v>0</v>
      </c>
      <c r="R685" s="7"/>
      <c r="S685" s="8">
        <v>1859</v>
      </c>
      <c r="T685" s="7"/>
      <c r="U685" s="8">
        <v>0</v>
      </c>
      <c r="V685" s="7"/>
      <c r="W685" s="33">
        <v>18911</v>
      </c>
      <c r="X685" s="7"/>
      <c r="Y685" s="30">
        <v>8</v>
      </c>
      <c r="Z685" s="7"/>
      <c r="AA685" s="30">
        <v>2</v>
      </c>
      <c r="AB685" s="7"/>
      <c r="AC685" s="30">
        <v>0</v>
      </c>
      <c r="AD685" s="7"/>
      <c r="AE685" s="30">
        <v>1</v>
      </c>
      <c r="AF685" s="7"/>
      <c r="AG685" s="30">
        <v>0</v>
      </c>
      <c r="AI685" s="32">
        <v>11</v>
      </c>
      <c r="AK685" s="7" t="str">
        <f t="shared" si="10"/>
        <v>No</v>
      </c>
    </row>
    <row r="686" spans="1:37">
      <c r="A686" s="7" t="s">
        <v>724</v>
      </c>
      <c r="B686" s="7" t="s">
        <v>535</v>
      </c>
      <c r="C686" s="7" t="s">
        <v>42</v>
      </c>
      <c r="D686" s="302">
        <v>5179</v>
      </c>
      <c r="E686" s="297">
        <v>50179</v>
      </c>
      <c r="F686" s="7" t="s">
        <v>187</v>
      </c>
      <c r="G686" s="7" t="s">
        <v>158</v>
      </c>
      <c r="H686" s="8">
        <v>8608208</v>
      </c>
      <c r="I686" s="8">
        <v>7</v>
      </c>
      <c r="J686" s="7" t="s">
        <v>10</v>
      </c>
      <c r="K686" s="7" t="s">
        <v>159</v>
      </c>
      <c r="L686" s="8">
        <v>7</v>
      </c>
      <c r="M686" s="8">
        <v>16980</v>
      </c>
      <c r="N686" s="7"/>
      <c r="O686" s="8">
        <v>0</v>
      </c>
      <c r="P686" s="7"/>
      <c r="Q686" s="8">
        <v>0</v>
      </c>
      <c r="R686" s="7"/>
      <c r="S686" s="8">
        <v>4847</v>
      </c>
      <c r="T686" s="7"/>
      <c r="U686" s="8">
        <v>0</v>
      </c>
      <c r="V686" s="7"/>
      <c r="W686" s="33">
        <v>21827</v>
      </c>
      <c r="X686" s="7"/>
      <c r="Y686" s="30">
        <v>10</v>
      </c>
      <c r="Z686" s="7"/>
      <c r="AA686" s="30">
        <v>0</v>
      </c>
      <c r="AB686" s="7"/>
      <c r="AC686" s="30">
        <v>0</v>
      </c>
      <c r="AD686" s="7"/>
      <c r="AE686" s="30">
        <v>3</v>
      </c>
      <c r="AF686" s="7"/>
      <c r="AG686" s="30">
        <v>0</v>
      </c>
      <c r="AI686" s="32">
        <v>13</v>
      </c>
      <c r="AK686" s="7" t="str">
        <f t="shared" si="10"/>
        <v>No</v>
      </c>
    </row>
    <row r="687" spans="1:37">
      <c r="A687" s="7" t="s">
        <v>124</v>
      </c>
      <c r="B687" s="7" t="s">
        <v>479</v>
      </c>
      <c r="C687" s="7" t="s">
        <v>70</v>
      </c>
      <c r="D687" s="302">
        <v>2189</v>
      </c>
      <c r="E687" s="297">
        <v>20189</v>
      </c>
      <c r="F687" s="7" t="s">
        <v>173</v>
      </c>
      <c r="G687" s="7" t="s">
        <v>158</v>
      </c>
      <c r="H687" s="8">
        <v>18351295</v>
      </c>
      <c r="I687" s="8">
        <v>6</v>
      </c>
      <c r="J687" s="7" t="s">
        <v>19</v>
      </c>
      <c r="K687" s="7" t="s">
        <v>159</v>
      </c>
      <c r="L687" s="8">
        <v>6</v>
      </c>
      <c r="M687" s="8">
        <v>43805</v>
      </c>
      <c r="N687" s="7"/>
      <c r="O687" s="8">
        <v>7488</v>
      </c>
      <c r="P687" s="7"/>
      <c r="Q687" s="8">
        <v>3744</v>
      </c>
      <c r="R687" s="7"/>
      <c r="S687" s="8">
        <v>23213</v>
      </c>
      <c r="T687" s="7"/>
      <c r="U687" s="8">
        <v>0</v>
      </c>
      <c r="V687" s="7"/>
      <c r="W687" s="33">
        <v>78250</v>
      </c>
      <c r="X687" s="7"/>
      <c r="Y687" s="30">
        <v>21</v>
      </c>
      <c r="Z687" s="7"/>
      <c r="AA687" s="30">
        <v>4</v>
      </c>
      <c r="AB687" s="7"/>
      <c r="AC687" s="30">
        <v>2</v>
      </c>
      <c r="AD687" s="7"/>
      <c r="AE687" s="30">
        <v>11</v>
      </c>
      <c r="AF687" s="7"/>
      <c r="AG687" s="30">
        <v>0</v>
      </c>
      <c r="AI687" s="32">
        <v>38</v>
      </c>
      <c r="AK687" s="7" t="str">
        <f t="shared" si="10"/>
        <v>No</v>
      </c>
    </row>
    <row r="688" spans="1:37">
      <c r="A688" s="7" t="s">
        <v>775</v>
      </c>
      <c r="B688" s="7" t="s">
        <v>776</v>
      </c>
      <c r="C688" s="7" t="s">
        <v>46</v>
      </c>
      <c r="D688" s="302">
        <v>6127</v>
      </c>
      <c r="E688" s="297">
        <v>60127</v>
      </c>
      <c r="F688" s="7" t="s">
        <v>162</v>
      </c>
      <c r="G688" s="7" t="s">
        <v>158</v>
      </c>
      <c r="H688" s="8">
        <v>899703</v>
      </c>
      <c r="I688" s="8">
        <v>6</v>
      </c>
      <c r="J688" s="7" t="s">
        <v>10</v>
      </c>
      <c r="K688" s="7" t="s">
        <v>159</v>
      </c>
      <c r="L688" s="8">
        <v>4</v>
      </c>
      <c r="M688" s="8">
        <v>8702</v>
      </c>
      <c r="N688" s="7"/>
      <c r="O688" s="8">
        <v>0</v>
      </c>
      <c r="P688" s="7"/>
      <c r="Q688" s="8">
        <v>418</v>
      </c>
      <c r="R688" s="7"/>
      <c r="S688" s="8">
        <v>5282</v>
      </c>
      <c r="T688" s="7"/>
      <c r="U688" s="8">
        <v>0</v>
      </c>
      <c r="V688" s="7"/>
      <c r="W688" s="33">
        <v>14402</v>
      </c>
      <c r="X688" s="7"/>
      <c r="Y688" s="30">
        <v>5</v>
      </c>
      <c r="Z688" s="7"/>
      <c r="AA688" s="30">
        <v>0</v>
      </c>
      <c r="AB688" s="7"/>
      <c r="AC688" s="30">
        <v>0.2</v>
      </c>
      <c r="AD688" s="7"/>
      <c r="AE688" s="30">
        <v>3</v>
      </c>
      <c r="AF688" s="7"/>
      <c r="AG688" s="30">
        <v>0</v>
      </c>
      <c r="AI688" s="32">
        <v>8.1999999999999993</v>
      </c>
      <c r="AK688" s="7" t="str">
        <f t="shared" si="10"/>
        <v>No</v>
      </c>
    </row>
    <row r="689" spans="1:37">
      <c r="A689" s="7" t="s">
        <v>775</v>
      </c>
      <c r="B689" s="7" t="s">
        <v>776</v>
      </c>
      <c r="C689" s="7" t="s">
        <v>46</v>
      </c>
      <c r="D689" s="302">
        <v>6127</v>
      </c>
      <c r="E689" s="297">
        <v>60127</v>
      </c>
      <c r="F689" s="7" t="s">
        <v>162</v>
      </c>
      <c r="G689" s="7" t="s">
        <v>158</v>
      </c>
      <c r="H689" s="8">
        <v>899703</v>
      </c>
      <c r="I689" s="8">
        <v>6</v>
      </c>
      <c r="J689" s="7" t="s">
        <v>19</v>
      </c>
      <c r="K689" s="7" t="s">
        <v>159</v>
      </c>
      <c r="L689" s="8">
        <v>2</v>
      </c>
      <c r="M689" s="8">
        <v>62272</v>
      </c>
      <c r="N689" s="7"/>
      <c r="O689" s="8">
        <v>6387</v>
      </c>
      <c r="P689" s="7"/>
      <c r="Q689" s="8">
        <v>418</v>
      </c>
      <c r="R689" s="7"/>
      <c r="S689" s="8">
        <v>8897</v>
      </c>
      <c r="T689" s="7"/>
      <c r="U689" s="8">
        <v>0</v>
      </c>
      <c r="V689" s="7"/>
      <c r="W689" s="33">
        <v>77974</v>
      </c>
      <c r="X689" s="7"/>
      <c r="Y689" s="30">
        <v>28</v>
      </c>
      <c r="Z689" s="7"/>
      <c r="AA689" s="30">
        <v>2</v>
      </c>
      <c r="AB689" s="7"/>
      <c r="AC689" s="30">
        <v>0.2</v>
      </c>
      <c r="AD689" s="7"/>
      <c r="AE689" s="30">
        <v>3.8</v>
      </c>
      <c r="AF689" s="7"/>
      <c r="AG689" s="30">
        <v>0</v>
      </c>
      <c r="AI689" s="32">
        <v>34</v>
      </c>
      <c r="AK689" s="7" t="str">
        <f t="shared" si="10"/>
        <v>No</v>
      </c>
    </row>
    <row r="690" spans="1:37">
      <c r="A690" s="7" t="s">
        <v>15</v>
      </c>
      <c r="B690" s="7" t="s">
        <v>397</v>
      </c>
      <c r="C690" s="7" t="s">
        <v>13</v>
      </c>
      <c r="D690" s="302">
        <v>9140</v>
      </c>
      <c r="E690" s="297">
        <v>90140</v>
      </c>
      <c r="F690" s="7" t="s">
        <v>162</v>
      </c>
      <c r="G690" s="7" t="s">
        <v>158</v>
      </c>
      <c r="H690" s="8">
        <v>3629114</v>
      </c>
      <c r="I690" s="8">
        <v>5</v>
      </c>
      <c r="J690" s="7" t="s">
        <v>10</v>
      </c>
      <c r="K690" s="7" t="s">
        <v>159</v>
      </c>
      <c r="L690" s="8">
        <v>5</v>
      </c>
      <c r="M690" s="8">
        <v>8646</v>
      </c>
      <c r="N690" s="7"/>
      <c r="O690" s="8">
        <v>649</v>
      </c>
      <c r="P690" s="7"/>
      <c r="Q690" s="8">
        <v>468</v>
      </c>
      <c r="R690" s="7"/>
      <c r="S690" s="8">
        <v>1710</v>
      </c>
      <c r="T690" s="7"/>
      <c r="U690" s="8">
        <v>0</v>
      </c>
      <c r="V690" s="7"/>
      <c r="W690" s="33">
        <v>11473</v>
      </c>
      <c r="X690" s="7"/>
      <c r="Y690" s="30">
        <v>5</v>
      </c>
      <c r="Z690" s="7"/>
      <c r="AA690" s="30">
        <v>0.4</v>
      </c>
      <c r="AB690" s="7"/>
      <c r="AC690" s="30">
        <v>0.3</v>
      </c>
      <c r="AD690" s="7"/>
      <c r="AE690" s="30">
        <v>1</v>
      </c>
      <c r="AF690" s="7"/>
      <c r="AG690" s="30">
        <v>0</v>
      </c>
      <c r="AI690" s="32">
        <v>6.7</v>
      </c>
      <c r="AK690" s="7" t="str">
        <f t="shared" si="10"/>
        <v>No</v>
      </c>
    </row>
    <row r="691" spans="1:37">
      <c r="A691" s="7" t="s">
        <v>749</v>
      </c>
      <c r="B691" s="7" t="s">
        <v>504</v>
      </c>
      <c r="C691" s="7" t="s">
        <v>57</v>
      </c>
      <c r="D691" s="302">
        <v>8107</v>
      </c>
      <c r="E691" s="297">
        <v>80107</v>
      </c>
      <c r="F691" s="7" t="s">
        <v>114</v>
      </c>
      <c r="G691" s="7" t="s">
        <v>158</v>
      </c>
      <c r="H691" s="8">
        <v>82157</v>
      </c>
      <c r="I691" s="8">
        <v>5</v>
      </c>
      <c r="J691" s="7" t="s">
        <v>7</v>
      </c>
      <c r="K691" s="7" t="s">
        <v>159</v>
      </c>
      <c r="L691" s="8">
        <v>5</v>
      </c>
      <c r="M691" s="8">
        <v>2304</v>
      </c>
      <c r="N691" s="7"/>
      <c r="O691" s="8">
        <v>890</v>
      </c>
      <c r="P691" s="7"/>
      <c r="Q691" s="8">
        <v>158</v>
      </c>
      <c r="R691" s="7"/>
      <c r="S691" s="8">
        <v>2308</v>
      </c>
      <c r="T691" s="7"/>
      <c r="U691" s="8">
        <v>880</v>
      </c>
      <c r="V691" s="7"/>
      <c r="W691" s="33">
        <v>6540</v>
      </c>
      <c r="X691" s="7"/>
      <c r="Y691" s="30">
        <v>1.2</v>
      </c>
      <c r="Z691" s="7"/>
      <c r="AA691" s="30">
        <v>0.5</v>
      </c>
      <c r="AB691" s="7"/>
      <c r="AC691" s="30">
        <v>0.1</v>
      </c>
      <c r="AD691" s="7"/>
      <c r="AE691" s="30">
        <v>1.1000000000000001</v>
      </c>
      <c r="AF691" s="7"/>
      <c r="AG691" s="30">
        <v>0.4</v>
      </c>
      <c r="AI691" s="32">
        <v>3.3</v>
      </c>
      <c r="AK691" s="7" t="str">
        <f t="shared" si="10"/>
        <v>No</v>
      </c>
    </row>
    <row r="692" spans="1:37">
      <c r="A692" s="7" t="s">
        <v>191</v>
      </c>
      <c r="B692" s="7" t="s">
        <v>192</v>
      </c>
      <c r="C692" s="7" t="s">
        <v>26</v>
      </c>
      <c r="D692" s="302">
        <v>8025</v>
      </c>
      <c r="E692" s="297">
        <v>80025</v>
      </c>
      <c r="F692" s="7" t="s">
        <v>162</v>
      </c>
      <c r="G692" s="7" t="s">
        <v>158</v>
      </c>
      <c r="H692" s="8">
        <v>264465</v>
      </c>
      <c r="I692" s="8">
        <v>5</v>
      </c>
      <c r="J692" s="7" t="s">
        <v>7</v>
      </c>
      <c r="K692" s="7" t="s">
        <v>159</v>
      </c>
      <c r="L692" s="8">
        <v>3</v>
      </c>
      <c r="M692" s="8">
        <v>0</v>
      </c>
      <c r="N692" s="7"/>
      <c r="O692" s="8">
        <v>0</v>
      </c>
      <c r="P692" s="7"/>
      <c r="Q692" s="8">
        <v>0</v>
      </c>
      <c r="R692" s="7"/>
      <c r="S692" s="8">
        <v>1879</v>
      </c>
      <c r="T692" s="7"/>
      <c r="U692" s="8">
        <v>0</v>
      </c>
      <c r="V692" s="7"/>
      <c r="W692" s="33">
        <v>1879</v>
      </c>
      <c r="X692" s="7"/>
      <c r="Y692" s="30">
        <v>0</v>
      </c>
      <c r="Z692" s="7"/>
      <c r="AA692" s="30">
        <v>0</v>
      </c>
      <c r="AB692" s="7"/>
      <c r="AC692" s="30">
        <v>0</v>
      </c>
      <c r="AD692" s="7"/>
      <c r="AE692" s="30">
        <v>1</v>
      </c>
      <c r="AF692" s="7"/>
      <c r="AG692" s="30">
        <v>0</v>
      </c>
      <c r="AI692" s="32">
        <v>1</v>
      </c>
      <c r="AK692" s="7" t="str">
        <f t="shared" si="10"/>
        <v>No</v>
      </c>
    </row>
    <row r="693" spans="1:37">
      <c r="A693" s="7" t="s">
        <v>191</v>
      </c>
      <c r="B693" s="7" t="s">
        <v>192</v>
      </c>
      <c r="C693" s="7" t="s">
        <v>26</v>
      </c>
      <c r="D693" s="302">
        <v>8025</v>
      </c>
      <c r="E693" s="297">
        <v>80025</v>
      </c>
      <c r="F693" s="7" t="s">
        <v>162</v>
      </c>
      <c r="G693" s="7" t="s">
        <v>158</v>
      </c>
      <c r="H693" s="8">
        <v>264465</v>
      </c>
      <c r="I693" s="8">
        <v>5</v>
      </c>
      <c r="J693" s="7" t="s">
        <v>10</v>
      </c>
      <c r="K693" s="7" t="s">
        <v>159</v>
      </c>
      <c r="L693" s="8">
        <v>2</v>
      </c>
      <c r="M693" s="8">
        <v>0</v>
      </c>
      <c r="N693" s="7"/>
      <c r="O693" s="8">
        <v>0</v>
      </c>
      <c r="P693" s="7"/>
      <c r="Q693" s="8">
        <v>0</v>
      </c>
      <c r="R693" s="7"/>
      <c r="S693" s="8">
        <v>1805</v>
      </c>
      <c r="T693" s="7"/>
      <c r="U693" s="8">
        <v>0</v>
      </c>
      <c r="V693" s="7"/>
      <c r="W693" s="33">
        <v>1805</v>
      </c>
      <c r="X693" s="7"/>
      <c r="Y693" s="30">
        <v>0</v>
      </c>
      <c r="Z693" s="7"/>
      <c r="AA693" s="30">
        <v>0</v>
      </c>
      <c r="AB693" s="7"/>
      <c r="AC693" s="30">
        <v>0</v>
      </c>
      <c r="AD693" s="7"/>
      <c r="AE693" s="30">
        <v>1</v>
      </c>
      <c r="AF693" s="7"/>
      <c r="AG693" s="30">
        <v>0</v>
      </c>
      <c r="AI693" s="32">
        <v>1</v>
      </c>
      <c r="AK693" s="7" t="str">
        <f t="shared" si="10"/>
        <v>No</v>
      </c>
    </row>
    <row r="694" spans="1:37">
      <c r="A694" s="7" t="s">
        <v>253</v>
      </c>
      <c r="B694" s="7" t="s">
        <v>254</v>
      </c>
      <c r="C694" s="7" t="s">
        <v>51</v>
      </c>
      <c r="D694" s="302">
        <v>1088</v>
      </c>
      <c r="E694" s="297">
        <v>10088</v>
      </c>
      <c r="F694" s="7" t="s">
        <v>165</v>
      </c>
      <c r="G694" s="7" t="s">
        <v>158</v>
      </c>
      <c r="H694" s="8">
        <v>203914</v>
      </c>
      <c r="I694" s="8">
        <v>4</v>
      </c>
      <c r="J694" s="7" t="s">
        <v>19</v>
      </c>
      <c r="K694" s="7" t="s">
        <v>159</v>
      </c>
      <c r="L694" s="8">
        <v>4</v>
      </c>
      <c r="M694" s="8">
        <v>84137</v>
      </c>
      <c r="N694" s="7"/>
      <c r="O694" s="8">
        <v>6292</v>
      </c>
      <c r="P694" s="7"/>
      <c r="Q694" s="8">
        <v>699</v>
      </c>
      <c r="R694" s="7"/>
      <c r="S694" s="8">
        <v>11892</v>
      </c>
      <c r="T694" s="7"/>
      <c r="U694" s="8">
        <v>0</v>
      </c>
      <c r="V694" s="7"/>
      <c r="W694" s="33">
        <v>103020</v>
      </c>
      <c r="X694" s="7"/>
      <c r="Y694" s="30">
        <v>34</v>
      </c>
      <c r="Z694" s="7"/>
      <c r="AA694" s="30">
        <v>2.7</v>
      </c>
      <c r="AB694" s="7"/>
      <c r="AC694" s="30">
        <v>0.3</v>
      </c>
      <c r="AD694" s="7"/>
      <c r="AE694" s="30">
        <v>7</v>
      </c>
      <c r="AF694" s="7"/>
      <c r="AG694" s="30">
        <v>0</v>
      </c>
      <c r="AI694" s="32">
        <v>44</v>
      </c>
      <c r="AK694" s="7" t="str">
        <f t="shared" si="10"/>
        <v>No</v>
      </c>
    </row>
    <row r="695" spans="1:37">
      <c r="A695" s="7" t="s">
        <v>360</v>
      </c>
      <c r="B695" s="7" t="s">
        <v>361</v>
      </c>
      <c r="C695" s="7" t="s">
        <v>42</v>
      </c>
      <c r="D695" s="302">
        <v>5042</v>
      </c>
      <c r="E695" s="297">
        <v>50042</v>
      </c>
      <c r="F695" s="7" t="s">
        <v>162</v>
      </c>
      <c r="G695" s="7" t="s">
        <v>158</v>
      </c>
      <c r="H695" s="8">
        <v>8608208</v>
      </c>
      <c r="I695" s="8">
        <v>4</v>
      </c>
      <c r="J695" s="7" t="s">
        <v>7</v>
      </c>
      <c r="K695" s="7" t="s">
        <v>159</v>
      </c>
      <c r="L695" s="8">
        <v>3</v>
      </c>
      <c r="M695" s="8">
        <v>13187</v>
      </c>
      <c r="N695" s="7"/>
      <c r="O695" s="8">
        <v>1542</v>
      </c>
      <c r="P695" s="7"/>
      <c r="Q695" s="8">
        <v>3338</v>
      </c>
      <c r="R695" s="7"/>
      <c r="S695" s="8">
        <v>3960</v>
      </c>
      <c r="T695" s="7"/>
      <c r="U695" s="8">
        <v>0</v>
      </c>
      <c r="V695" s="7"/>
      <c r="W695" s="33">
        <v>22027</v>
      </c>
      <c r="X695" s="7"/>
      <c r="Y695" s="30">
        <v>7</v>
      </c>
      <c r="Z695" s="7"/>
      <c r="AA695" s="30">
        <v>0.8</v>
      </c>
      <c r="AB695" s="7"/>
      <c r="AC695" s="30">
        <v>2</v>
      </c>
      <c r="AD695" s="7"/>
      <c r="AE695" s="30">
        <v>2</v>
      </c>
      <c r="AF695" s="7"/>
      <c r="AG695" s="30">
        <v>0</v>
      </c>
      <c r="AI695" s="32">
        <v>11.8</v>
      </c>
      <c r="AK695" s="7" t="str">
        <f t="shared" si="10"/>
        <v>No</v>
      </c>
    </row>
    <row r="696" spans="1:37">
      <c r="A696" s="7" t="s">
        <v>360</v>
      </c>
      <c r="B696" s="7" t="s">
        <v>361</v>
      </c>
      <c r="C696" s="7" t="s">
        <v>42</v>
      </c>
      <c r="D696" s="302">
        <v>5042</v>
      </c>
      <c r="E696" s="297">
        <v>50042</v>
      </c>
      <c r="F696" s="7" t="s">
        <v>162</v>
      </c>
      <c r="G696" s="7" t="s">
        <v>158</v>
      </c>
      <c r="H696" s="8">
        <v>8608208</v>
      </c>
      <c r="I696" s="8">
        <v>4</v>
      </c>
      <c r="J696" s="7" t="s">
        <v>10</v>
      </c>
      <c r="K696" s="7" t="s">
        <v>159</v>
      </c>
      <c r="L696" s="8">
        <v>1</v>
      </c>
      <c r="M696" s="8">
        <v>6239</v>
      </c>
      <c r="N696" s="7"/>
      <c r="O696" s="8">
        <v>461</v>
      </c>
      <c r="P696" s="7"/>
      <c r="Q696" s="8">
        <v>391</v>
      </c>
      <c r="R696" s="7"/>
      <c r="S696" s="8">
        <v>1530</v>
      </c>
      <c r="T696" s="7"/>
      <c r="U696" s="8">
        <v>0</v>
      </c>
      <c r="V696" s="7"/>
      <c r="W696" s="33">
        <v>8621</v>
      </c>
      <c r="X696" s="7"/>
      <c r="Y696" s="30">
        <v>3</v>
      </c>
      <c r="Z696" s="7"/>
      <c r="AA696" s="30">
        <v>0.3</v>
      </c>
      <c r="AB696" s="7"/>
      <c r="AC696" s="30">
        <v>0.2</v>
      </c>
      <c r="AD696" s="7"/>
      <c r="AE696" s="30">
        <v>1</v>
      </c>
      <c r="AF696" s="7"/>
      <c r="AG696" s="30">
        <v>0</v>
      </c>
      <c r="AI696" s="32">
        <v>4.5</v>
      </c>
      <c r="AK696" s="7" t="str">
        <f t="shared" si="10"/>
        <v>No</v>
      </c>
    </row>
    <row r="697" spans="1:37">
      <c r="A697" s="7" t="s">
        <v>780</v>
      </c>
      <c r="B697" s="7" t="s">
        <v>345</v>
      </c>
      <c r="C697" s="7" t="s">
        <v>84</v>
      </c>
      <c r="D697" s="302">
        <v>6133</v>
      </c>
      <c r="E697" s="297">
        <v>60133</v>
      </c>
      <c r="F697" s="7" t="s">
        <v>187</v>
      </c>
      <c r="G697" s="7" t="s">
        <v>158</v>
      </c>
      <c r="H697" s="8">
        <v>5121892</v>
      </c>
      <c r="I697" s="8">
        <v>3</v>
      </c>
      <c r="J697" s="7" t="s">
        <v>12</v>
      </c>
      <c r="K697" s="7" t="s">
        <v>159</v>
      </c>
      <c r="L697" s="8">
        <v>3</v>
      </c>
      <c r="M697" s="8">
        <v>17308</v>
      </c>
      <c r="N697" s="7"/>
      <c r="O697" s="8">
        <v>4477</v>
      </c>
      <c r="P697" s="7"/>
      <c r="Q697" s="8">
        <v>236</v>
      </c>
      <c r="R697" s="7"/>
      <c r="S697" s="8">
        <v>173</v>
      </c>
      <c r="T697" s="7"/>
      <c r="U697" s="8">
        <v>3353</v>
      </c>
      <c r="V697" s="7"/>
      <c r="W697" s="33">
        <v>25547</v>
      </c>
      <c r="X697" s="7"/>
      <c r="Y697" s="30">
        <v>8</v>
      </c>
      <c r="Z697" s="7"/>
      <c r="AA697" s="30">
        <v>3.9</v>
      </c>
      <c r="AB697" s="7"/>
      <c r="AC697" s="30">
        <v>0.2</v>
      </c>
      <c r="AD697" s="7"/>
      <c r="AE697" s="30">
        <v>0</v>
      </c>
      <c r="AF697" s="7"/>
      <c r="AG697" s="30">
        <v>2.9</v>
      </c>
      <c r="AI697" s="32">
        <v>15</v>
      </c>
      <c r="AK697" s="7" t="str">
        <f t="shared" si="10"/>
        <v>No</v>
      </c>
    </row>
    <row r="698" spans="1:37">
      <c r="A698" s="7" t="s">
        <v>1102</v>
      </c>
      <c r="B698" s="7" t="s">
        <v>481</v>
      </c>
      <c r="C698" s="7" t="s">
        <v>36</v>
      </c>
      <c r="D698" s="302">
        <v>4230</v>
      </c>
      <c r="E698" s="297">
        <v>40230</v>
      </c>
      <c r="F698" s="7" t="s">
        <v>162</v>
      </c>
      <c r="G698" s="7" t="s">
        <v>158</v>
      </c>
      <c r="H698" s="8">
        <v>4515419</v>
      </c>
      <c r="I698" s="8">
        <v>3</v>
      </c>
      <c r="J698" s="7" t="s">
        <v>12</v>
      </c>
      <c r="K698" s="7" t="s">
        <v>159</v>
      </c>
      <c r="L698" s="8">
        <v>3</v>
      </c>
      <c r="M698" s="8">
        <v>25143</v>
      </c>
      <c r="N698" s="7"/>
      <c r="O698" s="8">
        <v>8966</v>
      </c>
      <c r="P698" s="7"/>
      <c r="Q698" s="8">
        <v>3984</v>
      </c>
      <c r="R698" s="7"/>
      <c r="S698" s="8">
        <v>14286</v>
      </c>
      <c r="T698" s="7"/>
      <c r="U698" s="8">
        <v>0</v>
      </c>
      <c r="V698" s="7"/>
      <c r="W698" s="33">
        <v>52379</v>
      </c>
      <c r="X698" s="7"/>
      <c r="Y698" s="30">
        <v>17</v>
      </c>
      <c r="Z698" s="7"/>
      <c r="AA698" s="30">
        <v>7</v>
      </c>
      <c r="AB698" s="7"/>
      <c r="AC698" s="30">
        <v>2</v>
      </c>
      <c r="AD698" s="7"/>
      <c r="AE698" s="30">
        <v>9</v>
      </c>
      <c r="AF698" s="7"/>
      <c r="AG698" s="30">
        <v>0</v>
      </c>
      <c r="AI698" s="32">
        <v>35</v>
      </c>
      <c r="AK698" s="7" t="str">
        <f t="shared" si="10"/>
        <v>No</v>
      </c>
    </row>
    <row r="699" spans="1:37">
      <c r="A699" s="7" t="s">
        <v>237</v>
      </c>
      <c r="B699" s="7" t="s">
        <v>238</v>
      </c>
      <c r="C699" s="7" t="s">
        <v>73</v>
      </c>
      <c r="D699" s="302">
        <v>5143</v>
      </c>
      <c r="E699" s="297">
        <v>50143</v>
      </c>
      <c r="F699" s="7" t="s">
        <v>162</v>
      </c>
      <c r="G699" s="7" t="s">
        <v>158</v>
      </c>
      <c r="H699" s="8">
        <v>1780673</v>
      </c>
      <c r="I699" s="8">
        <v>2</v>
      </c>
      <c r="J699" s="7" t="s">
        <v>7</v>
      </c>
      <c r="K699" s="7" t="s">
        <v>159</v>
      </c>
      <c r="L699" s="8">
        <v>2</v>
      </c>
      <c r="M699" s="8">
        <v>2667</v>
      </c>
      <c r="N699" s="7"/>
      <c r="O699" s="8">
        <v>0</v>
      </c>
      <c r="P699" s="7"/>
      <c r="Q699" s="8">
        <v>0</v>
      </c>
      <c r="R699" s="7"/>
      <c r="S699" s="8">
        <v>1138</v>
      </c>
      <c r="T699" s="7"/>
      <c r="U699" s="8">
        <v>0</v>
      </c>
      <c r="V699" s="7"/>
      <c r="W699" s="33">
        <v>3805</v>
      </c>
      <c r="X699" s="7"/>
      <c r="Y699" s="30">
        <v>1.5</v>
      </c>
      <c r="Z699" s="7"/>
      <c r="AA699" s="30">
        <v>0</v>
      </c>
      <c r="AB699" s="7"/>
      <c r="AC699" s="30">
        <v>0</v>
      </c>
      <c r="AD699" s="7"/>
      <c r="AE699" s="30">
        <v>2.2999999999999998</v>
      </c>
      <c r="AF699" s="7"/>
      <c r="AG699" s="30">
        <v>0</v>
      </c>
      <c r="AI699" s="32">
        <v>3.8</v>
      </c>
      <c r="AK699" s="7" t="str">
        <f t="shared" si="10"/>
        <v>No</v>
      </c>
    </row>
    <row r="700" spans="1:37">
      <c r="A700" s="7" t="s">
        <v>1153</v>
      </c>
      <c r="B700" s="7" t="s">
        <v>549</v>
      </c>
      <c r="C700" s="7" t="s">
        <v>32</v>
      </c>
      <c r="D700" s="302"/>
      <c r="E700" s="297">
        <v>40258</v>
      </c>
      <c r="F700" s="7" t="s">
        <v>187</v>
      </c>
      <c r="G700" s="7" t="s">
        <v>158</v>
      </c>
      <c r="H700" s="8">
        <v>2441770</v>
      </c>
      <c r="I700" s="8">
        <v>2</v>
      </c>
      <c r="J700" s="7" t="s">
        <v>7</v>
      </c>
      <c r="K700" s="7" t="s">
        <v>159</v>
      </c>
      <c r="L700" s="8">
        <v>2</v>
      </c>
      <c r="M700" s="8">
        <v>1945</v>
      </c>
      <c r="N700" s="7"/>
      <c r="O700" s="8">
        <v>0</v>
      </c>
      <c r="P700" s="7"/>
      <c r="Q700" s="8">
        <v>0</v>
      </c>
      <c r="R700" s="7"/>
      <c r="S700" s="8">
        <v>2822</v>
      </c>
      <c r="T700" s="7"/>
      <c r="U700" s="8">
        <v>0</v>
      </c>
      <c r="V700" s="7"/>
      <c r="W700" s="33">
        <v>4767</v>
      </c>
      <c r="X700" s="7"/>
      <c r="Y700" s="30">
        <v>1</v>
      </c>
      <c r="Z700" s="7"/>
      <c r="AA700" s="30">
        <v>0</v>
      </c>
      <c r="AB700" s="7"/>
      <c r="AC700" s="30">
        <v>0</v>
      </c>
      <c r="AD700" s="7"/>
      <c r="AE700" s="30">
        <v>1.5</v>
      </c>
      <c r="AF700" s="7"/>
      <c r="AG700" s="30">
        <v>0</v>
      </c>
      <c r="AI700" s="32">
        <v>2.5</v>
      </c>
      <c r="AK700" s="7" t="str">
        <f t="shared" si="10"/>
        <v>No</v>
      </c>
    </row>
  </sheetData>
  <autoFilter ref="A1:AK700">
    <sortState ref="A2:AK700">
      <sortCondition descending="1" ref="I1:I700"/>
    </sortState>
  </autoFilter>
  <conditionalFormatting sqref="AL2:XFD700 A1:XFD1">
    <cfRule type="expression" dxfId="145" priority="3">
      <formula>MOD(ROW(),2)=0</formula>
    </cfRule>
  </conditionalFormatting>
  <conditionalFormatting sqref="B363:AJ364 A365:AJ700 A2:AK2 A3:AJ362 AK3:AK700">
    <cfRule type="expression" dxfId="144" priority="2">
      <formula>MOD(ROW(),2)=0</formula>
    </cfRule>
  </conditionalFormatting>
  <conditionalFormatting sqref="A363:A364">
    <cfRule type="expression" dxfId="143"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88" r:id="rId3" name="Drop Down 40">
              <controlPr defaultSize="0" autoLine="0" autoPict="0" macro="[0]!DropDown40_Change" altText="This drop-down menu shows or hides columns indicating the presence of &quot;questionable&quot; data.">
                <anchor moveWithCells="1">
                  <from>
                    <xdr:col>37</xdr:col>
                    <xdr:colOff>180975</xdr:colOff>
                    <xdr:row>0</xdr:row>
                    <xdr:rowOff>266700</xdr:rowOff>
                  </from>
                  <to>
                    <xdr:col>40</xdr:col>
                    <xdr:colOff>485775</xdr:colOff>
                    <xdr:row>0</xdr:row>
                    <xdr:rowOff>523875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P700"/>
  <sheetViews>
    <sheetView workbookViewId="0">
      <pane xSplit="3" ySplit="1" topLeftCell="D2" activePane="bottomRight" state="frozen"/>
      <selection activeCell="I1" sqref="I1:L1048576"/>
      <selection pane="topRight" activeCell="I1" sqref="I1:L1048576"/>
      <selection pane="bottomLeft" activeCell="I1" sqref="I1:L1048576"/>
      <selection pane="bottomRight"/>
    </sheetView>
  </sheetViews>
  <sheetFormatPr defaultColWidth="9.140625" defaultRowHeight="11.25"/>
  <cols>
    <col min="1" max="1" width="34" style="3" customWidth="1"/>
    <col min="2" max="2" width="15.42578125" style="3" customWidth="1"/>
    <col min="3" max="3" width="7.28515625" style="38" customWidth="1"/>
    <col min="4" max="4" width="8.85546875" style="298" customWidth="1"/>
    <col min="5" max="5" width="8.85546875" style="299" customWidth="1"/>
    <col min="6" max="6" width="19.85546875" style="28" customWidth="1"/>
    <col min="7" max="7" width="14.7109375" style="28" customWidth="1"/>
    <col min="8" max="8" width="13" style="36" customWidth="1"/>
    <col min="9" max="9" width="9.28515625" style="36" customWidth="1"/>
    <col min="10" max="10" width="9.28515625" style="1" customWidth="1"/>
    <col min="11" max="11" width="9.28515625" style="2" customWidth="1"/>
    <col min="12" max="12" width="9.28515625" style="6" customWidth="1"/>
    <col min="13" max="13" width="10.42578125" style="14" customWidth="1"/>
    <col min="14" max="14" width="11.85546875" style="1" hidden="1" customWidth="1"/>
    <col min="15" max="15" width="11.42578125" style="14" customWidth="1"/>
    <col min="16" max="16" width="11.85546875" style="1" hidden="1" customWidth="1"/>
    <col min="17" max="17" width="11.42578125" style="14" customWidth="1"/>
    <col min="18" max="18" width="11.85546875" style="1" hidden="1" customWidth="1"/>
    <col min="19" max="19" width="13.140625" style="14" bestFit="1" customWidth="1"/>
    <col min="20" max="20" width="11.85546875" style="1" hidden="1" customWidth="1"/>
    <col min="21" max="21" width="11.42578125" style="14" customWidth="1"/>
    <col min="22" max="22" width="11.85546875" style="4" hidden="1" customWidth="1"/>
    <col min="23" max="23" width="10.85546875" style="10" customWidth="1"/>
    <col min="24" max="24" width="11.85546875" style="4" hidden="1" customWidth="1"/>
    <col min="25" max="25" width="10.42578125" style="31" customWidth="1"/>
    <col min="26" max="26" width="11.85546875" style="4" hidden="1" customWidth="1"/>
    <col min="27" max="27" width="11.42578125" style="31" customWidth="1"/>
    <col min="28" max="28" width="11.85546875" style="4" hidden="1" customWidth="1"/>
    <col min="29" max="29" width="11.42578125" style="31" customWidth="1"/>
    <col min="30" max="30" width="11.85546875" style="4" hidden="1" customWidth="1"/>
    <col min="31" max="31" width="13" style="20" bestFit="1" customWidth="1"/>
    <col min="32" max="32" width="12.7109375" style="4" hidden="1" customWidth="1"/>
    <col min="33" max="33" width="11.42578125" style="205" customWidth="1"/>
    <col min="34" max="34" width="11.85546875" style="34" hidden="1" customWidth="1"/>
    <col min="35" max="35" width="9.85546875" style="32" bestFit="1" customWidth="1"/>
    <col min="36" max="36" width="11.85546875" style="7" hidden="1" customWidth="1"/>
    <col min="37" max="37" width="11.5703125" style="7" hidden="1" customWidth="1"/>
    <col min="38" max="41" width="9.140625" style="7"/>
    <col min="42" max="42" width="9.140625" style="7" hidden="1" customWidth="1"/>
    <col min="43" max="16384" width="9.140625" style="7"/>
  </cols>
  <sheetData>
    <row r="1" spans="1:42" s="66" customFormat="1" ht="45">
      <c r="A1" s="66" t="s">
        <v>1</v>
      </c>
      <c r="B1" s="66" t="s">
        <v>113</v>
      </c>
      <c r="C1" s="66" t="s">
        <v>0</v>
      </c>
      <c r="D1" s="300" t="s">
        <v>1115</v>
      </c>
      <c r="E1" s="301" t="s">
        <v>1116</v>
      </c>
      <c r="F1" s="66" t="s">
        <v>822</v>
      </c>
      <c r="G1" s="72" t="s">
        <v>118</v>
      </c>
      <c r="H1" s="69" t="s">
        <v>127</v>
      </c>
      <c r="I1" s="69" t="s">
        <v>132</v>
      </c>
      <c r="J1" s="66" t="s">
        <v>3</v>
      </c>
      <c r="K1" s="66" t="s">
        <v>154</v>
      </c>
      <c r="L1" s="69" t="s">
        <v>133</v>
      </c>
      <c r="M1" s="286" t="s">
        <v>134</v>
      </c>
      <c r="N1" s="286" t="s">
        <v>907</v>
      </c>
      <c r="O1" s="286" t="s">
        <v>135</v>
      </c>
      <c r="P1" s="286" t="s">
        <v>908</v>
      </c>
      <c r="Q1" s="286" t="s">
        <v>136</v>
      </c>
      <c r="R1" s="286" t="s">
        <v>909</v>
      </c>
      <c r="S1" s="286" t="s">
        <v>1016</v>
      </c>
      <c r="T1" s="286" t="s">
        <v>930</v>
      </c>
      <c r="U1" s="286" t="s">
        <v>138</v>
      </c>
      <c r="V1" s="286" t="s">
        <v>911</v>
      </c>
      <c r="W1" s="286" t="s">
        <v>116</v>
      </c>
      <c r="X1" s="69" t="s">
        <v>912</v>
      </c>
      <c r="Y1" s="70" t="s">
        <v>139</v>
      </c>
      <c r="Z1" s="67" t="s">
        <v>931</v>
      </c>
      <c r="AA1" s="70" t="s">
        <v>140</v>
      </c>
      <c r="AB1" s="67" t="s">
        <v>932</v>
      </c>
      <c r="AC1" s="70" t="s">
        <v>141</v>
      </c>
      <c r="AD1" s="67" t="s">
        <v>933</v>
      </c>
      <c r="AE1" s="70" t="s">
        <v>142</v>
      </c>
      <c r="AF1" s="67" t="s">
        <v>934</v>
      </c>
      <c r="AG1" s="70" t="s">
        <v>143</v>
      </c>
      <c r="AH1" s="67" t="s">
        <v>935</v>
      </c>
      <c r="AI1" s="70" t="s">
        <v>117</v>
      </c>
      <c r="AJ1" s="66" t="s">
        <v>918</v>
      </c>
      <c r="AK1" s="67" t="s">
        <v>936</v>
      </c>
      <c r="AP1" s="66">
        <f>IF(AP4=1,1,0)</f>
        <v>1</v>
      </c>
    </row>
    <row r="2" spans="1:42">
      <c r="A2" s="7" t="s">
        <v>518</v>
      </c>
      <c r="B2" s="7" t="s">
        <v>479</v>
      </c>
      <c r="C2" s="37" t="s">
        <v>70</v>
      </c>
      <c r="D2" s="296">
        <v>2008</v>
      </c>
      <c r="E2" s="297">
        <v>20008</v>
      </c>
      <c r="F2" s="27" t="s">
        <v>240</v>
      </c>
      <c r="G2" s="27" t="s">
        <v>158</v>
      </c>
      <c r="H2" s="35">
        <v>18351295</v>
      </c>
      <c r="I2" s="35">
        <v>11004</v>
      </c>
      <c r="J2" s="9" t="s">
        <v>20</v>
      </c>
      <c r="K2" s="9" t="s">
        <v>159</v>
      </c>
      <c r="L2" s="8">
        <v>5324</v>
      </c>
      <c r="M2" s="8">
        <v>126891</v>
      </c>
      <c r="N2" s="9"/>
      <c r="O2" s="8">
        <v>0</v>
      </c>
      <c r="P2" s="9"/>
      <c r="Q2" s="8">
        <v>6491</v>
      </c>
      <c r="R2" s="9"/>
      <c r="S2" s="8">
        <v>47960</v>
      </c>
      <c r="T2" s="9"/>
      <c r="U2" s="8">
        <v>0</v>
      </c>
      <c r="V2" s="9"/>
      <c r="W2" s="33">
        <v>181342</v>
      </c>
      <c r="X2" s="9"/>
      <c r="Y2" s="30">
        <v>168</v>
      </c>
      <c r="Z2" s="9"/>
      <c r="AA2" s="30">
        <v>0</v>
      </c>
      <c r="AB2" s="9"/>
      <c r="AC2" s="30">
        <v>8</v>
      </c>
      <c r="AD2" s="9"/>
      <c r="AE2" s="30">
        <v>110</v>
      </c>
      <c r="AF2" s="9"/>
      <c r="AG2" s="19">
        <v>0</v>
      </c>
      <c r="AI2" s="32">
        <v>286</v>
      </c>
      <c r="AK2" s="7" t="str">
        <f t="shared" ref="AK2:AK65" si="0">IF(AJ2&amp;AH2&amp;AF2&amp;AD2&amp;AB2&amp;Z2&amp;X2&amp;V2&amp;T2&amp;R2&amp;P2&amp;N2&lt;&gt;"","Yes","No")</f>
        <v>No</v>
      </c>
      <c r="AP2" s="7" t="s">
        <v>1011</v>
      </c>
    </row>
    <row r="3" spans="1:42">
      <c r="A3" s="7" t="s">
        <v>518</v>
      </c>
      <c r="B3" s="7" t="s">
        <v>479</v>
      </c>
      <c r="C3" s="37" t="s">
        <v>70</v>
      </c>
      <c r="D3" s="296">
        <v>2008</v>
      </c>
      <c r="E3" s="297">
        <v>20008</v>
      </c>
      <c r="F3" s="27" t="s">
        <v>240</v>
      </c>
      <c r="G3" s="27" t="s">
        <v>158</v>
      </c>
      <c r="H3" s="35">
        <v>18351295</v>
      </c>
      <c r="I3" s="35">
        <v>11004</v>
      </c>
      <c r="J3" s="9" t="s">
        <v>7</v>
      </c>
      <c r="K3" s="9" t="s">
        <v>159</v>
      </c>
      <c r="L3" s="8">
        <v>3286</v>
      </c>
      <c r="M3" s="8">
        <v>42782</v>
      </c>
      <c r="N3" s="9"/>
      <c r="O3" s="8">
        <v>0</v>
      </c>
      <c r="P3" s="9"/>
      <c r="Q3" s="8">
        <v>0</v>
      </c>
      <c r="R3" s="9"/>
      <c r="S3" s="8">
        <v>31052</v>
      </c>
      <c r="T3" s="9"/>
      <c r="U3" s="8">
        <v>0</v>
      </c>
      <c r="V3" s="9"/>
      <c r="W3" s="33">
        <v>73834</v>
      </c>
      <c r="X3" s="9"/>
      <c r="Y3" s="30">
        <v>72.5</v>
      </c>
      <c r="Z3" s="9"/>
      <c r="AA3" s="30">
        <v>0</v>
      </c>
      <c r="AB3" s="9"/>
      <c r="AC3" s="30">
        <v>0</v>
      </c>
      <c r="AD3" s="9"/>
      <c r="AE3" s="30">
        <v>53.7</v>
      </c>
      <c r="AF3" s="9"/>
      <c r="AG3" s="19">
        <v>0</v>
      </c>
      <c r="AI3" s="32">
        <v>126.2</v>
      </c>
      <c r="AK3" s="7" t="str">
        <f t="shared" si="0"/>
        <v>No</v>
      </c>
      <c r="AP3" s="7" t="s">
        <v>1012</v>
      </c>
    </row>
    <row r="4" spans="1:42">
      <c r="A4" s="7" t="s">
        <v>518</v>
      </c>
      <c r="B4" s="7" t="s">
        <v>479</v>
      </c>
      <c r="C4" s="37" t="s">
        <v>70</v>
      </c>
      <c r="D4" s="296">
        <v>2008</v>
      </c>
      <c r="E4" s="297">
        <v>20008</v>
      </c>
      <c r="F4" s="27" t="s">
        <v>240</v>
      </c>
      <c r="G4" s="27" t="s">
        <v>158</v>
      </c>
      <c r="H4" s="35">
        <v>18351295</v>
      </c>
      <c r="I4" s="35">
        <v>11004</v>
      </c>
      <c r="J4" s="9" t="s">
        <v>18</v>
      </c>
      <c r="K4" s="9" t="s">
        <v>159</v>
      </c>
      <c r="L4" s="8">
        <v>455</v>
      </c>
      <c r="M4" s="8">
        <v>3776</v>
      </c>
      <c r="N4" s="9"/>
      <c r="O4" s="8">
        <v>0</v>
      </c>
      <c r="P4" s="9"/>
      <c r="Q4" s="8">
        <v>0</v>
      </c>
      <c r="R4" s="9"/>
      <c r="S4" s="8">
        <v>2741</v>
      </c>
      <c r="T4" s="9"/>
      <c r="U4" s="8">
        <v>0</v>
      </c>
      <c r="V4" s="9"/>
      <c r="W4" s="33">
        <v>6517</v>
      </c>
      <c r="X4" s="9"/>
      <c r="Y4" s="30">
        <v>6.4</v>
      </c>
      <c r="Z4" s="9"/>
      <c r="AA4" s="30">
        <v>0</v>
      </c>
      <c r="AB4" s="9"/>
      <c r="AC4" s="30">
        <v>0</v>
      </c>
      <c r="AD4" s="9"/>
      <c r="AE4" s="30">
        <v>4.7</v>
      </c>
      <c r="AF4" s="9"/>
      <c r="AG4" s="19">
        <v>0</v>
      </c>
      <c r="AI4" s="32">
        <v>11.1</v>
      </c>
      <c r="AK4" s="7" t="str">
        <f t="shared" si="0"/>
        <v>No</v>
      </c>
      <c r="AP4" s="7">
        <v>1</v>
      </c>
    </row>
    <row r="5" spans="1:42">
      <c r="A5" s="7" t="s">
        <v>518</v>
      </c>
      <c r="B5" s="7" t="s">
        <v>479</v>
      </c>
      <c r="C5" s="37" t="s">
        <v>70</v>
      </c>
      <c r="D5" s="296">
        <v>2008</v>
      </c>
      <c r="E5" s="297">
        <v>20008</v>
      </c>
      <c r="F5" s="27" t="s">
        <v>240</v>
      </c>
      <c r="G5" s="27" t="s">
        <v>158</v>
      </c>
      <c r="H5" s="35">
        <v>18351295</v>
      </c>
      <c r="I5" s="35">
        <v>11004</v>
      </c>
      <c r="J5" s="9" t="s">
        <v>22</v>
      </c>
      <c r="K5" s="9" t="s">
        <v>159</v>
      </c>
      <c r="L5" s="8">
        <v>145</v>
      </c>
      <c r="M5" s="8">
        <v>1243</v>
      </c>
      <c r="N5" s="9"/>
      <c r="O5" s="8">
        <v>0</v>
      </c>
      <c r="P5" s="9"/>
      <c r="Q5" s="8">
        <v>0</v>
      </c>
      <c r="R5" s="9"/>
      <c r="S5" s="8">
        <v>902</v>
      </c>
      <c r="T5" s="9"/>
      <c r="U5" s="8">
        <v>0</v>
      </c>
      <c r="V5" s="9"/>
      <c r="W5" s="33">
        <v>2145</v>
      </c>
      <c r="X5" s="9"/>
      <c r="Y5" s="30">
        <v>2.1</v>
      </c>
      <c r="Z5" s="9"/>
      <c r="AA5" s="30">
        <v>0</v>
      </c>
      <c r="AB5" s="9"/>
      <c r="AC5" s="30">
        <v>0</v>
      </c>
      <c r="AD5" s="9"/>
      <c r="AE5" s="30">
        <v>1.6</v>
      </c>
      <c r="AF5" s="9"/>
      <c r="AG5" s="19">
        <v>0</v>
      </c>
      <c r="AI5" s="32">
        <v>3.7</v>
      </c>
      <c r="AK5" s="7" t="str">
        <f t="shared" si="0"/>
        <v>No</v>
      </c>
    </row>
    <row r="6" spans="1:42">
      <c r="A6" s="7" t="s">
        <v>516</v>
      </c>
      <c r="B6" s="7" t="s">
        <v>515</v>
      </c>
      <c r="C6" s="37" t="s">
        <v>63</v>
      </c>
      <c r="D6" s="296">
        <v>2080</v>
      </c>
      <c r="E6" s="297">
        <v>20080</v>
      </c>
      <c r="F6" s="27" t="s">
        <v>401</v>
      </c>
      <c r="G6" s="27" t="s">
        <v>158</v>
      </c>
      <c r="H6" s="35">
        <v>18351295</v>
      </c>
      <c r="I6" s="35">
        <v>4056</v>
      </c>
      <c r="J6" s="9" t="s">
        <v>7</v>
      </c>
      <c r="K6" s="9" t="s">
        <v>159</v>
      </c>
      <c r="L6" s="8">
        <v>1857</v>
      </c>
      <c r="M6" s="8">
        <v>426685</v>
      </c>
      <c r="N6" s="9"/>
      <c r="O6" s="8">
        <v>0</v>
      </c>
      <c r="P6" s="9"/>
      <c r="Q6" s="8">
        <v>0</v>
      </c>
      <c r="R6" s="9"/>
      <c r="S6" s="8">
        <v>82097</v>
      </c>
      <c r="T6" s="9"/>
      <c r="U6" s="8">
        <v>0</v>
      </c>
      <c r="V6" s="9"/>
      <c r="W6" s="33">
        <v>508782</v>
      </c>
      <c r="X6" s="9"/>
      <c r="Y6" s="30">
        <v>286</v>
      </c>
      <c r="Z6" s="9"/>
      <c r="AA6" s="30">
        <v>0</v>
      </c>
      <c r="AB6" s="9"/>
      <c r="AC6" s="30">
        <v>0</v>
      </c>
      <c r="AD6" s="9"/>
      <c r="AE6" s="30">
        <v>60</v>
      </c>
      <c r="AF6" s="9"/>
      <c r="AG6" s="19">
        <v>0</v>
      </c>
      <c r="AI6" s="32">
        <v>346</v>
      </c>
      <c r="AK6" s="7" t="str">
        <f t="shared" si="0"/>
        <v>No</v>
      </c>
    </row>
    <row r="7" spans="1:42">
      <c r="A7" s="7" t="s">
        <v>516</v>
      </c>
      <c r="B7" s="7" t="s">
        <v>515</v>
      </c>
      <c r="C7" s="37" t="s">
        <v>63</v>
      </c>
      <c r="D7" s="296">
        <v>2080</v>
      </c>
      <c r="E7" s="297">
        <v>20080</v>
      </c>
      <c r="F7" s="27" t="s">
        <v>401</v>
      </c>
      <c r="G7" s="27" t="s">
        <v>158</v>
      </c>
      <c r="H7" s="35">
        <v>18351295</v>
      </c>
      <c r="I7" s="35">
        <v>4056</v>
      </c>
      <c r="J7" s="9" t="s">
        <v>41</v>
      </c>
      <c r="K7" s="9" t="s">
        <v>159</v>
      </c>
      <c r="L7" s="8">
        <v>1267</v>
      </c>
      <c r="M7" s="8">
        <v>0</v>
      </c>
      <c r="N7" s="9"/>
      <c r="O7" s="8">
        <v>0</v>
      </c>
      <c r="P7" s="9"/>
      <c r="Q7" s="8">
        <v>0</v>
      </c>
      <c r="R7" s="9"/>
      <c r="S7" s="8">
        <v>0</v>
      </c>
      <c r="T7" s="9"/>
      <c r="U7" s="8">
        <v>0</v>
      </c>
      <c r="V7" s="9"/>
      <c r="W7" s="33">
        <v>0</v>
      </c>
      <c r="X7" s="9"/>
      <c r="Y7" s="30">
        <v>0</v>
      </c>
      <c r="Z7" s="9"/>
      <c r="AA7" s="30">
        <v>0</v>
      </c>
      <c r="AB7" s="9"/>
      <c r="AC7" s="30">
        <v>0</v>
      </c>
      <c r="AD7" s="9"/>
      <c r="AE7" s="30">
        <v>0</v>
      </c>
      <c r="AF7" s="9"/>
      <c r="AG7" s="19">
        <v>0</v>
      </c>
      <c r="AI7" s="32">
        <v>0</v>
      </c>
      <c r="AK7" s="7" t="str">
        <f t="shared" si="0"/>
        <v>No</v>
      </c>
    </row>
    <row r="8" spans="1:42">
      <c r="A8" s="7" t="s">
        <v>516</v>
      </c>
      <c r="B8" s="7" t="s">
        <v>515</v>
      </c>
      <c r="C8" s="37" t="s">
        <v>63</v>
      </c>
      <c r="D8" s="296">
        <v>2080</v>
      </c>
      <c r="E8" s="297">
        <v>20080</v>
      </c>
      <c r="F8" s="27" t="s">
        <v>401</v>
      </c>
      <c r="G8" s="27" t="s">
        <v>158</v>
      </c>
      <c r="H8" s="35">
        <v>18351295</v>
      </c>
      <c r="I8" s="35">
        <v>4056</v>
      </c>
      <c r="J8" s="9" t="s">
        <v>21</v>
      </c>
      <c r="K8" s="9" t="s">
        <v>159</v>
      </c>
      <c r="L8" s="8">
        <v>14</v>
      </c>
      <c r="M8" s="8">
        <v>0</v>
      </c>
      <c r="N8" s="9"/>
      <c r="O8" s="8">
        <v>0</v>
      </c>
      <c r="P8" s="9"/>
      <c r="Q8" s="8">
        <v>0</v>
      </c>
      <c r="R8" s="9"/>
      <c r="S8" s="8">
        <v>0</v>
      </c>
      <c r="T8" s="9"/>
      <c r="U8" s="8">
        <v>2878</v>
      </c>
      <c r="V8" s="9"/>
      <c r="W8" s="33">
        <v>2878</v>
      </c>
      <c r="X8" s="9"/>
      <c r="Y8" s="30">
        <v>0</v>
      </c>
      <c r="Z8" s="9"/>
      <c r="AA8" s="30">
        <v>0</v>
      </c>
      <c r="AB8" s="9"/>
      <c r="AC8" s="30">
        <v>0</v>
      </c>
      <c r="AD8" s="9"/>
      <c r="AE8" s="30">
        <v>0</v>
      </c>
      <c r="AF8" s="9"/>
      <c r="AG8" s="19">
        <v>6</v>
      </c>
      <c r="AI8" s="32">
        <v>6</v>
      </c>
      <c r="AK8" s="7" t="str">
        <f t="shared" si="0"/>
        <v>No</v>
      </c>
    </row>
    <row r="9" spans="1:42">
      <c r="A9" s="7" t="s">
        <v>454</v>
      </c>
      <c r="B9" s="7" t="s">
        <v>455</v>
      </c>
      <c r="C9" s="37" t="s">
        <v>17</v>
      </c>
      <c r="D9" s="296">
        <v>9154</v>
      </c>
      <c r="E9" s="297">
        <v>90154</v>
      </c>
      <c r="F9" s="27" t="s">
        <v>165</v>
      </c>
      <c r="G9" s="27" t="s">
        <v>158</v>
      </c>
      <c r="H9" s="35">
        <v>12150996</v>
      </c>
      <c r="I9" s="35">
        <v>3544</v>
      </c>
      <c r="J9" s="9" t="s">
        <v>7</v>
      </c>
      <c r="K9" s="9" t="s">
        <v>159</v>
      </c>
      <c r="L9" s="8">
        <v>1777</v>
      </c>
      <c r="M9" s="8">
        <v>603725</v>
      </c>
      <c r="N9" s="9"/>
      <c r="O9" s="8">
        <v>0</v>
      </c>
      <c r="P9" s="9"/>
      <c r="Q9" s="8">
        <v>0</v>
      </c>
      <c r="R9" s="9"/>
      <c r="S9" s="8">
        <v>0</v>
      </c>
      <c r="T9" s="9"/>
      <c r="U9" s="8">
        <v>0</v>
      </c>
      <c r="V9" s="9"/>
      <c r="W9" s="33">
        <v>603725</v>
      </c>
      <c r="X9" s="9"/>
      <c r="Y9" s="30">
        <v>503</v>
      </c>
      <c r="Z9" s="9"/>
      <c r="AA9" s="30">
        <v>0</v>
      </c>
      <c r="AB9" s="9"/>
      <c r="AC9" s="30">
        <v>0</v>
      </c>
      <c r="AD9" s="9"/>
      <c r="AE9" s="30">
        <v>0</v>
      </c>
      <c r="AF9" s="9"/>
      <c r="AG9" s="19">
        <v>0</v>
      </c>
      <c r="AI9" s="32">
        <v>503</v>
      </c>
      <c r="AK9" s="7" t="str">
        <f t="shared" si="0"/>
        <v>No</v>
      </c>
    </row>
    <row r="10" spans="1:42">
      <c r="A10" s="7" t="s">
        <v>454</v>
      </c>
      <c r="B10" s="7" t="s">
        <v>455</v>
      </c>
      <c r="C10" s="37" t="s">
        <v>17</v>
      </c>
      <c r="D10" s="296">
        <v>9154</v>
      </c>
      <c r="E10" s="297">
        <v>90154</v>
      </c>
      <c r="F10" s="27" t="s">
        <v>165</v>
      </c>
      <c r="G10" s="27" t="s">
        <v>158</v>
      </c>
      <c r="H10" s="35">
        <v>12150996</v>
      </c>
      <c r="I10" s="35">
        <v>3544</v>
      </c>
      <c r="J10" s="9" t="s">
        <v>21</v>
      </c>
      <c r="K10" s="9" t="s">
        <v>159</v>
      </c>
      <c r="L10" s="8">
        <v>161</v>
      </c>
      <c r="M10" s="8">
        <v>1560</v>
      </c>
      <c r="N10" s="9"/>
      <c r="O10" s="8">
        <v>0</v>
      </c>
      <c r="P10" s="9"/>
      <c r="Q10" s="8">
        <v>0</v>
      </c>
      <c r="R10" s="9"/>
      <c r="S10" s="8">
        <v>1240</v>
      </c>
      <c r="T10" s="9"/>
      <c r="U10" s="8">
        <v>0</v>
      </c>
      <c r="V10" s="9"/>
      <c r="W10" s="33">
        <v>2800</v>
      </c>
      <c r="X10" s="9"/>
      <c r="Y10" s="30">
        <v>3</v>
      </c>
      <c r="Z10" s="9"/>
      <c r="AA10" s="30">
        <v>0</v>
      </c>
      <c r="AB10" s="9"/>
      <c r="AC10" s="30">
        <v>0</v>
      </c>
      <c r="AD10" s="9"/>
      <c r="AE10" s="30">
        <v>1</v>
      </c>
      <c r="AF10" s="9"/>
      <c r="AG10" s="19">
        <v>0</v>
      </c>
      <c r="AI10" s="32">
        <v>4</v>
      </c>
      <c r="AK10" s="7" t="str">
        <f t="shared" si="0"/>
        <v>No</v>
      </c>
    </row>
    <row r="11" spans="1:42">
      <c r="A11" s="7" t="s">
        <v>454</v>
      </c>
      <c r="B11" s="7" t="s">
        <v>455</v>
      </c>
      <c r="C11" s="37" t="s">
        <v>17</v>
      </c>
      <c r="D11" s="296">
        <v>9154</v>
      </c>
      <c r="E11" s="297">
        <v>90154</v>
      </c>
      <c r="F11" s="27" t="s">
        <v>165</v>
      </c>
      <c r="G11" s="27" t="s">
        <v>158</v>
      </c>
      <c r="H11" s="35">
        <v>12150996</v>
      </c>
      <c r="I11" s="35">
        <v>3544</v>
      </c>
      <c r="J11" s="9" t="s">
        <v>20</v>
      </c>
      <c r="K11" s="9" t="s">
        <v>159</v>
      </c>
      <c r="L11" s="8">
        <v>70</v>
      </c>
      <c r="M11" s="8">
        <v>0</v>
      </c>
      <c r="N11" s="9"/>
      <c r="O11" s="8">
        <v>0</v>
      </c>
      <c r="P11" s="9"/>
      <c r="Q11" s="8">
        <v>0</v>
      </c>
      <c r="R11" s="9"/>
      <c r="S11" s="8">
        <v>0</v>
      </c>
      <c r="T11" s="9"/>
      <c r="U11" s="8">
        <v>0</v>
      </c>
      <c r="V11" s="9"/>
      <c r="W11" s="33">
        <v>0</v>
      </c>
      <c r="X11" s="9"/>
      <c r="Y11" s="30">
        <v>0</v>
      </c>
      <c r="Z11" s="9"/>
      <c r="AA11" s="30">
        <v>0</v>
      </c>
      <c r="AB11" s="9"/>
      <c r="AC11" s="30">
        <v>0</v>
      </c>
      <c r="AD11" s="9"/>
      <c r="AE11" s="30">
        <v>0</v>
      </c>
      <c r="AF11" s="9"/>
      <c r="AG11" s="19">
        <v>0</v>
      </c>
      <c r="AI11" s="32">
        <v>0</v>
      </c>
      <c r="AK11" s="7" t="str">
        <f t="shared" si="0"/>
        <v>No</v>
      </c>
    </row>
    <row r="12" spans="1:42">
      <c r="A12" s="7" t="s">
        <v>454</v>
      </c>
      <c r="B12" s="7" t="s">
        <v>455</v>
      </c>
      <c r="C12" s="37" t="s">
        <v>17</v>
      </c>
      <c r="D12" s="296">
        <v>9154</v>
      </c>
      <c r="E12" s="297">
        <v>90154</v>
      </c>
      <c r="F12" s="27" t="s">
        <v>165</v>
      </c>
      <c r="G12" s="27" t="s">
        <v>158</v>
      </c>
      <c r="H12" s="35">
        <v>12150996</v>
      </c>
      <c r="I12" s="35">
        <v>3544</v>
      </c>
      <c r="J12" s="9" t="s">
        <v>22</v>
      </c>
      <c r="K12" s="9" t="s">
        <v>159</v>
      </c>
      <c r="L12" s="8">
        <v>33</v>
      </c>
      <c r="M12" s="8">
        <v>2300</v>
      </c>
      <c r="N12" s="9"/>
      <c r="O12" s="8">
        <v>0</v>
      </c>
      <c r="P12" s="9"/>
      <c r="Q12" s="8">
        <v>0</v>
      </c>
      <c r="R12" s="9"/>
      <c r="S12" s="8">
        <v>0</v>
      </c>
      <c r="T12" s="9"/>
      <c r="U12" s="8">
        <v>0</v>
      </c>
      <c r="V12" s="9"/>
      <c r="W12" s="33">
        <v>2300</v>
      </c>
      <c r="X12" s="9"/>
      <c r="Y12" s="30">
        <v>6</v>
      </c>
      <c r="Z12" s="9"/>
      <c r="AA12" s="30">
        <v>0</v>
      </c>
      <c r="AB12" s="9"/>
      <c r="AC12" s="30">
        <v>0</v>
      </c>
      <c r="AD12" s="9"/>
      <c r="AE12" s="30">
        <v>0</v>
      </c>
      <c r="AF12" s="9"/>
      <c r="AG12" s="19">
        <v>0</v>
      </c>
      <c r="AI12" s="32">
        <v>6</v>
      </c>
      <c r="AK12" s="7" t="str">
        <f t="shared" si="0"/>
        <v>No</v>
      </c>
    </row>
    <row r="13" spans="1:42">
      <c r="A13" s="7" t="s">
        <v>680</v>
      </c>
      <c r="B13" s="7" t="s">
        <v>681</v>
      </c>
      <c r="C13" s="37" t="s">
        <v>30</v>
      </c>
      <c r="D13" s="296">
        <v>3030</v>
      </c>
      <c r="E13" s="297">
        <v>30030</v>
      </c>
      <c r="F13" s="27" t="s">
        <v>165</v>
      </c>
      <c r="G13" s="27" t="s">
        <v>158</v>
      </c>
      <c r="H13" s="35">
        <v>4586770</v>
      </c>
      <c r="I13" s="35">
        <v>3172</v>
      </c>
      <c r="J13" s="9" t="s">
        <v>7</v>
      </c>
      <c r="K13" s="9" t="s">
        <v>159</v>
      </c>
      <c r="L13" s="8">
        <v>1301</v>
      </c>
      <c r="M13" s="8">
        <v>51198</v>
      </c>
      <c r="N13" s="9"/>
      <c r="O13" s="8">
        <v>9035</v>
      </c>
      <c r="P13" s="9"/>
      <c r="Q13" s="8">
        <v>0</v>
      </c>
      <c r="R13" s="9"/>
      <c r="S13" s="8">
        <v>3532</v>
      </c>
      <c r="T13" s="9"/>
      <c r="U13" s="8">
        <v>0</v>
      </c>
      <c r="V13" s="9"/>
      <c r="W13" s="33">
        <v>63765</v>
      </c>
      <c r="X13" s="9"/>
      <c r="Y13" s="30">
        <v>73</v>
      </c>
      <c r="Z13" s="9"/>
      <c r="AA13" s="30">
        <v>8</v>
      </c>
      <c r="AB13" s="9"/>
      <c r="AC13" s="30">
        <v>0</v>
      </c>
      <c r="AD13" s="9"/>
      <c r="AE13" s="30">
        <v>3</v>
      </c>
      <c r="AF13" s="9"/>
      <c r="AG13" s="19">
        <v>0</v>
      </c>
      <c r="AI13" s="32">
        <v>84</v>
      </c>
      <c r="AK13" s="7" t="str">
        <f t="shared" si="0"/>
        <v>No</v>
      </c>
    </row>
    <row r="14" spans="1:42">
      <c r="A14" s="7" t="s">
        <v>680</v>
      </c>
      <c r="B14" s="7" t="s">
        <v>681</v>
      </c>
      <c r="C14" s="37" t="s">
        <v>30</v>
      </c>
      <c r="D14" s="296">
        <v>3030</v>
      </c>
      <c r="E14" s="297">
        <v>30030</v>
      </c>
      <c r="F14" s="27" t="s">
        <v>165</v>
      </c>
      <c r="G14" s="27" t="s">
        <v>158</v>
      </c>
      <c r="H14" s="35">
        <v>4586770</v>
      </c>
      <c r="I14" s="35">
        <v>3172</v>
      </c>
      <c r="J14" s="9" t="s">
        <v>20</v>
      </c>
      <c r="K14" s="9" t="s">
        <v>159</v>
      </c>
      <c r="L14" s="8">
        <v>954</v>
      </c>
      <c r="M14" s="8">
        <v>15799</v>
      </c>
      <c r="N14" s="9"/>
      <c r="O14" s="8">
        <v>13642</v>
      </c>
      <c r="P14" s="9"/>
      <c r="Q14" s="8">
        <v>13992</v>
      </c>
      <c r="R14" s="9"/>
      <c r="S14" s="8">
        <v>12662</v>
      </c>
      <c r="T14" s="9"/>
      <c r="U14" s="8">
        <v>0</v>
      </c>
      <c r="V14" s="9"/>
      <c r="W14" s="33">
        <v>56095</v>
      </c>
      <c r="X14" s="9"/>
      <c r="Y14" s="30">
        <v>20</v>
      </c>
      <c r="Z14" s="9"/>
      <c r="AA14" s="30">
        <v>15</v>
      </c>
      <c r="AB14" s="9"/>
      <c r="AC14" s="30">
        <v>26</v>
      </c>
      <c r="AD14" s="9"/>
      <c r="AE14" s="30">
        <v>8</v>
      </c>
      <c r="AF14" s="9"/>
      <c r="AG14" s="19">
        <v>0</v>
      </c>
      <c r="AI14" s="32">
        <v>69</v>
      </c>
      <c r="AK14" s="7" t="str">
        <f t="shared" si="0"/>
        <v>No</v>
      </c>
    </row>
    <row r="15" spans="1:42">
      <c r="A15" s="7" t="s">
        <v>1117</v>
      </c>
      <c r="B15" s="7" t="s">
        <v>266</v>
      </c>
      <c r="C15" s="37" t="s">
        <v>89</v>
      </c>
      <c r="D15" s="296">
        <v>1</v>
      </c>
      <c r="E15" s="297">
        <v>1</v>
      </c>
      <c r="F15" s="27" t="s">
        <v>162</v>
      </c>
      <c r="G15" s="27" t="s">
        <v>158</v>
      </c>
      <c r="H15" s="35">
        <v>3059393</v>
      </c>
      <c r="I15" s="35">
        <v>2818</v>
      </c>
      <c r="J15" s="9" t="s">
        <v>8</v>
      </c>
      <c r="K15" s="9" t="s">
        <v>159</v>
      </c>
      <c r="L15" s="8">
        <v>1469</v>
      </c>
      <c r="M15" s="8">
        <v>0</v>
      </c>
      <c r="N15" s="9"/>
      <c r="O15" s="8">
        <v>0</v>
      </c>
      <c r="P15" s="9"/>
      <c r="Q15" s="8">
        <v>30</v>
      </c>
      <c r="R15" s="9"/>
      <c r="S15" s="8">
        <v>5444</v>
      </c>
      <c r="T15" s="9"/>
      <c r="U15" s="8">
        <v>1</v>
      </c>
      <c r="V15" s="9"/>
      <c r="W15" s="33">
        <v>5475</v>
      </c>
      <c r="X15" s="9"/>
      <c r="Y15" s="30">
        <v>0</v>
      </c>
      <c r="Z15" s="9"/>
      <c r="AA15" s="30">
        <v>0</v>
      </c>
      <c r="AB15" s="9"/>
      <c r="AC15" s="30">
        <v>0.06</v>
      </c>
      <c r="AD15" s="9"/>
      <c r="AE15" s="30">
        <v>11.26</v>
      </c>
      <c r="AF15" s="9"/>
      <c r="AG15" s="19">
        <v>0</v>
      </c>
      <c r="AI15" s="32">
        <v>11.32</v>
      </c>
      <c r="AK15" s="7" t="str">
        <f t="shared" si="0"/>
        <v>No</v>
      </c>
    </row>
    <row r="16" spans="1:42">
      <c r="A16" s="7" t="s">
        <v>1117</v>
      </c>
      <c r="B16" s="7" t="s">
        <v>266</v>
      </c>
      <c r="C16" s="37" t="s">
        <v>89</v>
      </c>
      <c r="D16" s="296">
        <v>1</v>
      </c>
      <c r="E16" s="297">
        <v>1</v>
      </c>
      <c r="F16" s="27" t="s">
        <v>162</v>
      </c>
      <c r="G16" s="27" t="s">
        <v>158</v>
      </c>
      <c r="H16" s="35">
        <v>3059393</v>
      </c>
      <c r="I16" s="35">
        <v>2818</v>
      </c>
      <c r="J16" s="9" t="s">
        <v>7</v>
      </c>
      <c r="K16" s="9" t="s">
        <v>159</v>
      </c>
      <c r="L16" s="8">
        <v>949</v>
      </c>
      <c r="M16" s="8">
        <v>344153</v>
      </c>
      <c r="N16" s="9"/>
      <c r="O16" s="8">
        <v>23430</v>
      </c>
      <c r="P16" s="9"/>
      <c r="Q16" s="8">
        <v>14301</v>
      </c>
      <c r="R16" s="9"/>
      <c r="S16" s="8">
        <v>14933</v>
      </c>
      <c r="T16" s="9"/>
      <c r="U16" s="8">
        <v>4402</v>
      </c>
      <c r="V16" s="9"/>
      <c r="W16" s="33">
        <v>401219</v>
      </c>
      <c r="X16" s="9"/>
      <c r="Y16" s="30">
        <v>663.73</v>
      </c>
      <c r="Z16" s="9"/>
      <c r="AA16" s="30">
        <v>44.68</v>
      </c>
      <c r="AB16" s="9"/>
      <c r="AC16" s="30">
        <v>30.75</v>
      </c>
      <c r="AD16" s="9"/>
      <c r="AE16" s="30">
        <v>39.74</v>
      </c>
      <c r="AF16" s="9"/>
      <c r="AG16" s="19">
        <v>8.8000000000000007</v>
      </c>
      <c r="AI16" s="32">
        <v>787.7</v>
      </c>
      <c r="AK16" s="7" t="str">
        <f t="shared" si="0"/>
        <v>No</v>
      </c>
    </row>
    <row r="17" spans="1:37">
      <c r="A17" s="7" t="s">
        <v>1117</v>
      </c>
      <c r="B17" s="7" t="s">
        <v>266</v>
      </c>
      <c r="C17" s="37" t="s">
        <v>89</v>
      </c>
      <c r="D17" s="296">
        <v>1</v>
      </c>
      <c r="E17" s="297">
        <v>1</v>
      </c>
      <c r="F17" s="27" t="s">
        <v>162</v>
      </c>
      <c r="G17" s="27" t="s">
        <v>158</v>
      </c>
      <c r="H17" s="35">
        <v>3059393</v>
      </c>
      <c r="I17" s="35">
        <v>2818</v>
      </c>
      <c r="J17" s="9" t="s">
        <v>25</v>
      </c>
      <c r="K17" s="9" t="s">
        <v>159</v>
      </c>
      <c r="L17" s="8">
        <v>138</v>
      </c>
      <c r="M17" s="8">
        <v>48725</v>
      </c>
      <c r="N17" s="9"/>
      <c r="O17" s="8">
        <v>2523</v>
      </c>
      <c r="P17" s="9"/>
      <c r="Q17" s="8">
        <v>4347</v>
      </c>
      <c r="R17" s="9"/>
      <c r="S17" s="8">
        <v>2173</v>
      </c>
      <c r="T17" s="9"/>
      <c r="U17" s="8">
        <v>870</v>
      </c>
      <c r="V17" s="9"/>
      <c r="W17" s="33">
        <v>58638</v>
      </c>
      <c r="X17" s="9"/>
      <c r="Y17" s="30">
        <v>93.97</v>
      </c>
      <c r="Z17" s="9"/>
      <c r="AA17" s="30">
        <v>4.8099999999999996</v>
      </c>
      <c r="AB17" s="9"/>
      <c r="AC17" s="30">
        <v>11.59</v>
      </c>
      <c r="AD17" s="9"/>
      <c r="AE17" s="30">
        <v>5.83</v>
      </c>
      <c r="AF17" s="9"/>
      <c r="AG17" s="19">
        <v>2.1</v>
      </c>
      <c r="AI17" s="32">
        <v>118.3</v>
      </c>
      <c r="AK17" s="7" t="str">
        <f t="shared" si="0"/>
        <v>No</v>
      </c>
    </row>
    <row r="18" spans="1:37">
      <c r="A18" s="7" t="s">
        <v>1117</v>
      </c>
      <c r="B18" s="7" t="s">
        <v>266</v>
      </c>
      <c r="C18" s="37" t="s">
        <v>89</v>
      </c>
      <c r="D18" s="296">
        <v>1</v>
      </c>
      <c r="E18" s="297">
        <v>1</v>
      </c>
      <c r="F18" s="27" t="s">
        <v>162</v>
      </c>
      <c r="G18" s="27" t="s">
        <v>158</v>
      </c>
      <c r="H18" s="35">
        <v>3059393</v>
      </c>
      <c r="I18" s="35">
        <v>2818</v>
      </c>
      <c r="J18" s="9" t="s">
        <v>12</v>
      </c>
      <c r="K18" s="9" t="s">
        <v>159</v>
      </c>
      <c r="L18" s="8">
        <v>8</v>
      </c>
      <c r="M18" s="8">
        <v>1057</v>
      </c>
      <c r="N18" s="9"/>
      <c r="O18" s="8">
        <v>0</v>
      </c>
      <c r="P18" s="9"/>
      <c r="Q18" s="8">
        <v>326</v>
      </c>
      <c r="R18" s="9"/>
      <c r="S18" s="8">
        <v>1865</v>
      </c>
      <c r="T18" s="9"/>
      <c r="U18" s="8">
        <v>92</v>
      </c>
      <c r="V18" s="9"/>
      <c r="W18" s="33">
        <v>3340</v>
      </c>
      <c r="X18" s="9"/>
      <c r="Y18" s="30">
        <v>3.07</v>
      </c>
      <c r="Z18" s="9"/>
      <c r="AA18" s="30">
        <v>0</v>
      </c>
      <c r="AB18" s="9"/>
      <c r="AC18" s="30">
        <v>0.96</v>
      </c>
      <c r="AD18" s="9"/>
      <c r="AE18" s="30">
        <v>2.6</v>
      </c>
      <c r="AF18" s="9"/>
      <c r="AG18" s="19">
        <v>0.19</v>
      </c>
      <c r="AI18" s="32">
        <v>6.82</v>
      </c>
      <c r="AK18" s="7" t="str">
        <f t="shared" si="0"/>
        <v>No</v>
      </c>
    </row>
    <row r="19" spans="1:37">
      <c r="A19" s="7" t="s">
        <v>1117</v>
      </c>
      <c r="B19" s="7" t="s">
        <v>266</v>
      </c>
      <c r="C19" s="37" t="s">
        <v>89</v>
      </c>
      <c r="D19" s="296">
        <v>1</v>
      </c>
      <c r="E19" s="297">
        <v>1</v>
      </c>
      <c r="F19" s="27" t="s">
        <v>162</v>
      </c>
      <c r="G19" s="27" t="s">
        <v>158</v>
      </c>
      <c r="H19" s="35">
        <v>3059393</v>
      </c>
      <c r="I19" s="35">
        <v>2818</v>
      </c>
      <c r="J19" s="9" t="s">
        <v>19</v>
      </c>
      <c r="K19" s="9" t="s">
        <v>159</v>
      </c>
      <c r="L19" s="8">
        <v>2</v>
      </c>
      <c r="M19" s="8">
        <v>3296</v>
      </c>
      <c r="N19" s="9"/>
      <c r="O19" s="8">
        <v>716</v>
      </c>
      <c r="P19" s="9"/>
      <c r="Q19" s="8">
        <v>182</v>
      </c>
      <c r="R19" s="9"/>
      <c r="S19" s="8">
        <v>687</v>
      </c>
      <c r="T19" s="9"/>
      <c r="U19" s="8">
        <v>523</v>
      </c>
      <c r="V19" s="9"/>
      <c r="W19" s="33">
        <v>5404</v>
      </c>
      <c r="X19" s="9"/>
      <c r="Y19" s="30">
        <v>13</v>
      </c>
      <c r="Z19" s="9"/>
      <c r="AA19" s="30">
        <v>2</v>
      </c>
      <c r="AB19" s="9"/>
      <c r="AC19" s="30">
        <v>0.09</v>
      </c>
      <c r="AD19" s="9"/>
      <c r="AE19" s="30">
        <v>0.33</v>
      </c>
      <c r="AF19" s="9"/>
      <c r="AG19" s="19">
        <v>0.25</v>
      </c>
      <c r="AI19" s="32">
        <v>15.67</v>
      </c>
      <c r="AK19" s="7" t="str">
        <f t="shared" si="0"/>
        <v>No</v>
      </c>
    </row>
    <row r="20" spans="1:37">
      <c r="A20" s="7" t="s">
        <v>279</v>
      </c>
      <c r="B20" s="7" t="s">
        <v>280</v>
      </c>
      <c r="C20" s="37" t="s">
        <v>40</v>
      </c>
      <c r="D20" s="296">
        <v>5066</v>
      </c>
      <c r="E20" s="297">
        <v>50066</v>
      </c>
      <c r="F20" s="27" t="s">
        <v>165</v>
      </c>
      <c r="G20" s="27" t="s">
        <v>158</v>
      </c>
      <c r="H20" s="35">
        <v>8608208</v>
      </c>
      <c r="I20" s="35">
        <v>2712</v>
      </c>
      <c r="J20" s="9" t="s">
        <v>7</v>
      </c>
      <c r="K20" s="9" t="s">
        <v>159</v>
      </c>
      <c r="L20" s="8">
        <v>1572</v>
      </c>
      <c r="M20" s="8">
        <v>1240109</v>
      </c>
      <c r="N20" s="9"/>
      <c r="O20" s="8">
        <v>0</v>
      </c>
      <c r="P20" s="9"/>
      <c r="Q20" s="8">
        <v>0</v>
      </c>
      <c r="R20" s="9"/>
      <c r="S20" s="8">
        <v>7453</v>
      </c>
      <c r="T20" s="9"/>
      <c r="U20" s="8">
        <v>0</v>
      </c>
      <c r="V20" s="9"/>
      <c r="W20" s="33">
        <v>1247562</v>
      </c>
      <c r="X20" s="9"/>
      <c r="Y20" s="30">
        <v>801</v>
      </c>
      <c r="Z20" s="9"/>
      <c r="AA20" s="30">
        <v>0</v>
      </c>
      <c r="AB20" s="9"/>
      <c r="AC20" s="30">
        <v>0</v>
      </c>
      <c r="AD20" s="9"/>
      <c r="AE20" s="30">
        <v>11</v>
      </c>
      <c r="AF20" s="9"/>
      <c r="AG20" s="19">
        <v>0</v>
      </c>
      <c r="AI20" s="32">
        <v>812</v>
      </c>
      <c r="AK20" s="7" t="str">
        <f t="shared" si="0"/>
        <v>No</v>
      </c>
    </row>
    <row r="21" spans="1:37">
      <c r="A21" s="7" t="s">
        <v>279</v>
      </c>
      <c r="B21" s="7" t="s">
        <v>280</v>
      </c>
      <c r="C21" s="37" t="s">
        <v>40</v>
      </c>
      <c r="D21" s="296">
        <v>5066</v>
      </c>
      <c r="E21" s="297">
        <v>50066</v>
      </c>
      <c r="F21" s="27" t="s">
        <v>165</v>
      </c>
      <c r="G21" s="27" t="s">
        <v>158</v>
      </c>
      <c r="H21" s="35">
        <v>8608208</v>
      </c>
      <c r="I21" s="35">
        <v>2712</v>
      </c>
      <c r="J21" s="9" t="s">
        <v>20</v>
      </c>
      <c r="K21" s="9" t="s">
        <v>159</v>
      </c>
      <c r="L21" s="8">
        <v>1140</v>
      </c>
      <c r="M21" s="8">
        <v>1203796</v>
      </c>
      <c r="N21" s="9"/>
      <c r="O21" s="8">
        <v>0</v>
      </c>
      <c r="P21" s="9"/>
      <c r="Q21" s="8">
        <v>1063</v>
      </c>
      <c r="R21" s="9"/>
      <c r="S21" s="8">
        <v>9208</v>
      </c>
      <c r="T21" s="9"/>
      <c r="U21" s="8">
        <v>0</v>
      </c>
      <c r="V21" s="9"/>
      <c r="W21" s="33">
        <v>1214067</v>
      </c>
      <c r="X21" s="9"/>
      <c r="Y21" s="30">
        <v>787</v>
      </c>
      <c r="Z21" s="9"/>
      <c r="AA21" s="30">
        <v>0</v>
      </c>
      <c r="AB21" s="9"/>
      <c r="AC21" s="30">
        <v>1</v>
      </c>
      <c r="AD21" s="9"/>
      <c r="AE21" s="30">
        <v>14</v>
      </c>
      <c r="AF21" s="9"/>
      <c r="AG21" s="19">
        <v>0</v>
      </c>
      <c r="AI21" s="32">
        <v>802</v>
      </c>
      <c r="AK21" s="7" t="str">
        <f t="shared" si="0"/>
        <v>No</v>
      </c>
    </row>
    <row r="22" spans="1:37">
      <c r="A22" s="7" t="s">
        <v>470</v>
      </c>
      <c r="B22" s="7" t="s">
        <v>471</v>
      </c>
      <c r="C22" s="37" t="s">
        <v>47</v>
      </c>
      <c r="D22" s="296">
        <v>1003</v>
      </c>
      <c r="E22" s="297">
        <v>10003</v>
      </c>
      <c r="F22" s="27" t="s">
        <v>165</v>
      </c>
      <c r="G22" s="27" t="s">
        <v>158</v>
      </c>
      <c r="H22" s="35">
        <v>4181019</v>
      </c>
      <c r="I22" s="35">
        <v>2374</v>
      </c>
      <c r="J22" s="9" t="s">
        <v>7</v>
      </c>
      <c r="K22" s="9" t="s">
        <v>159</v>
      </c>
      <c r="L22" s="8">
        <v>779</v>
      </c>
      <c r="M22" s="8">
        <v>524410</v>
      </c>
      <c r="N22" s="9"/>
      <c r="O22" s="8">
        <v>1216</v>
      </c>
      <c r="P22" s="9"/>
      <c r="Q22" s="8">
        <v>0</v>
      </c>
      <c r="R22" s="9"/>
      <c r="S22" s="8">
        <v>0</v>
      </c>
      <c r="T22" s="9"/>
      <c r="U22" s="8">
        <v>0</v>
      </c>
      <c r="V22" s="9"/>
      <c r="W22" s="33">
        <v>525626</v>
      </c>
      <c r="X22" s="9"/>
      <c r="Y22" s="30">
        <v>349</v>
      </c>
      <c r="Z22" s="9"/>
      <c r="AA22" s="30">
        <v>1</v>
      </c>
      <c r="AB22" s="9"/>
      <c r="AC22" s="30">
        <v>0</v>
      </c>
      <c r="AD22" s="9"/>
      <c r="AE22" s="30">
        <v>0</v>
      </c>
      <c r="AF22" s="9"/>
      <c r="AG22" s="19">
        <v>0</v>
      </c>
      <c r="AI22" s="32">
        <v>350</v>
      </c>
      <c r="AK22" s="7" t="str">
        <f t="shared" si="0"/>
        <v>No</v>
      </c>
    </row>
    <row r="23" spans="1:37">
      <c r="A23" s="7" t="s">
        <v>470</v>
      </c>
      <c r="B23" s="7" t="s">
        <v>471</v>
      </c>
      <c r="C23" s="37" t="s">
        <v>47</v>
      </c>
      <c r="D23" s="296">
        <v>1003</v>
      </c>
      <c r="E23" s="297">
        <v>10003</v>
      </c>
      <c r="F23" s="27" t="s">
        <v>165</v>
      </c>
      <c r="G23" s="27" t="s">
        <v>158</v>
      </c>
      <c r="H23" s="35">
        <v>4181019</v>
      </c>
      <c r="I23" s="35">
        <v>2374</v>
      </c>
      <c r="J23" s="9" t="s">
        <v>20</v>
      </c>
      <c r="K23" s="9" t="s">
        <v>159</v>
      </c>
      <c r="L23" s="8">
        <v>336</v>
      </c>
      <c r="M23" s="8">
        <v>146605</v>
      </c>
      <c r="N23" s="9"/>
      <c r="O23" s="8">
        <v>0</v>
      </c>
      <c r="P23" s="9"/>
      <c r="Q23" s="8">
        <v>0</v>
      </c>
      <c r="R23" s="9"/>
      <c r="S23" s="8">
        <v>0</v>
      </c>
      <c r="T23" s="9"/>
      <c r="U23" s="8">
        <v>0</v>
      </c>
      <c r="V23" s="9"/>
      <c r="W23" s="33">
        <v>146605</v>
      </c>
      <c r="X23" s="9"/>
      <c r="Y23" s="30">
        <v>109</v>
      </c>
      <c r="Z23" s="9"/>
      <c r="AA23" s="30">
        <v>0</v>
      </c>
      <c r="AB23" s="9"/>
      <c r="AC23" s="30">
        <v>0</v>
      </c>
      <c r="AD23" s="9"/>
      <c r="AE23" s="30">
        <v>0</v>
      </c>
      <c r="AF23" s="9"/>
      <c r="AG23" s="19">
        <v>0</v>
      </c>
      <c r="AI23" s="32">
        <v>109</v>
      </c>
      <c r="AK23" s="7" t="str">
        <f t="shared" si="0"/>
        <v>No</v>
      </c>
    </row>
    <row r="24" spans="1:37">
      <c r="A24" s="7" t="s">
        <v>470</v>
      </c>
      <c r="B24" s="7" t="s">
        <v>471</v>
      </c>
      <c r="C24" s="37" t="s">
        <v>47</v>
      </c>
      <c r="D24" s="296">
        <v>1003</v>
      </c>
      <c r="E24" s="297">
        <v>10003</v>
      </c>
      <c r="F24" s="27" t="s">
        <v>165</v>
      </c>
      <c r="G24" s="27" t="s">
        <v>158</v>
      </c>
      <c r="H24" s="35">
        <v>4181019</v>
      </c>
      <c r="I24" s="35">
        <v>2374</v>
      </c>
      <c r="J24" s="9" t="s">
        <v>21</v>
      </c>
      <c r="K24" s="9" t="s">
        <v>159</v>
      </c>
      <c r="L24" s="8">
        <v>156</v>
      </c>
      <c r="M24" s="8">
        <v>154215</v>
      </c>
      <c r="N24" s="9"/>
      <c r="O24" s="8">
        <v>0</v>
      </c>
      <c r="P24" s="9"/>
      <c r="Q24" s="8">
        <v>0</v>
      </c>
      <c r="R24" s="9"/>
      <c r="S24" s="8">
        <v>0</v>
      </c>
      <c r="T24" s="9"/>
      <c r="U24" s="8">
        <v>0</v>
      </c>
      <c r="V24" s="9"/>
      <c r="W24" s="33">
        <v>154215</v>
      </c>
      <c r="X24" s="9"/>
      <c r="Y24" s="30">
        <v>115</v>
      </c>
      <c r="Z24" s="9"/>
      <c r="AA24" s="30">
        <v>0</v>
      </c>
      <c r="AB24" s="9"/>
      <c r="AC24" s="30">
        <v>0</v>
      </c>
      <c r="AD24" s="9"/>
      <c r="AE24" s="30">
        <v>0</v>
      </c>
      <c r="AF24" s="9"/>
      <c r="AG24" s="19">
        <v>0</v>
      </c>
      <c r="AI24" s="32">
        <v>115</v>
      </c>
      <c r="AK24" s="7" t="str">
        <f t="shared" si="0"/>
        <v>No</v>
      </c>
    </row>
    <row r="25" spans="1:37">
      <c r="A25" s="7" t="s">
        <v>470</v>
      </c>
      <c r="B25" s="7" t="s">
        <v>471</v>
      </c>
      <c r="C25" s="37" t="s">
        <v>47</v>
      </c>
      <c r="D25" s="296">
        <v>1003</v>
      </c>
      <c r="E25" s="297">
        <v>10003</v>
      </c>
      <c r="F25" s="27" t="s">
        <v>165</v>
      </c>
      <c r="G25" s="27" t="s">
        <v>158</v>
      </c>
      <c r="H25" s="35">
        <v>4181019</v>
      </c>
      <c r="I25" s="35">
        <v>2374</v>
      </c>
      <c r="J25" s="9" t="s">
        <v>22</v>
      </c>
      <c r="K25" s="9" t="s">
        <v>159</v>
      </c>
      <c r="L25" s="8">
        <v>30</v>
      </c>
      <c r="M25" s="8">
        <v>7513</v>
      </c>
      <c r="N25" s="9"/>
      <c r="O25" s="8">
        <v>0</v>
      </c>
      <c r="P25" s="9"/>
      <c r="Q25" s="8">
        <v>0</v>
      </c>
      <c r="R25" s="9"/>
      <c r="S25" s="8">
        <v>0</v>
      </c>
      <c r="T25" s="9"/>
      <c r="U25" s="8">
        <v>0</v>
      </c>
      <c r="V25" s="9"/>
      <c r="W25" s="33">
        <v>7513</v>
      </c>
      <c r="X25" s="9"/>
      <c r="Y25" s="30">
        <v>5</v>
      </c>
      <c r="Z25" s="9"/>
      <c r="AA25" s="30">
        <v>0</v>
      </c>
      <c r="AB25" s="9"/>
      <c r="AC25" s="30">
        <v>0</v>
      </c>
      <c r="AD25" s="9"/>
      <c r="AE25" s="30">
        <v>0</v>
      </c>
      <c r="AF25" s="9"/>
      <c r="AG25" s="19">
        <v>0</v>
      </c>
      <c r="AI25" s="32">
        <v>5</v>
      </c>
      <c r="AK25" s="7" t="str">
        <f t="shared" si="0"/>
        <v>No</v>
      </c>
    </row>
    <row r="26" spans="1:37">
      <c r="A26" s="7" t="s">
        <v>470</v>
      </c>
      <c r="B26" s="7" t="s">
        <v>471</v>
      </c>
      <c r="C26" s="37" t="s">
        <v>47</v>
      </c>
      <c r="D26" s="296">
        <v>1003</v>
      </c>
      <c r="E26" s="297">
        <v>10003</v>
      </c>
      <c r="F26" s="27" t="s">
        <v>165</v>
      </c>
      <c r="G26" s="27" t="s">
        <v>158</v>
      </c>
      <c r="H26" s="35">
        <v>4181019</v>
      </c>
      <c r="I26" s="35">
        <v>2374</v>
      </c>
      <c r="J26" s="9" t="s">
        <v>25</v>
      </c>
      <c r="K26" s="9" t="s">
        <v>159</v>
      </c>
      <c r="L26" s="8">
        <v>22</v>
      </c>
      <c r="M26" s="8">
        <v>4508</v>
      </c>
      <c r="N26" s="9"/>
      <c r="O26" s="8">
        <v>0</v>
      </c>
      <c r="P26" s="9"/>
      <c r="Q26" s="8">
        <v>0</v>
      </c>
      <c r="R26" s="9"/>
      <c r="S26" s="8">
        <v>0</v>
      </c>
      <c r="T26" s="9"/>
      <c r="U26" s="8">
        <v>0</v>
      </c>
      <c r="V26" s="9"/>
      <c r="W26" s="33">
        <v>4508</v>
      </c>
      <c r="X26" s="9"/>
      <c r="Y26" s="30">
        <v>3</v>
      </c>
      <c r="Z26" s="9"/>
      <c r="AA26" s="30">
        <v>0</v>
      </c>
      <c r="AB26" s="9"/>
      <c r="AC26" s="30">
        <v>0</v>
      </c>
      <c r="AD26" s="9"/>
      <c r="AE26" s="30">
        <v>0</v>
      </c>
      <c r="AF26" s="9"/>
      <c r="AG26" s="19">
        <v>0</v>
      </c>
      <c r="AI26" s="32">
        <v>3</v>
      </c>
      <c r="AK26" s="7" t="str">
        <f t="shared" si="0"/>
        <v>No</v>
      </c>
    </row>
    <row r="27" spans="1:37">
      <c r="A27" s="7" t="s">
        <v>614</v>
      </c>
      <c r="B27" s="7" t="s">
        <v>615</v>
      </c>
      <c r="C27" s="37" t="s">
        <v>77</v>
      </c>
      <c r="D27" s="296">
        <v>3019</v>
      </c>
      <c r="E27" s="297">
        <v>30019</v>
      </c>
      <c r="F27" s="27" t="s">
        <v>165</v>
      </c>
      <c r="G27" s="27" t="s">
        <v>158</v>
      </c>
      <c r="H27" s="35">
        <v>5441567</v>
      </c>
      <c r="I27" s="35">
        <v>2339</v>
      </c>
      <c r="J27" s="9" t="s">
        <v>7</v>
      </c>
      <c r="K27" s="9" t="s">
        <v>159</v>
      </c>
      <c r="L27" s="8">
        <v>1174</v>
      </c>
      <c r="M27" s="8">
        <v>117106</v>
      </c>
      <c r="N27" s="9"/>
      <c r="O27" s="8">
        <v>0</v>
      </c>
      <c r="P27" s="9"/>
      <c r="Q27" s="8">
        <v>0</v>
      </c>
      <c r="R27" s="9"/>
      <c r="S27" s="8">
        <v>0</v>
      </c>
      <c r="T27" s="9"/>
      <c r="U27" s="8">
        <v>0</v>
      </c>
      <c r="V27" s="9"/>
      <c r="W27" s="33">
        <v>117106</v>
      </c>
      <c r="X27" s="9"/>
      <c r="Y27" s="30">
        <v>121</v>
      </c>
      <c r="Z27" s="9"/>
      <c r="AA27" s="30">
        <v>0</v>
      </c>
      <c r="AB27" s="9"/>
      <c r="AC27" s="30">
        <v>0</v>
      </c>
      <c r="AD27" s="9"/>
      <c r="AE27" s="30">
        <v>0</v>
      </c>
      <c r="AF27" s="9"/>
      <c r="AG27" s="19">
        <v>0</v>
      </c>
      <c r="AI27" s="32">
        <v>121</v>
      </c>
      <c r="AK27" s="7" t="str">
        <f t="shared" si="0"/>
        <v>No</v>
      </c>
    </row>
    <row r="28" spans="1:37">
      <c r="A28" s="7" t="s">
        <v>614</v>
      </c>
      <c r="B28" s="7" t="s">
        <v>615</v>
      </c>
      <c r="C28" s="37" t="s">
        <v>77</v>
      </c>
      <c r="D28" s="296">
        <v>3019</v>
      </c>
      <c r="E28" s="297">
        <v>30019</v>
      </c>
      <c r="F28" s="27" t="s">
        <v>165</v>
      </c>
      <c r="G28" s="27" t="s">
        <v>158</v>
      </c>
      <c r="H28" s="35">
        <v>5441567</v>
      </c>
      <c r="I28" s="35">
        <v>2339</v>
      </c>
      <c r="J28" s="9" t="s">
        <v>41</v>
      </c>
      <c r="K28" s="9" t="s">
        <v>159</v>
      </c>
      <c r="L28" s="8">
        <v>339</v>
      </c>
      <c r="M28" s="8">
        <v>38627</v>
      </c>
      <c r="N28" s="9"/>
      <c r="O28" s="8">
        <v>0</v>
      </c>
      <c r="P28" s="9"/>
      <c r="Q28" s="8">
        <v>0</v>
      </c>
      <c r="R28" s="9"/>
      <c r="S28" s="8">
        <v>0</v>
      </c>
      <c r="T28" s="9"/>
      <c r="U28" s="8">
        <v>0</v>
      </c>
      <c r="V28" s="9"/>
      <c r="W28" s="33">
        <v>38627</v>
      </c>
      <c r="X28" s="9"/>
      <c r="Y28" s="30">
        <v>32</v>
      </c>
      <c r="Z28" s="9"/>
      <c r="AA28" s="30">
        <v>0</v>
      </c>
      <c r="AB28" s="9"/>
      <c r="AC28" s="30">
        <v>0</v>
      </c>
      <c r="AD28" s="9"/>
      <c r="AE28" s="30">
        <v>0</v>
      </c>
      <c r="AF28" s="9"/>
      <c r="AG28" s="19">
        <v>0</v>
      </c>
      <c r="AI28" s="32">
        <v>32</v>
      </c>
      <c r="AK28" s="7" t="str">
        <f t="shared" si="0"/>
        <v>No</v>
      </c>
    </row>
    <row r="29" spans="1:37">
      <c r="A29" s="7" t="s">
        <v>614</v>
      </c>
      <c r="B29" s="7" t="s">
        <v>615</v>
      </c>
      <c r="C29" s="37" t="s">
        <v>77</v>
      </c>
      <c r="D29" s="296">
        <v>3019</v>
      </c>
      <c r="E29" s="297">
        <v>30019</v>
      </c>
      <c r="F29" s="27" t="s">
        <v>165</v>
      </c>
      <c r="G29" s="27" t="s">
        <v>158</v>
      </c>
      <c r="H29" s="35">
        <v>5441567</v>
      </c>
      <c r="I29" s="35">
        <v>2339</v>
      </c>
      <c r="J29" s="9" t="s">
        <v>20</v>
      </c>
      <c r="K29" s="9" t="s">
        <v>159</v>
      </c>
      <c r="L29" s="8">
        <v>284</v>
      </c>
      <c r="M29" s="8">
        <v>35566</v>
      </c>
      <c r="N29" s="9"/>
      <c r="O29" s="8">
        <v>0</v>
      </c>
      <c r="P29" s="9"/>
      <c r="Q29" s="8">
        <v>0</v>
      </c>
      <c r="R29" s="9"/>
      <c r="S29" s="8">
        <v>0</v>
      </c>
      <c r="T29" s="9"/>
      <c r="U29" s="8">
        <v>0</v>
      </c>
      <c r="V29" s="9"/>
      <c r="W29" s="33">
        <v>35566</v>
      </c>
      <c r="X29" s="9"/>
      <c r="Y29" s="30">
        <v>37</v>
      </c>
      <c r="Z29" s="9"/>
      <c r="AA29" s="30">
        <v>0</v>
      </c>
      <c r="AB29" s="9"/>
      <c r="AC29" s="30">
        <v>0</v>
      </c>
      <c r="AD29" s="9"/>
      <c r="AE29" s="30">
        <v>0</v>
      </c>
      <c r="AF29" s="9"/>
      <c r="AG29" s="19">
        <v>0</v>
      </c>
      <c r="AI29" s="32">
        <v>37</v>
      </c>
      <c r="AK29" s="7" t="str">
        <f t="shared" si="0"/>
        <v>No</v>
      </c>
    </row>
    <row r="30" spans="1:37">
      <c r="A30" s="7" t="s">
        <v>614</v>
      </c>
      <c r="B30" s="7" t="s">
        <v>615</v>
      </c>
      <c r="C30" s="37" t="s">
        <v>77</v>
      </c>
      <c r="D30" s="296">
        <v>3019</v>
      </c>
      <c r="E30" s="297">
        <v>30019</v>
      </c>
      <c r="F30" s="27" t="s">
        <v>165</v>
      </c>
      <c r="G30" s="27" t="s">
        <v>158</v>
      </c>
      <c r="H30" s="35">
        <v>5441567</v>
      </c>
      <c r="I30" s="35">
        <v>2339</v>
      </c>
      <c r="J30" s="9" t="s">
        <v>12</v>
      </c>
      <c r="K30" s="9" t="s">
        <v>159</v>
      </c>
      <c r="L30" s="8">
        <v>121</v>
      </c>
      <c r="M30" s="8">
        <v>14840</v>
      </c>
      <c r="N30" s="9"/>
      <c r="O30" s="8">
        <v>0</v>
      </c>
      <c r="P30" s="9"/>
      <c r="Q30" s="8">
        <v>0</v>
      </c>
      <c r="R30" s="9"/>
      <c r="S30" s="8">
        <v>0</v>
      </c>
      <c r="T30" s="9"/>
      <c r="U30" s="8">
        <v>0</v>
      </c>
      <c r="V30" s="9"/>
      <c r="W30" s="33">
        <v>14840</v>
      </c>
      <c r="X30" s="9"/>
      <c r="Y30" s="30">
        <v>15</v>
      </c>
      <c r="Z30" s="9"/>
      <c r="AA30" s="30">
        <v>0</v>
      </c>
      <c r="AB30" s="9"/>
      <c r="AC30" s="30">
        <v>0</v>
      </c>
      <c r="AD30" s="9"/>
      <c r="AE30" s="30">
        <v>0</v>
      </c>
      <c r="AF30" s="9"/>
      <c r="AG30" s="19">
        <v>0</v>
      </c>
      <c r="AI30" s="32">
        <v>15</v>
      </c>
      <c r="AK30" s="7" t="str">
        <f t="shared" si="0"/>
        <v>No</v>
      </c>
    </row>
    <row r="31" spans="1:37">
      <c r="A31" s="7" t="s">
        <v>614</v>
      </c>
      <c r="B31" s="7" t="s">
        <v>615</v>
      </c>
      <c r="C31" s="37" t="s">
        <v>77</v>
      </c>
      <c r="D31" s="296">
        <v>3019</v>
      </c>
      <c r="E31" s="297">
        <v>30019</v>
      </c>
      <c r="F31" s="27" t="s">
        <v>165</v>
      </c>
      <c r="G31" s="27" t="s">
        <v>158</v>
      </c>
      <c r="H31" s="35">
        <v>5441567</v>
      </c>
      <c r="I31" s="35">
        <v>2339</v>
      </c>
      <c r="J31" s="9" t="s">
        <v>25</v>
      </c>
      <c r="K31" s="9" t="s">
        <v>159</v>
      </c>
      <c r="L31" s="8">
        <v>30</v>
      </c>
      <c r="M31" s="8">
        <v>3047</v>
      </c>
      <c r="N31" s="9"/>
      <c r="O31" s="8">
        <v>0</v>
      </c>
      <c r="P31" s="9"/>
      <c r="Q31" s="8">
        <v>0</v>
      </c>
      <c r="R31" s="9"/>
      <c r="S31" s="8">
        <v>0</v>
      </c>
      <c r="T31" s="9"/>
      <c r="U31" s="8">
        <v>0</v>
      </c>
      <c r="V31" s="9"/>
      <c r="W31" s="33">
        <v>3047</v>
      </c>
      <c r="X31" s="9"/>
      <c r="Y31" s="30">
        <v>3</v>
      </c>
      <c r="Z31" s="9"/>
      <c r="AA31" s="30">
        <v>0</v>
      </c>
      <c r="AB31" s="9"/>
      <c r="AC31" s="30">
        <v>0</v>
      </c>
      <c r="AD31" s="9"/>
      <c r="AE31" s="30">
        <v>0</v>
      </c>
      <c r="AF31" s="9"/>
      <c r="AG31" s="19">
        <v>0</v>
      </c>
      <c r="AI31" s="32">
        <v>3</v>
      </c>
      <c r="AK31" s="7" t="str">
        <f t="shared" si="0"/>
        <v>No</v>
      </c>
    </row>
    <row r="32" spans="1:37">
      <c r="A32" s="7" t="s">
        <v>1118</v>
      </c>
      <c r="B32" s="7" t="s">
        <v>488</v>
      </c>
      <c r="C32" s="37" t="s">
        <v>84</v>
      </c>
      <c r="D32" s="296">
        <v>6008</v>
      </c>
      <c r="E32" s="297">
        <v>60008</v>
      </c>
      <c r="F32" s="27" t="s">
        <v>165</v>
      </c>
      <c r="G32" s="27" t="s">
        <v>158</v>
      </c>
      <c r="H32" s="35">
        <v>4944332</v>
      </c>
      <c r="I32" s="35">
        <v>2206</v>
      </c>
      <c r="J32" s="9" t="s">
        <v>7</v>
      </c>
      <c r="K32" s="9" t="s">
        <v>159</v>
      </c>
      <c r="L32" s="8">
        <v>586</v>
      </c>
      <c r="M32" s="8">
        <v>54427</v>
      </c>
      <c r="N32" s="9"/>
      <c r="O32" s="8">
        <v>0</v>
      </c>
      <c r="P32" s="9"/>
      <c r="Q32" s="8">
        <v>0</v>
      </c>
      <c r="R32" s="9"/>
      <c r="S32" s="8">
        <v>2864</v>
      </c>
      <c r="T32" s="9"/>
      <c r="U32" s="8">
        <v>0</v>
      </c>
      <c r="V32" s="9"/>
      <c r="W32" s="33">
        <v>57291</v>
      </c>
      <c r="X32" s="9"/>
      <c r="Y32" s="30">
        <v>47.82</v>
      </c>
      <c r="Z32" s="9"/>
      <c r="AA32" s="30">
        <v>0</v>
      </c>
      <c r="AB32" s="9"/>
      <c r="AC32" s="30">
        <v>0</v>
      </c>
      <c r="AD32" s="9"/>
      <c r="AE32" s="30">
        <v>0</v>
      </c>
      <c r="AF32" s="9"/>
      <c r="AG32" s="19">
        <v>0</v>
      </c>
      <c r="AI32" s="32">
        <v>47.82</v>
      </c>
      <c r="AK32" s="7" t="str">
        <f t="shared" si="0"/>
        <v>No</v>
      </c>
    </row>
    <row r="33" spans="1:37">
      <c r="A33" s="7" t="s">
        <v>1118</v>
      </c>
      <c r="B33" s="7" t="s">
        <v>488</v>
      </c>
      <c r="C33" s="37" t="s">
        <v>84</v>
      </c>
      <c r="D33" s="296">
        <v>6008</v>
      </c>
      <c r="E33" s="297">
        <v>60008</v>
      </c>
      <c r="F33" s="27" t="s">
        <v>165</v>
      </c>
      <c r="G33" s="27" t="s">
        <v>158</v>
      </c>
      <c r="H33" s="35">
        <v>4944332</v>
      </c>
      <c r="I33" s="35">
        <v>2206</v>
      </c>
      <c r="J33" s="9" t="s">
        <v>18</v>
      </c>
      <c r="K33" s="9" t="s">
        <v>159</v>
      </c>
      <c r="L33" s="8">
        <v>235</v>
      </c>
      <c r="M33" s="8">
        <v>7038</v>
      </c>
      <c r="N33" s="9"/>
      <c r="O33" s="8">
        <v>0</v>
      </c>
      <c r="P33" s="9"/>
      <c r="Q33" s="8">
        <v>0</v>
      </c>
      <c r="R33" s="9"/>
      <c r="S33" s="8">
        <v>370</v>
      </c>
      <c r="T33" s="9"/>
      <c r="U33" s="8">
        <v>0</v>
      </c>
      <c r="V33" s="9"/>
      <c r="W33" s="33">
        <v>7408</v>
      </c>
      <c r="X33" s="9"/>
      <c r="Y33" s="30">
        <v>6.18</v>
      </c>
      <c r="Z33" s="9"/>
      <c r="AA33" s="30">
        <v>0</v>
      </c>
      <c r="AB33" s="9"/>
      <c r="AC33" s="30">
        <v>0</v>
      </c>
      <c r="AD33" s="9"/>
      <c r="AE33" s="30">
        <v>0</v>
      </c>
      <c r="AF33" s="9"/>
      <c r="AG33" s="19">
        <v>0</v>
      </c>
      <c r="AI33" s="32">
        <v>6.18</v>
      </c>
      <c r="AK33" s="7" t="str">
        <f t="shared" si="0"/>
        <v>No</v>
      </c>
    </row>
    <row r="34" spans="1:37">
      <c r="A34" s="7" t="s">
        <v>1118</v>
      </c>
      <c r="B34" s="7" t="s">
        <v>488</v>
      </c>
      <c r="C34" s="37" t="s">
        <v>84</v>
      </c>
      <c r="D34" s="296">
        <v>6008</v>
      </c>
      <c r="E34" s="297">
        <v>60008</v>
      </c>
      <c r="F34" s="27" t="s">
        <v>165</v>
      </c>
      <c r="G34" s="27" t="s">
        <v>158</v>
      </c>
      <c r="H34" s="35">
        <v>4944332</v>
      </c>
      <c r="I34" s="35">
        <v>2206</v>
      </c>
      <c r="J34" s="9" t="s">
        <v>21</v>
      </c>
      <c r="K34" s="9" t="s">
        <v>159</v>
      </c>
      <c r="L34" s="8">
        <v>54</v>
      </c>
      <c r="M34" s="8">
        <v>0</v>
      </c>
      <c r="N34" s="9"/>
      <c r="O34" s="8">
        <v>0</v>
      </c>
      <c r="P34" s="9"/>
      <c r="Q34" s="8">
        <v>0</v>
      </c>
      <c r="R34" s="9"/>
      <c r="S34" s="8">
        <v>0</v>
      </c>
      <c r="T34" s="9"/>
      <c r="U34" s="8">
        <v>0</v>
      </c>
      <c r="V34" s="9"/>
      <c r="W34" s="33">
        <v>0</v>
      </c>
      <c r="X34" s="9"/>
      <c r="Y34" s="30">
        <v>0</v>
      </c>
      <c r="Z34" s="9"/>
      <c r="AA34" s="30">
        <v>0</v>
      </c>
      <c r="AB34" s="9"/>
      <c r="AC34" s="30">
        <v>0</v>
      </c>
      <c r="AD34" s="9"/>
      <c r="AE34" s="30">
        <v>0</v>
      </c>
      <c r="AF34" s="9"/>
      <c r="AG34" s="19">
        <v>0</v>
      </c>
      <c r="AI34" s="32">
        <v>0</v>
      </c>
      <c r="AK34" s="7" t="str">
        <f t="shared" si="0"/>
        <v>No</v>
      </c>
    </row>
    <row r="35" spans="1:37">
      <c r="A35" s="7" t="s">
        <v>465</v>
      </c>
      <c r="B35" s="7" t="s">
        <v>466</v>
      </c>
      <c r="C35" s="37" t="s">
        <v>48</v>
      </c>
      <c r="D35" s="296">
        <v>3034</v>
      </c>
      <c r="E35" s="297">
        <v>30034</v>
      </c>
      <c r="F35" s="27" t="s">
        <v>157</v>
      </c>
      <c r="G35" s="27" t="s">
        <v>158</v>
      </c>
      <c r="H35" s="35">
        <v>2203663</v>
      </c>
      <c r="I35" s="35">
        <v>1634</v>
      </c>
      <c r="J35" s="9" t="s">
        <v>7</v>
      </c>
      <c r="K35" s="9" t="s">
        <v>159</v>
      </c>
      <c r="L35" s="8">
        <v>627</v>
      </c>
      <c r="M35" s="8">
        <v>19497</v>
      </c>
      <c r="N35" s="9"/>
      <c r="O35" s="8">
        <v>0</v>
      </c>
      <c r="P35" s="9"/>
      <c r="Q35" s="8">
        <v>0</v>
      </c>
      <c r="R35" s="9"/>
      <c r="S35" s="8">
        <v>17732</v>
      </c>
      <c r="T35" s="9"/>
      <c r="U35" s="8">
        <v>0</v>
      </c>
      <c r="V35" s="9"/>
      <c r="W35" s="33">
        <v>37229</v>
      </c>
      <c r="X35" s="9"/>
      <c r="Y35" s="30">
        <v>16</v>
      </c>
      <c r="Z35" s="9"/>
      <c r="AA35" s="30">
        <v>0</v>
      </c>
      <c r="AB35" s="9"/>
      <c r="AC35" s="30">
        <v>0</v>
      </c>
      <c r="AD35" s="9"/>
      <c r="AE35" s="30">
        <v>12</v>
      </c>
      <c r="AF35" s="9"/>
      <c r="AG35" s="19">
        <v>0</v>
      </c>
      <c r="AI35" s="32">
        <v>28</v>
      </c>
      <c r="AK35" s="7" t="str">
        <f t="shared" si="0"/>
        <v>No</v>
      </c>
    </row>
    <row r="36" spans="1:37">
      <c r="A36" s="7" t="s">
        <v>465</v>
      </c>
      <c r="B36" s="7" t="s">
        <v>466</v>
      </c>
      <c r="C36" s="37" t="s">
        <v>48</v>
      </c>
      <c r="D36" s="296">
        <v>3034</v>
      </c>
      <c r="E36" s="297">
        <v>30034</v>
      </c>
      <c r="F36" s="27" t="s">
        <v>157</v>
      </c>
      <c r="G36" s="27" t="s">
        <v>158</v>
      </c>
      <c r="H36" s="35">
        <v>2203663</v>
      </c>
      <c r="I36" s="35">
        <v>1634</v>
      </c>
      <c r="J36" s="9" t="s">
        <v>20</v>
      </c>
      <c r="K36" s="9" t="s">
        <v>159</v>
      </c>
      <c r="L36" s="8">
        <v>54</v>
      </c>
      <c r="M36" s="8">
        <v>0</v>
      </c>
      <c r="N36" s="9"/>
      <c r="O36" s="8">
        <v>0</v>
      </c>
      <c r="P36" s="9"/>
      <c r="Q36" s="8">
        <v>0</v>
      </c>
      <c r="R36" s="9"/>
      <c r="S36" s="8">
        <v>123</v>
      </c>
      <c r="T36" s="9"/>
      <c r="U36" s="8">
        <v>0</v>
      </c>
      <c r="V36" s="9"/>
      <c r="W36" s="33">
        <v>123</v>
      </c>
      <c r="X36" s="9"/>
      <c r="Y36" s="30">
        <v>0</v>
      </c>
      <c r="Z36" s="9"/>
      <c r="AA36" s="30">
        <v>0</v>
      </c>
      <c r="AB36" s="9"/>
      <c r="AC36" s="30">
        <v>0</v>
      </c>
      <c r="AD36" s="9"/>
      <c r="AE36" s="30">
        <v>1</v>
      </c>
      <c r="AF36" s="9"/>
      <c r="AG36" s="19">
        <v>0</v>
      </c>
      <c r="AI36" s="32">
        <v>1</v>
      </c>
      <c r="AK36" s="7" t="str">
        <f t="shared" si="0"/>
        <v>No</v>
      </c>
    </row>
    <row r="37" spans="1:37">
      <c r="A37" s="7" t="s">
        <v>465</v>
      </c>
      <c r="B37" s="7" t="s">
        <v>466</v>
      </c>
      <c r="C37" s="37" t="s">
        <v>48</v>
      </c>
      <c r="D37" s="296">
        <v>3034</v>
      </c>
      <c r="E37" s="297">
        <v>30034</v>
      </c>
      <c r="F37" s="27" t="s">
        <v>157</v>
      </c>
      <c r="G37" s="27" t="s">
        <v>158</v>
      </c>
      <c r="H37" s="35">
        <v>2203663</v>
      </c>
      <c r="I37" s="35">
        <v>1634</v>
      </c>
      <c r="J37" s="9" t="s">
        <v>21</v>
      </c>
      <c r="K37" s="9" t="s">
        <v>159</v>
      </c>
      <c r="L37" s="8">
        <v>38</v>
      </c>
      <c r="M37" s="8">
        <v>0</v>
      </c>
      <c r="N37" s="9"/>
      <c r="O37" s="8">
        <v>0</v>
      </c>
      <c r="P37" s="9"/>
      <c r="Q37" s="8">
        <v>0</v>
      </c>
      <c r="R37" s="9"/>
      <c r="S37" s="8">
        <v>102</v>
      </c>
      <c r="T37" s="9"/>
      <c r="U37" s="8">
        <v>0</v>
      </c>
      <c r="V37" s="9"/>
      <c r="W37" s="33">
        <v>102</v>
      </c>
      <c r="X37" s="9"/>
      <c r="Y37" s="30">
        <v>0</v>
      </c>
      <c r="Z37" s="9"/>
      <c r="AA37" s="30">
        <v>0</v>
      </c>
      <c r="AB37" s="9"/>
      <c r="AC37" s="30">
        <v>0</v>
      </c>
      <c r="AD37" s="9"/>
      <c r="AE37" s="30">
        <v>1</v>
      </c>
      <c r="AF37" s="9"/>
      <c r="AG37" s="19">
        <v>0</v>
      </c>
      <c r="AI37" s="32">
        <v>1</v>
      </c>
      <c r="AK37" s="7" t="str">
        <f t="shared" si="0"/>
        <v>No</v>
      </c>
    </row>
    <row r="38" spans="1:37">
      <c r="A38" s="7" t="s">
        <v>540</v>
      </c>
      <c r="B38" s="7" t="s">
        <v>541</v>
      </c>
      <c r="C38" s="37" t="s">
        <v>40</v>
      </c>
      <c r="D38" s="296">
        <v>5113</v>
      </c>
      <c r="E38" s="297">
        <v>50113</v>
      </c>
      <c r="F38" s="27" t="s">
        <v>165</v>
      </c>
      <c r="G38" s="27" t="s">
        <v>158</v>
      </c>
      <c r="H38" s="35">
        <v>8608208</v>
      </c>
      <c r="I38" s="35">
        <v>1619</v>
      </c>
      <c r="J38" s="9" t="s">
        <v>8</v>
      </c>
      <c r="K38" s="9" t="s">
        <v>159</v>
      </c>
      <c r="L38" s="8">
        <v>664</v>
      </c>
      <c r="M38" s="8">
        <v>0</v>
      </c>
      <c r="N38" s="9"/>
      <c r="O38" s="8">
        <v>0</v>
      </c>
      <c r="P38" s="9"/>
      <c r="Q38" s="8">
        <v>0</v>
      </c>
      <c r="R38" s="9"/>
      <c r="S38" s="8">
        <v>0</v>
      </c>
      <c r="T38" s="9"/>
      <c r="U38" s="8">
        <v>0</v>
      </c>
      <c r="V38" s="9"/>
      <c r="W38" s="33">
        <v>0</v>
      </c>
      <c r="X38" s="9"/>
      <c r="Y38" s="30">
        <v>0</v>
      </c>
      <c r="Z38" s="9"/>
      <c r="AA38" s="30">
        <v>0</v>
      </c>
      <c r="AB38" s="9"/>
      <c r="AC38" s="30">
        <v>0</v>
      </c>
      <c r="AD38" s="9"/>
      <c r="AE38" s="30">
        <v>0</v>
      </c>
      <c r="AF38" s="9"/>
      <c r="AG38" s="19">
        <v>0</v>
      </c>
      <c r="AI38" s="32">
        <v>0</v>
      </c>
      <c r="AK38" s="7" t="str">
        <f t="shared" si="0"/>
        <v>No</v>
      </c>
    </row>
    <row r="39" spans="1:37">
      <c r="A39" s="7" t="s">
        <v>540</v>
      </c>
      <c r="B39" s="7" t="s">
        <v>541</v>
      </c>
      <c r="C39" s="37" t="s">
        <v>40</v>
      </c>
      <c r="D39" s="296">
        <v>5113</v>
      </c>
      <c r="E39" s="297">
        <v>50113</v>
      </c>
      <c r="F39" s="27" t="s">
        <v>165</v>
      </c>
      <c r="G39" s="27" t="s">
        <v>158</v>
      </c>
      <c r="H39" s="35">
        <v>8608208</v>
      </c>
      <c r="I39" s="35">
        <v>1619</v>
      </c>
      <c r="J39" s="9" t="s">
        <v>7</v>
      </c>
      <c r="K39" s="9" t="s">
        <v>159</v>
      </c>
      <c r="L39" s="8">
        <v>545</v>
      </c>
      <c r="M39" s="8">
        <v>196996</v>
      </c>
      <c r="N39" s="9"/>
      <c r="O39" s="8">
        <v>4607</v>
      </c>
      <c r="P39" s="9"/>
      <c r="Q39" s="8">
        <v>5333</v>
      </c>
      <c r="R39" s="9"/>
      <c r="S39" s="8">
        <v>32651</v>
      </c>
      <c r="T39" s="9"/>
      <c r="U39" s="8">
        <v>968</v>
      </c>
      <c r="V39" s="9"/>
      <c r="W39" s="33">
        <v>240555</v>
      </c>
      <c r="X39" s="9"/>
      <c r="Y39" s="30">
        <v>158.4</v>
      </c>
      <c r="Z39" s="9"/>
      <c r="AA39" s="30">
        <v>5</v>
      </c>
      <c r="AB39" s="9"/>
      <c r="AC39" s="30">
        <v>3</v>
      </c>
      <c r="AD39" s="9"/>
      <c r="AE39" s="30">
        <v>21</v>
      </c>
      <c r="AF39" s="9"/>
      <c r="AG39" s="19">
        <v>0.93</v>
      </c>
      <c r="AI39" s="32">
        <v>188.33</v>
      </c>
      <c r="AK39" s="7" t="str">
        <f t="shared" si="0"/>
        <v>No</v>
      </c>
    </row>
    <row r="40" spans="1:37">
      <c r="A40" s="7" t="s">
        <v>540</v>
      </c>
      <c r="B40" s="7" t="s">
        <v>541</v>
      </c>
      <c r="C40" s="37" t="s">
        <v>40</v>
      </c>
      <c r="D40" s="296">
        <v>5113</v>
      </c>
      <c r="E40" s="297">
        <v>50113</v>
      </c>
      <c r="F40" s="27" t="s">
        <v>165</v>
      </c>
      <c r="G40" s="27" t="s">
        <v>158</v>
      </c>
      <c r="H40" s="35">
        <v>8608208</v>
      </c>
      <c r="I40" s="35">
        <v>1619</v>
      </c>
      <c r="J40" s="9" t="s">
        <v>10</v>
      </c>
      <c r="K40" s="9" t="s">
        <v>159</v>
      </c>
      <c r="L40" s="8">
        <v>8</v>
      </c>
      <c r="M40" s="8">
        <v>9199</v>
      </c>
      <c r="N40" s="9"/>
      <c r="O40" s="8">
        <v>0</v>
      </c>
      <c r="P40" s="9"/>
      <c r="Q40" s="8">
        <v>0</v>
      </c>
      <c r="R40" s="9"/>
      <c r="S40" s="8">
        <v>0</v>
      </c>
      <c r="T40" s="9"/>
      <c r="U40" s="8">
        <v>0</v>
      </c>
      <c r="V40" s="9"/>
      <c r="W40" s="33">
        <v>9199</v>
      </c>
      <c r="X40" s="9"/>
      <c r="Y40" s="30">
        <v>7.6</v>
      </c>
      <c r="Z40" s="9"/>
      <c r="AA40" s="30">
        <v>0</v>
      </c>
      <c r="AB40" s="9"/>
      <c r="AC40" s="30">
        <v>0</v>
      </c>
      <c r="AD40" s="9"/>
      <c r="AE40" s="30">
        <v>0</v>
      </c>
      <c r="AF40" s="9"/>
      <c r="AG40" s="19">
        <v>0</v>
      </c>
      <c r="AI40" s="32">
        <v>7.6</v>
      </c>
      <c r="AK40" s="7" t="str">
        <f t="shared" si="0"/>
        <v>No</v>
      </c>
    </row>
    <row r="41" spans="1:37">
      <c r="A41" s="7" t="s">
        <v>536</v>
      </c>
      <c r="B41" s="7" t="s">
        <v>537</v>
      </c>
      <c r="C41" s="37" t="s">
        <v>17</v>
      </c>
      <c r="D41" s="296">
        <v>9036</v>
      </c>
      <c r="E41" s="297">
        <v>90036</v>
      </c>
      <c r="F41" s="27" t="s">
        <v>165</v>
      </c>
      <c r="G41" s="27" t="s">
        <v>158</v>
      </c>
      <c r="H41" s="35">
        <v>12150996</v>
      </c>
      <c r="I41" s="35">
        <v>1558</v>
      </c>
      <c r="J41" s="9" t="s">
        <v>7</v>
      </c>
      <c r="K41" s="9" t="s">
        <v>159</v>
      </c>
      <c r="L41" s="8">
        <v>266</v>
      </c>
      <c r="M41" s="8">
        <v>29927</v>
      </c>
      <c r="N41" s="9"/>
      <c r="O41" s="8">
        <v>1135</v>
      </c>
      <c r="P41" s="9"/>
      <c r="Q41" s="8">
        <v>301</v>
      </c>
      <c r="R41" s="9"/>
      <c r="S41" s="8">
        <v>9724</v>
      </c>
      <c r="T41" s="9"/>
      <c r="U41" s="8">
        <v>0</v>
      </c>
      <c r="V41" s="9"/>
      <c r="W41" s="33">
        <v>41087</v>
      </c>
      <c r="X41" s="9"/>
      <c r="Y41" s="30">
        <v>15.66</v>
      </c>
      <c r="Z41" s="9"/>
      <c r="AA41" s="30">
        <v>1.4</v>
      </c>
      <c r="AB41" s="9"/>
      <c r="AC41" s="30">
        <v>0.41</v>
      </c>
      <c r="AD41" s="9"/>
      <c r="AE41" s="30">
        <v>7.51</v>
      </c>
      <c r="AF41" s="9"/>
      <c r="AG41" s="19">
        <v>0</v>
      </c>
      <c r="AI41" s="32">
        <v>24.98</v>
      </c>
      <c r="AK41" s="7" t="str">
        <f t="shared" si="0"/>
        <v>No</v>
      </c>
    </row>
    <row r="42" spans="1:37">
      <c r="A42" s="7" t="s">
        <v>536</v>
      </c>
      <c r="B42" s="7" t="s">
        <v>537</v>
      </c>
      <c r="C42" s="37" t="s">
        <v>17</v>
      </c>
      <c r="D42" s="296">
        <v>9036</v>
      </c>
      <c r="E42" s="297">
        <v>90036</v>
      </c>
      <c r="F42" s="27" t="s">
        <v>165</v>
      </c>
      <c r="G42" s="27" t="s">
        <v>158</v>
      </c>
      <c r="H42" s="35">
        <v>12150996</v>
      </c>
      <c r="I42" s="35">
        <v>1558</v>
      </c>
      <c r="J42" s="9" t="s">
        <v>18</v>
      </c>
      <c r="K42" s="9" t="s">
        <v>159</v>
      </c>
      <c r="L42" s="8">
        <v>6</v>
      </c>
      <c r="M42" s="8">
        <v>535</v>
      </c>
      <c r="N42" s="9"/>
      <c r="O42" s="8">
        <v>17</v>
      </c>
      <c r="P42" s="9"/>
      <c r="Q42" s="8">
        <v>4</v>
      </c>
      <c r="R42" s="9"/>
      <c r="S42" s="8">
        <v>144</v>
      </c>
      <c r="T42" s="9"/>
      <c r="U42" s="8">
        <v>0</v>
      </c>
      <c r="V42" s="9"/>
      <c r="W42" s="33">
        <v>700</v>
      </c>
      <c r="X42" s="9"/>
      <c r="Y42" s="30">
        <v>0.24</v>
      </c>
      <c r="Z42" s="9"/>
      <c r="AA42" s="30">
        <v>0.02</v>
      </c>
      <c r="AB42" s="9"/>
      <c r="AC42" s="30">
        <v>0.01</v>
      </c>
      <c r="AD42" s="9"/>
      <c r="AE42" s="30">
        <v>0.11</v>
      </c>
      <c r="AF42" s="9"/>
      <c r="AG42" s="19">
        <v>0</v>
      </c>
      <c r="AI42" s="32">
        <v>0.38</v>
      </c>
      <c r="AK42" s="7" t="str">
        <f t="shared" si="0"/>
        <v>No</v>
      </c>
    </row>
    <row r="43" spans="1:37">
      <c r="A43" s="7" t="s">
        <v>562</v>
      </c>
      <c r="B43" s="7" t="s">
        <v>563</v>
      </c>
      <c r="C43" s="37" t="s">
        <v>26</v>
      </c>
      <c r="D43" s="296">
        <v>8006</v>
      </c>
      <c r="E43" s="297">
        <v>80006</v>
      </c>
      <c r="F43" s="27" t="s">
        <v>165</v>
      </c>
      <c r="G43" s="27" t="s">
        <v>158</v>
      </c>
      <c r="H43" s="35">
        <v>2374203</v>
      </c>
      <c r="I43" s="35">
        <v>1435</v>
      </c>
      <c r="J43" s="9" t="s">
        <v>7</v>
      </c>
      <c r="K43" s="9" t="s">
        <v>159</v>
      </c>
      <c r="L43" s="8">
        <v>485</v>
      </c>
      <c r="M43" s="8">
        <v>237895</v>
      </c>
      <c r="N43" s="9"/>
      <c r="O43" s="8">
        <v>0</v>
      </c>
      <c r="P43" s="9"/>
      <c r="Q43" s="8">
        <v>0</v>
      </c>
      <c r="R43" s="9"/>
      <c r="S43" s="8">
        <v>11464</v>
      </c>
      <c r="T43" s="9"/>
      <c r="U43" s="8">
        <v>0</v>
      </c>
      <c r="V43" s="9"/>
      <c r="W43" s="33">
        <v>249359</v>
      </c>
      <c r="X43" s="9"/>
      <c r="Y43" s="30">
        <v>219</v>
      </c>
      <c r="Z43" s="9"/>
      <c r="AA43" s="30">
        <v>0</v>
      </c>
      <c r="AB43" s="9"/>
      <c r="AC43" s="30">
        <v>0</v>
      </c>
      <c r="AD43" s="9"/>
      <c r="AE43" s="30">
        <v>13</v>
      </c>
      <c r="AF43" s="9"/>
      <c r="AG43" s="19">
        <v>0</v>
      </c>
      <c r="AI43" s="32">
        <v>232</v>
      </c>
      <c r="AK43" s="7" t="str">
        <f t="shared" si="0"/>
        <v>No</v>
      </c>
    </row>
    <row r="44" spans="1:37">
      <c r="A44" s="7" t="s">
        <v>562</v>
      </c>
      <c r="B44" s="7" t="s">
        <v>563</v>
      </c>
      <c r="C44" s="37" t="s">
        <v>26</v>
      </c>
      <c r="D44" s="296">
        <v>8006</v>
      </c>
      <c r="E44" s="297">
        <v>80006</v>
      </c>
      <c r="F44" s="27" t="s">
        <v>165</v>
      </c>
      <c r="G44" s="27" t="s">
        <v>158</v>
      </c>
      <c r="H44" s="35">
        <v>2374203</v>
      </c>
      <c r="I44" s="35">
        <v>1435</v>
      </c>
      <c r="J44" s="9" t="s">
        <v>21</v>
      </c>
      <c r="K44" s="9" t="s">
        <v>159</v>
      </c>
      <c r="L44" s="8">
        <v>140</v>
      </c>
      <c r="M44" s="8">
        <v>280</v>
      </c>
      <c r="N44" s="9"/>
      <c r="O44" s="8">
        <v>0</v>
      </c>
      <c r="P44" s="9"/>
      <c r="Q44" s="8">
        <v>0</v>
      </c>
      <c r="R44" s="9"/>
      <c r="S44" s="8">
        <v>0</v>
      </c>
      <c r="T44" s="9"/>
      <c r="U44" s="8">
        <v>0</v>
      </c>
      <c r="V44" s="9"/>
      <c r="W44" s="33">
        <v>280</v>
      </c>
      <c r="X44" s="9"/>
      <c r="Y44" s="30">
        <v>2</v>
      </c>
      <c r="Z44" s="9"/>
      <c r="AA44" s="30">
        <v>0</v>
      </c>
      <c r="AB44" s="9"/>
      <c r="AC44" s="30">
        <v>0</v>
      </c>
      <c r="AD44" s="9"/>
      <c r="AE44" s="30">
        <v>0</v>
      </c>
      <c r="AF44" s="9"/>
      <c r="AG44" s="19">
        <v>0</v>
      </c>
      <c r="AI44" s="32">
        <v>2</v>
      </c>
      <c r="AK44" s="7" t="str">
        <f t="shared" si="0"/>
        <v>No</v>
      </c>
    </row>
    <row r="45" spans="1:37">
      <c r="A45" s="7" t="s">
        <v>493</v>
      </c>
      <c r="B45" s="7" t="s">
        <v>494</v>
      </c>
      <c r="C45" s="37" t="s">
        <v>32</v>
      </c>
      <c r="D45" s="296">
        <v>4034</v>
      </c>
      <c r="E45" s="297">
        <v>40034</v>
      </c>
      <c r="F45" s="27" t="s">
        <v>162</v>
      </c>
      <c r="G45" s="27" t="s">
        <v>158</v>
      </c>
      <c r="H45" s="35">
        <v>5502379</v>
      </c>
      <c r="I45" s="35">
        <v>1181</v>
      </c>
      <c r="J45" s="9" t="s">
        <v>7</v>
      </c>
      <c r="K45" s="9" t="s">
        <v>159</v>
      </c>
      <c r="L45" s="8">
        <v>709</v>
      </c>
      <c r="M45" s="8">
        <v>477104</v>
      </c>
      <c r="N45" s="9"/>
      <c r="O45" s="8">
        <v>0</v>
      </c>
      <c r="P45" s="9"/>
      <c r="Q45" s="8">
        <v>0</v>
      </c>
      <c r="R45" s="9"/>
      <c r="S45" s="8">
        <v>229</v>
      </c>
      <c r="T45" s="9"/>
      <c r="U45" s="8">
        <v>0</v>
      </c>
      <c r="V45" s="9"/>
      <c r="W45" s="33">
        <v>477333</v>
      </c>
      <c r="X45" s="9"/>
      <c r="Y45" s="30">
        <v>331</v>
      </c>
      <c r="Z45" s="9"/>
      <c r="AA45" s="30">
        <v>0</v>
      </c>
      <c r="AB45" s="9"/>
      <c r="AC45" s="30">
        <v>0</v>
      </c>
      <c r="AD45" s="9"/>
      <c r="AE45" s="30">
        <v>1</v>
      </c>
      <c r="AF45" s="9"/>
      <c r="AG45" s="19">
        <v>0</v>
      </c>
      <c r="AI45" s="32">
        <v>332</v>
      </c>
      <c r="AK45" s="7" t="str">
        <f t="shared" si="0"/>
        <v>No</v>
      </c>
    </row>
    <row r="46" spans="1:37">
      <c r="A46" s="7" t="s">
        <v>493</v>
      </c>
      <c r="B46" s="7" t="s">
        <v>494</v>
      </c>
      <c r="C46" s="37" t="s">
        <v>32</v>
      </c>
      <c r="D46" s="296">
        <v>4034</v>
      </c>
      <c r="E46" s="297">
        <v>40034</v>
      </c>
      <c r="F46" s="27" t="s">
        <v>162</v>
      </c>
      <c r="G46" s="27" t="s">
        <v>158</v>
      </c>
      <c r="H46" s="35">
        <v>5502379</v>
      </c>
      <c r="I46" s="35">
        <v>1181</v>
      </c>
      <c r="J46" s="9" t="s">
        <v>20</v>
      </c>
      <c r="K46" s="9" t="s">
        <v>159</v>
      </c>
      <c r="L46" s="8">
        <v>84</v>
      </c>
      <c r="M46" s="8">
        <v>3018</v>
      </c>
      <c r="N46" s="9"/>
      <c r="O46" s="8">
        <v>0</v>
      </c>
      <c r="P46" s="9"/>
      <c r="Q46" s="8">
        <v>35658</v>
      </c>
      <c r="R46" s="9"/>
      <c r="S46" s="8">
        <v>0</v>
      </c>
      <c r="T46" s="9"/>
      <c r="U46" s="8">
        <v>0</v>
      </c>
      <c r="V46" s="9"/>
      <c r="W46" s="33">
        <v>38676</v>
      </c>
      <c r="X46" s="9"/>
      <c r="Y46" s="30">
        <v>5</v>
      </c>
      <c r="Z46" s="9"/>
      <c r="AA46" s="30">
        <v>0</v>
      </c>
      <c r="AB46" s="9"/>
      <c r="AC46" s="30">
        <v>52</v>
      </c>
      <c r="AD46" s="9"/>
      <c r="AE46" s="30">
        <v>0</v>
      </c>
      <c r="AF46" s="9"/>
      <c r="AG46" s="19">
        <v>0</v>
      </c>
      <c r="AI46" s="32">
        <v>57</v>
      </c>
      <c r="AK46" s="7" t="str">
        <f t="shared" si="0"/>
        <v>No</v>
      </c>
    </row>
    <row r="47" spans="1:37">
      <c r="A47" s="7" t="s">
        <v>493</v>
      </c>
      <c r="B47" s="7" t="s">
        <v>494</v>
      </c>
      <c r="C47" s="37" t="s">
        <v>32</v>
      </c>
      <c r="D47" s="296">
        <v>4034</v>
      </c>
      <c r="E47" s="297">
        <v>40034</v>
      </c>
      <c r="F47" s="27" t="s">
        <v>162</v>
      </c>
      <c r="G47" s="27" t="s">
        <v>158</v>
      </c>
      <c r="H47" s="35">
        <v>5502379</v>
      </c>
      <c r="I47" s="35">
        <v>1181</v>
      </c>
      <c r="J47" s="9" t="s">
        <v>34</v>
      </c>
      <c r="K47" s="9" t="s">
        <v>159</v>
      </c>
      <c r="L47" s="8">
        <v>23</v>
      </c>
      <c r="M47" s="8">
        <v>0</v>
      </c>
      <c r="N47" s="9"/>
      <c r="O47" s="8">
        <v>0</v>
      </c>
      <c r="P47" s="9"/>
      <c r="Q47" s="8">
        <v>0</v>
      </c>
      <c r="R47" s="9"/>
      <c r="S47" s="8">
        <v>0</v>
      </c>
      <c r="T47" s="9"/>
      <c r="U47" s="8">
        <v>0</v>
      </c>
      <c r="V47" s="9"/>
      <c r="W47" s="33">
        <v>0</v>
      </c>
      <c r="X47" s="9"/>
      <c r="Y47" s="30">
        <v>0</v>
      </c>
      <c r="Z47" s="9"/>
      <c r="AA47" s="30">
        <v>0</v>
      </c>
      <c r="AB47" s="9"/>
      <c r="AC47" s="30">
        <v>0</v>
      </c>
      <c r="AD47" s="9"/>
      <c r="AE47" s="30">
        <v>0</v>
      </c>
      <c r="AF47" s="9"/>
      <c r="AG47" s="19">
        <v>0</v>
      </c>
      <c r="AI47" s="32">
        <v>0</v>
      </c>
      <c r="AK47" s="7" t="str">
        <f t="shared" si="0"/>
        <v>No</v>
      </c>
    </row>
    <row r="48" spans="1:37">
      <c r="A48" s="7" t="s">
        <v>478</v>
      </c>
      <c r="B48" s="7" t="s">
        <v>479</v>
      </c>
      <c r="C48" s="37" t="s">
        <v>70</v>
      </c>
      <c r="D48" s="296">
        <v>2078</v>
      </c>
      <c r="E48" s="297">
        <v>20078</v>
      </c>
      <c r="F48" s="27" t="s">
        <v>240</v>
      </c>
      <c r="G48" s="27" t="s">
        <v>158</v>
      </c>
      <c r="H48" s="35">
        <v>18351295</v>
      </c>
      <c r="I48" s="35">
        <v>1175</v>
      </c>
      <c r="J48" s="9" t="s">
        <v>41</v>
      </c>
      <c r="K48" s="9" t="s">
        <v>159</v>
      </c>
      <c r="L48" s="8">
        <v>1164</v>
      </c>
      <c r="M48" s="8">
        <v>0</v>
      </c>
      <c r="N48" s="9"/>
      <c r="O48" s="8">
        <v>0</v>
      </c>
      <c r="P48" s="9"/>
      <c r="Q48" s="8">
        <v>0</v>
      </c>
      <c r="R48" s="9"/>
      <c r="S48" s="8">
        <v>0</v>
      </c>
      <c r="T48" s="9"/>
      <c r="U48" s="8">
        <v>0</v>
      </c>
      <c r="V48" s="9"/>
      <c r="W48" s="33">
        <v>0</v>
      </c>
      <c r="X48" s="9"/>
      <c r="Y48" s="30">
        <v>0</v>
      </c>
      <c r="Z48" s="9"/>
      <c r="AA48" s="30">
        <v>0</v>
      </c>
      <c r="AB48" s="9"/>
      <c r="AC48" s="30">
        <v>0</v>
      </c>
      <c r="AD48" s="9"/>
      <c r="AE48" s="30">
        <v>0</v>
      </c>
      <c r="AF48" s="9"/>
      <c r="AG48" s="19">
        <v>0</v>
      </c>
      <c r="AI48" s="32">
        <v>0</v>
      </c>
      <c r="AK48" s="7" t="str">
        <f t="shared" si="0"/>
        <v>No</v>
      </c>
    </row>
    <row r="49" spans="1:37">
      <c r="A49" s="7" t="s">
        <v>723</v>
      </c>
      <c r="B49" s="7" t="s">
        <v>479</v>
      </c>
      <c r="C49" s="37" t="s">
        <v>70</v>
      </c>
      <c r="D49" s="296">
        <v>2188</v>
      </c>
      <c r="E49" s="297">
        <v>20188</v>
      </c>
      <c r="F49" s="27" t="s">
        <v>240</v>
      </c>
      <c r="G49" s="27" t="s">
        <v>158</v>
      </c>
      <c r="H49" s="35">
        <v>18351295</v>
      </c>
      <c r="I49" s="35">
        <v>1093</v>
      </c>
      <c r="J49" s="9" t="s">
        <v>7</v>
      </c>
      <c r="K49" s="9" t="s">
        <v>159</v>
      </c>
      <c r="L49" s="8">
        <v>1093</v>
      </c>
      <c r="M49" s="8">
        <v>33477</v>
      </c>
      <c r="N49" s="9"/>
      <c r="O49" s="8">
        <v>0</v>
      </c>
      <c r="P49" s="9"/>
      <c r="Q49" s="8">
        <v>0</v>
      </c>
      <c r="R49" s="9"/>
      <c r="S49" s="8">
        <v>1633</v>
      </c>
      <c r="T49" s="9"/>
      <c r="U49" s="8">
        <v>0</v>
      </c>
      <c r="V49" s="9"/>
      <c r="W49" s="33">
        <v>35110</v>
      </c>
      <c r="X49" s="9"/>
      <c r="Y49" s="30">
        <v>67</v>
      </c>
      <c r="Z49" s="9"/>
      <c r="AA49" s="30">
        <v>0</v>
      </c>
      <c r="AB49" s="9"/>
      <c r="AC49" s="30">
        <v>0</v>
      </c>
      <c r="AD49" s="9"/>
      <c r="AE49" s="30">
        <v>2</v>
      </c>
      <c r="AF49" s="9"/>
      <c r="AG49" s="19">
        <v>0</v>
      </c>
      <c r="AI49" s="32">
        <v>69</v>
      </c>
      <c r="AK49" s="7" t="str">
        <f t="shared" si="0"/>
        <v>No</v>
      </c>
    </row>
    <row r="50" spans="1:37">
      <c r="A50" s="7" t="s">
        <v>671</v>
      </c>
      <c r="B50" s="7" t="s">
        <v>672</v>
      </c>
      <c r="C50" s="37" t="s">
        <v>85</v>
      </c>
      <c r="D50" s="296">
        <v>8001</v>
      </c>
      <c r="E50" s="297">
        <v>80001</v>
      </c>
      <c r="F50" s="27" t="s">
        <v>165</v>
      </c>
      <c r="G50" s="27" t="s">
        <v>158</v>
      </c>
      <c r="H50" s="35">
        <v>1021243</v>
      </c>
      <c r="I50" s="35">
        <v>1087</v>
      </c>
      <c r="J50" s="9" t="s">
        <v>8</v>
      </c>
      <c r="K50" s="9" t="s">
        <v>159</v>
      </c>
      <c r="L50" s="8">
        <v>406</v>
      </c>
      <c r="M50" s="8">
        <v>0</v>
      </c>
      <c r="N50" s="9"/>
      <c r="O50" s="8">
        <v>0</v>
      </c>
      <c r="P50" s="9"/>
      <c r="Q50" s="8">
        <v>159</v>
      </c>
      <c r="R50" s="9"/>
      <c r="S50" s="8">
        <v>152</v>
      </c>
      <c r="T50" s="9"/>
      <c r="U50" s="8">
        <v>0</v>
      </c>
      <c r="V50" s="9"/>
      <c r="W50" s="33">
        <v>311</v>
      </c>
      <c r="X50" s="9"/>
      <c r="Y50" s="30">
        <v>0</v>
      </c>
      <c r="Z50" s="9"/>
      <c r="AA50" s="30">
        <v>0</v>
      </c>
      <c r="AB50" s="9"/>
      <c r="AC50" s="30">
        <v>0.2</v>
      </c>
      <c r="AD50" s="9"/>
      <c r="AE50" s="30">
        <v>0.2</v>
      </c>
      <c r="AF50" s="9"/>
      <c r="AG50" s="19">
        <v>0</v>
      </c>
      <c r="AI50" s="32">
        <v>0.4</v>
      </c>
      <c r="AK50" s="7" t="str">
        <f t="shared" si="0"/>
        <v>No</v>
      </c>
    </row>
    <row r="51" spans="1:37">
      <c r="A51" s="7" t="s">
        <v>671</v>
      </c>
      <c r="B51" s="7" t="s">
        <v>672</v>
      </c>
      <c r="C51" s="37" t="s">
        <v>85</v>
      </c>
      <c r="D51" s="296">
        <v>8001</v>
      </c>
      <c r="E51" s="297">
        <v>80001</v>
      </c>
      <c r="F51" s="27" t="s">
        <v>165</v>
      </c>
      <c r="G51" s="27" t="s">
        <v>158</v>
      </c>
      <c r="H51" s="35">
        <v>1021243</v>
      </c>
      <c r="I51" s="35">
        <v>1087</v>
      </c>
      <c r="J51" s="9" t="s">
        <v>7</v>
      </c>
      <c r="K51" s="9" t="s">
        <v>159</v>
      </c>
      <c r="L51" s="8">
        <v>391</v>
      </c>
      <c r="M51" s="8">
        <v>43758</v>
      </c>
      <c r="N51" s="9"/>
      <c r="O51" s="8">
        <v>165</v>
      </c>
      <c r="P51" s="9"/>
      <c r="Q51" s="8">
        <v>13497</v>
      </c>
      <c r="R51" s="9"/>
      <c r="S51" s="8">
        <v>11036</v>
      </c>
      <c r="T51" s="9"/>
      <c r="U51" s="8">
        <v>0</v>
      </c>
      <c r="V51" s="9"/>
      <c r="W51" s="33">
        <v>68456</v>
      </c>
      <c r="X51" s="9"/>
      <c r="Y51" s="30">
        <v>74.900000000000006</v>
      </c>
      <c r="Z51" s="9"/>
      <c r="AA51" s="30">
        <v>0.3</v>
      </c>
      <c r="AB51" s="9"/>
      <c r="AC51" s="30">
        <v>17.5</v>
      </c>
      <c r="AD51" s="9"/>
      <c r="AE51" s="30">
        <v>16.2</v>
      </c>
      <c r="AF51" s="9"/>
      <c r="AG51" s="19">
        <v>0</v>
      </c>
      <c r="AI51" s="32">
        <v>108.9</v>
      </c>
      <c r="AK51" s="7" t="str">
        <f t="shared" si="0"/>
        <v>No</v>
      </c>
    </row>
    <row r="52" spans="1:37">
      <c r="A52" s="7" t="s">
        <v>671</v>
      </c>
      <c r="B52" s="7" t="s">
        <v>672</v>
      </c>
      <c r="C52" s="37" t="s">
        <v>85</v>
      </c>
      <c r="D52" s="296">
        <v>8001</v>
      </c>
      <c r="E52" s="297">
        <v>80001</v>
      </c>
      <c r="F52" s="27" t="s">
        <v>165</v>
      </c>
      <c r="G52" s="27" t="s">
        <v>158</v>
      </c>
      <c r="H52" s="35">
        <v>1021243</v>
      </c>
      <c r="I52" s="35">
        <v>1087</v>
      </c>
      <c r="J52" s="9" t="s">
        <v>21</v>
      </c>
      <c r="K52" s="9" t="s">
        <v>159</v>
      </c>
      <c r="L52" s="8">
        <v>91</v>
      </c>
      <c r="M52" s="8">
        <v>600</v>
      </c>
      <c r="N52" s="9"/>
      <c r="O52" s="8">
        <v>0</v>
      </c>
      <c r="P52" s="9"/>
      <c r="Q52" s="8">
        <v>4746</v>
      </c>
      <c r="R52" s="9"/>
      <c r="S52" s="8">
        <v>4484</v>
      </c>
      <c r="T52" s="9"/>
      <c r="U52" s="8">
        <v>0</v>
      </c>
      <c r="V52" s="9"/>
      <c r="W52" s="33">
        <v>9830</v>
      </c>
      <c r="X52" s="9"/>
      <c r="Y52" s="30">
        <v>0.9</v>
      </c>
      <c r="Z52" s="9"/>
      <c r="AA52" s="30">
        <v>0</v>
      </c>
      <c r="AB52" s="9"/>
      <c r="AC52" s="30">
        <v>5.4</v>
      </c>
      <c r="AD52" s="9"/>
      <c r="AE52" s="30">
        <v>6.6</v>
      </c>
      <c r="AF52" s="9"/>
      <c r="AG52" s="19">
        <v>0</v>
      </c>
      <c r="AI52" s="32">
        <v>12.9</v>
      </c>
      <c r="AK52" s="7" t="str">
        <f t="shared" si="0"/>
        <v>No</v>
      </c>
    </row>
    <row r="53" spans="1:37">
      <c r="A53" s="7" t="s">
        <v>671</v>
      </c>
      <c r="B53" s="7" t="s">
        <v>672</v>
      </c>
      <c r="C53" s="37" t="s">
        <v>85</v>
      </c>
      <c r="D53" s="296">
        <v>8001</v>
      </c>
      <c r="E53" s="297">
        <v>80001</v>
      </c>
      <c r="F53" s="27" t="s">
        <v>165</v>
      </c>
      <c r="G53" s="27" t="s">
        <v>158</v>
      </c>
      <c r="H53" s="35">
        <v>1021243</v>
      </c>
      <c r="I53" s="35">
        <v>1087</v>
      </c>
      <c r="J53" s="9" t="s">
        <v>10</v>
      </c>
      <c r="K53" s="9" t="s">
        <v>159</v>
      </c>
      <c r="L53" s="8">
        <v>61</v>
      </c>
      <c r="M53" s="8">
        <v>2471</v>
      </c>
      <c r="N53" s="9"/>
      <c r="O53" s="8">
        <v>329</v>
      </c>
      <c r="P53" s="9"/>
      <c r="Q53" s="8">
        <v>1221</v>
      </c>
      <c r="R53" s="9"/>
      <c r="S53" s="8">
        <v>1164</v>
      </c>
      <c r="T53" s="9"/>
      <c r="U53" s="8">
        <v>0</v>
      </c>
      <c r="V53" s="9"/>
      <c r="W53" s="33">
        <v>5185</v>
      </c>
      <c r="X53" s="9"/>
      <c r="Y53" s="30">
        <v>3.3</v>
      </c>
      <c r="Z53" s="9"/>
      <c r="AA53" s="30">
        <v>0.7</v>
      </c>
      <c r="AB53" s="9"/>
      <c r="AC53" s="30">
        <v>1.6</v>
      </c>
      <c r="AD53" s="9"/>
      <c r="AE53" s="30">
        <v>1.7</v>
      </c>
      <c r="AF53" s="9"/>
      <c r="AG53" s="19">
        <v>0</v>
      </c>
      <c r="AI53" s="32">
        <v>7.3</v>
      </c>
      <c r="AK53" s="7" t="str">
        <f t="shared" si="0"/>
        <v>No</v>
      </c>
    </row>
    <row r="54" spans="1:37">
      <c r="A54" s="7" t="s">
        <v>671</v>
      </c>
      <c r="B54" s="7" t="s">
        <v>672</v>
      </c>
      <c r="C54" s="37" t="s">
        <v>85</v>
      </c>
      <c r="D54" s="296">
        <v>8001</v>
      </c>
      <c r="E54" s="297">
        <v>80001</v>
      </c>
      <c r="F54" s="27" t="s">
        <v>165</v>
      </c>
      <c r="G54" s="27" t="s">
        <v>158</v>
      </c>
      <c r="H54" s="35">
        <v>1021243</v>
      </c>
      <c r="I54" s="35">
        <v>1087</v>
      </c>
      <c r="J54" s="9" t="s">
        <v>41</v>
      </c>
      <c r="K54" s="9" t="s">
        <v>159</v>
      </c>
      <c r="L54" s="8">
        <v>45</v>
      </c>
      <c r="M54" s="8">
        <v>37517</v>
      </c>
      <c r="N54" s="9"/>
      <c r="O54" s="8">
        <v>0</v>
      </c>
      <c r="P54" s="9"/>
      <c r="Q54" s="8">
        <v>3844</v>
      </c>
      <c r="R54" s="9"/>
      <c r="S54" s="8">
        <v>3631</v>
      </c>
      <c r="T54" s="9"/>
      <c r="U54" s="8">
        <v>0</v>
      </c>
      <c r="V54" s="9"/>
      <c r="W54" s="33">
        <v>44992</v>
      </c>
      <c r="X54" s="9"/>
      <c r="Y54" s="30">
        <v>30.1</v>
      </c>
      <c r="Z54" s="9"/>
      <c r="AA54" s="30">
        <v>0</v>
      </c>
      <c r="AB54" s="9"/>
      <c r="AC54" s="30">
        <v>5.0999999999999996</v>
      </c>
      <c r="AD54" s="9"/>
      <c r="AE54" s="30">
        <v>5.3</v>
      </c>
      <c r="AF54" s="9"/>
      <c r="AG54" s="19">
        <v>0</v>
      </c>
      <c r="AI54" s="32">
        <v>40.5</v>
      </c>
      <c r="AK54" s="7" t="str">
        <f t="shared" si="0"/>
        <v>No</v>
      </c>
    </row>
    <row r="55" spans="1:37">
      <c r="A55" s="7" t="s">
        <v>671</v>
      </c>
      <c r="B55" s="7" t="s">
        <v>672</v>
      </c>
      <c r="C55" s="37" t="s">
        <v>85</v>
      </c>
      <c r="D55" s="296">
        <v>8001</v>
      </c>
      <c r="E55" s="297">
        <v>80001</v>
      </c>
      <c r="F55" s="27" t="s">
        <v>165</v>
      </c>
      <c r="G55" s="27" t="s">
        <v>158</v>
      </c>
      <c r="H55" s="35">
        <v>1021243</v>
      </c>
      <c r="I55" s="35">
        <v>1087</v>
      </c>
      <c r="J55" s="9" t="s">
        <v>18</v>
      </c>
      <c r="K55" s="9" t="s">
        <v>159</v>
      </c>
      <c r="L55" s="8">
        <v>43</v>
      </c>
      <c r="M55" s="8">
        <v>2738</v>
      </c>
      <c r="N55" s="9"/>
      <c r="O55" s="8">
        <v>0</v>
      </c>
      <c r="P55" s="9"/>
      <c r="Q55" s="8">
        <v>870</v>
      </c>
      <c r="R55" s="9"/>
      <c r="S55" s="8">
        <v>712</v>
      </c>
      <c r="T55" s="9"/>
      <c r="U55" s="8">
        <v>0</v>
      </c>
      <c r="V55" s="9"/>
      <c r="W55" s="33">
        <v>4320</v>
      </c>
      <c r="X55" s="9"/>
      <c r="Y55" s="30">
        <v>3.6</v>
      </c>
      <c r="Z55" s="9"/>
      <c r="AA55" s="30">
        <v>0</v>
      </c>
      <c r="AB55" s="9"/>
      <c r="AC55" s="30">
        <v>1.1000000000000001</v>
      </c>
      <c r="AD55" s="9"/>
      <c r="AE55" s="30">
        <v>1</v>
      </c>
      <c r="AF55" s="9"/>
      <c r="AG55" s="19">
        <v>0</v>
      </c>
      <c r="AI55" s="32">
        <v>5.7</v>
      </c>
      <c r="AK55" s="7" t="str">
        <f t="shared" si="0"/>
        <v>No</v>
      </c>
    </row>
    <row r="56" spans="1:37">
      <c r="A56" s="7" t="s">
        <v>344</v>
      </c>
      <c r="B56" s="7" t="s">
        <v>345</v>
      </c>
      <c r="C56" s="37" t="s">
        <v>84</v>
      </c>
      <c r="D56" s="296">
        <v>6056</v>
      </c>
      <c r="E56" s="297">
        <v>60056</v>
      </c>
      <c r="F56" s="27" t="s">
        <v>165</v>
      </c>
      <c r="G56" s="27" t="s">
        <v>158</v>
      </c>
      <c r="H56" s="35">
        <v>5121892</v>
      </c>
      <c r="I56" s="35">
        <v>1069</v>
      </c>
      <c r="J56" s="9" t="s">
        <v>7</v>
      </c>
      <c r="K56" s="9" t="s">
        <v>159</v>
      </c>
      <c r="L56" s="8">
        <v>533</v>
      </c>
      <c r="M56" s="8">
        <v>79539</v>
      </c>
      <c r="N56" s="9"/>
      <c r="O56" s="8">
        <v>6604</v>
      </c>
      <c r="P56" s="9"/>
      <c r="Q56" s="8">
        <v>795</v>
      </c>
      <c r="R56" s="9"/>
      <c r="S56" s="8">
        <v>5743</v>
      </c>
      <c r="T56" s="9"/>
      <c r="U56" s="8">
        <v>440</v>
      </c>
      <c r="V56" s="9"/>
      <c r="W56" s="33">
        <v>93121</v>
      </c>
      <c r="X56" s="9"/>
      <c r="Y56" s="30">
        <v>64</v>
      </c>
      <c r="Z56" s="9"/>
      <c r="AA56" s="30">
        <v>6</v>
      </c>
      <c r="AB56" s="9"/>
      <c r="AC56" s="30">
        <v>1</v>
      </c>
      <c r="AD56" s="9"/>
      <c r="AE56" s="30">
        <v>9</v>
      </c>
      <c r="AF56" s="9"/>
      <c r="AG56" s="19">
        <v>1</v>
      </c>
      <c r="AI56" s="32">
        <v>81</v>
      </c>
      <c r="AK56" s="7" t="str">
        <f t="shared" si="0"/>
        <v>No</v>
      </c>
    </row>
    <row r="57" spans="1:37">
      <c r="A57" s="7" t="s">
        <v>344</v>
      </c>
      <c r="B57" s="7" t="s">
        <v>345</v>
      </c>
      <c r="C57" s="37" t="s">
        <v>84</v>
      </c>
      <c r="D57" s="296">
        <v>6056</v>
      </c>
      <c r="E57" s="297">
        <v>60056</v>
      </c>
      <c r="F57" s="27" t="s">
        <v>165</v>
      </c>
      <c r="G57" s="27" t="s">
        <v>158</v>
      </c>
      <c r="H57" s="35">
        <v>5121892</v>
      </c>
      <c r="I57" s="35">
        <v>1069</v>
      </c>
      <c r="J57" s="9" t="s">
        <v>21</v>
      </c>
      <c r="K57" s="9" t="s">
        <v>159</v>
      </c>
      <c r="L57" s="8">
        <v>104</v>
      </c>
      <c r="M57" s="8">
        <v>20330</v>
      </c>
      <c r="N57" s="9"/>
      <c r="O57" s="8">
        <v>1780</v>
      </c>
      <c r="P57" s="9"/>
      <c r="Q57" s="8">
        <v>5038</v>
      </c>
      <c r="R57" s="9"/>
      <c r="S57" s="8">
        <v>3361</v>
      </c>
      <c r="T57" s="9"/>
      <c r="U57" s="8">
        <v>1341</v>
      </c>
      <c r="V57" s="9"/>
      <c r="W57" s="33">
        <v>31850</v>
      </c>
      <c r="X57" s="9"/>
      <c r="Y57" s="30">
        <v>15</v>
      </c>
      <c r="Z57" s="9"/>
      <c r="AA57" s="30">
        <v>2</v>
      </c>
      <c r="AB57" s="9"/>
      <c r="AC57" s="30">
        <v>4</v>
      </c>
      <c r="AD57" s="9"/>
      <c r="AE57" s="30">
        <v>5</v>
      </c>
      <c r="AF57" s="9"/>
      <c r="AG57" s="19">
        <v>1</v>
      </c>
      <c r="AI57" s="32">
        <v>27</v>
      </c>
      <c r="AK57" s="7" t="str">
        <f t="shared" si="0"/>
        <v>No</v>
      </c>
    </row>
    <row r="58" spans="1:37">
      <c r="A58" s="7" t="s">
        <v>344</v>
      </c>
      <c r="B58" s="7" t="s">
        <v>345</v>
      </c>
      <c r="C58" s="37" t="s">
        <v>84</v>
      </c>
      <c r="D58" s="296">
        <v>6056</v>
      </c>
      <c r="E58" s="297">
        <v>60056</v>
      </c>
      <c r="F58" s="27" t="s">
        <v>165</v>
      </c>
      <c r="G58" s="27" t="s">
        <v>158</v>
      </c>
      <c r="H58" s="35">
        <v>5121892</v>
      </c>
      <c r="I58" s="35">
        <v>1069</v>
      </c>
      <c r="J58" s="9" t="s">
        <v>12</v>
      </c>
      <c r="K58" s="9" t="s">
        <v>159</v>
      </c>
      <c r="L58" s="8">
        <v>2</v>
      </c>
      <c r="M58" s="8">
        <v>9599</v>
      </c>
      <c r="N58" s="9"/>
      <c r="O58" s="8">
        <v>0</v>
      </c>
      <c r="P58" s="9"/>
      <c r="Q58" s="8">
        <v>0</v>
      </c>
      <c r="R58" s="9"/>
      <c r="S58" s="8">
        <v>533</v>
      </c>
      <c r="T58" s="9"/>
      <c r="U58" s="8">
        <v>0</v>
      </c>
      <c r="V58" s="9"/>
      <c r="W58" s="33">
        <v>10132</v>
      </c>
      <c r="X58" s="9"/>
      <c r="Y58" s="30">
        <v>32</v>
      </c>
      <c r="Z58" s="9"/>
      <c r="AA58" s="30">
        <v>0</v>
      </c>
      <c r="AB58" s="9"/>
      <c r="AC58" s="30">
        <v>0</v>
      </c>
      <c r="AD58" s="9"/>
      <c r="AE58" s="30">
        <v>1</v>
      </c>
      <c r="AF58" s="9"/>
      <c r="AG58" s="19">
        <v>0</v>
      </c>
      <c r="AI58" s="32">
        <v>33</v>
      </c>
      <c r="AK58" s="7" t="str">
        <f t="shared" si="0"/>
        <v>No</v>
      </c>
    </row>
    <row r="59" spans="1:37">
      <c r="A59" s="7" t="s">
        <v>522</v>
      </c>
      <c r="B59" s="7" t="s">
        <v>280</v>
      </c>
      <c r="C59" s="37" t="s">
        <v>40</v>
      </c>
      <c r="D59" s="296">
        <v>5118</v>
      </c>
      <c r="E59" s="297">
        <v>50118</v>
      </c>
      <c r="F59" s="27" t="s">
        <v>165</v>
      </c>
      <c r="G59" s="27" t="s">
        <v>158</v>
      </c>
      <c r="H59" s="35">
        <v>8608208</v>
      </c>
      <c r="I59" s="35">
        <v>1061</v>
      </c>
      <c r="J59" s="9" t="s">
        <v>41</v>
      </c>
      <c r="K59" s="9" t="s">
        <v>159</v>
      </c>
      <c r="L59" s="8">
        <v>1061</v>
      </c>
      <c r="M59" s="8">
        <v>0</v>
      </c>
      <c r="N59" s="9"/>
      <c r="O59" s="8">
        <v>0</v>
      </c>
      <c r="P59" s="9"/>
      <c r="Q59" s="8">
        <v>0</v>
      </c>
      <c r="R59" s="9"/>
      <c r="S59" s="8">
        <v>0</v>
      </c>
      <c r="T59" s="9"/>
      <c r="U59" s="8">
        <v>0</v>
      </c>
      <c r="V59" s="9"/>
      <c r="W59" s="33">
        <v>0</v>
      </c>
      <c r="X59" s="9"/>
      <c r="Y59" s="30">
        <v>0</v>
      </c>
      <c r="Z59" s="9"/>
      <c r="AA59" s="30">
        <v>0</v>
      </c>
      <c r="AB59" s="9"/>
      <c r="AC59" s="30">
        <v>0</v>
      </c>
      <c r="AD59" s="9"/>
      <c r="AE59" s="30">
        <v>0</v>
      </c>
      <c r="AF59" s="9"/>
      <c r="AG59" s="19">
        <v>0</v>
      </c>
      <c r="AI59" s="32">
        <v>0</v>
      </c>
      <c r="AK59" s="7" t="str">
        <f t="shared" si="0"/>
        <v>No</v>
      </c>
    </row>
    <row r="60" spans="1:37">
      <c r="A60" s="7" t="s">
        <v>452</v>
      </c>
      <c r="B60" s="7" t="s">
        <v>453</v>
      </c>
      <c r="C60" s="37" t="s">
        <v>70</v>
      </c>
      <c r="D60" s="296">
        <v>2100</v>
      </c>
      <c r="E60" s="297">
        <v>20100</v>
      </c>
      <c r="F60" s="27" t="s">
        <v>240</v>
      </c>
      <c r="G60" s="27" t="s">
        <v>158</v>
      </c>
      <c r="H60" s="35">
        <v>18351295</v>
      </c>
      <c r="I60" s="35">
        <v>1020</v>
      </c>
      <c r="J60" s="9" t="s">
        <v>41</v>
      </c>
      <c r="K60" s="9" t="s">
        <v>159</v>
      </c>
      <c r="L60" s="8">
        <v>1020</v>
      </c>
      <c r="M60" s="8">
        <v>0</v>
      </c>
      <c r="N60" s="9"/>
      <c r="O60" s="8">
        <v>0</v>
      </c>
      <c r="P60" s="9"/>
      <c r="Q60" s="8">
        <v>0</v>
      </c>
      <c r="R60" s="9"/>
      <c r="S60" s="8">
        <v>0</v>
      </c>
      <c r="T60" s="9"/>
      <c r="U60" s="8">
        <v>0</v>
      </c>
      <c r="V60" s="9"/>
      <c r="W60" s="33">
        <v>0</v>
      </c>
      <c r="X60" s="9"/>
      <c r="Y60" s="30">
        <v>0</v>
      </c>
      <c r="Z60" s="9"/>
      <c r="AA60" s="30">
        <v>0</v>
      </c>
      <c r="AB60" s="9"/>
      <c r="AC60" s="30">
        <v>0</v>
      </c>
      <c r="AD60" s="9"/>
      <c r="AE60" s="30">
        <v>0</v>
      </c>
      <c r="AF60" s="9"/>
      <c r="AG60" s="19">
        <v>0</v>
      </c>
      <c r="AI60" s="32">
        <v>0</v>
      </c>
      <c r="AK60" s="7" t="str">
        <f t="shared" si="0"/>
        <v>No</v>
      </c>
    </row>
    <row r="61" spans="1:37">
      <c r="A61" s="7" t="s">
        <v>480</v>
      </c>
      <c r="B61" s="7" t="s">
        <v>481</v>
      </c>
      <c r="C61" s="37" t="s">
        <v>36</v>
      </c>
      <c r="D61" s="296">
        <v>4022</v>
      </c>
      <c r="E61" s="297">
        <v>40022</v>
      </c>
      <c r="F61" s="27" t="s">
        <v>165</v>
      </c>
      <c r="G61" s="27" t="s">
        <v>158</v>
      </c>
      <c r="H61" s="35">
        <v>4515419</v>
      </c>
      <c r="I61" s="35">
        <v>1011</v>
      </c>
      <c r="J61" s="9" t="s">
        <v>7</v>
      </c>
      <c r="K61" s="9" t="s">
        <v>159</v>
      </c>
      <c r="L61" s="8">
        <v>465</v>
      </c>
      <c r="M61" s="8">
        <v>222142</v>
      </c>
      <c r="N61" s="9"/>
      <c r="O61" s="8">
        <v>0</v>
      </c>
      <c r="P61" s="9"/>
      <c r="Q61" s="8">
        <v>0</v>
      </c>
      <c r="R61" s="9"/>
      <c r="S61" s="8">
        <v>0</v>
      </c>
      <c r="T61" s="9"/>
      <c r="U61" s="8">
        <v>0</v>
      </c>
      <c r="V61" s="9"/>
      <c r="W61" s="33">
        <v>222142</v>
      </c>
      <c r="X61" s="9"/>
      <c r="Y61" s="30">
        <v>179.29</v>
      </c>
      <c r="Z61" s="9"/>
      <c r="AA61" s="30">
        <v>0</v>
      </c>
      <c r="AB61" s="9"/>
      <c r="AC61" s="30">
        <v>0</v>
      </c>
      <c r="AD61" s="9"/>
      <c r="AE61" s="30">
        <v>0</v>
      </c>
      <c r="AF61" s="9"/>
      <c r="AG61" s="19">
        <v>0</v>
      </c>
      <c r="AI61" s="32">
        <v>179.29</v>
      </c>
      <c r="AK61" s="7" t="str">
        <f t="shared" si="0"/>
        <v>No</v>
      </c>
    </row>
    <row r="62" spans="1:37">
      <c r="A62" s="7" t="s">
        <v>480</v>
      </c>
      <c r="B62" s="7" t="s">
        <v>481</v>
      </c>
      <c r="C62" s="37" t="s">
        <v>36</v>
      </c>
      <c r="D62" s="296">
        <v>4022</v>
      </c>
      <c r="E62" s="297">
        <v>40022</v>
      </c>
      <c r="F62" s="27" t="s">
        <v>165</v>
      </c>
      <c r="G62" s="27" t="s">
        <v>158</v>
      </c>
      <c r="H62" s="35">
        <v>4515419</v>
      </c>
      <c r="I62" s="35">
        <v>1011</v>
      </c>
      <c r="J62" s="9" t="s">
        <v>20</v>
      </c>
      <c r="K62" s="9" t="s">
        <v>159</v>
      </c>
      <c r="L62" s="8">
        <v>208</v>
      </c>
      <c r="M62" s="8">
        <v>60959</v>
      </c>
      <c r="N62" s="9"/>
      <c r="O62" s="8">
        <v>0</v>
      </c>
      <c r="P62" s="9"/>
      <c r="Q62" s="8">
        <v>0</v>
      </c>
      <c r="R62" s="9"/>
      <c r="S62" s="8">
        <v>0</v>
      </c>
      <c r="T62" s="9"/>
      <c r="U62" s="8">
        <v>0</v>
      </c>
      <c r="V62" s="9"/>
      <c r="W62" s="33">
        <v>60959</v>
      </c>
      <c r="X62" s="9"/>
      <c r="Y62" s="30">
        <v>45.7</v>
      </c>
      <c r="Z62" s="9"/>
      <c r="AA62" s="30">
        <v>0</v>
      </c>
      <c r="AB62" s="9"/>
      <c r="AC62" s="30">
        <v>0</v>
      </c>
      <c r="AD62" s="9"/>
      <c r="AE62" s="30">
        <v>0</v>
      </c>
      <c r="AF62" s="9"/>
      <c r="AG62" s="19">
        <v>0</v>
      </c>
      <c r="AI62" s="32">
        <v>45.7</v>
      </c>
      <c r="AK62" s="7" t="str">
        <f t="shared" si="0"/>
        <v>No</v>
      </c>
    </row>
    <row r="63" spans="1:37">
      <c r="A63" s="7" t="s">
        <v>480</v>
      </c>
      <c r="B63" s="7" t="s">
        <v>481</v>
      </c>
      <c r="C63" s="37" t="s">
        <v>36</v>
      </c>
      <c r="D63" s="296">
        <v>4022</v>
      </c>
      <c r="E63" s="297">
        <v>40022</v>
      </c>
      <c r="F63" s="27" t="s">
        <v>165</v>
      </c>
      <c r="G63" s="27" t="s">
        <v>158</v>
      </c>
      <c r="H63" s="35">
        <v>4515419</v>
      </c>
      <c r="I63" s="35">
        <v>1011</v>
      </c>
      <c r="J63" s="9" t="s">
        <v>10</v>
      </c>
      <c r="K63" s="9" t="s">
        <v>159</v>
      </c>
      <c r="L63" s="8">
        <v>169</v>
      </c>
      <c r="M63" s="8">
        <v>46966</v>
      </c>
      <c r="N63" s="9"/>
      <c r="O63" s="8">
        <v>0</v>
      </c>
      <c r="P63" s="9"/>
      <c r="Q63" s="8">
        <v>0</v>
      </c>
      <c r="R63" s="9"/>
      <c r="S63" s="8">
        <v>0</v>
      </c>
      <c r="T63" s="9"/>
      <c r="U63" s="8">
        <v>0</v>
      </c>
      <c r="V63" s="9"/>
      <c r="W63" s="33">
        <v>46966</v>
      </c>
      <c r="X63" s="9"/>
      <c r="Y63" s="30">
        <v>34</v>
      </c>
      <c r="Z63" s="9"/>
      <c r="AA63" s="30">
        <v>0</v>
      </c>
      <c r="AB63" s="9"/>
      <c r="AC63" s="30">
        <v>0</v>
      </c>
      <c r="AD63" s="9"/>
      <c r="AE63" s="30">
        <v>0</v>
      </c>
      <c r="AF63" s="9"/>
      <c r="AG63" s="19">
        <v>0</v>
      </c>
      <c r="AI63" s="32">
        <v>34</v>
      </c>
      <c r="AK63" s="7" t="str">
        <f t="shared" si="0"/>
        <v>No</v>
      </c>
    </row>
    <row r="64" spans="1:37">
      <c r="A64" s="7" t="s">
        <v>586</v>
      </c>
      <c r="B64" s="7" t="s">
        <v>386</v>
      </c>
      <c r="C64" s="37" t="s">
        <v>17</v>
      </c>
      <c r="D64" s="296">
        <v>9015</v>
      </c>
      <c r="E64" s="297">
        <v>90015</v>
      </c>
      <c r="F64" s="27" t="s">
        <v>162</v>
      </c>
      <c r="G64" s="27" t="s">
        <v>158</v>
      </c>
      <c r="H64" s="35">
        <v>3281212</v>
      </c>
      <c r="I64" s="35">
        <v>985</v>
      </c>
      <c r="J64" s="9" t="s">
        <v>7</v>
      </c>
      <c r="K64" s="9" t="s">
        <v>159</v>
      </c>
      <c r="L64" s="8">
        <v>475</v>
      </c>
      <c r="M64" s="8">
        <v>0</v>
      </c>
      <c r="N64" s="9"/>
      <c r="O64" s="8">
        <v>0</v>
      </c>
      <c r="P64" s="9"/>
      <c r="Q64" s="8">
        <v>0</v>
      </c>
      <c r="R64" s="9"/>
      <c r="S64" s="8">
        <v>0</v>
      </c>
      <c r="T64" s="9"/>
      <c r="U64" s="8">
        <v>0</v>
      </c>
      <c r="V64" s="9"/>
      <c r="W64" s="33">
        <v>0</v>
      </c>
      <c r="X64" s="9"/>
      <c r="Y64" s="30">
        <v>0</v>
      </c>
      <c r="Z64" s="9"/>
      <c r="AA64" s="30">
        <v>0</v>
      </c>
      <c r="AB64" s="9"/>
      <c r="AC64" s="30">
        <v>0</v>
      </c>
      <c r="AD64" s="9"/>
      <c r="AE64" s="30">
        <v>0</v>
      </c>
      <c r="AF64" s="9"/>
      <c r="AG64" s="19">
        <v>0</v>
      </c>
      <c r="AI64" s="32">
        <v>0</v>
      </c>
      <c r="AK64" s="7" t="str">
        <f t="shared" si="0"/>
        <v>No</v>
      </c>
    </row>
    <row r="65" spans="1:37">
      <c r="A65" s="7" t="s">
        <v>586</v>
      </c>
      <c r="B65" s="7" t="s">
        <v>386</v>
      </c>
      <c r="C65" s="37" t="s">
        <v>17</v>
      </c>
      <c r="D65" s="296">
        <v>9015</v>
      </c>
      <c r="E65" s="297">
        <v>90015</v>
      </c>
      <c r="F65" s="27" t="s">
        <v>162</v>
      </c>
      <c r="G65" s="27" t="s">
        <v>158</v>
      </c>
      <c r="H65" s="35">
        <v>3281212</v>
      </c>
      <c r="I65" s="35">
        <v>985</v>
      </c>
      <c r="J65" s="9" t="s">
        <v>25</v>
      </c>
      <c r="K65" s="9" t="s">
        <v>159</v>
      </c>
      <c r="L65" s="8">
        <v>196</v>
      </c>
      <c r="M65" s="8">
        <v>0</v>
      </c>
      <c r="N65" s="9"/>
      <c r="O65" s="8">
        <v>0</v>
      </c>
      <c r="P65" s="9"/>
      <c r="Q65" s="8">
        <v>0</v>
      </c>
      <c r="R65" s="9"/>
      <c r="S65" s="8">
        <v>0</v>
      </c>
      <c r="T65" s="9"/>
      <c r="U65" s="8">
        <v>0</v>
      </c>
      <c r="V65" s="9"/>
      <c r="W65" s="33">
        <v>0</v>
      </c>
      <c r="X65" s="9"/>
      <c r="Y65" s="30">
        <v>0</v>
      </c>
      <c r="Z65" s="9"/>
      <c r="AA65" s="30">
        <v>0</v>
      </c>
      <c r="AB65" s="9"/>
      <c r="AC65" s="30">
        <v>0</v>
      </c>
      <c r="AD65" s="9"/>
      <c r="AE65" s="30">
        <v>0</v>
      </c>
      <c r="AF65" s="9"/>
      <c r="AG65" s="19">
        <v>0</v>
      </c>
      <c r="AI65" s="32">
        <v>0</v>
      </c>
      <c r="AK65" s="7" t="str">
        <f t="shared" si="0"/>
        <v>No</v>
      </c>
    </row>
    <row r="66" spans="1:37">
      <c r="A66" s="7" t="s">
        <v>586</v>
      </c>
      <c r="B66" s="7" t="s">
        <v>386</v>
      </c>
      <c r="C66" s="37" t="s">
        <v>17</v>
      </c>
      <c r="D66" s="296">
        <v>9015</v>
      </c>
      <c r="E66" s="297">
        <v>90015</v>
      </c>
      <c r="F66" s="27" t="s">
        <v>162</v>
      </c>
      <c r="G66" s="27" t="s">
        <v>158</v>
      </c>
      <c r="H66" s="35">
        <v>3281212</v>
      </c>
      <c r="I66" s="35">
        <v>985</v>
      </c>
      <c r="J66" s="9" t="s">
        <v>21</v>
      </c>
      <c r="K66" s="9" t="s">
        <v>159</v>
      </c>
      <c r="L66" s="8">
        <v>131</v>
      </c>
      <c r="M66" s="8">
        <v>0</v>
      </c>
      <c r="N66" s="9"/>
      <c r="O66" s="8">
        <v>0</v>
      </c>
      <c r="P66" s="9"/>
      <c r="Q66" s="8">
        <v>0</v>
      </c>
      <c r="R66" s="9"/>
      <c r="S66" s="8">
        <v>0</v>
      </c>
      <c r="T66" s="9"/>
      <c r="U66" s="8">
        <v>0</v>
      </c>
      <c r="V66" s="9"/>
      <c r="W66" s="33">
        <v>0</v>
      </c>
      <c r="X66" s="9"/>
      <c r="Y66" s="30">
        <v>0</v>
      </c>
      <c r="Z66" s="9"/>
      <c r="AA66" s="30">
        <v>0</v>
      </c>
      <c r="AB66" s="9"/>
      <c r="AC66" s="30">
        <v>0</v>
      </c>
      <c r="AD66" s="9"/>
      <c r="AE66" s="30">
        <v>0</v>
      </c>
      <c r="AF66" s="9"/>
      <c r="AG66" s="19">
        <v>0</v>
      </c>
      <c r="AI66" s="32">
        <v>0</v>
      </c>
      <c r="AK66" s="7" t="str">
        <f t="shared" ref="AK66:AK129" si="1">IF(AJ66&amp;AH66&amp;AF66&amp;AD66&amp;AB66&amp;Z66&amp;X66&amp;V66&amp;T66&amp;R66&amp;P66&amp;N66&lt;&gt;"","Yes","No")</f>
        <v>No</v>
      </c>
    </row>
    <row r="67" spans="1:37">
      <c r="A67" s="7" t="s">
        <v>586</v>
      </c>
      <c r="B67" s="7" t="s">
        <v>386</v>
      </c>
      <c r="C67" s="37" t="s">
        <v>17</v>
      </c>
      <c r="D67" s="296">
        <v>9015</v>
      </c>
      <c r="E67" s="297">
        <v>90015</v>
      </c>
      <c r="F67" s="27" t="s">
        <v>162</v>
      </c>
      <c r="G67" s="27" t="s">
        <v>158</v>
      </c>
      <c r="H67" s="35">
        <v>3281212</v>
      </c>
      <c r="I67" s="35">
        <v>985</v>
      </c>
      <c r="J67" s="9" t="s">
        <v>24</v>
      </c>
      <c r="K67" s="9" t="s">
        <v>159</v>
      </c>
      <c r="L67" s="8">
        <v>27</v>
      </c>
      <c r="M67" s="8">
        <v>0</v>
      </c>
      <c r="N67" s="9"/>
      <c r="O67" s="8">
        <v>0</v>
      </c>
      <c r="P67" s="9"/>
      <c r="Q67" s="8">
        <v>0</v>
      </c>
      <c r="R67" s="9"/>
      <c r="S67" s="8">
        <v>0</v>
      </c>
      <c r="T67" s="9"/>
      <c r="U67" s="8">
        <v>0</v>
      </c>
      <c r="V67" s="9"/>
      <c r="W67" s="33">
        <v>0</v>
      </c>
      <c r="X67" s="9"/>
      <c r="Y67" s="30">
        <v>0</v>
      </c>
      <c r="Z67" s="9"/>
      <c r="AA67" s="30">
        <v>0</v>
      </c>
      <c r="AB67" s="9"/>
      <c r="AC67" s="30">
        <v>0</v>
      </c>
      <c r="AD67" s="9"/>
      <c r="AE67" s="30">
        <v>0</v>
      </c>
      <c r="AF67" s="9"/>
      <c r="AG67" s="19">
        <v>0</v>
      </c>
      <c r="AI67" s="32">
        <v>0</v>
      </c>
      <c r="AK67" s="7" t="str">
        <f t="shared" si="1"/>
        <v>No</v>
      </c>
    </row>
    <row r="68" spans="1:37">
      <c r="A68" s="7" t="s">
        <v>586</v>
      </c>
      <c r="B68" s="7" t="s">
        <v>386</v>
      </c>
      <c r="C68" s="37" t="s">
        <v>17</v>
      </c>
      <c r="D68" s="296">
        <v>9015</v>
      </c>
      <c r="E68" s="297">
        <v>90015</v>
      </c>
      <c r="F68" s="27" t="s">
        <v>162</v>
      </c>
      <c r="G68" s="27" t="s">
        <v>158</v>
      </c>
      <c r="H68" s="35">
        <v>3281212</v>
      </c>
      <c r="I68" s="35">
        <v>985</v>
      </c>
      <c r="J68" s="9" t="s">
        <v>12</v>
      </c>
      <c r="K68" s="9" t="s">
        <v>159</v>
      </c>
      <c r="L68" s="8">
        <v>24</v>
      </c>
      <c r="M68" s="8">
        <v>0</v>
      </c>
      <c r="N68" s="9"/>
      <c r="O68" s="8">
        <v>0</v>
      </c>
      <c r="P68" s="9"/>
      <c r="Q68" s="8">
        <v>0</v>
      </c>
      <c r="R68" s="9"/>
      <c r="S68" s="8">
        <v>0</v>
      </c>
      <c r="T68" s="9"/>
      <c r="U68" s="8">
        <v>0</v>
      </c>
      <c r="V68" s="9"/>
      <c r="W68" s="33">
        <v>0</v>
      </c>
      <c r="X68" s="9"/>
      <c r="Y68" s="30">
        <v>0</v>
      </c>
      <c r="Z68" s="9"/>
      <c r="AA68" s="30">
        <v>0</v>
      </c>
      <c r="AB68" s="9"/>
      <c r="AC68" s="30">
        <v>0</v>
      </c>
      <c r="AD68" s="9"/>
      <c r="AE68" s="30">
        <v>0</v>
      </c>
      <c r="AF68" s="9"/>
      <c r="AG68" s="19">
        <v>0</v>
      </c>
      <c r="AI68" s="32">
        <v>0</v>
      </c>
      <c r="AK68" s="7" t="str">
        <f t="shared" si="1"/>
        <v>No</v>
      </c>
    </row>
    <row r="69" spans="1:37">
      <c r="A69" s="7" t="s">
        <v>667</v>
      </c>
      <c r="B69" s="7" t="s">
        <v>254</v>
      </c>
      <c r="C69" s="37" t="s">
        <v>76</v>
      </c>
      <c r="D69" s="296">
        <v>8</v>
      </c>
      <c r="E69" s="297">
        <v>8</v>
      </c>
      <c r="F69" s="27" t="s">
        <v>165</v>
      </c>
      <c r="G69" s="27" t="s">
        <v>158</v>
      </c>
      <c r="H69" s="35">
        <v>1849898</v>
      </c>
      <c r="I69" s="35">
        <v>950</v>
      </c>
      <c r="J69" s="9" t="s">
        <v>7</v>
      </c>
      <c r="K69" s="9" t="s">
        <v>159</v>
      </c>
      <c r="L69" s="8">
        <v>534</v>
      </c>
      <c r="M69" s="8">
        <v>488962</v>
      </c>
      <c r="N69" s="9"/>
      <c r="O69" s="8">
        <v>0</v>
      </c>
      <c r="P69" s="9"/>
      <c r="Q69" s="8">
        <v>0</v>
      </c>
      <c r="R69" s="9"/>
      <c r="S69" s="8">
        <v>8619</v>
      </c>
      <c r="T69" s="9"/>
      <c r="U69" s="8">
        <v>308</v>
      </c>
      <c r="V69" s="9"/>
      <c r="W69" s="33">
        <v>497889</v>
      </c>
      <c r="X69" s="9"/>
      <c r="Y69" s="30">
        <v>346</v>
      </c>
      <c r="Z69" s="9"/>
      <c r="AA69" s="30">
        <v>0</v>
      </c>
      <c r="AB69" s="9"/>
      <c r="AC69" s="30">
        <v>0</v>
      </c>
      <c r="AD69" s="9"/>
      <c r="AE69" s="30">
        <v>5.5</v>
      </c>
      <c r="AF69" s="9"/>
      <c r="AG69" s="19">
        <v>0.5</v>
      </c>
      <c r="AI69" s="32">
        <v>352</v>
      </c>
      <c r="AK69" s="7" t="str">
        <f t="shared" si="1"/>
        <v>No</v>
      </c>
    </row>
    <row r="70" spans="1:37">
      <c r="A70" s="7" t="s">
        <v>667</v>
      </c>
      <c r="B70" s="7" t="s">
        <v>254</v>
      </c>
      <c r="C70" s="37" t="s">
        <v>76</v>
      </c>
      <c r="D70" s="296">
        <v>8</v>
      </c>
      <c r="E70" s="297">
        <v>8</v>
      </c>
      <c r="F70" s="27" t="s">
        <v>165</v>
      </c>
      <c r="G70" s="27" t="s">
        <v>158</v>
      </c>
      <c r="H70" s="35">
        <v>1849898</v>
      </c>
      <c r="I70" s="35">
        <v>950</v>
      </c>
      <c r="J70" s="9" t="s">
        <v>21</v>
      </c>
      <c r="K70" s="9" t="s">
        <v>159</v>
      </c>
      <c r="L70" s="8">
        <v>116</v>
      </c>
      <c r="M70" s="8">
        <v>0</v>
      </c>
      <c r="N70" s="9"/>
      <c r="O70" s="8">
        <v>0</v>
      </c>
      <c r="P70" s="9"/>
      <c r="Q70" s="8">
        <v>0</v>
      </c>
      <c r="R70" s="9"/>
      <c r="S70" s="8">
        <v>5248</v>
      </c>
      <c r="T70" s="9"/>
      <c r="U70" s="8">
        <v>4348</v>
      </c>
      <c r="V70" s="9"/>
      <c r="W70" s="33">
        <v>9596</v>
      </c>
      <c r="X70" s="9"/>
      <c r="Y70" s="30">
        <v>0</v>
      </c>
      <c r="Z70" s="9"/>
      <c r="AA70" s="30">
        <v>0</v>
      </c>
      <c r="AB70" s="9"/>
      <c r="AC70" s="30">
        <v>0</v>
      </c>
      <c r="AD70" s="9"/>
      <c r="AE70" s="30">
        <v>3.5</v>
      </c>
      <c r="AF70" s="9"/>
      <c r="AG70" s="19">
        <v>4.5</v>
      </c>
      <c r="AI70" s="32">
        <v>8</v>
      </c>
      <c r="AK70" s="7" t="str">
        <f t="shared" si="1"/>
        <v>No</v>
      </c>
    </row>
    <row r="71" spans="1:37">
      <c r="A71" s="7" t="s">
        <v>554</v>
      </c>
      <c r="B71" s="7" t="s">
        <v>555</v>
      </c>
      <c r="C71" s="37" t="s">
        <v>77</v>
      </c>
      <c r="D71" s="296">
        <v>3022</v>
      </c>
      <c r="E71" s="297">
        <v>30022</v>
      </c>
      <c r="F71" s="27" t="s">
        <v>165</v>
      </c>
      <c r="G71" s="27" t="s">
        <v>158</v>
      </c>
      <c r="H71" s="35">
        <v>1733853</v>
      </c>
      <c r="I71" s="35">
        <v>939</v>
      </c>
      <c r="J71" s="9" t="s">
        <v>7</v>
      </c>
      <c r="K71" s="9" t="s">
        <v>159</v>
      </c>
      <c r="L71" s="8">
        <v>606</v>
      </c>
      <c r="M71" s="8">
        <v>0</v>
      </c>
      <c r="N71" s="9"/>
      <c r="O71" s="8">
        <v>0</v>
      </c>
      <c r="P71" s="9"/>
      <c r="Q71" s="8">
        <v>0</v>
      </c>
      <c r="R71" s="9"/>
      <c r="S71" s="8">
        <v>0</v>
      </c>
      <c r="T71" s="9"/>
      <c r="U71" s="8">
        <v>0</v>
      </c>
      <c r="V71" s="9"/>
      <c r="W71" s="33">
        <v>0</v>
      </c>
      <c r="X71" s="9"/>
      <c r="Y71" s="30">
        <v>0</v>
      </c>
      <c r="Z71" s="9"/>
      <c r="AA71" s="30">
        <v>0</v>
      </c>
      <c r="AB71" s="9"/>
      <c r="AC71" s="30">
        <v>0</v>
      </c>
      <c r="AD71" s="9"/>
      <c r="AE71" s="30">
        <v>0</v>
      </c>
      <c r="AF71" s="9"/>
      <c r="AG71" s="19">
        <v>0</v>
      </c>
      <c r="AI71" s="32">
        <v>0</v>
      </c>
      <c r="AK71" s="7" t="str">
        <f t="shared" si="1"/>
        <v>No</v>
      </c>
    </row>
    <row r="72" spans="1:37">
      <c r="A72" s="7" t="s">
        <v>554</v>
      </c>
      <c r="B72" s="7" t="s">
        <v>555</v>
      </c>
      <c r="C72" s="37" t="s">
        <v>77</v>
      </c>
      <c r="D72" s="296">
        <v>3022</v>
      </c>
      <c r="E72" s="297">
        <v>30022</v>
      </c>
      <c r="F72" s="27" t="s">
        <v>165</v>
      </c>
      <c r="G72" s="27" t="s">
        <v>158</v>
      </c>
      <c r="H72" s="35">
        <v>1733853</v>
      </c>
      <c r="I72" s="35">
        <v>939</v>
      </c>
      <c r="J72" s="9" t="s">
        <v>21</v>
      </c>
      <c r="K72" s="9" t="s">
        <v>159</v>
      </c>
      <c r="L72" s="8">
        <v>60</v>
      </c>
      <c r="M72" s="8">
        <v>0</v>
      </c>
      <c r="N72" s="9"/>
      <c r="O72" s="8">
        <v>0</v>
      </c>
      <c r="P72" s="9"/>
      <c r="Q72" s="8">
        <v>0</v>
      </c>
      <c r="R72" s="9"/>
      <c r="S72" s="8">
        <v>0</v>
      </c>
      <c r="T72" s="9"/>
      <c r="U72" s="8">
        <v>0</v>
      </c>
      <c r="V72" s="9"/>
      <c r="W72" s="33">
        <v>0</v>
      </c>
      <c r="X72" s="9"/>
      <c r="Y72" s="30">
        <v>0</v>
      </c>
      <c r="Z72" s="9"/>
      <c r="AA72" s="30">
        <v>0</v>
      </c>
      <c r="AB72" s="9"/>
      <c r="AC72" s="30">
        <v>0</v>
      </c>
      <c r="AD72" s="9"/>
      <c r="AE72" s="30">
        <v>0</v>
      </c>
      <c r="AF72" s="9"/>
      <c r="AG72" s="19">
        <v>0</v>
      </c>
      <c r="AI72" s="32">
        <v>0</v>
      </c>
      <c r="AK72" s="7" t="str">
        <f t="shared" si="1"/>
        <v>No</v>
      </c>
    </row>
    <row r="73" spans="1:37">
      <c r="A73" s="7" t="s">
        <v>554</v>
      </c>
      <c r="B73" s="7" t="s">
        <v>555</v>
      </c>
      <c r="C73" s="37" t="s">
        <v>77</v>
      </c>
      <c r="D73" s="296">
        <v>3022</v>
      </c>
      <c r="E73" s="297">
        <v>30022</v>
      </c>
      <c r="F73" s="27" t="s">
        <v>165</v>
      </c>
      <c r="G73" s="27" t="s">
        <v>158</v>
      </c>
      <c r="H73" s="35">
        <v>1733853</v>
      </c>
      <c r="I73" s="35">
        <v>939</v>
      </c>
      <c r="J73" s="9" t="s">
        <v>78</v>
      </c>
      <c r="K73" s="9" t="s">
        <v>159</v>
      </c>
      <c r="L73" s="8">
        <v>2</v>
      </c>
      <c r="M73" s="8">
        <v>0</v>
      </c>
      <c r="N73" s="9"/>
      <c r="O73" s="8">
        <v>0</v>
      </c>
      <c r="P73" s="9"/>
      <c r="Q73" s="8">
        <v>0</v>
      </c>
      <c r="R73" s="9"/>
      <c r="S73" s="8">
        <v>0</v>
      </c>
      <c r="T73" s="9"/>
      <c r="U73" s="8">
        <v>0</v>
      </c>
      <c r="V73" s="9"/>
      <c r="W73" s="33">
        <v>0</v>
      </c>
      <c r="X73" s="9"/>
      <c r="Y73" s="30">
        <v>0</v>
      </c>
      <c r="Z73" s="9"/>
      <c r="AA73" s="30">
        <v>0</v>
      </c>
      <c r="AB73" s="9"/>
      <c r="AC73" s="30">
        <v>0</v>
      </c>
      <c r="AD73" s="9"/>
      <c r="AE73" s="30">
        <v>0</v>
      </c>
      <c r="AF73" s="9"/>
      <c r="AG73" s="19">
        <v>0</v>
      </c>
      <c r="AI73" s="32">
        <v>0</v>
      </c>
      <c r="AK73" s="7" t="str">
        <f t="shared" si="1"/>
        <v>No</v>
      </c>
    </row>
    <row r="74" spans="1:37">
      <c r="A74" s="7" t="s">
        <v>1119</v>
      </c>
      <c r="B74" s="7" t="s">
        <v>477</v>
      </c>
      <c r="C74" s="37" t="s">
        <v>54</v>
      </c>
      <c r="D74" s="296">
        <v>5027</v>
      </c>
      <c r="E74" s="297">
        <v>50027</v>
      </c>
      <c r="F74" s="27" t="s">
        <v>240</v>
      </c>
      <c r="G74" s="27" t="s">
        <v>158</v>
      </c>
      <c r="H74" s="35">
        <v>2650890</v>
      </c>
      <c r="I74" s="35">
        <v>843</v>
      </c>
      <c r="J74" s="9" t="s">
        <v>7</v>
      </c>
      <c r="K74" s="9" t="s">
        <v>159</v>
      </c>
      <c r="L74" s="8">
        <v>754</v>
      </c>
      <c r="M74" s="8">
        <v>592228</v>
      </c>
      <c r="N74" s="9"/>
      <c r="O74" s="8">
        <v>432</v>
      </c>
      <c r="P74" s="9"/>
      <c r="Q74" s="8">
        <v>50</v>
      </c>
      <c r="R74" s="9"/>
      <c r="S74" s="8">
        <v>10566</v>
      </c>
      <c r="T74" s="9"/>
      <c r="U74" s="8">
        <v>6011</v>
      </c>
      <c r="V74" s="9"/>
      <c r="W74" s="33">
        <v>609287</v>
      </c>
      <c r="X74" s="9"/>
      <c r="Y74" s="30">
        <v>382</v>
      </c>
      <c r="Z74" s="9"/>
      <c r="AA74" s="30">
        <v>0.3</v>
      </c>
      <c r="AB74" s="9"/>
      <c r="AC74" s="30">
        <v>0.1</v>
      </c>
      <c r="AD74" s="9"/>
      <c r="AE74" s="30">
        <v>7</v>
      </c>
      <c r="AF74" s="9"/>
      <c r="AG74" s="19">
        <v>3.9</v>
      </c>
      <c r="AI74" s="32">
        <v>393.3</v>
      </c>
      <c r="AK74" s="7" t="str">
        <f t="shared" si="1"/>
        <v>No</v>
      </c>
    </row>
    <row r="75" spans="1:37">
      <c r="A75" s="7" t="s">
        <v>1119</v>
      </c>
      <c r="B75" s="7" t="s">
        <v>477</v>
      </c>
      <c r="C75" s="37" t="s">
        <v>54</v>
      </c>
      <c r="D75" s="296">
        <v>5027</v>
      </c>
      <c r="E75" s="297">
        <v>50027</v>
      </c>
      <c r="F75" s="27" t="s">
        <v>240</v>
      </c>
      <c r="G75" s="27" t="s">
        <v>158</v>
      </c>
      <c r="H75" s="35">
        <v>2650890</v>
      </c>
      <c r="I75" s="35">
        <v>843</v>
      </c>
      <c r="J75" s="9" t="s">
        <v>21</v>
      </c>
      <c r="K75" s="9" t="s">
        <v>159</v>
      </c>
      <c r="L75" s="8">
        <v>69</v>
      </c>
      <c r="M75" s="8">
        <v>5864</v>
      </c>
      <c r="N75" s="9"/>
      <c r="O75" s="8">
        <v>78</v>
      </c>
      <c r="P75" s="9"/>
      <c r="Q75" s="8">
        <v>1030</v>
      </c>
      <c r="R75" s="9"/>
      <c r="S75" s="8">
        <v>1795</v>
      </c>
      <c r="T75" s="9"/>
      <c r="U75" s="8">
        <v>6350</v>
      </c>
      <c r="V75" s="9"/>
      <c r="W75" s="33">
        <v>15117</v>
      </c>
      <c r="X75" s="9"/>
      <c r="Y75" s="30">
        <v>3.8</v>
      </c>
      <c r="Z75" s="9"/>
      <c r="AA75" s="30">
        <v>0.1</v>
      </c>
      <c r="AB75" s="9"/>
      <c r="AC75" s="30">
        <v>1</v>
      </c>
      <c r="AD75" s="9"/>
      <c r="AE75" s="30">
        <v>1.2</v>
      </c>
      <c r="AF75" s="9"/>
      <c r="AG75" s="19">
        <v>4</v>
      </c>
      <c r="AI75" s="32">
        <v>10.1</v>
      </c>
      <c r="AK75" s="7" t="str">
        <f t="shared" si="1"/>
        <v>No</v>
      </c>
    </row>
    <row r="76" spans="1:37">
      <c r="A76" s="7" t="s">
        <v>673</v>
      </c>
      <c r="B76" s="7" t="s">
        <v>674</v>
      </c>
      <c r="C76" s="37" t="s">
        <v>84</v>
      </c>
      <c r="D76" s="296">
        <v>6011</v>
      </c>
      <c r="E76" s="297">
        <v>60011</v>
      </c>
      <c r="F76" s="27" t="s">
        <v>165</v>
      </c>
      <c r="G76" s="27" t="s">
        <v>158</v>
      </c>
      <c r="H76" s="35">
        <v>1758210</v>
      </c>
      <c r="I76" s="35">
        <v>816</v>
      </c>
      <c r="J76" s="9" t="s">
        <v>7</v>
      </c>
      <c r="K76" s="9" t="s">
        <v>159</v>
      </c>
      <c r="L76" s="8">
        <v>378</v>
      </c>
      <c r="M76" s="8">
        <v>221969</v>
      </c>
      <c r="N76" s="9"/>
      <c r="O76" s="8">
        <v>0</v>
      </c>
      <c r="P76" s="9"/>
      <c r="Q76" s="8">
        <v>0</v>
      </c>
      <c r="R76" s="9"/>
      <c r="S76" s="8">
        <v>15371</v>
      </c>
      <c r="T76" s="9"/>
      <c r="U76" s="8">
        <v>0</v>
      </c>
      <c r="V76" s="9"/>
      <c r="W76" s="33">
        <v>237340</v>
      </c>
      <c r="X76" s="9"/>
      <c r="Y76" s="30">
        <v>198.94</v>
      </c>
      <c r="Z76" s="9"/>
      <c r="AA76" s="30">
        <v>0</v>
      </c>
      <c r="AB76" s="9"/>
      <c r="AC76" s="30">
        <v>0</v>
      </c>
      <c r="AD76" s="9"/>
      <c r="AE76" s="30">
        <v>14.67</v>
      </c>
      <c r="AF76" s="9"/>
      <c r="AG76" s="19">
        <v>0</v>
      </c>
      <c r="AI76" s="32">
        <v>213.61</v>
      </c>
      <c r="AK76" s="7" t="str">
        <f t="shared" si="1"/>
        <v>No</v>
      </c>
    </row>
    <row r="77" spans="1:37">
      <c r="A77" s="7" t="s">
        <v>673</v>
      </c>
      <c r="B77" s="7" t="s">
        <v>674</v>
      </c>
      <c r="C77" s="37" t="s">
        <v>84</v>
      </c>
      <c r="D77" s="296">
        <v>6011</v>
      </c>
      <c r="E77" s="297">
        <v>60011</v>
      </c>
      <c r="F77" s="27" t="s">
        <v>165</v>
      </c>
      <c r="G77" s="27" t="s">
        <v>158</v>
      </c>
      <c r="H77" s="35">
        <v>1758210</v>
      </c>
      <c r="I77" s="35">
        <v>816</v>
      </c>
      <c r="J77" s="9" t="s">
        <v>10</v>
      </c>
      <c r="K77" s="9" t="s">
        <v>159</v>
      </c>
      <c r="L77" s="8">
        <v>108</v>
      </c>
      <c r="M77" s="8">
        <v>10862</v>
      </c>
      <c r="N77" s="9"/>
      <c r="O77" s="8">
        <v>0</v>
      </c>
      <c r="P77" s="9"/>
      <c r="Q77" s="8">
        <v>0</v>
      </c>
      <c r="R77" s="9"/>
      <c r="S77" s="8">
        <v>584</v>
      </c>
      <c r="T77" s="9"/>
      <c r="U77" s="8">
        <v>0</v>
      </c>
      <c r="V77" s="9"/>
      <c r="W77" s="33">
        <v>11446</v>
      </c>
      <c r="X77" s="9"/>
      <c r="Y77" s="30">
        <v>6.72</v>
      </c>
      <c r="Z77" s="9"/>
      <c r="AA77" s="30">
        <v>0</v>
      </c>
      <c r="AB77" s="9"/>
      <c r="AC77" s="30">
        <v>0</v>
      </c>
      <c r="AD77" s="9"/>
      <c r="AE77" s="30">
        <v>0.24</v>
      </c>
      <c r="AF77" s="9"/>
      <c r="AG77" s="19">
        <v>0</v>
      </c>
      <c r="AI77" s="32">
        <v>6.96</v>
      </c>
      <c r="AK77" s="7" t="str">
        <f t="shared" si="1"/>
        <v>No</v>
      </c>
    </row>
    <row r="78" spans="1:37">
      <c r="A78" s="7" t="s">
        <v>583</v>
      </c>
      <c r="B78" s="7" t="s">
        <v>584</v>
      </c>
      <c r="C78" s="37" t="s">
        <v>17</v>
      </c>
      <c r="D78" s="296">
        <v>9026</v>
      </c>
      <c r="E78" s="297">
        <v>90026</v>
      </c>
      <c r="F78" s="27" t="s">
        <v>165</v>
      </c>
      <c r="G78" s="27" t="s">
        <v>158</v>
      </c>
      <c r="H78" s="35">
        <v>2956746</v>
      </c>
      <c r="I78" s="35">
        <v>765</v>
      </c>
      <c r="J78" s="9" t="s">
        <v>7</v>
      </c>
      <c r="K78" s="9" t="s">
        <v>159</v>
      </c>
      <c r="L78" s="8">
        <v>224</v>
      </c>
      <c r="M78" s="8">
        <v>2171</v>
      </c>
      <c r="N78" s="9"/>
      <c r="O78" s="8">
        <v>0</v>
      </c>
      <c r="P78" s="9"/>
      <c r="Q78" s="8">
        <v>0</v>
      </c>
      <c r="R78" s="9"/>
      <c r="S78" s="8">
        <v>2957</v>
      </c>
      <c r="T78" s="9"/>
      <c r="U78" s="8">
        <v>0</v>
      </c>
      <c r="V78" s="9"/>
      <c r="W78" s="33">
        <v>5128</v>
      </c>
      <c r="X78" s="9"/>
      <c r="Y78" s="30">
        <v>2</v>
      </c>
      <c r="Z78" s="9"/>
      <c r="AA78" s="30">
        <v>0</v>
      </c>
      <c r="AB78" s="9"/>
      <c r="AC78" s="30">
        <v>0</v>
      </c>
      <c r="AD78" s="9"/>
      <c r="AE78" s="30">
        <v>3</v>
      </c>
      <c r="AF78" s="9"/>
      <c r="AG78" s="19">
        <v>0</v>
      </c>
      <c r="AI78" s="32">
        <v>5</v>
      </c>
      <c r="AK78" s="7" t="str">
        <f t="shared" si="1"/>
        <v>No</v>
      </c>
    </row>
    <row r="79" spans="1:37">
      <c r="A79" s="7" t="s">
        <v>583</v>
      </c>
      <c r="B79" s="7" t="s">
        <v>584</v>
      </c>
      <c r="C79" s="37" t="s">
        <v>17</v>
      </c>
      <c r="D79" s="296">
        <v>9026</v>
      </c>
      <c r="E79" s="297">
        <v>90026</v>
      </c>
      <c r="F79" s="27" t="s">
        <v>165</v>
      </c>
      <c r="G79" s="27" t="s">
        <v>158</v>
      </c>
      <c r="H79" s="35">
        <v>2956746</v>
      </c>
      <c r="I79" s="35">
        <v>765</v>
      </c>
      <c r="J79" s="9" t="s">
        <v>21</v>
      </c>
      <c r="K79" s="9" t="s">
        <v>159</v>
      </c>
      <c r="L79" s="8">
        <v>97</v>
      </c>
      <c r="M79" s="8">
        <v>192454</v>
      </c>
      <c r="N79" s="9"/>
      <c r="O79" s="8">
        <v>0</v>
      </c>
      <c r="P79" s="9"/>
      <c r="Q79" s="8">
        <v>0</v>
      </c>
      <c r="R79" s="9"/>
      <c r="S79" s="8">
        <v>955</v>
      </c>
      <c r="T79" s="9"/>
      <c r="U79" s="8">
        <v>0</v>
      </c>
      <c r="V79" s="9"/>
      <c r="W79" s="33">
        <v>193409</v>
      </c>
      <c r="X79" s="9"/>
      <c r="Y79" s="30">
        <v>145</v>
      </c>
      <c r="Z79" s="9"/>
      <c r="AA79" s="30">
        <v>0</v>
      </c>
      <c r="AB79" s="9"/>
      <c r="AC79" s="30">
        <v>0</v>
      </c>
      <c r="AD79" s="9"/>
      <c r="AE79" s="30">
        <v>1</v>
      </c>
      <c r="AF79" s="9"/>
      <c r="AG79" s="19">
        <v>0</v>
      </c>
      <c r="AI79" s="32">
        <v>146</v>
      </c>
      <c r="AK79" s="7" t="str">
        <f t="shared" si="1"/>
        <v>No</v>
      </c>
    </row>
    <row r="80" spans="1:37">
      <c r="A80" s="7" t="s">
        <v>1113</v>
      </c>
      <c r="B80" s="7" t="s">
        <v>197</v>
      </c>
      <c r="C80" s="37" t="s">
        <v>17</v>
      </c>
      <c r="D80" s="296">
        <v>9014</v>
      </c>
      <c r="E80" s="297">
        <v>90014</v>
      </c>
      <c r="F80" s="27" t="s">
        <v>165</v>
      </c>
      <c r="G80" s="27" t="s">
        <v>158</v>
      </c>
      <c r="H80" s="35">
        <v>3281212</v>
      </c>
      <c r="I80" s="35">
        <v>702</v>
      </c>
      <c r="J80" s="9" t="s">
        <v>7</v>
      </c>
      <c r="K80" s="9" t="s">
        <v>159</v>
      </c>
      <c r="L80" s="8">
        <v>381</v>
      </c>
      <c r="M80" s="8">
        <v>9498</v>
      </c>
      <c r="N80" s="9"/>
      <c r="O80" s="8">
        <v>1507</v>
      </c>
      <c r="P80" s="9"/>
      <c r="Q80" s="8">
        <v>0</v>
      </c>
      <c r="R80" s="9"/>
      <c r="S80" s="8">
        <v>6346</v>
      </c>
      <c r="T80" s="9"/>
      <c r="U80" s="8">
        <v>0</v>
      </c>
      <c r="V80" s="9"/>
      <c r="W80" s="33">
        <v>17351</v>
      </c>
      <c r="X80" s="9"/>
      <c r="Y80" s="30">
        <v>6</v>
      </c>
      <c r="Z80" s="9"/>
      <c r="AA80" s="30">
        <v>1</v>
      </c>
      <c r="AB80" s="9"/>
      <c r="AC80" s="30">
        <v>0</v>
      </c>
      <c r="AD80" s="9"/>
      <c r="AE80" s="30">
        <v>4</v>
      </c>
      <c r="AF80" s="9"/>
      <c r="AG80" s="19">
        <v>0</v>
      </c>
      <c r="AI80" s="32">
        <v>11</v>
      </c>
      <c r="AK80" s="7" t="str">
        <f t="shared" si="1"/>
        <v>No</v>
      </c>
    </row>
    <row r="81" spans="1:37">
      <c r="A81" s="7" t="s">
        <v>1113</v>
      </c>
      <c r="B81" s="7" t="s">
        <v>197</v>
      </c>
      <c r="C81" s="37" t="s">
        <v>17</v>
      </c>
      <c r="D81" s="296">
        <v>9014</v>
      </c>
      <c r="E81" s="297">
        <v>90014</v>
      </c>
      <c r="F81" s="27" t="s">
        <v>165</v>
      </c>
      <c r="G81" s="27" t="s">
        <v>158</v>
      </c>
      <c r="H81" s="35">
        <v>3281212</v>
      </c>
      <c r="I81" s="35">
        <v>702</v>
      </c>
      <c r="J81" s="9" t="s">
        <v>18</v>
      </c>
      <c r="K81" s="9" t="s">
        <v>159</v>
      </c>
      <c r="L81" s="8">
        <v>104</v>
      </c>
      <c r="M81" s="8">
        <v>0</v>
      </c>
      <c r="N81" s="9"/>
      <c r="O81" s="8">
        <v>0</v>
      </c>
      <c r="P81" s="9"/>
      <c r="Q81" s="8">
        <v>0</v>
      </c>
      <c r="R81" s="9"/>
      <c r="S81" s="8">
        <v>0</v>
      </c>
      <c r="T81" s="9"/>
      <c r="U81" s="8">
        <v>0</v>
      </c>
      <c r="V81" s="9"/>
      <c r="W81" s="33">
        <v>0</v>
      </c>
      <c r="X81" s="9"/>
      <c r="Y81" s="30">
        <v>0</v>
      </c>
      <c r="Z81" s="9"/>
      <c r="AA81" s="30">
        <v>0</v>
      </c>
      <c r="AB81" s="9"/>
      <c r="AC81" s="30">
        <v>0</v>
      </c>
      <c r="AD81" s="9"/>
      <c r="AE81" s="30">
        <v>0</v>
      </c>
      <c r="AF81" s="9"/>
      <c r="AG81" s="19">
        <v>0</v>
      </c>
      <c r="AI81" s="32">
        <v>0</v>
      </c>
      <c r="AK81" s="7" t="str">
        <f t="shared" si="1"/>
        <v>No</v>
      </c>
    </row>
    <row r="82" spans="1:37">
      <c r="A82" s="7" t="s">
        <v>591</v>
      </c>
      <c r="B82" s="7" t="s">
        <v>592</v>
      </c>
      <c r="C82" s="37" t="s">
        <v>17</v>
      </c>
      <c r="D82" s="296">
        <v>9013</v>
      </c>
      <c r="E82" s="297">
        <v>90013</v>
      </c>
      <c r="F82" s="27" t="s">
        <v>165</v>
      </c>
      <c r="G82" s="27" t="s">
        <v>158</v>
      </c>
      <c r="H82" s="35">
        <v>1664496</v>
      </c>
      <c r="I82" s="35">
        <v>686</v>
      </c>
      <c r="J82" s="9" t="s">
        <v>7</v>
      </c>
      <c r="K82" s="9" t="s">
        <v>159</v>
      </c>
      <c r="L82" s="8">
        <v>392</v>
      </c>
      <c r="M82" s="8">
        <v>0</v>
      </c>
      <c r="N82" s="9"/>
      <c r="O82" s="8">
        <v>0</v>
      </c>
      <c r="P82" s="9"/>
      <c r="Q82" s="8">
        <v>0</v>
      </c>
      <c r="R82" s="9"/>
      <c r="S82" s="8">
        <v>0</v>
      </c>
      <c r="T82" s="9"/>
      <c r="U82" s="8">
        <v>0</v>
      </c>
      <c r="V82" s="9"/>
      <c r="W82" s="33">
        <v>0</v>
      </c>
      <c r="X82" s="9"/>
      <c r="Y82" s="30">
        <v>0</v>
      </c>
      <c r="Z82" s="9"/>
      <c r="AA82" s="30">
        <v>0</v>
      </c>
      <c r="AB82" s="9"/>
      <c r="AC82" s="30">
        <v>0</v>
      </c>
      <c r="AD82" s="9"/>
      <c r="AE82" s="30">
        <v>0</v>
      </c>
      <c r="AF82" s="9"/>
      <c r="AG82" s="19">
        <v>0</v>
      </c>
      <c r="AI82" s="32">
        <v>0</v>
      </c>
      <c r="AK82" s="7" t="str">
        <f t="shared" si="1"/>
        <v>No</v>
      </c>
    </row>
    <row r="83" spans="1:37">
      <c r="A83" s="7" t="s">
        <v>591</v>
      </c>
      <c r="B83" s="7" t="s">
        <v>592</v>
      </c>
      <c r="C83" s="37" t="s">
        <v>17</v>
      </c>
      <c r="D83" s="296">
        <v>9013</v>
      </c>
      <c r="E83" s="297">
        <v>90013</v>
      </c>
      <c r="F83" s="27" t="s">
        <v>165</v>
      </c>
      <c r="G83" s="27" t="s">
        <v>158</v>
      </c>
      <c r="H83" s="35">
        <v>1664496</v>
      </c>
      <c r="I83" s="35">
        <v>686</v>
      </c>
      <c r="J83" s="9" t="s">
        <v>21</v>
      </c>
      <c r="K83" s="9" t="s">
        <v>159</v>
      </c>
      <c r="L83" s="8">
        <v>59</v>
      </c>
      <c r="M83" s="8">
        <v>0</v>
      </c>
      <c r="N83" s="9"/>
      <c r="O83" s="8">
        <v>0</v>
      </c>
      <c r="P83" s="9"/>
      <c r="Q83" s="8">
        <v>0</v>
      </c>
      <c r="R83" s="9"/>
      <c r="S83" s="8">
        <v>0</v>
      </c>
      <c r="T83" s="9"/>
      <c r="U83" s="8">
        <v>0</v>
      </c>
      <c r="V83" s="9"/>
      <c r="W83" s="33">
        <v>0</v>
      </c>
      <c r="X83" s="9"/>
      <c r="Y83" s="30">
        <v>0</v>
      </c>
      <c r="Z83" s="9"/>
      <c r="AA83" s="30">
        <v>0</v>
      </c>
      <c r="AB83" s="9"/>
      <c r="AC83" s="30">
        <v>0</v>
      </c>
      <c r="AD83" s="9"/>
      <c r="AE83" s="30">
        <v>0</v>
      </c>
      <c r="AF83" s="9"/>
      <c r="AG83" s="19">
        <v>0</v>
      </c>
      <c r="AI83" s="32">
        <v>0</v>
      </c>
      <c r="AK83" s="7" t="str">
        <f t="shared" si="1"/>
        <v>No</v>
      </c>
    </row>
    <row r="84" spans="1:37">
      <c r="A84" s="7" t="s">
        <v>608</v>
      </c>
      <c r="B84" s="7" t="s">
        <v>367</v>
      </c>
      <c r="C84" s="37" t="s">
        <v>89</v>
      </c>
      <c r="D84" s="296">
        <v>29</v>
      </c>
      <c r="E84" s="297">
        <v>29</v>
      </c>
      <c r="F84" s="27" t="s">
        <v>165</v>
      </c>
      <c r="G84" s="27" t="s">
        <v>158</v>
      </c>
      <c r="H84" s="35">
        <v>3059393</v>
      </c>
      <c r="I84" s="35">
        <v>609</v>
      </c>
      <c r="J84" s="9" t="s">
        <v>8</v>
      </c>
      <c r="K84" s="9" t="s">
        <v>159</v>
      </c>
      <c r="L84" s="8">
        <v>364</v>
      </c>
      <c r="M84" s="8">
        <v>59</v>
      </c>
      <c r="N84" s="9"/>
      <c r="O84" s="8">
        <v>0</v>
      </c>
      <c r="P84" s="9"/>
      <c r="Q84" s="8">
        <v>0</v>
      </c>
      <c r="R84" s="9"/>
      <c r="S84" s="8">
        <v>137</v>
      </c>
      <c r="T84" s="9"/>
      <c r="U84" s="8">
        <v>0</v>
      </c>
      <c r="V84" s="9"/>
      <c r="W84" s="33">
        <v>196</v>
      </c>
      <c r="X84" s="9"/>
      <c r="Y84" s="30">
        <v>0.2</v>
      </c>
      <c r="Z84" s="9"/>
      <c r="AA84" s="30">
        <v>0</v>
      </c>
      <c r="AB84" s="9"/>
      <c r="AC84" s="30">
        <v>0</v>
      </c>
      <c r="AD84" s="9"/>
      <c r="AE84" s="30">
        <v>0.5</v>
      </c>
      <c r="AF84" s="9"/>
      <c r="AG84" s="19">
        <v>0</v>
      </c>
      <c r="AI84" s="32">
        <v>0.7</v>
      </c>
      <c r="AK84" s="7" t="str">
        <f t="shared" si="1"/>
        <v>No</v>
      </c>
    </row>
    <row r="85" spans="1:37">
      <c r="A85" s="7" t="s">
        <v>608</v>
      </c>
      <c r="B85" s="7" t="s">
        <v>367</v>
      </c>
      <c r="C85" s="37" t="s">
        <v>89</v>
      </c>
      <c r="D85" s="296">
        <v>29</v>
      </c>
      <c r="E85" s="297">
        <v>29</v>
      </c>
      <c r="F85" s="27" t="s">
        <v>165</v>
      </c>
      <c r="G85" s="27" t="s">
        <v>158</v>
      </c>
      <c r="H85" s="35">
        <v>3059393</v>
      </c>
      <c r="I85" s="35">
        <v>609</v>
      </c>
      <c r="J85" s="9" t="s">
        <v>7</v>
      </c>
      <c r="K85" s="9" t="s">
        <v>159</v>
      </c>
      <c r="L85" s="8">
        <v>106</v>
      </c>
      <c r="M85" s="8">
        <v>13029</v>
      </c>
      <c r="N85" s="9"/>
      <c r="O85" s="8">
        <v>0</v>
      </c>
      <c r="P85" s="9"/>
      <c r="Q85" s="8">
        <v>0</v>
      </c>
      <c r="R85" s="9"/>
      <c r="S85" s="8">
        <v>1447</v>
      </c>
      <c r="T85" s="9"/>
      <c r="U85" s="8">
        <v>0</v>
      </c>
      <c r="V85" s="9"/>
      <c r="W85" s="33">
        <v>14476</v>
      </c>
      <c r="X85" s="9"/>
      <c r="Y85" s="30">
        <v>12</v>
      </c>
      <c r="Z85" s="9"/>
      <c r="AA85" s="30">
        <v>0</v>
      </c>
      <c r="AB85" s="9"/>
      <c r="AC85" s="30">
        <v>0</v>
      </c>
      <c r="AD85" s="9"/>
      <c r="AE85" s="30">
        <v>1.8</v>
      </c>
      <c r="AF85" s="9"/>
      <c r="AG85" s="19">
        <v>0</v>
      </c>
      <c r="AI85" s="32">
        <v>13.8</v>
      </c>
      <c r="AK85" s="7" t="str">
        <f t="shared" si="1"/>
        <v>No</v>
      </c>
    </row>
    <row r="86" spans="1:37">
      <c r="A86" s="7" t="s">
        <v>608</v>
      </c>
      <c r="B86" s="7" t="s">
        <v>367</v>
      </c>
      <c r="C86" s="37" t="s">
        <v>89</v>
      </c>
      <c r="D86" s="296">
        <v>29</v>
      </c>
      <c r="E86" s="297">
        <v>29</v>
      </c>
      <c r="F86" s="27" t="s">
        <v>165</v>
      </c>
      <c r="G86" s="27" t="s">
        <v>158</v>
      </c>
      <c r="H86" s="35">
        <v>3059393</v>
      </c>
      <c r="I86" s="35">
        <v>609</v>
      </c>
      <c r="J86" s="9" t="s">
        <v>18</v>
      </c>
      <c r="K86" s="9" t="s">
        <v>159</v>
      </c>
      <c r="L86" s="8">
        <v>40</v>
      </c>
      <c r="M86" s="8">
        <v>2533</v>
      </c>
      <c r="N86" s="9"/>
      <c r="O86" s="8">
        <v>0</v>
      </c>
      <c r="P86" s="9"/>
      <c r="Q86" s="8">
        <v>0</v>
      </c>
      <c r="R86" s="9"/>
      <c r="S86" s="8">
        <v>282</v>
      </c>
      <c r="T86" s="9"/>
      <c r="U86" s="8">
        <v>0</v>
      </c>
      <c r="V86" s="9"/>
      <c r="W86" s="33">
        <v>2815</v>
      </c>
      <c r="X86" s="9"/>
      <c r="Y86" s="30">
        <v>2.2999999999999998</v>
      </c>
      <c r="Z86" s="9"/>
      <c r="AA86" s="30">
        <v>0</v>
      </c>
      <c r="AB86" s="9"/>
      <c r="AC86" s="30">
        <v>0</v>
      </c>
      <c r="AD86" s="9"/>
      <c r="AE86" s="30">
        <v>0.4</v>
      </c>
      <c r="AF86" s="9"/>
      <c r="AG86" s="19">
        <v>0</v>
      </c>
      <c r="AI86" s="32">
        <v>2.7</v>
      </c>
      <c r="AK86" s="7" t="str">
        <f t="shared" si="1"/>
        <v>No</v>
      </c>
    </row>
    <row r="87" spans="1:37">
      <c r="A87" s="7" t="s">
        <v>259</v>
      </c>
      <c r="B87" s="7" t="s">
        <v>260</v>
      </c>
      <c r="C87" s="37" t="s">
        <v>32</v>
      </c>
      <c r="D87" s="296">
        <v>4035</v>
      </c>
      <c r="E87" s="297">
        <v>40035</v>
      </c>
      <c r="F87" s="27" t="s">
        <v>165</v>
      </c>
      <c r="G87" s="27" t="s">
        <v>158</v>
      </c>
      <c r="H87" s="35">
        <v>1510516</v>
      </c>
      <c r="I87" s="35">
        <v>581</v>
      </c>
      <c r="J87" s="9" t="s">
        <v>7</v>
      </c>
      <c r="K87" s="9" t="s">
        <v>159</v>
      </c>
      <c r="L87" s="8">
        <v>250</v>
      </c>
      <c r="M87" s="8">
        <v>30554</v>
      </c>
      <c r="N87" s="9"/>
      <c r="O87" s="8">
        <v>2434</v>
      </c>
      <c r="P87" s="9"/>
      <c r="Q87" s="8">
        <v>0</v>
      </c>
      <c r="R87" s="9"/>
      <c r="S87" s="8">
        <v>3821</v>
      </c>
      <c r="T87" s="9"/>
      <c r="U87" s="8">
        <v>0</v>
      </c>
      <c r="V87" s="9"/>
      <c r="W87" s="33">
        <v>36809</v>
      </c>
      <c r="X87" s="9"/>
      <c r="Y87" s="30">
        <v>28</v>
      </c>
      <c r="Z87" s="9"/>
      <c r="AA87" s="30">
        <v>2</v>
      </c>
      <c r="AB87" s="9"/>
      <c r="AC87" s="30">
        <v>0</v>
      </c>
      <c r="AD87" s="9"/>
      <c r="AE87" s="30">
        <v>3</v>
      </c>
      <c r="AF87" s="9"/>
      <c r="AG87" s="19">
        <v>0</v>
      </c>
      <c r="AI87" s="32">
        <v>33</v>
      </c>
      <c r="AK87" s="7" t="str">
        <f t="shared" si="1"/>
        <v>No</v>
      </c>
    </row>
    <row r="88" spans="1:37">
      <c r="A88" s="7" t="s">
        <v>259</v>
      </c>
      <c r="B88" s="7" t="s">
        <v>260</v>
      </c>
      <c r="C88" s="37" t="s">
        <v>32</v>
      </c>
      <c r="D88" s="296">
        <v>4035</v>
      </c>
      <c r="E88" s="297">
        <v>40035</v>
      </c>
      <c r="F88" s="27" t="s">
        <v>165</v>
      </c>
      <c r="G88" s="27" t="s">
        <v>158</v>
      </c>
      <c r="H88" s="35">
        <v>1510516</v>
      </c>
      <c r="I88" s="35">
        <v>581</v>
      </c>
      <c r="J88" s="9" t="s">
        <v>22</v>
      </c>
      <c r="K88" s="9" t="s">
        <v>159</v>
      </c>
      <c r="L88" s="8">
        <v>13</v>
      </c>
      <c r="M88" s="8">
        <v>1306</v>
      </c>
      <c r="N88" s="9"/>
      <c r="O88" s="8">
        <v>0</v>
      </c>
      <c r="P88" s="9"/>
      <c r="Q88" s="8">
        <v>0</v>
      </c>
      <c r="R88" s="9"/>
      <c r="S88" s="8">
        <v>268</v>
      </c>
      <c r="T88" s="9"/>
      <c r="U88" s="8">
        <v>0</v>
      </c>
      <c r="V88" s="9"/>
      <c r="W88" s="33">
        <v>1574</v>
      </c>
      <c r="X88" s="9"/>
      <c r="Y88" s="30">
        <v>1</v>
      </c>
      <c r="Z88" s="9"/>
      <c r="AA88" s="30">
        <v>0</v>
      </c>
      <c r="AB88" s="9"/>
      <c r="AC88" s="30">
        <v>0</v>
      </c>
      <c r="AD88" s="9"/>
      <c r="AE88" s="30">
        <v>1</v>
      </c>
      <c r="AF88" s="9"/>
      <c r="AG88" s="19">
        <v>0</v>
      </c>
      <c r="AI88" s="32">
        <v>2</v>
      </c>
      <c r="AK88" s="7" t="str">
        <f t="shared" si="1"/>
        <v>No</v>
      </c>
    </row>
    <row r="89" spans="1:37">
      <c r="A89" s="7" t="s">
        <v>768</v>
      </c>
      <c r="B89" s="7" t="s">
        <v>769</v>
      </c>
      <c r="C89" s="37" t="s">
        <v>17</v>
      </c>
      <c r="D89" s="296">
        <v>9230</v>
      </c>
      <c r="E89" s="297">
        <v>90230</v>
      </c>
      <c r="F89" s="27" t="s">
        <v>162</v>
      </c>
      <c r="G89" s="27" t="s">
        <v>158</v>
      </c>
      <c r="H89" s="35">
        <v>87941</v>
      </c>
      <c r="I89" s="35">
        <v>548</v>
      </c>
      <c r="J89" s="9" t="s">
        <v>8</v>
      </c>
      <c r="K89" s="9" t="s">
        <v>159</v>
      </c>
      <c r="L89" s="8">
        <v>548</v>
      </c>
      <c r="M89" s="8">
        <v>1358</v>
      </c>
      <c r="N89" s="9"/>
      <c r="O89" s="8">
        <v>0</v>
      </c>
      <c r="P89" s="9"/>
      <c r="Q89" s="8">
        <v>0</v>
      </c>
      <c r="R89" s="9"/>
      <c r="S89" s="8">
        <v>2671</v>
      </c>
      <c r="T89" s="9"/>
      <c r="U89" s="8">
        <v>0</v>
      </c>
      <c r="V89" s="9"/>
      <c r="W89" s="33">
        <v>4029</v>
      </c>
      <c r="X89" s="9"/>
      <c r="Y89" s="30">
        <v>0.65</v>
      </c>
      <c r="Z89" s="9"/>
      <c r="AA89" s="30">
        <v>0</v>
      </c>
      <c r="AB89" s="9"/>
      <c r="AC89" s="30">
        <v>0</v>
      </c>
      <c r="AD89" s="9"/>
      <c r="AE89" s="30">
        <v>1.29</v>
      </c>
      <c r="AF89" s="9"/>
      <c r="AG89" s="19">
        <v>0</v>
      </c>
      <c r="AI89" s="32">
        <v>1.94</v>
      </c>
      <c r="AK89" s="7" t="str">
        <f t="shared" si="1"/>
        <v>No</v>
      </c>
    </row>
    <row r="90" spans="1:37">
      <c r="A90" s="7" t="s">
        <v>585</v>
      </c>
      <c r="B90" s="7" t="s">
        <v>197</v>
      </c>
      <c r="C90" s="37" t="s">
        <v>17</v>
      </c>
      <c r="D90" s="296">
        <v>9003</v>
      </c>
      <c r="E90" s="297">
        <v>90003</v>
      </c>
      <c r="F90" s="27" t="s">
        <v>165</v>
      </c>
      <c r="G90" s="27" t="s">
        <v>158</v>
      </c>
      <c r="H90" s="35">
        <v>3281212</v>
      </c>
      <c r="I90" s="35">
        <v>545</v>
      </c>
      <c r="J90" s="9" t="s">
        <v>20</v>
      </c>
      <c r="K90" s="9" t="s">
        <v>159</v>
      </c>
      <c r="L90" s="8">
        <v>541</v>
      </c>
      <c r="M90" s="8">
        <v>99839</v>
      </c>
      <c r="N90" s="9"/>
      <c r="O90" s="8">
        <v>4389</v>
      </c>
      <c r="P90" s="9"/>
      <c r="Q90" s="8">
        <v>20402</v>
      </c>
      <c r="R90" s="9"/>
      <c r="S90" s="8">
        <v>9948</v>
      </c>
      <c r="T90" s="9"/>
      <c r="U90" s="8">
        <v>0</v>
      </c>
      <c r="V90" s="9"/>
      <c r="W90" s="33">
        <v>134578</v>
      </c>
      <c r="X90" s="9"/>
      <c r="Y90" s="30">
        <v>96.5</v>
      </c>
      <c r="Z90" s="9"/>
      <c r="AA90" s="30">
        <v>5</v>
      </c>
      <c r="AB90" s="9"/>
      <c r="AC90" s="30">
        <v>12.75</v>
      </c>
      <c r="AD90" s="9"/>
      <c r="AE90" s="30">
        <v>6</v>
      </c>
      <c r="AF90" s="9"/>
      <c r="AG90" s="19">
        <v>0</v>
      </c>
      <c r="AI90" s="32">
        <v>120.25</v>
      </c>
      <c r="AK90" s="7" t="str">
        <f t="shared" si="1"/>
        <v>No</v>
      </c>
    </row>
    <row r="91" spans="1:37">
      <c r="A91" s="7" t="s">
        <v>639</v>
      </c>
      <c r="B91" s="7" t="s">
        <v>640</v>
      </c>
      <c r="C91" s="37" t="s">
        <v>73</v>
      </c>
      <c r="D91" s="296">
        <v>5015</v>
      </c>
      <c r="E91" s="297">
        <v>50015</v>
      </c>
      <c r="F91" s="27" t="s">
        <v>165</v>
      </c>
      <c r="G91" s="27" t="s">
        <v>158</v>
      </c>
      <c r="H91" s="35">
        <v>1780673</v>
      </c>
      <c r="I91" s="35">
        <v>545</v>
      </c>
      <c r="J91" s="9" t="s">
        <v>7</v>
      </c>
      <c r="K91" s="9" t="s">
        <v>159</v>
      </c>
      <c r="L91" s="8">
        <v>350</v>
      </c>
      <c r="M91" s="8">
        <v>187846</v>
      </c>
      <c r="N91" s="9"/>
      <c r="O91" s="8">
        <v>40033</v>
      </c>
      <c r="P91" s="9"/>
      <c r="Q91" s="8">
        <v>0</v>
      </c>
      <c r="R91" s="9"/>
      <c r="S91" s="8">
        <v>5149</v>
      </c>
      <c r="T91" s="9"/>
      <c r="U91" s="8">
        <v>0</v>
      </c>
      <c r="V91" s="9"/>
      <c r="W91" s="33">
        <v>233028</v>
      </c>
      <c r="X91" s="9"/>
      <c r="Y91" s="30">
        <v>144.80000000000001</v>
      </c>
      <c r="Z91" s="9"/>
      <c r="AA91" s="30">
        <v>27.44</v>
      </c>
      <c r="AB91" s="9"/>
      <c r="AC91" s="30">
        <v>0</v>
      </c>
      <c r="AD91" s="9"/>
      <c r="AE91" s="30">
        <v>8.24</v>
      </c>
      <c r="AF91" s="9"/>
      <c r="AG91" s="19">
        <v>0</v>
      </c>
      <c r="AI91" s="32">
        <v>180.48</v>
      </c>
      <c r="AK91" s="7" t="str">
        <f t="shared" si="1"/>
        <v>No</v>
      </c>
    </row>
    <row r="92" spans="1:37">
      <c r="A92" s="7" t="s">
        <v>639</v>
      </c>
      <c r="B92" s="7" t="s">
        <v>640</v>
      </c>
      <c r="C92" s="37" t="s">
        <v>73</v>
      </c>
      <c r="D92" s="296">
        <v>5015</v>
      </c>
      <c r="E92" s="297">
        <v>50015</v>
      </c>
      <c r="F92" s="27" t="s">
        <v>165</v>
      </c>
      <c r="G92" s="27" t="s">
        <v>158</v>
      </c>
      <c r="H92" s="35">
        <v>1780673</v>
      </c>
      <c r="I92" s="35">
        <v>545</v>
      </c>
      <c r="J92" s="9" t="s">
        <v>10</v>
      </c>
      <c r="K92" s="9" t="s">
        <v>159</v>
      </c>
      <c r="L92" s="8">
        <v>68</v>
      </c>
      <c r="M92" s="8">
        <v>17372</v>
      </c>
      <c r="N92" s="9"/>
      <c r="O92" s="8">
        <v>0</v>
      </c>
      <c r="P92" s="9"/>
      <c r="Q92" s="8">
        <v>3427</v>
      </c>
      <c r="R92" s="9"/>
      <c r="S92" s="8">
        <v>281</v>
      </c>
      <c r="T92" s="9"/>
      <c r="U92" s="8">
        <v>0</v>
      </c>
      <c r="V92" s="9"/>
      <c r="W92" s="33">
        <v>21080</v>
      </c>
      <c r="X92" s="9"/>
      <c r="Y92" s="30">
        <v>15.66</v>
      </c>
      <c r="Z92" s="9"/>
      <c r="AA92" s="30">
        <v>0</v>
      </c>
      <c r="AB92" s="9"/>
      <c r="AC92" s="30">
        <v>2</v>
      </c>
      <c r="AD92" s="9"/>
      <c r="AE92" s="30">
        <v>1.61</v>
      </c>
      <c r="AF92" s="9"/>
      <c r="AG92" s="19">
        <v>0</v>
      </c>
      <c r="AI92" s="32">
        <v>19.27</v>
      </c>
      <c r="AK92" s="7" t="str">
        <f t="shared" si="1"/>
        <v>No</v>
      </c>
    </row>
    <row r="93" spans="1:37">
      <c r="A93" s="7" t="s">
        <v>639</v>
      </c>
      <c r="B93" s="7" t="s">
        <v>640</v>
      </c>
      <c r="C93" s="37" t="s">
        <v>73</v>
      </c>
      <c r="D93" s="296">
        <v>5015</v>
      </c>
      <c r="E93" s="297">
        <v>50015</v>
      </c>
      <c r="F93" s="27" t="s">
        <v>165</v>
      </c>
      <c r="G93" s="27" t="s">
        <v>158</v>
      </c>
      <c r="H93" s="35">
        <v>1780673</v>
      </c>
      <c r="I93" s="35">
        <v>545</v>
      </c>
      <c r="J93" s="9" t="s">
        <v>20</v>
      </c>
      <c r="K93" s="9" t="s">
        <v>159</v>
      </c>
      <c r="L93" s="8">
        <v>20</v>
      </c>
      <c r="M93" s="8">
        <v>18294</v>
      </c>
      <c r="N93" s="9"/>
      <c r="O93" s="8">
        <v>0</v>
      </c>
      <c r="P93" s="9"/>
      <c r="Q93" s="8">
        <v>0</v>
      </c>
      <c r="R93" s="9"/>
      <c r="S93" s="8">
        <v>119</v>
      </c>
      <c r="T93" s="9"/>
      <c r="U93" s="8">
        <v>0</v>
      </c>
      <c r="V93" s="9"/>
      <c r="W93" s="33">
        <v>18413</v>
      </c>
      <c r="X93" s="9"/>
      <c r="Y93" s="30">
        <v>13.95</v>
      </c>
      <c r="Z93" s="9"/>
      <c r="AA93" s="30">
        <v>0</v>
      </c>
      <c r="AB93" s="9"/>
      <c r="AC93" s="30">
        <v>0</v>
      </c>
      <c r="AD93" s="9"/>
      <c r="AE93" s="30">
        <v>0.47</v>
      </c>
      <c r="AF93" s="9"/>
      <c r="AG93" s="19">
        <v>0</v>
      </c>
      <c r="AI93" s="32">
        <v>14.42</v>
      </c>
      <c r="AK93" s="7" t="str">
        <f t="shared" si="1"/>
        <v>No</v>
      </c>
    </row>
    <row r="94" spans="1:37">
      <c r="A94" s="7" t="s">
        <v>639</v>
      </c>
      <c r="B94" s="7" t="s">
        <v>640</v>
      </c>
      <c r="C94" s="37" t="s">
        <v>73</v>
      </c>
      <c r="D94" s="296">
        <v>5015</v>
      </c>
      <c r="E94" s="297">
        <v>50015</v>
      </c>
      <c r="F94" s="27" t="s">
        <v>165</v>
      </c>
      <c r="G94" s="27" t="s">
        <v>158</v>
      </c>
      <c r="H94" s="35">
        <v>1780673</v>
      </c>
      <c r="I94" s="35">
        <v>545</v>
      </c>
      <c r="J94" s="9" t="s">
        <v>22</v>
      </c>
      <c r="K94" s="9" t="s">
        <v>159</v>
      </c>
      <c r="L94" s="8">
        <v>14</v>
      </c>
      <c r="M94" s="8">
        <v>6209</v>
      </c>
      <c r="N94" s="9"/>
      <c r="O94" s="8">
        <v>929</v>
      </c>
      <c r="P94" s="9"/>
      <c r="Q94" s="8">
        <v>0</v>
      </c>
      <c r="R94" s="9"/>
      <c r="S94" s="8">
        <v>176</v>
      </c>
      <c r="T94" s="9"/>
      <c r="U94" s="8">
        <v>0</v>
      </c>
      <c r="V94" s="9"/>
      <c r="W94" s="33">
        <v>7314</v>
      </c>
      <c r="X94" s="9"/>
      <c r="Y94" s="30">
        <v>4.72</v>
      </c>
      <c r="Z94" s="9"/>
      <c r="AA94" s="30">
        <v>0.56000000000000005</v>
      </c>
      <c r="AB94" s="9"/>
      <c r="AC94" s="30">
        <v>0</v>
      </c>
      <c r="AD94" s="9"/>
      <c r="AE94" s="30">
        <v>0.33</v>
      </c>
      <c r="AF94" s="9"/>
      <c r="AG94" s="19">
        <v>0</v>
      </c>
      <c r="AI94" s="32">
        <v>5.61</v>
      </c>
      <c r="AK94" s="7" t="str">
        <f t="shared" si="1"/>
        <v>No</v>
      </c>
    </row>
    <row r="95" spans="1:37">
      <c r="A95" s="7" t="s">
        <v>639</v>
      </c>
      <c r="B95" s="7" t="s">
        <v>640</v>
      </c>
      <c r="C95" s="37" t="s">
        <v>73</v>
      </c>
      <c r="D95" s="296">
        <v>5015</v>
      </c>
      <c r="E95" s="297">
        <v>50015</v>
      </c>
      <c r="F95" s="27" t="s">
        <v>165</v>
      </c>
      <c r="G95" s="27" t="s">
        <v>158</v>
      </c>
      <c r="H95" s="35">
        <v>1780673</v>
      </c>
      <c r="I95" s="35">
        <v>545</v>
      </c>
      <c r="J95" s="9" t="s">
        <v>21</v>
      </c>
      <c r="K95" s="9" t="s">
        <v>159</v>
      </c>
      <c r="L95" s="8">
        <v>13</v>
      </c>
      <c r="M95" s="8">
        <v>7669</v>
      </c>
      <c r="N95" s="9"/>
      <c r="O95" s="8">
        <v>0</v>
      </c>
      <c r="P95" s="9"/>
      <c r="Q95" s="8">
        <v>0</v>
      </c>
      <c r="R95" s="9"/>
      <c r="S95" s="8">
        <v>83</v>
      </c>
      <c r="T95" s="9"/>
      <c r="U95" s="8">
        <v>0</v>
      </c>
      <c r="V95" s="9"/>
      <c r="W95" s="33">
        <v>7752</v>
      </c>
      <c r="X95" s="9"/>
      <c r="Y95" s="30">
        <v>5.86</v>
      </c>
      <c r="Z95" s="9"/>
      <c r="AA95" s="30">
        <v>0</v>
      </c>
      <c r="AB95" s="9"/>
      <c r="AC95" s="30">
        <v>0</v>
      </c>
      <c r="AD95" s="9"/>
      <c r="AE95" s="30">
        <v>0.33</v>
      </c>
      <c r="AF95" s="9"/>
      <c r="AG95" s="19">
        <v>0</v>
      </c>
      <c r="AI95" s="32">
        <v>6.19</v>
      </c>
      <c r="AK95" s="7" t="str">
        <f t="shared" si="1"/>
        <v>No</v>
      </c>
    </row>
    <row r="96" spans="1:37">
      <c r="A96" s="7" t="s">
        <v>53</v>
      </c>
      <c r="B96" s="7" t="s">
        <v>767</v>
      </c>
      <c r="C96" s="37" t="s">
        <v>52</v>
      </c>
      <c r="D96" s="296">
        <v>5193</v>
      </c>
      <c r="E96" s="297">
        <v>50193</v>
      </c>
      <c r="F96" s="27" t="s">
        <v>243</v>
      </c>
      <c r="G96" s="27" t="s">
        <v>158</v>
      </c>
      <c r="H96" s="35">
        <v>3734090</v>
      </c>
      <c r="I96" s="35">
        <v>537</v>
      </c>
      <c r="J96" s="9" t="s">
        <v>8</v>
      </c>
      <c r="K96" s="9" t="s">
        <v>159</v>
      </c>
      <c r="L96" s="8">
        <v>537</v>
      </c>
      <c r="M96" s="8">
        <v>0</v>
      </c>
      <c r="N96" s="9"/>
      <c r="O96" s="8">
        <v>0</v>
      </c>
      <c r="P96" s="9"/>
      <c r="Q96" s="8">
        <v>0</v>
      </c>
      <c r="R96" s="9"/>
      <c r="S96" s="8">
        <v>0</v>
      </c>
      <c r="T96" s="9"/>
      <c r="U96" s="8">
        <v>0</v>
      </c>
      <c r="V96" s="9"/>
      <c r="W96" s="33">
        <v>0</v>
      </c>
      <c r="X96" s="9"/>
      <c r="Y96" s="30">
        <v>0</v>
      </c>
      <c r="Z96" s="9"/>
      <c r="AA96" s="30">
        <v>0</v>
      </c>
      <c r="AB96" s="9"/>
      <c r="AC96" s="30">
        <v>0</v>
      </c>
      <c r="AD96" s="9"/>
      <c r="AE96" s="30">
        <v>0</v>
      </c>
      <c r="AF96" s="9"/>
      <c r="AG96" s="19">
        <v>0</v>
      </c>
      <c r="AI96" s="32">
        <v>0</v>
      </c>
      <c r="AK96" s="7" t="str">
        <f t="shared" si="1"/>
        <v>No</v>
      </c>
    </row>
    <row r="97" spans="1:37">
      <c r="A97" s="7" t="s">
        <v>546</v>
      </c>
      <c r="B97" s="7" t="s">
        <v>547</v>
      </c>
      <c r="C97" s="37" t="s">
        <v>89</v>
      </c>
      <c r="D97" s="296">
        <v>3</v>
      </c>
      <c r="E97" s="297">
        <v>3</v>
      </c>
      <c r="F97" s="27" t="s">
        <v>165</v>
      </c>
      <c r="G97" s="27" t="s">
        <v>158</v>
      </c>
      <c r="H97" s="35">
        <v>3059393</v>
      </c>
      <c r="I97" s="35">
        <v>533</v>
      </c>
      <c r="J97" s="9" t="s">
        <v>8</v>
      </c>
      <c r="K97" s="9" t="s">
        <v>159</v>
      </c>
      <c r="L97" s="8">
        <v>324</v>
      </c>
      <c r="M97" s="8">
        <v>0</v>
      </c>
      <c r="N97" s="9"/>
      <c r="O97" s="8">
        <v>0</v>
      </c>
      <c r="P97" s="9"/>
      <c r="Q97" s="8">
        <v>0</v>
      </c>
      <c r="R97" s="9"/>
      <c r="S97" s="8">
        <v>277</v>
      </c>
      <c r="T97" s="9"/>
      <c r="U97" s="8">
        <v>0</v>
      </c>
      <c r="V97" s="9"/>
      <c r="W97" s="33">
        <v>277</v>
      </c>
      <c r="X97" s="9"/>
      <c r="Y97" s="30">
        <v>0</v>
      </c>
      <c r="Z97" s="9"/>
      <c r="AA97" s="30">
        <v>0</v>
      </c>
      <c r="AB97" s="9"/>
      <c r="AC97" s="30">
        <v>0</v>
      </c>
      <c r="AD97" s="9"/>
      <c r="AE97" s="30">
        <v>0.24</v>
      </c>
      <c r="AF97" s="9"/>
      <c r="AG97" s="19">
        <v>0</v>
      </c>
      <c r="AI97" s="32">
        <v>0.24</v>
      </c>
      <c r="AK97" s="7" t="str">
        <f t="shared" si="1"/>
        <v>No</v>
      </c>
    </row>
    <row r="98" spans="1:37">
      <c r="A98" s="7" t="s">
        <v>546</v>
      </c>
      <c r="B98" s="7" t="s">
        <v>547</v>
      </c>
      <c r="C98" s="37" t="s">
        <v>89</v>
      </c>
      <c r="D98" s="296">
        <v>3</v>
      </c>
      <c r="E98" s="297">
        <v>3</v>
      </c>
      <c r="F98" s="27" t="s">
        <v>165</v>
      </c>
      <c r="G98" s="27" t="s">
        <v>158</v>
      </c>
      <c r="H98" s="35">
        <v>3059393</v>
      </c>
      <c r="I98" s="35">
        <v>533</v>
      </c>
      <c r="J98" s="9" t="s">
        <v>7</v>
      </c>
      <c r="K98" s="9" t="s">
        <v>159</v>
      </c>
      <c r="L98" s="8">
        <v>118</v>
      </c>
      <c r="M98" s="8">
        <v>97057</v>
      </c>
      <c r="N98" s="9"/>
      <c r="O98" s="8">
        <v>0</v>
      </c>
      <c r="P98" s="9"/>
      <c r="Q98" s="8">
        <v>0</v>
      </c>
      <c r="R98" s="9"/>
      <c r="S98" s="8">
        <v>2603</v>
      </c>
      <c r="T98" s="9"/>
      <c r="U98" s="8">
        <v>0</v>
      </c>
      <c r="V98" s="9"/>
      <c r="W98" s="33">
        <v>99660</v>
      </c>
      <c r="X98" s="9"/>
      <c r="Y98" s="30">
        <v>47.98</v>
      </c>
      <c r="Z98" s="9"/>
      <c r="AA98" s="30">
        <v>0</v>
      </c>
      <c r="AB98" s="9"/>
      <c r="AC98" s="30">
        <v>0</v>
      </c>
      <c r="AD98" s="9"/>
      <c r="AE98" s="30">
        <v>2.25</v>
      </c>
      <c r="AF98" s="9"/>
      <c r="AG98" s="19">
        <v>0</v>
      </c>
      <c r="AI98" s="32">
        <v>50.23</v>
      </c>
      <c r="AK98" s="7" t="str">
        <f t="shared" si="1"/>
        <v>No</v>
      </c>
    </row>
    <row r="99" spans="1:37">
      <c r="A99" s="7" t="s">
        <v>546</v>
      </c>
      <c r="B99" s="7" t="s">
        <v>547</v>
      </c>
      <c r="C99" s="37" t="s">
        <v>89</v>
      </c>
      <c r="D99" s="296">
        <v>3</v>
      </c>
      <c r="E99" s="297">
        <v>3</v>
      </c>
      <c r="F99" s="27" t="s">
        <v>165</v>
      </c>
      <c r="G99" s="27" t="s">
        <v>158</v>
      </c>
      <c r="H99" s="35">
        <v>3059393</v>
      </c>
      <c r="I99" s="35">
        <v>533</v>
      </c>
      <c r="J99" s="9" t="s">
        <v>10</v>
      </c>
      <c r="K99" s="9" t="s">
        <v>159</v>
      </c>
      <c r="L99" s="8">
        <v>31</v>
      </c>
      <c r="M99" s="8">
        <v>14</v>
      </c>
      <c r="N99" s="9"/>
      <c r="O99" s="8">
        <v>0</v>
      </c>
      <c r="P99" s="9"/>
      <c r="Q99" s="8">
        <v>0</v>
      </c>
      <c r="R99" s="9"/>
      <c r="S99" s="8">
        <v>2435</v>
      </c>
      <c r="T99" s="9"/>
      <c r="U99" s="8">
        <v>0</v>
      </c>
      <c r="V99" s="9"/>
      <c r="W99" s="33">
        <v>2449</v>
      </c>
      <c r="X99" s="9"/>
      <c r="Y99" s="30">
        <v>0.01</v>
      </c>
      <c r="Z99" s="9"/>
      <c r="AA99" s="30">
        <v>0</v>
      </c>
      <c r="AB99" s="9"/>
      <c r="AC99" s="30">
        <v>0</v>
      </c>
      <c r="AD99" s="9"/>
      <c r="AE99" s="30">
        <v>1.44</v>
      </c>
      <c r="AF99" s="9"/>
      <c r="AG99" s="19">
        <v>0</v>
      </c>
      <c r="AI99" s="32">
        <v>1.45</v>
      </c>
      <c r="AK99" s="7" t="str">
        <f t="shared" si="1"/>
        <v>No</v>
      </c>
    </row>
    <row r="100" spans="1:37">
      <c r="A100" s="7" t="s">
        <v>349</v>
      </c>
      <c r="B100" s="7" t="s">
        <v>350</v>
      </c>
      <c r="C100" s="37" t="s">
        <v>31</v>
      </c>
      <c r="D100" s="296">
        <v>3075</v>
      </c>
      <c r="E100" s="297">
        <v>30075</v>
      </c>
      <c r="F100" s="27" t="s">
        <v>165</v>
      </c>
      <c r="G100" s="27" t="s">
        <v>158</v>
      </c>
      <c r="H100" s="35">
        <v>5441567</v>
      </c>
      <c r="I100" s="35">
        <v>481</v>
      </c>
      <c r="J100" s="9" t="s">
        <v>10</v>
      </c>
      <c r="K100" s="9" t="s">
        <v>159</v>
      </c>
      <c r="L100" s="8">
        <v>265</v>
      </c>
      <c r="M100" s="8">
        <v>19535</v>
      </c>
      <c r="N100" s="9"/>
      <c r="O100" s="8">
        <v>0</v>
      </c>
      <c r="P100" s="9"/>
      <c r="Q100" s="8">
        <v>0</v>
      </c>
      <c r="R100" s="9"/>
      <c r="S100" s="8">
        <v>2185</v>
      </c>
      <c r="T100" s="9"/>
      <c r="U100" s="8">
        <v>0</v>
      </c>
      <c r="V100" s="9"/>
      <c r="W100" s="33">
        <v>21720</v>
      </c>
      <c r="X100" s="9"/>
      <c r="Y100" s="30">
        <v>16</v>
      </c>
      <c r="Z100" s="9"/>
      <c r="AA100" s="30">
        <v>0</v>
      </c>
      <c r="AB100" s="9"/>
      <c r="AC100" s="30">
        <v>0</v>
      </c>
      <c r="AD100" s="9"/>
      <c r="AE100" s="30">
        <v>2</v>
      </c>
      <c r="AF100" s="9"/>
      <c r="AG100" s="19">
        <v>0</v>
      </c>
      <c r="AI100" s="32">
        <v>18</v>
      </c>
      <c r="AK100" s="7" t="str">
        <f t="shared" si="1"/>
        <v>No</v>
      </c>
    </row>
    <row r="101" spans="1:37">
      <c r="A101" s="7" t="s">
        <v>349</v>
      </c>
      <c r="B101" s="7" t="s">
        <v>350</v>
      </c>
      <c r="C101" s="37" t="s">
        <v>31</v>
      </c>
      <c r="D101" s="296">
        <v>3075</v>
      </c>
      <c r="E101" s="297">
        <v>30075</v>
      </c>
      <c r="F101" s="27" t="s">
        <v>165</v>
      </c>
      <c r="G101" s="27" t="s">
        <v>158</v>
      </c>
      <c r="H101" s="35">
        <v>5441567</v>
      </c>
      <c r="I101" s="35">
        <v>481</v>
      </c>
      <c r="J101" s="9" t="s">
        <v>7</v>
      </c>
      <c r="K101" s="9" t="s">
        <v>159</v>
      </c>
      <c r="L101" s="8">
        <v>173</v>
      </c>
      <c r="M101" s="8">
        <v>7112</v>
      </c>
      <c r="N101" s="9"/>
      <c r="O101" s="8">
        <v>0</v>
      </c>
      <c r="P101" s="9"/>
      <c r="Q101" s="8">
        <v>0</v>
      </c>
      <c r="R101" s="9"/>
      <c r="S101" s="8">
        <v>1448</v>
      </c>
      <c r="T101" s="9"/>
      <c r="U101" s="8">
        <v>0</v>
      </c>
      <c r="V101" s="9"/>
      <c r="W101" s="33">
        <v>8560</v>
      </c>
      <c r="X101" s="9"/>
      <c r="Y101" s="30">
        <v>4</v>
      </c>
      <c r="Z101" s="9"/>
      <c r="AA101" s="30">
        <v>0</v>
      </c>
      <c r="AB101" s="9"/>
      <c r="AC101" s="30">
        <v>0</v>
      </c>
      <c r="AD101" s="9"/>
      <c r="AE101" s="30">
        <v>1</v>
      </c>
      <c r="AF101" s="9"/>
      <c r="AG101" s="19">
        <v>0</v>
      </c>
      <c r="AI101" s="32">
        <v>5</v>
      </c>
      <c r="AK101" s="7" t="str">
        <f t="shared" si="1"/>
        <v>No</v>
      </c>
    </row>
    <row r="102" spans="1:37">
      <c r="A102" s="7" t="s">
        <v>217</v>
      </c>
      <c r="B102" s="7" t="s">
        <v>218</v>
      </c>
      <c r="C102" s="37" t="s">
        <v>55</v>
      </c>
      <c r="D102" s="296">
        <v>7006</v>
      </c>
      <c r="E102" s="297">
        <v>70006</v>
      </c>
      <c r="F102" s="27" t="s">
        <v>165</v>
      </c>
      <c r="G102" s="27" t="s">
        <v>158</v>
      </c>
      <c r="H102" s="35">
        <v>2150706</v>
      </c>
      <c r="I102" s="35">
        <v>480</v>
      </c>
      <c r="J102" s="9" t="s">
        <v>7</v>
      </c>
      <c r="K102" s="9" t="s">
        <v>159</v>
      </c>
      <c r="L102" s="8">
        <v>321</v>
      </c>
      <c r="M102" s="8">
        <v>75451</v>
      </c>
      <c r="N102" s="9"/>
      <c r="O102" s="8">
        <v>0</v>
      </c>
      <c r="P102" s="9"/>
      <c r="Q102" s="8">
        <v>0</v>
      </c>
      <c r="R102" s="9"/>
      <c r="S102" s="8">
        <v>12375</v>
      </c>
      <c r="T102" s="9"/>
      <c r="U102" s="8">
        <v>0</v>
      </c>
      <c r="V102" s="9"/>
      <c r="W102" s="33">
        <v>87826</v>
      </c>
      <c r="X102" s="9"/>
      <c r="Y102" s="30">
        <v>103.61</v>
      </c>
      <c r="Z102" s="9"/>
      <c r="AA102" s="30">
        <v>0</v>
      </c>
      <c r="AB102" s="9"/>
      <c r="AC102" s="30">
        <v>0</v>
      </c>
      <c r="AD102" s="9"/>
      <c r="AE102" s="30">
        <v>15.39</v>
      </c>
      <c r="AF102" s="9"/>
      <c r="AG102" s="19">
        <v>0</v>
      </c>
      <c r="AI102" s="32">
        <v>119</v>
      </c>
      <c r="AK102" s="7" t="str">
        <f t="shared" si="1"/>
        <v>No</v>
      </c>
    </row>
    <row r="103" spans="1:37">
      <c r="A103" s="7" t="s">
        <v>217</v>
      </c>
      <c r="B103" s="7" t="s">
        <v>218</v>
      </c>
      <c r="C103" s="37" t="s">
        <v>55</v>
      </c>
      <c r="D103" s="296">
        <v>7006</v>
      </c>
      <c r="E103" s="297">
        <v>70006</v>
      </c>
      <c r="F103" s="27" t="s">
        <v>165</v>
      </c>
      <c r="G103" s="27" t="s">
        <v>158</v>
      </c>
      <c r="H103" s="35">
        <v>2150706</v>
      </c>
      <c r="I103" s="35">
        <v>480</v>
      </c>
      <c r="J103" s="9" t="s">
        <v>10</v>
      </c>
      <c r="K103" s="9" t="s">
        <v>159</v>
      </c>
      <c r="L103" s="8">
        <v>101</v>
      </c>
      <c r="M103" s="8">
        <v>793</v>
      </c>
      <c r="N103" s="9"/>
      <c r="O103" s="8">
        <v>0</v>
      </c>
      <c r="P103" s="9"/>
      <c r="Q103" s="8">
        <v>0</v>
      </c>
      <c r="R103" s="9"/>
      <c r="S103" s="8">
        <v>1650</v>
      </c>
      <c r="T103" s="9"/>
      <c r="U103" s="8">
        <v>0</v>
      </c>
      <c r="V103" s="9"/>
      <c r="W103" s="33">
        <v>2443</v>
      </c>
      <c r="X103" s="9"/>
      <c r="Y103" s="30">
        <v>2.2599999999999998</v>
      </c>
      <c r="Z103" s="9"/>
      <c r="AA103" s="30">
        <v>0</v>
      </c>
      <c r="AB103" s="9"/>
      <c r="AC103" s="30">
        <v>0</v>
      </c>
      <c r="AD103" s="9"/>
      <c r="AE103" s="30">
        <v>2.2799999999999998</v>
      </c>
      <c r="AF103" s="9"/>
      <c r="AG103" s="19">
        <v>0</v>
      </c>
      <c r="AI103" s="32">
        <v>4.54</v>
      </c>
      <c r="AK103" s="7" t="str">
        <f t="shared" si="1"/>
        <v>No</v>
      </c>
    </row>
    <row r="104" spans="1:37">
      <c r="A104" s="7" t="s">
        <v>217</v>
      </c>
      <c r="B104" s="7" t="s">
        <v>218</v>
      </c>
      <c r="C104" s="37" t="s">
        <v>55</v>
      </c>
      <c r="D104" s="296">
        <v>7006</v>
      </c>
      <c r="E104" s="297">
        <v>70006</v>
      </c>
      <c r="F104" s="27" t="s">
        <v>165</v>
      </c>
      <c r="G104" s="27" t="s">
        <v>158</v>
      </c>
      <c r="H104" s="35">
        <v>2150706</v>
      </c>
      <c r="I104" s="35">
        <v>480</v>
      </c>
      <c r="J104" s="9" t="s">
        <v>21</v>
      </c>
      <c r="K104" s="9" t="s">
        <v>159</v>
      </c>
      <c r="L104" s="8">
        <v>58</v>
      </c>
      <c r="M104" s="8">
        <v>20489</v>
      </c>
      <c r="N104" s="9"/>
      <c r="O104" s="8">
        <v>0</v>
      </c>
      <c r="P104" s="9"/>
      <c r="Q104" s="8">
        <v>0</v>
      </c>
      <c r="R104" s="9"/>
      <c r="S104" s="8">
        <v>6075</v>
      </c>
      <c r="T104" s="9"/>
      <c r="U104" s="8">
        <v>0</v>
      </c>
      <c r="V104" s="9"/>
      <c r="W104" s="33">
        <v>26564</v>
      </c>
      <c r="X104" s="9"/>
      <c r="Y104" s="30">
        <v>74.12</v>
      </c>
      <c r="Z104" s="9"/>
      <c r="AA104" s="30">
        <v>0</v>
      </c>
      <c r="AB104" s="9"/>
      <c r="AC104" s="30">
        <v>0</v>
      </c>
      <c r="AD104" s="9"/>
      <c r="AE104" s="30">
        <v>7.33</v>
      </c>
      <c r="AF104" s="9"/>
      <c r="AG104" s="19">
        <v>0</v>
      </c>
      <c r="AI104" s="32">
        <v>81.45</v>
      </c>
      <c r="AK104" s="7" t="str">
        <f t="shared" si="1"/>
        <v>No</v>
      </c>
    </row>
    <row r="105" spans="1:37">
      <c r="A105" s="7" t="s">
        <v>235</v>
      </c>
      <c r="B105" s="7" t="s">
        <v>236</v>
      </c>
      <c r="C105" s="37" t="s">
        <v>32</v>
      </c>
      <c r="D105" s="296">
        <v>4029</v>
      </c>
      <c r="E105" s="297">
        <v>40029</v>
      </c>
      <c r="F105" s="27" t="s">
        <v>162</v>
      </c>
      <c r="G105" s="27" t="s">
        <v>158</v>
      </c>
      <c r="H105" s="35">
        <v>5502379</v>
      </c>
      <c r="I105" s="35">
        <v>471</v>
      </c>
      <c r="J105" s="9" t="s">
        <v>7</v>
      </c>
      <c r="K105" s="9" t="s">
        <v>159</v>
      </c>
      <c r="L105" s="8">
        <v>273</v>
      </c>
      <c r="M105" s="8">
        <v>1052</v>
      </c>
      <c r="N105" s="9"/>
      <c r="O105" s="8">
        <v>0</v>
      </c>
      <c r="P105" s="9"/>
      <c r="Q105" s="8">
        <v>0</v>
      </c>
      <c r="R105" s="9"/>
      <c r="S105" s="8">
        <v>1958</v>
      </c>
      <c r="T105" s="9"/>
      <c r="U105" s="8">
        <v>0</v>
      </c>
      <c r="V105" s="9"/>
      <c r="W105" s="33">
        <v>3010</v>
      </c>
      <c r="X105" s="9"/>
      <c r="Y105" s="30">
        <v>1</v>
      </c>
      <c r="Z105" s="9"/>
      <c r="AA105" s="30">
        <v>0</v>
      </c>
      <c r="AB105" s="9"/>
      <c r="AC105" s="30">
        <v>0</v>
      </c>
      <c r="AD105" s="9"/>
      <c r="AE105" s="30">
        <v>3</v>
      </c>
      <c r="AF105" s="9"/>
      <c r="AG105" s="19">
        <v>0</v>
      </c>
      <c r="AI105" s="32">
        <v>4</v>
      </c>
      <c r="AK105" s="7" t="str">
        <f t="shared" si="1"/>
        <v>No</v>
      </c>
    </row>
    <row r="106" spans="1:37">
      <c r="A106" s="7" t="s">
        <v>291</v>
      </c>
      <c r="B106" s="7" t="s">
        <v>292</v>
      </c>
      <c r="C106" s="37" t="s">
        <v>52</v>
      </c>
      <c r="D106" s="296">
        <v>5119</v>
      </c>
      <c r="E106" s="297">
        <v>50119</v>
      </c>
      <c r="F106" s="27" t="s">
        <v>162</v>
      </c>
      <c r="G106" s="27" t="s">
        <v>158</v>
      </c>
      <c r="H106" s="35">
        <v>3734090</v>
      </c>
      <c r="I106" s="35">
        <v>456</v>
      </c>
      <c r="J106" s="9" t="s">
        <v>7</v>
      </c>
      <c r="K106" s="9" t="s">
        <v>159</v>
      </c>
      <c r="L106" s="8">
        <v>230</v>
      </c>
      <c r="M106" s="8">
        <v>0</v>
      </c>
      <c r="N106" s="9"/>
      <c r="O106" s="8">
        <v>0</v>
      </c>
      <c r="P106" s="9"/>
      <c r="Q106" s="8">
        <v>0</v>
      </c>
      <c r="R106" s="9"/>
      <c r="S106" s="8">
        <v>0</v>
      </c>
      <c r="T106" s="9"/>
      <c r="U106" s="8">
        <v>0</v>
      </c>
      <c r="V106" s="9"/>
      <c r="W106" s="33">
        <v>0</v>
      </c>
      <c r="X106" s="9"/>
      <c r="Y106" s="30">
        <v>0</v>
      </c>
      <c r="Z106" s="9"/>
      <c r="AA106" s="30">
        <v>0</v>
      </c>
      <c r="AB106" s="9"/>
      <c r="AC106" s="30">
        <v>0</v>
      </c>
      <c r="AD106" s="9"/>
      <c r="AE106" s="30">
        <v>0</v>
      </c>
      <c r="AF106" s="9"/>
      <c r="AG106" s="19">
        <v>0</v>
      </c>
      <c r="AI106" s="32">
        <v>0</v>
      </c>
      <c r="AK106" s="7" t="str">
        <f t="shared" si="1"/>
        <v>No</v>
      </c>
    </row>
    <row r="107" spans="1:37">
      <c r="A107" s="7" t="s">
        <v>213</v>
      </c>
      <c r="B107" s="7" t="s">
        <v>214</v>
      </c>
      <c r="C107" s="37" t="s">
        <v>89</v>
      </c>
      <c r="D107" s="296">
        <v>18</v>
      </c>
      <c r="E107" s="297">
        <v>18</v>
      </c>
      <c r="F107" s="27" t="s">
        <v>165</v>
      </c>
      <c r="G107" s="27" t="s">
        <v>158</v>
      </c>
      <c r="H107" s="35">
        <v>210975</v>
      </c>
      <c r="I107" s="35">
        <v>431</v>
      </c>
      <c r="J107" s="9" t="s">
        <v>8</v>
      </c>
      <c r="K107" s="9" t="s">
        <v>159</v>
      </c>
      <c r="L107" s="8">
        <v>261</v>
      </c>
      <c r="M107" s="8">
        <v>921</v>
      </c>
      <c r="N107" s="9"/>
      <c r="O107" s="8">
        <v>111</v>
      </c>
      <c r="P107" s="9"/>
      <c r="Q107" s="8">
        <v>17</v>
      </c>
      <c r="R107" s="9"/>
      <c r="S107" s="8">
        <v>646</v>
      </c>
      <c r="T107" s="9"/>
      <c r="U107" s="8">
        <v>0</v>
      </c>
      <c r="V107" s="9"/>
      <c r="W107" s="33">
        <v>1695</v>
      </c>
      <c r="X107" s="9"/>
      <c r="Y107" s="30">
        <v>1</v>
      </c>
      <c r="Z107" s="9"/>
      <c r="AA107" s="30">
        <v>0.13</v>
      </c>
      <c r="AB107" s="9"/>
      <c r="AC107" s="30">
        <v>0.09</v>
      </c>
      <c r="AD107" s="9"/>
      <c r="AE107" s="30">
        <v>0.7</v>
      </c>
      <c r="AF107" s="9"/>
      <c r="AG107" s="19">
        <v>0</v>
      </c>
      <c r="AI107" s="32">
        <v>1.92</v>
      </c>
      <c r="AK107" s="7" t="str">
        <f t="shared" si="1"/>
        <v>No</v>
      </c>
    </row>
    <row r="108" spans="1:37">
      <c r="A108" s="7" t="s">
        <v>213</v>
      </c>
      <c r="B108" s="7" t="s">
        <v>214</v>
      </c>
      <c r="C108" s="37" t="s">
        <v>89</v>
      </c>
      <c r="D108" s="296">
        <v>18</v>
      </c>
      <c r="E108" s="297">
        <v>18</v>
      </c>
      <c r="F108" s="27" t="s">
        <v>165</v>
      </c>
      <c r="G108" s="27" t="s">
        <v>158</v>
      </c>
      <c r="H108" s="35">
        <v>210975</v>
      </c>
      <c r="I108" s="35">
        <v>431</v>
      </c>
      <c r="J108" s="9" t="s">
        <v>10</v>
      </c>
      <c r="K108" s="9" t="s">
        <v>159</v>
      </c>
      <c r="L108" s="8">
        <v>70</v>
      </c>
      <c r="M108" s="8">
        <v>22256</v>
      </c>
      <c r="N108" s="9"/>
      <c r="O108" s="8">
        <v>257</v>
      </c>
      <c r="P108" s="9"/>
      <c r="Q108" s="8">
        <v>78</v>
      </c>
      <c r="R108" s="9"/>
      <c r="S108" s="8">
        <v>3041</v>
      </c>
      <c r="T108" s="9"/>
      <c r="U108" s="8">
        <v>0</v>
      </c>
      <c r="V108" s="9"/>
      <c r="W108" s="33">
        <v>25632</v>
      </c>
      <c r="X108" s="9"/>
      <c r="Y108" s="30">
        <v>25</v>
      </c>
      <c r="Z108" s="9"/>
      <c r="AA108" s="30">
        <v>0.3</v>
      </c>
      <c r="AB108" s="9"/>
      <c r="AC108" s="30">
        <v>0.41</v>
      </c>
      <c r="AD108" s="9"/>
      <c r="AE108" s="30">
        <v>3.28</v>
      </c>
      <c r="AF108" s="9"/>
      <c r="AG108" s="19">
        <v>0</v>
      </c>
      <c r="AI108" s="32">
        <v>28.99</v>
      </c>
      <c r="AK108" s="7" t="str">
        <f t="shared" si="1"/>
        <v>No</v>
      </c>
    </row>
    <row r="109" spans="1:37">
      <c r="A109" s="7" t="s">
        <v>213</v>
      </c>
      <c r="B109" s="7" t="s">
        <v>214</v>
      </c>
      <c r="C109" s="37" t="s">
        <v>89</v>
      </c>
      <c r="D109" s="296">
        <v>18</v>
      </c>
      <c r="E109" s="297">
        <v>18</v>
      </c>
      <c r="F109" s="27" t="s">
        <v>165</v>
      </c>
      <c r="G109" s="27" t="s">
        <v>158</v>
      </c>
      <c r="H109" s="35">
        <v>210975</v>
      </c>
      <c r="I109" s="35">
        <v>431</v>
      </c>
      <c r="J109" s="9" t="s">
        <v>7</v>
      </c>
      <c r="K109" s="9" t="s">
        <v>159</v>
      </c>
      <c r="L109" s="8">
        <v>46</v>
      </c>
      <c r="M109" s="8">
        <v>32447</v>
      </c>
      <c r="N109" s="9"/>
      <c r="O109" s="8">
        <v>492</v>
      </c>
      <c r="P109" s="9"/>
      <c r="Q109" s="8">
        <v>96</v>
      </c>
      <c r="R109" s="9"/>
      <c r="S109" s="8">
        <v>3728</v>
      </c>
      <c r="T109" s="9"/>
      <c r="U109" s="8">
        <v>0</v>
      </c>
      <c r="V109" s="9"/>
      <c r="W109" s="33">
        <v>36763</v>
      </c>
      <c r="X109" s="9"/>
      <c r="Y109" s="30">
        <v>41</v>
      </c>
      <c r="Z109" s="9"/>
      <c r="AA109" s="30">
        <v>0.56999999999999995</v>
      </c>
      <c r="AB109" s="9"/>
      <c r="AC109" s="30">
        <v>0.5</v>
      </c>
      <c r="AD109" s="9"/>
      <c r="AE109" s="30">
        <v>4.0199999999999996</v>
      </c>
      <c r="AF109" s="9"/>
      <c r="AG109" s="19">
        <v>0</v>
      </c>
      <c r="AI109" s="32">
        <v>46.09</v>
      </c>
      <c r="AK109" s="7" t="str">
        <f t="shared" si="1"/>
        <v>No</v>
      </c>
    </row>
    <row r="110" spans="1:37">
      <c r="A110" s="7" t="s">
        <v>542</v>
      </c>
      <c r="B110" s="7" t="s">
        <v>543</v>
      </c>
      <c r="C110" s="37" t="s">
        <v>32</v>
      </c>
      <c r="D110" s="296">
        <v>4037</v>
      </c>
      <c r="E110" s="297">
        <v>40037</v>
      </c>
      <c r="F110" s="27" t="s">
        <v>162</v>
      </c>
      <c r="G110" s="27" t="s">
        <v>158</v>
      </c>
      <c r="H110" s="35">
        <v>5502379</v>
      </c>
      <c r="I110" s="35">
        <v>424</v>
      </c>
      <c r="J110" s="9" t="s">
        <v>7</v>
      </c>
      <c r="K110" s="9" t="s">
        <v>159</v>
      </c>
      <c r="L110" s="8">
        <v>130</v>
      </c>
      <c r="M110" s="8">
        <v>0</v>
      </c>
      <c r="N110" s="9"/>
      <c r="O110" s="8">
        <v>0</v>
      </c>
      <c r="P110" s="9"/>
      <c r="Q110" s="8">
        <v>0</v>
      </c>
      <c r="R110" s="9"/>
      <c r="S110" s="8">
        <v>0</v>
      </c>
      <c r="T110" s="9"/>
      <c r="U110" s="8">
        <v>0</v>
      </c>
      <c r="V110" s="9"/>
      <c r="W110" s="33">
        <v>0</v>
      </c>
      <c r="X110" s="9"/>
      <c r="Y110" s="30">
        <v>0</v>
      </c>
      <c r="Z110" s="9"/>
      <c r="AA110" s="30">
        <v>0</v>
      </c>
      <c r="AB110" s="9"/>
      <c r="AC110" s="30">
        <v>0</v>
      </c>
      <c r="AD110" s="9"/>
      <c r="AE110" s="30">
        <v>0</v>
      </c>
      <c r="AF110" s="9"/>
      <c r="AG110" s="19">
        <v>0</v>
      </c>
      <c r="AI110" s="32">
        <v>0</v>
      </c>
      <c r="AK110" s="7" t="str">
        <f t="shared" si="1"/>
        <v>No</v>
      </c>
    </row>
    <row r="111" spans="1:37">
      <c r="A111" s="7" t="s">
        <v>499</v>
      </c>
      <c r="B111" s="7" t="s">
        <v>500</v>
      </c>
      <c r="C111" s="37" t="s">
        <v>93</v>
      </c>
      <c r="D111" s="296">
        <v>5008</v>
      </c>
      <c r="E111" s="297">
        <v>50008</v>
      </c>
      <c r="F111" s="27" t="s">
        <v>162</v>
      </c>
      <c r="G111" s="27" t="s">
        <v>158</v>
      </c>
      <c r="H111" s="35">
        <v>1376476</v>
      </c>
      <c r="I111" s="35">
        <v>421</v>
      </c>
      <c r="J111" s="9" t="s">
        <v>7</v>
      </c>
      <c r="K111" s="9" t="s">
        <v>159</v>
      </c>
      <c r="L111" s="8">
        <v>337</v>
      </c>
      <c r="M111" s="8">
        <v>0</v>
      </c>
      <c r="N111" s="9"/>
      <c r="O111" s="8">
        <v>0</v>
      </c>
      <c r="P111" s="9"/>
      <c r="Q111" s="8">
        <v>0</v>
      </c>
      <c r="R111" s="9"/>
      <c r="S111" s="8">
        <v>0</v>
      </c>
      <c r="T111" s="9"/>
      <c r="U111" s="8">
        <v>0</v>
      </c>
      <c r="V111" s="9"/>
      <c r="W111" s="33">
        <v>0</v>
      </c>
      <c r="X111" s="9"/>
      <c r="Y111" s="30">
        <v>0</v>
      </c>
      <c r="Z111" s="9"/>
      <c r="AA111" s="30">
        <v>0</v>
      </c>
      <c r="AB111" s="9"/>
      <c r="AC111" s="30">
        <v>0</v>
      </c>
      <c r="AD111" s="9"/>
      <c r="AE111" s="30">
        <v>0</v>
      </c>
      <c r="AF111" s="9"/>
      <c r="AG111" s="19">
        <v>0</v>
      </c>
      <c r="AI111" s="32">
        <v>0</v>
      </c>
      <c r="AK111" s="7" t="str">
        <f t="shared" si="1"/>
        <v>No</v>
      </c>
    </row>
    <row r="112" spans="1:37">
      <c r="A112" s="7" t="s">
        <v>273</v>
      </c>
      <c r="B112" s="7" t="s">
        <v>274</v>
      </c>
      <c r="C112" s="37" t="s">
        <v>58</v>
      </c>
      <c r="D112" s="296">
        <v>4008</v>
      </c>
      <c r="E112" s="297">
        <v>40008</v>
      </c>
      <c r="F112" s="27" t="s">
        <v>162</v>
      </c>
      <c r="G112" s="27" t="s">
        <v>158</v>
      </c>
      <c r="H112" s="35">
        <v>1249442</v>
      </c>
      <c r="I112" s="35">
        <v>421</v>
      </c>
      <c r="J112" s="9" t="s">
        <v>7</v>
      </c>
      <c r="K112" s="9" t="s">
        <v>159</v>
      </c>
      <c r="L112" s="8">
        <v>198</v>
      </c>
      <c r="M112" s="8">
        <v>48798</v>
      </c>
      <c r="N112" s="9"/>
      <c r="O112" s="8">
        <v>1924</v>
      </c>
      <c r="P112" s="9"/>
      <c r="Q112" s="8">
        <v>0</v>
      </c>
      <c r="R112" s="9"/>
      <c r="S112" s="8">
        <v>0</v>
      </c>
      <c r="T112" s="9"/>
      <c r="U112" s="8">
        <v>0</v>
      </c>
      <c r="V112" s="9"/>
      <c r="W112" s="33">
        <v>50722</v>
      </c>
      <c r="X112" s="9"/>
      <c r="Y112" s="30">
        <v>54.5</v>
      </c>
      <c r="Z112" s="9"/>
      <c r="AA112" s="30">
        <v>1.5</v>
      </c>
      <c r="AB112" s="9"/>
      <c r="AC112" s="30">
        <v>0</v>
      </c>
      <c r="AD112" s="9"/>
      <c r="AE112" s="30">
        <v>0</v>
      </c>
      <c r="AF112" s="9"/>
      <c r="AG112" s="19">
        <v>0</v>
      </c>
      <c r="AI112" s="32">
        <v>56</v>
      </c>
      <c r="AK112" s="7" t="str">
        <f t="shared" si="1"/>
        <v>No</v>
      </c>
    </row>
    <row r="113" spans="1:37">
      <c r="A113" s="7" t="s">
        <v>273</v>
      </c>
      <c r="B113" s="7" t="s">
        <v>274</v>
      </c>
      <c r="C113" s="37" t="s">
        <v>58</v>
      </c>
      <c r="D113" s="296">
        <v>4008</v>
      </c>
      <c r="E113" s="297">
        <v>40008</v>
      </c>
      <c r="F113" s="27" t="s">
        <v>162</v>
      </c>
      <c r="G113" s="27" t="s">
        <v>158</v>
      </c>
      <c r="H113" s="35">
        <v>1249442</v>
      </c>
      <c r="I113" s="35">
        <v>421</v>
      </c>
      <c r="J113" s="9" t="s">
        <v>10</v>
      </c>
      <c r="K113" s="9" t="s">
        <v>159</v>
      </c>
      <c r="L113" s="8">
        <v>76</v>
      </c>
      <c r="M113" s="8">
        <v>44314</v>
      </c>
      <c r="N113" s="9"/>
      <c r="O113" s="8">
        <v>0</v>
      </c>
      <c r="P113" s="9"/>
      <c r="Q113" s="8">
        <v>0</v>
      </c>
      <c r="R113" s="9"/>
      <c r="S113" s="8">
        <v>0</v>
      </c>
      <c r="T113" s="9"/>
      <c r="U113" s="8">
        <v>0</v>
      </c>
      <c r="V113" s="9"/>
      <c r="W113" s="33">
        <v>44314</v>
      </c>
      <c r="X113" s="9"/>
      <c r="Y113" s="30">
        <v>32</v>
      </c>
      <c r="Z113" s="9"/>
      <c r="AA113" s="30">
        <v>0</v>
      </c>
      <c r="AB113" s="9"/>
      <c r="AC113" s="30">
        <v>0</v>
      </c>
      <c r="AD113" s="9"/>
      <c r="AE113" s="30">
        <v>0</v>
      </c>
      <c r="AF113" s="9"/>
      <c r="AG113" s="19">
        <v>0</v>
      </c>
      <c r="AI113" s="32">
        <v>32</v>
      </c>
      <c r="AK113" s="7" t="str">
        <f t="shared" si="1"/>
        <v>No</v>
      </c>
    </row>
    <row r="114" spans="1:37">
      <c r="A114" s="7" t="s">
        <v>273</v>
      </c>
      <c r="B114" s="7" t="s">
        <v>274</v>
      </c>
      <c r="C114" s="37" t="s">
        <v>58</v>
      </c>
      <c r="D114" s="296">
        <v>4008</v>
      </c>
      <c r="E114" s="297">
        <v>40008</v>
      </c>
      <c r="F114" s="27" t="s">
        <v>162</v>
      </c>
      <c r="G114" s="27" t="s">
        <v>158</v>
      </c>
      <c r="H114" s="35">
        <v>1249442</v>
      </c>
      <c r="I114" s="35">
        <v>421</v>
      </c>
      <c r="J114" s="9" t="s">
        <v>8</v>
      </c>
      <c r="K114" s="9" t="s">
        <v>159</v>
      </c>
      <c r="L114" s="8">
        <v>67</v>
      </c>
      <c r="M114" s="8">
        <v>0</v>
      </c>
      <c r="N114" s="9"/>
      <c r="O114" s="8">
        <v>0</v>
      </c>
      <c r="P114" s="9"/>
      <c r="Q114" s="8">
        <v>0</v>
      </c>
      <c r="R114" s="9"/>
      <c r="S114" s="8">
        <v>0</v>
      </c>
      <c r="T114" s="9"/>
      <c r="U114" s="8">
        <v>0</v>
      </c>
      <c r="V114" s="9"/>
      <c r="W114" s="33">
        <v>0</v>
      </c>
      <c r="X114" s="9"/>
      <c r="Y114" s="30">
        <v>0</v>
      </c>
      <c r="Z114" s="9"/>
      <c r="AA114" s="30">
        <v>0</v>
      </c>
      <c r="AB114" s="9"/>
      <c r="AC114" s="30">
        <v>0</v>
      </c>
      <c r="AD114" s="9"/>
      <c r="AE114" s="30">
        <v>0</v>
      </c>
      <c r="AF114" s="9"/>
      <c r="AG114" s="19">
        <v>0</v>
      </c>
      <c r="AI114" s="32">
        <v>0</v>
      </c>
      <c r="AK114" s="7" t="str">
        <f t="shared" si="1"/>
        <v>No</v>
      </c>
    </row>
    <row r="115" spans="1:37">
      <c r="A115" s="7" t="s">
        <v>273</v>
      </c>
      <c r="B115" s="7" t="s">
        <v>274</v>
      </c>
      <c r="C115" s="37" t="s">
        <v>58</v>
      </c>
      <c r="D115" s="296">
        <v>4008</v>
      </c>
      <c r="E115" s="297">
        <v>40008</v>
      </c>
      <c r="F115" s="27" t="s">
        <v>162</v>
      </c>
      <c r="G115" s="27" t="s">
        <v>158</v>
      </c>
      <c r="H115" s="35">
        <v>1249442</v>
      </c>
      <c r="I115" s="35">
        <v>421</v>
      </c>
      <c r="J115" s="9" t="s">
        <v>18</v>
      </c>
      <c r="K115" s="9" t="s">
        <v>159</v>
      </c>
      <c r="L115" s="8">
        <v>64</v>
      </c>
      <c r="M115" s="8">
        <v>7420</v>
      </c>
      <c r="N115" s="9"/>
      <c r="O115" s="8">
        <v>293</v>
      </c>
      <c r="P115" s="9"/>
      <c r="Q115" s="8">
        <v>0</v>
      </c>
      <c r="R115" s="9"/>
      <c r="S115" s="8">
        <v>0</v>
      </c>
      <c r="T115" s="9"/>
      <c r="U115" s="8">
        <v>0</v>
      </c>
      <c r="V115" s="9"/>
      <c r="W115" s="33">
        <v>7713</v>
      </c>
      <c r="X115" s="9"/>
      <c r="Y115" s="30">
        <v>9</v>
      </c>
      <c r="Z115" s="9"/>
      <c r="AA115" s="30">
        <v>0.5</v>
      </c>
      <c r="AB115" s="9"/>
      <c r="AC115" s="30">
        <v>0</v>
      </c>
      <c r="AD115" s="9"/>
      <c r="AE115" s="30">
        <v>0</v>
      </c>
      <c r="AF115" s="9"/>
      <c r="AG115" s="19">
        <v>0</v>
      </c>
      <c r="AI115" s="32">
        <v>9.5</v>
      </c>
      <c r="AK115" s="7" t="str">
        <f t="shared" si="1"/>
        <v>No</v>
      </c>
    </row>
    <row r="116" spans="1:37">
      <c r="A116" s="7" t="s">
        <v>273</v>
      </c>
      <c r="B116" s="7" t="s">
        <v>274</v>
      </c>
      <c r="C116" s="37" t="s">
        <v>58</v>
      </c>
      <c r="D116" s="296">
        <v>4008</v>
      </c>
      <c r="E116" s="297">
        <v>40008</v>
      </c>
      <c r="F116" s="27" t="s">
        <v>162</v>
      </c>
      <c r="G116" s="27" t="s">
        <v>158</v>
      </c>
      <c r="H116" s="35">
        <v>1249442</v>
      </c>
      <c r="I116" s="35">
        <v>421</v>
      </c>
      <c r="J116" s="9" t="s">
        <v>21</v>
      </c>
      <c r="K116" s="9" t="s">
        <v>159</v>
      </c>
      <c r="L116" s="8">
        <v>14</v>
      </c>
      <c r="M116" s="8">
        <v>0</v>
      </c>
      <c r="N116" s="9"/>
      <c r="O116" s="8">
        <v>0</v>
      </c>
      <c r="P116" s="9"/>
      <c r="Q116" s="8">
        <v>0</v>
      </c>
      <c r="R116" s="9"/>
      <c r="S116" s="8">
        <v>0</v>
      </c>
      <c r="T116" s="9"/>
      <c r="U116" s="8">
        <v>0</v>
      </c>
      <c r="V116" s="9"/>
      <c r="W116" s="33">
        <v>0</v>
      </c>
      <c r="X116" s="9"/>
      <c r="Y116" s="30">
        <v>0</v>
      </c>
      <c r="Z116" s="9"/>
      <c r="AA116" s="30">
        <v>0</v>
      </c>
      <c r="AB116" s="9"/>
      <c r="AC116" s="30">
        <v>0</v>
      </c>
      <c r="AD116" s="9"/>
      <c r="AE116" s="30">
        <v>0</v>
      </c>
      <c r="AF116" s="9"/>
      <c r="AG116" s="19">
        <v>0</v>
      </c>
      <c r="AI116" s="32">
        <v>0</v>
      </c>
      <c r="AK116" s="7" t="str">
        <f t="shared" si="1"/>
        <v>No</v>
      </c>
    </row>
    <row r="117" spans="1:37">
      <c r="A117" s="7" t="s">
        <v>273</v>
      </c>
      <c r="B117" s="7" t="s">
        <v>274</v>
      </c>
      <c r="C117" s="37" t="s">
        <v>58</v>
      </c>
      <c r="D117" s="296">
        <v>4008</v>
      </c>
      <c r="E117" s="297">
        <v>40008</v>
      </c>
      <c r="F117" s="27" t="s">
        <v>162</v>
      </c>
      <c r="G117" s="27" t="s">
        <v>158</v>
      </c>
      <c r="H117" s="35">
        <v>1249442</v>
      </c>
      <c r="I117" s="35">
        <v>421</v>
      </c>
      <c r="J117" s="9" t="s">
        <v>12</v>
      </c>
      <c r="K117" s="9" t="s">
        <v>159</v>
      </c>
      <c r="L117" s="8">
        <v>2</v>
      </c>
      <c r="M117" s="8">
        <v>0</v>
      </c>
      <c r="N117" s="9"/>
      <c r="O117" s="8">
        <v>0</v>
      </c>
      <c r="P117" s="9"/>
      <c r="Q117" s="8">
        <v>0</v>
      </c>
      <c r="R117" s="9"/>
      <c r="S117" s="8">
        <v>0</v>
      </c>
      <c r="T117" s="9"/>
      <c r="U117" s="8">
        <v>0</v>
      </c>
      <c r="V117" s="9"/>
      <c r="W117" s="33">
        <v>0</v>
      </c>
      <c r="X117" s="9"/>
      <c r="Y117" s="30">
        <v>0</v>
      </c>
      <c r="Z117" s="9"/>
      <c r="AA117" s="30">
        <v>0</v>
      </c>
      <c r="AB117" s="9"/>
      <c r="AC117" s="30">
        <v>0</v>
      </c>
      <c r="AD117" s="9"/>
      <c r="AE117" s="30">
        <v>0</v>
      </c>
      <c r="AF117" s="9"/>
      <c r="AG117" s="19">
        <v>0</v>
      </c>
      <c r="AI117" s="32">
        <v>0</v>
      </c>
      <c r="AK117" s="7" t="str">
        <f t="shared" si="1"/>
        <v>No</v>
      </c>
    </row>
    <row r="118" spans="1:37">
      <c r="A118" s="7" t="s">
        <v>16</v>
      </c>
      <c r="B118" s="7" t="s">
        <v>675</v>
      </c>
      <c r="C118" s="37" t="s">
        <v>13</v>
      </c>
      <c r="D118" s="296">
        <v>9169</v>
      </c>
      <c r="E118" s="297">
        <v>90169</v>
      </c>
      <c r="F118" s="27" t="s">
        <v>243</v>
      </c>
      <c r="G118" s="27" t="s">
        <v>158</v>
      </c>
      <c r="H118" s="35">
        <v>3629114</v>
      </c>
      <c r="I118" s="35">
        <v>397</v>
      </c>
      <c r="J118" s="9" t="s">
        <v>8</v>
      </c>
      <c r="K118" s="9" t="s">
        <v>159</v>
      </c>
      <c r="L118" s="8">
        <v>397</v>
      </c>
      <c r="M118" s="8">
        <v>0</v>
      </c>
      <c r="N118" s="9"/>
      <c r="O118" s="8">
        <v>0</v>
      </c>
      <c r="P118" s="9"/>
      <c r="Q118" s="8">
        <v>0</v>
      </c>
      <c r="R118" s="9"/>
      <c r="S118" s="8">
        <v>1206</v>
      </c>
      <c r="T118" s="9"/>
      <c r="U118" s="8">
        <v>0</v>
      </c>
      <c r="V118" s="9"/>
      <c r="W118" s="33">
        <v>1206</v>
      </c>
      <c r="X118" s="9"/>
      <c r="Y118" s="30">
        <v>0</v>
      </c>
      <c r="Z118" s="9"/>
      <c r="AA118" s="30">
        <v>0</v>
      </c>
      <c r="AB118" s="9"/>
      <c r="AC118" s="30">
        <v>0</v>
      </c>
      <c r="AD118" s="9"/>
      <c r="AE118" s="30">
        <v>3</v>
      </c>
      <c r="AF118" s="9"/>
      <c r="AG118" s="19">
        <v>0</v>
      </c>
      <c r="AI118" s="32">
        <v>3</v>
      </c>
      <c r="AK118" s="7" t="str">
        <f t="shared" si="1"/>
        <v>No</v>
      </c>
    </row>
    <row r="119" spans="1:37">
      <c r="A119" s="7" t="s">
        <v>265</v>
      </c>
      <c r="B119" s="7" t="s">
        <v>266</v>
      </c>
      <c r="C119" s="37" t="s">
        <v>89</v>
      </c>
      <c r="D119" s="296">
        <v>40</v>
      </c>
      <c r="E119" s="297">
        <v>40</v>
      </c>
      <c r="F119" s="27" t="s">
        <v>165</v>
      </c>
      <c r="G119" s="27" t="s">
        <v>158</v>
      </c>
      <c r="H119" s="35">
        <v>3059393</v>
      </c>
      <c r="I119" s="35">
        <v>371</v>
      </c>
      <c r="J119" s="9" t="s">
        <v>18</v>
      </c>
      <c r="K119" s="9" t="s">
        <v>159</v>
      </c>
      <c r="L119" s="8">
        <v>205</v>
      </c>
      <c r="M119" s="8">
        <v>102270</v>
      </c>
      <c r="N119" s="9"/>
      <c r="O119" s="8">
        <v>2993</v>
      </c>
      <c r="P119" s="9"/>
      <c r="Q119" s="8">
        <v>788</v>
      </c>
      <c r="R119" s="9"/>
      <c r="S119" s="8">
        <v>1117</v>
      </c>
      <c r="T119" s="9"/>
      <c r="U119" s="8">
        <v>0</v>
      </c>
      <c r="V119" s="9"/>
      <c r="W119" s="33">
        <v>107168</v>
      </c>
      <c r="X119" s="9"/>
      <c r="Y119" s="30">
        <v>92.61</v>
      </c>
      <c r="Z119" s="9"/>
      <c r="AA119" s="30">
        <v>5.71</v>
      </c>
      <c r="AB119" s="9"/>
      <c r="AC119" s="30">
        <v>1.98</v>
      </c>
      <c r="AD119" s="9"/>
      <c r="AE119" s="30">
        <v>2.2000000000000002</v>
      </c>
      <c r="AF119" s="9"/>
      <c r="AG119" s="19">
        <v>0</v>
      </c>
      <c r="AI119" s="32">
        <v>102.5</v>
      </c>
      <c r="AK119" s="7" t="str">
        <f t="shared" si="1"/>
        <v>No</v>
      </c>
    </row>
    <row r="120" spans="1:37">
      <c r="A120" s="7" t="s">
        <v>575</v>
      </c>
      <c r="B120" s="7" t="s">
        <v>576</v>
      </c>
      <c r="C120" s="37" t="s">
        <v>17</v>
      </c>
      <c r="D120" s="296">
        <v>9009</v>
      </c>
      <c r="E120" s="297">
        <v>90009</v>
      </c>
      <c r="F120" s="27" t="s">
        <v>165</v>
      </c>
      <c r="G120" s="27" t="s">
        <v>158</v>
      </c>
      <c r="H120" s="35">
        <v>3281212</v>
      </c>
      <c r="I120" s="35">
        <v>371</v>
      </c>
      <c r="J120" s="9" t="s">
        <v>7</v>
      </c>
      <c r="K120" s="9" t="s">
        <v>159</v>
      </c>
      <c r="L120" s="8">
        <v>190</v>
      </c>
      <c r="M120" s="8">
        <v>79898</v>
      </c>
      <c r="N120" s="9"/>
      <c r="O120" s="8">
        <v>0</v>
      </c>
      <c r="P120" s="9"/>
      <c r="Q120" s="8">
        <v>0</v>
      </c>
      <c r="R120" s="9"/>
      <c r="S120" s="8">
        <v>6292</v>
      </c>
      <c r="T120" s="9"/>
      <c r="U120" s="8">
        <v>0</v>
      </c>
      <c r="V120" s="9"/>
      <c r="W120" s="33">
        <v>86190</v>
      </c>
      <c r="X120" s="9"/>
      <c r="Y120" s="30">
        <v>75</v>
      </c>
      <c r="Z120" s="9"/>
      <c r="AA120" s="30">
        <v>0</v>
      </c>
      <c r="AB120" s="9"/>
      <c r="AC120" s="30">
        <v>0</v>
      </c>
      <c r="AD120" s="9"/>
      <c r="AE120" s="30">
        <v>14</v>
      </c>
      <c r="AF120" s="9"/>
      <c r="AG120" s="19">
        <v>0</v>
      </c>
      <c r="AI120" s="32">
        <v>89</v>
      </c>
      <c r="AK120" s="7" t="str">
        <f t="shared" si="1"/>
        <v>No</v>
      </c>
    </row>
    <row r="121" spans="1:37">
      <c r="A121" s="7" t="s">
        <v>265</v>
      </c>
      <c r="B121" s="7" t="s">
        <v>266</v>
      </c>
      <c r="C121" s="37" t="s">
        <v>89</v>
      </c>
      <c r="D121" s="296">
        <v>40</v>
      </c>
      <c r="E121" s="297">
        <v>40</v>
      </c>
      <c r="F121" s="27" t="s">
        <v>165</v>
      </c>
      <c r="G121" s="27" t="s">
        <v>158</v>
      </c>
      <c r="H121" s="35">
        <v>3059393</v>
      </c>
      <c r="I121" s="35">
        <v>371</v>
      </c>
      <c r="J121" s="9" t="s">
        <v>21</v>
      </c>
      <c r="K121" s="9" t="s">
        <v>159</v>
      </c>
      <c r="L121" s="8">
        <v>50</v>
      </c>
      <c r="M121" s="8">
        <v>2435</v>
      </c>
      <c r="N121" s="9"/>
      <c r="O121" s="8">
        <v>3316</v>
      </c>
      <c r="P121" s="9"/>
      <c r="Q121" s="8">
        <v>8089</v>
      </c>
      <c r="R121" s="9"/>
      <c r="S121" s="8">
        <v>1447</v>
      </c>
      <c r="T121" s="9"/>
      <c r="U121" s="8">
        <v>0</v>
      </c>
      <c r="V121" s="9"/>
      <c r="W121" s="33">
        <v>15287</v>
      </c>
      <c r="X121" s="9"/>
      <c r="Y121" s="30">
        <v>4.78</v>
      </c>
      <c r="Z121" s="9"/>
      <c r="AA121" s="30">
        <v>8</v>
      </c>
      <c r="AB121" s="9"/>
      <c r="AC121" s="30">
        <v>19.8</v>
      </c>
      <c r="AD121" s="9"/>
      <c r="AE121" s="30">
        <v>2.87</v>
      </c>
      <c r="AF121" s="9"/>
      <c r="AG121" s="19">
        <v>0</v>
      </c>
      <c r="AI121" s="32">
        <v>35.450000000000003</v>
      </c>
      <c r="AK121" s="7" t="str">
        <f t="shared" si="1"/>
        <v>No</v>
      </c>
    </row>
    <row r="122" spans="1:37">
      <c r="A122" s="7" t="s">
        <v>265</v>
      </c>
      <c r="B122" s="7" t="s">
        <v>266</v>
      </c>
      <c r="C122" s="37" t="s">
        <v>89</v>
      </c>
      <c r="D122" s="296">
        <v>40</v>
      </c>
      <c r="E122" s="297">
        <v>40</v>
      </c>
      <c r="F122" s="27" t="s">
        <v>165</v>
      </c>
      <c r="G122" s="27" t="s">
        <v>158</v>
      </c>
      <c r="H122" s="35">
        <v>3059393</v>
      </c>
      <c r="I122" s="35">
        <v>371</v>
      </c>
      <c r="J122" s="9" t="s">
        <v>12</v>
      </c>
      <c r="K122" s="9" t="s">
        <v>159</v>
      </c>
      <c r="L122" s="8">
        <v>2</v>
      </c>
      <c r="M122" s="8">
        <v>0</v>
      </c>
      <c r="N122" s="9"/>
      <c r="O122" s="8">
        <v>0</v>
      </c>
      <c r="P122" s="9"/>
      <c r="Q122" s="8">
        <v>0</v>
      </c>
      <c r="R122" s="9"/>
      <c r="S122" s="8">
        <v>0</v>
      </c>
      <c r="T122" s="9"/>
      <c r="U122" s="8">
        <v>0</v>
      </c>
      <c r="V122" s="9"/>
      <c r="W122" s="33">
        <v>0</v>
      </c>
      <c r="X122" s="9"/>
      <c r="Y122" s="30">
        <v>0</v>
      </c>
      <c r="Z122" s="9"/>
      <c r="AA122" s="30">
        <v>0</v>
      </c>
      <c r="AB122" s="9"/>
      <c r="AC122" s="30">
        <v>0</v>
      </c>
      <c r="AD122" s="9"/>
      <c r="AE122" s="30">
        <v>0</v>
      </c>
      <c r="AF122" s="9"/>
      <c r="AG122" s="19">
        <v>0</v>
      </c>
      <c r="AI122" s="32">
        <v>0</v>
      </c>
      <c r="AK122" s="7" t="str">
        <f t="shared" si="1"/>
        <v>No</v>
      </c>
    </row>
    <row r="123" spans="1:37">
      <c r="A123" s="7" t="s">
        <v>711</v>
      </c>
      <c r="B123" s="7" t="s">
        <v>712</v>
      </c>
      <c r="C123" s="37" t="s">
        <v>86</v>
      </c>
      <c r="D123" s="296">
        <v>3083</v>
      </c>
      <c r="E123" s="297">
        <v>30083</v>
      </c>
      <c r="F123" s="27" t="s">
        <v>165</v>
      </c>
      <c r="G123" s="27" t="s">
        <v>158</v>
      </c>
      <c r="H123" s="35">
        <v>1439666</v>
      </c>
      <c r="I123" s="35">
        <v>369</v>
      </c>
      <c r="J123" s="9" t="s">
        <v>7</v>
      </c>
      <c r="K123" s="9" t="s">
        <v>159</v>
      </c>
      <c r="L123" s="8">
        <v>236</v>
      </c>
      <c r="M123" s="8">
        <v>79067</v>
      </c>
      <c r="N123" s="9"/>
      <c r="O123" s="8">
        <v>4219</v>
      </c>
      <c r="P123" s="9"/>
      <c r="Q123" s="8">
        <v>653</v>
      </c>
      <c r="R123" s="9"/>
      <c r="S123" s="8">
        <v>4868</v>
      </c>
      <c r="T123" s="9"/>
      <c r="U123" s="8">
        <v>0</v>
      </c>
      <c r="V123" s="9"/>
      <c r="W123" s="33">
        <v>88807</v>
      </c>
      <c r="X123" s="9"/>
      <c r="Y123" s="30">
        <v>120.35</v>
      </c>
      <c r="Z123" s="9"/>
      <c r="AA123" s="30">
        <v>4</v>
      </c>
      <c r="AB123" s="9"/>
      <c r="AC123" s="30">
        <v>0.88</v>
      </c>
      <c r="AD123" s="9"/>
      <c r="AE123" s="30">
        <v>9.66</v>
      </c>
      <c r="AF123" s="9"/>
      <c r="AG123" s="19">
        <v>0</v>
      </c>
      <c r="AI123" s="32">
        <v>134.88999999999999</v>
      </c>
      <c r="AK123" s="7" t="str">
        <f t="shared" si="1"/>
        <v>No</v>
      </c>
    </row>
    <row r="124" spans="1:37">
      <c r="A124" s="7" t="s">
        <v>711</v>
      </c>
      <c r="B124" s="7" t="s">
        <v>712</v>
      </c>
      <c r="C124" s="37" t="s">
        <v>86</v>
      </c>
      <c r="D124" s="296">
        <v>3083</v>
      </c>
      <c r="E124" s="297">
        <v>30083</v>
      </c>
      <c r="F124" s="27" t="s">
        <v>165</v>
      </c>
      <c r="G124" s="27" t="s">
        <v>158</v>
      </c>
      <c r="H124" s="35">
        <v>1439666</v>
      </c>
      <c r="I124" s="35">
        <v>369</v>
      </c>
      <c r="J124" s="9" t="s">
        <v>21</v>
      </c>
      <c r="K124" s="9" t="s">
        <v>159</v>
      </c>
      <c r="L124" s="8">
        <v>6</v>
      </c>
      <c r="M124" s="8">
        <v>2709</v>
      </c>
      <c r="N124" s="9"/>
      <c r="O124" s="8">
        <v>0</v>
      </c>
      <c r="P124" s="9"/>
      <c r="Q124" s="8">
        <v>61</v>
      </c>
      <c r="R124" s="9"/>
      <c r="S124" s="8">
        <v>457</v>
      </c>
      <c r="T124" s="9"/>
      <c r="U124" s="8">
        <v>0</v>
      </c>
      <c r="V124" s="9"/>
      <c r="W124" s="33">
        <v>3227</v>
      </c>
      <c r="X124" s="9"/>
      <c r="Y124" s="30">
        <v>6.17</v>
      </c>
      <c r="Z124" s="9"/>
      <c r="AA124" s="30">
        <v>0</v>
      </c>
      <c r="AB124" s="9"/>
      <c r="AC124" s="30">
        <v>0.08</v>
      </c>
      <c r="AD124" s="9"/>
      <c r="AE124" s="30">
        <v>0.91</v>
      </c>
      <c r="AF124" s="9"/>
      <c r="AG124" s="19">
        <v>0</v>
      </c>
      <c r="AI124" s="32">
        <v>7.16</v>
      </c>
      <c r="AK124" s="7" t="str">
        <f t="shared" si="1"/>
        <v>No</v>
      </c>
    </row>
    <row r="125" spans="1:37">
      <c r="A125" s="7" t="s">
        <v>261</v>
      </c>
      <c r="B125" s="7" t="s">
        <v>262</v>
      </c>
      <c r="C125" s="37" t="s">
        <v>73</v>
      </c>
      <c r="D125" s="296">
        <v>5016</v>
      </c>
      <c r="E125" s="297">
        <v>50016</v>
      </c>
      <c r="F125" s="27" t="s">
        <v>165</v>
      </c>
      <c r="G125" s="27" t="s">
        <v>158</v>
      </c>
      <c r="H125" s="35">
        <v>1368035</v>
      </c>
      <c r="I125" s="35">
        <v>359</v>
      </c>
      <c r="J125" s="9" t="s">
        <v>7</v>
      </c>
      <c r="K125" s="9" t="s">
        <v>159</v>
      </c>
      <c r="L125" s="8">
        <v>295</v>
      </c>
      <c r="M125" s="8">
        <v>12289</v>
      </c>
      <c r="N125" s="9"/>
      <c r="O125" s="8">
        <v>0</v>
      </c>
      <c r="P125" s="9"/>
      <c r="Q125" s="8">
        <v>0</v>
      </c>
      <c r="R125" s="9"/>
      <c r="S125" s="8">
        <v>21184</v>
      </c>
      <c r="T125" s="9"/>
      <c r="U125" s="8">
        <v>0</v>
      </c>
      <c r="V125" s="9"/>
      <c r="W125" s="33">
        <v>33473</v>
      </c>
      <c r="X125" s="9"/>
      <c r="Y125" s="30">
        <v>8</v>
      </c>
      <c r="Z125" s="9"/>
      <c r="AA125" s="30">
        <v>0</v>
      </c>
      <c r="AB125" s="9"/>
      <c r="AC125" s="30">
        <v>0</v>
      </c>
      <c r="AD125" s="9"/>
      <c r="AE125" s="30">
        <v>19</v>
      </c>
      <c r="AF125" s="9"/>
      <c r="AG125" s="19">
        <v>0</v>
      </c>
      <c r="AI125" s="32">
        <v>27</v>
      </c>
      <c r="AK125" s="7" t="str">
        <f t="shared" si="1"/>
        <v>No</v>
      </c>
    </row>
    <row r="126" spans="1:37">
      <c r="A126" s="7" t="s">
        <v>519</v>
      </c>
      <c r="B126" s="7" t="s">
        <v>520</v>
      </c>
      <c r="C126" s="37" t="s">
        <v>70</v>
      </c>
      <c r="D126" s="296">
        <v>2004</v>
      </c>
      <c r="E126" s="297">
        <v>20004</v>
      </c>
      <c r="F126" s="27" t="s">
        <v>165</v>
      </c>
      <c r="G126" s="27" t="s">
        <v>158</v>
      </c>
      <c r="H126" s="35">
        <v>935906</v>
      </c>
      <c r="I126" s="35">
        <v>352</v>
      </c>
      <c r="J126" s="9" t="s">
        <v>7</v>
      </c>
      <c r="K126" s="9" t="s">
        <v>159</v>
      </c>
      <c r="L126" s="8">
        <v>267</v>
      </c>
      <c r="M126" s="8">
        <v>0</v>
      </c>
      <c r="N126" s="9"/>
      <c r="O126" s="8">
        <v>0</v>
      </c>
      <c r="P126" s="9"/>
      <c r="Q126" s="8">
        <v>0</v>
      </c>
      <c r="R126" s="9"/>
      <c r="S126" s="8">
        <v>848</v>
      </c>
      <c r="T126" s="9"/>
      <c r="U126" s="8">
        <v>0</v>
      </c>
      <c r="V126" s="9"/>
      <c r="W126" s="33">
        <v>848</v>
      </c>
      <c r="X126" s="9"/>
      <c r="Y126" s="30">
        <v>0</v>
      </c>
      <c r="Z126" s="9"/>
      <c r="AA126" s="30">
        <v>0</v>
      </c>
      <c r="AB126" s="9"/>
      <c r="AC126" s="30">
        <v>0</v>
      </c>
      <c r="AD126" s="9"/>
      <c r="AE126" s="30">
        <v>1</v>
      </c>
      <c r="AF126" s="9"/>
      <c r="AG126" s="19">
        <v>0</v>
      </c>
      <c r="AI126" s="32">
        <v>1</v>
      </c>
      <c r="AK126" s="7" t="str">
        <f t="shared" si="1"/>
        <v>No</v>
      </c>
    </row>
    <row r="127" spans="1:37">
      <c r="A127" s="7" t="s">
        <v>519</v>
      </c>
      <c r="B127" s="7" t="s">
        <v>520</v>
      </c>
      <c r="C127" s="37" t="s">
        <v>70</v>
      </c>
      <c r="D127" s="296">
        <v>2004</v>
      </c>
      <c r="E127" s="297">
        <v>20004</v>
      </c>
      <c r="F127" s="27" t="s">
        <v>165</v>
      </c>
      <c r="G127" s="27" t="s">
        <v>158</v>
      </c>
      <c r="H127" s="35">
        <v>935906</v>
      </c>
      <c r="I127" s="35">
        <v>352</v>
      </c>
      <c r="J127" s="9" t="s">
        <v>10</v>
      </c>
      <c r="K127" s="9" t="s">
        <v>159</v>
      </c>
      <c r="L127" s="8">
        <v>62</v>
      </c>
      <c r="M127" s="8">
        <v>0</v>
      </c>
      <c r="N127" s="9"/>
      <c r="O127" s="8">
        <v>0</v>
      </c>
      <c r="P127" s="9"/>
      <c r="Q127" s="8">
        <v>0</v>
      </c>
      <c r="R127" s="9"/>
      <c r="S127" s="8">
        <v>0</v>
      </c>
      <c r="T127" s="9"/>
      <c r="U127" s="8">
        <v>0</v>
      </c>
      <c r="V127" s="9"/>
      <c r="W127" s="33">
        <v>0</v>
      </c>
      <c r="X127" s="9"/>
      <c r="Y127" s="30">
        <v>0</v>
      </c>
      <c r="Z127" s="9"/>
      <c r="AA127" s="30">
        <v>0</v>
      </c>
      <c r="AB127" s="9"/>
      <c r="AC127" s="30">
        <v>0</v>
      </c>
      <c r="AD127" s="9"/>
      <c r="AE127" s="30">
        <v>0</v>
      </c>
      <c r="AF127" s="9"/>
      <c r="AG127" s="19">
        <v>0</v>
      </c>
      <c r="AI127" s="32">
        <v>0</v>
      </c>
      <c r="AK127" s="7" t="str">
        <f t="shared" si="1"/>
        <v>No</v>
      </c>
    </row>
    <row r="128" spans="1:37">
      <c r="A128" s="7" t="s">
        <v>519</v>
      </c>
      <c r="B128" s="7" t="s">
        <v>520</v>
      </c>
      <c r="C128" s="37" t="s">
        <v>70</v>
      </c>
      <c r="D128" s="296">
        <v>2004</v>
      </c>
      <c r="E128" s="297">
        <v>20004</v>
      </c>
      <c r="F128" s="27" t="s">
        <v>165</v>
      </c>
      <c r="G128" s="27" t="s">
        <v>158</v>
      </c>
      <c r="H128" s="35">
        <v>935906</v>
      </c>
      <c r="I128" s="35">
        <v>352</v>
      </c>
      <c r="J128" s="9" t="s">
        <v>21</v>
      </c>
      <c r="K128" s="9" t="s">
        <v>159</v>
      </c>
      <c r="L128" s="8">
        <v>23</v>
      </c>
      <c r="M128" s="8">
        <v>0</v>
      </c>
      <c r="N128" s="9"/>
      <c r="O128" s="8">
        <v>0</v>
      </c>
      <c r="P128" s="9"/>
      <c r="Q128" s="8">
        <v>0</v>
      </c>
      <c r="R128" s="9"/>
      <c r="S128" s="8">
        <v>0</v>
      </c>
      <c r="T128" s="9"/>
      <c r="U128" s="8">
        <v>0</v>
      </c>
      <c r="V128" s="9"/>
      <c r="W128" s="33">
        <v>0</v>
      </c>
      <c r="X128" s="9"/>
      <c r="Y128" s="30">
        <v>0</v>
      </c>
      <c r="Z128" s="9"/>
      <c r="AA128" s="30">
        <v>0</v>
      </c>
      <c r="AB128" s="9"/>
      <c r="AC128" s="30">
        <v>0</v>
      </c>
      <c r="AD128" s="9"/>
      <c r="AE128" s="30">
        <v>0</v>
      </c>
      <c r="AF128" s="9"/>
      <c r="AG128" s="19">
        <v>0</v>
      </c>
      <c r="AI128" s="32">
        <v>0</v>
      </c>
      <c r="AK128" s="7" t="str">
        <f t="shared" si="1"/>
        <v>No</v>
      </c>
    </row>
    <row r="129" spans="1:37">
      <c r="A129" s="7" t="s">
        <v>616</v>
      </c>
      <c r="B129" s="7" t="s">
        <v>617</v>
      </c>
      <c r="C129" s="37" t="s">
        <v>73</v>
      </c>
      <c r="D129" s="296">
        <v>5012</v>
      </c>
      <c r="E129" s="297">
        <v>50012</v>
      </c>
      <c r="F129" s="27" t="s">
        <v>162</v>
      </c>
      <c r="G129" s="27" t="s">
        <v>158</v>
      </c>
      <c r="H129" s="35">
        <v>1624827</v>
      </c>
      <c r="I129" s="35">
        <v>350</v>
      </c>
      <c r="J129" s="9" t="s">
        <v>7</v>
      </c>
      <c r="K129" s="9" t="s">
        <v>159</v>
      </c>
      <c r="L129" s="8">
        <v>299</v>
      </c>
      <c r="M129" s="8">
        <v>1965</v>
      </c>
      <c r="N129" s="9"/>
      <c r="O129" s="8">
        <v>0</v>
      </c>
      <c r="P129" s="9"/>
      <c r="Q129" s="8">
        <v>0</v>
      </c>
      <c r="R129" s="9"/>
      <c r="S129" s="8">
        <v>3748</v>
      </c>
      <c r="T129" s="9"/>
      <c r="U129" s="8">
        <v>0</v>
      </c>
      <c r="V129" s="9"/>
      <c r="W129" s="33">
        <v>5713</v>
      </c>
      <c r="X129" s="9"/>
      <c r="Y129" s="30">
        <v>3</v>
      </c>
      <c r="Z129" s="9"/>
      <c r="AA129" s="30">
        <v>0</v>
      </c>
      <c r="AB129" s="9"/>
      <c r="AC129" s="30">
        <v>0</v>
      </c>
      <c r="AD129" s="9"/>
      <c r="AE129" s="30">
        <v>2</v>
      </c>
      <c r="AF129" s="9"/>
      <c r="AG129" s="19">
        <v>0</v>
      </c>
      <c r="AI129" s="32">
        <v>5</v>
      </c>
      <c r="AK129" s="7" t="str">
        <f t="shared" si="1"/>
        <v>No</v>
      </c>
    </row>
    <row r="130" spans="1:37">
      <c r="A130" s="7" t="s">
        <v>443</v>
      </c>
      <c r="B130" s="7" t="s">
        <v>444</v>
      </c>
      <c r="C130" s="37" t="s">
        <v>76</v>
      </c>
      <c r="D130" s="296">
        <v>7</v>
      </c>
      <c r="E130" s="297">
        <v>7</v>
      </c>
      <c r="F130" s="27" t="s">
        <v>165</v>
      </c>
      <c r="G130" s="27" t="s">
        <v>158</v>
      </c>
      <c r="H130" s="35">
        <v>247421</v>
      </c>
      <c r="I130" s="35">
        <v>342</v>
      </c>
      <c r="J130" s="9" t="s">
        <v>7</v>
      </c>
      <c r="K130" s="9" t="s">
        <v>159</v>
      </c>
      <c r="L130" s="8">
        <v>73</v>
      </c>
      <c r="M130" s="8">
        <v>0</v>
      </c>
      <c r="N130" s="9"/>
      <c r="O130" s="8">
        <v>0</v>
      </c>
      <c r="P130" s="9"/>
      <c r="Q130" s="8">
        <v>0</v>
      </c>
      <c r="R130" s="9"/>
      <c r="S130" s="8">
        <v>2239</v>
      </c>
      <c r="T130" s="9"/>
      <c r="U130" s="8">
        <v>315</v>
      </c>
      <c r="V130" s="9"/>
      <c r="W130" s="33">
        <v>2554</v>
      </c>
      <c r="X130" s="9"/>
      <c r="Y130" s="30">
        <v>0</v>
      </c>
      <c r="Z130" s="9"/>
      <c r="AA130" s="30">
        <v>0</v>
      </c>
      <c r="AB130" s="9"/>
      <c r="AC130" s="30">
        <v>0</v>
      </c>
      <c r="AD130" s="9"/>
      <c r="AE130" s="30">
        <v>1.5</v>
      </c>
      <c r="AF130" s="9"/>
      <c r="AG130" s="19">
        <v>0.2</v>
      </c>
      <c r="AI130" s="32">
        <v>1.7</v>
      </c>
      <c r="AK130" s="7" t="str">
        <f t="shared" ref="AK130:AK193" si="2">IF(AJ130&amp;AH130&amp;AF130&amp;AD130&amp;AB130&amp;Z130&amp;X130&amp;V130&amp;T130&amp;R130&amp;P130&amp;N130&lt;&gt;"","Yes","No")</f>
        <v>No</v>
      </c>
    </row>
    <row r="131" spans="1:37">
      <c r="A131" s="7" t="s">
        <v>443</v>
      </c>
      <c r="B131" s="7" t="s">
        <v>444</v>
      </c>
      <c r="C131" s="37" t="s">
        <v>76</v>
      </c>
      <c r="D131" s="296">
        <v>7</v>
      </c>
      <c r="E131" s="297">
        <v>7</v>
      </c>
      <c r="F131" s="27" t="s">
        <v>165</v>
      </c>
      <c r="G131" s="27" t="s">
        <v>158</v>
      </c>
      <c r="H131" s="35">
        <v>247421</v>
      </c>
      <c r="I131" s="35">
        <v>342</v>
      </c>
      <c r="J131" s="9" t="s">
        <v>22</v>
      </c>
      <c r="K131" s="9" t="s">
        <v>159</v>
      </c>
      <c r="L131" s="8">
        <v>8</v>
      </c>
      <c r="M131" s="8">
        <v>0</v>
      </c>
      <c r="N131" s="9"/>
      <c r="O131" s="8">
        <v>0</v>
      </c>
      <c r="P131" s="9"/>
      <c r="Q131" s="8">
        <v>0</v>
      </c>
      <c r="R131" s="9"/>
      <c r="S131" s="8">
        <v>456</v>
      </c>
      <c r="T131" s="9"/>
      <c r="U131" s="8">
        <v>0</v>
      </c>
      <c r="V131" s="9"/>
      <c r="W131" s="33">
        <v>456</v>
      </c>
      <c r="X131" s="9"/>
      <c r="Y131" s="30">
        <v>0</v>
      </c>
      <c r="Z131" s="9"/>
      <c r="AA131" s="30">
        <v>0</v>
      </c>
      <c r="AB131" s="9"/>
      <c r="AC131" s="30">
        <v>0</v>
      </c>
      <c r="AD131" s="9"/>
      <c r="AE131" s="30">
        <v>0.3</v>
      </c>
      <c r="AF131" s="9"/>
      <c r="AG131" s="19">
        <v>0</v>
      </c>
      <c r="AI131" s="32">
        <v>0.3</v>
      </c>
      <c r="AK131" s="7" t="str">
        <f t="shared" si="2"/>
        <v>No</v>
      </c>
    </row>
    <row r="132" spans="1:37">
      <c r="A132" s="7" t="s">
        <v>1154</v>
      </c>
      <c r="B132" s="7" t="s">
        <v>317</v>
      </c>
      <c r="C132" s="37" t="s">
        <v>13</v>
      </c>
      <c r="D132" s="296">
        <v>9033</v>
      </c>
      <c r="E132" s="297">
        <v>90033</v>
      </c>
      <c r="F132" s="27" t="s">
        <v>162</v>
      </c>
      <c r="G132" s="27" t="s">
        <v>158</v>
      </c>
      <c r="H132" s="35">
        <v>843168</v>
      </c>
      <c r="I132" s="35">
        <v>336</v>
      </c>
      <c r="J132" s="9" t="s">
        <v>7</v>
      </c>
      <c r="K132" s="9" t="s">
        <v>159</v>
      </c>
      <c r="L132" s="8">
        <v>207</v>
      </c>
      <c r="M132" s="8">
        <v>2477</v>
      </c>
      <c r="N132" s="9"/>
      <c r="O132" s="8">
        <v>0</v>
      </c>
      <c r="P132" s="9"/>
      <c r="Q132" s="8">
        <v>0</v>
      </c>
      <c r="R132" s="9"/>
      <c r="S132" s="8">
        <v>0</v>
      </c>
      <c r="T132" s="9"/>
      <c r="U132" s="8">
        <v>0</v>
      </c>
      <c r="V132" s="9"/>
      <c r="W132" s="33">
        <v>2477</v>
      </c>
      <c r="X132" s="9"/>
      <c r="Y132" s="30">
        <v>2</v>
      </c>
      <c r="Z132" s="9"/>
      <c r="AA132" s="30">
        <v>0</v>
      </c>
      <c r="AB132" s="9"/>
      <c r="AC132" s="30">
        <v>0</v>
      </c>
      <c r="AD132" s="9"/>
      <c r="AE132" s="30">
        <v>0</v>
      </c>
      <c r="AF132" s="9"/>
      <c r="AG132" s="19">
        <v>0</v>
      </c>
      <c r="AI132" s="32">
        <v>2</v>
      </c>
      <c r="AK132" s="7" t="str">
        <f t="shared" si="2"/>
        <v>No</v>
      </c>
    </row>
    <row r="133" spans="1:37">
      <c r="A133" s="7" t="s">
        <v>1154</v>
      </c>
      <c r="B133" s="7" t="s">
        <v>317</v>
      </c>
      <c r="C133" s="37" t="s">
        <v>13</v>
      </c>
      <c r="D133" s="296">
        <v>9033</v>
      </c>
      <c r="E133" s="297">
        <v>90033</v>
      </c>
      <c r="F133" s="27" t="s">
        <v>162</v>
      </c>
      <c r="G133" s="27" t="s">
        <v>158</v>
      </c>
      <c r="H133" s="35">
        <v>843168</v>
      </c>
      <c r="I133" s="35">
        <v>336</v>
      </c>
      <c r="J133" s="9" t="s">
        <v>10</v>
      </c>
      <c r="K133" s="9" t="s">
        <v>159</v>
      </c>
      <c r="L133" s="8">
        <v>123</v>
      </c>
      <c r="M133" s="8">
        <v>13256</v>
      </c>
      <c r="N133" s="9"/>
      <c r="O133" s="8">
        <v>0</v>
      </c>
      <c r="P133" s="9"/>
      <c r="Q133" s="8">
        <v>0</v>
      </c>
      <c r="R133" s="9"/>
      <c r="S133" s="8">
        <v>0</v>
      </c>
      <c r="T133" s="9"/>
      <c r="U133" s="8">
        <v>0</v>
      </c>
      <c r="V133" s="9"/>
      <c r="W133" s="33">
        <v>13256</v>
      </c>
      <c r="X133" s="9"/>
      <c r="Y133" s="30">
        <v>42</v>
      </c>
      <c r="Z133" s="9"/>
      <c r="AA133" s="30">
        <v>0</v>
      </c>
      <c r="AB133" s="9"/>
      <c r="AC133" s="30">
        <v>0</v>
      </c>
      <c r="AD133" s="9"/>
      <c r="AE133" s="30">
        <v>0</v>
      </c>
      <c r="AF133" s="9"/>
      <c r="AG133" s="19">
        <v>0</v>
      </c>
      <c r="AI133" s="32">
        <v>42</v>
      </c>
      <c r="AK133" s="7" t="str">
        <f t="shared" si="2"/>
        <v>No</v>
      </c>
    </row>
    <row r="134" spans="1:37">
      <c r="A134" s="7" t="s">
        <v>1154</v>
      </c>
      <c r="B134" s="7" t="s">
        <v>317</v>
      </c>
      <c r="C134" s="37" t="s">
        <v>13</v>
      </c>
      <c r="D134" s="296">
        <v>9033</v>
      </c>
      <c r="E134" s="297">
        <v>90033</v>
      </c>
      <c r="F134" s="27" t="s">
        <v>162</v>
      </c>
      <c r="G134" s="27" t="s">
        <v>158</v>
      </c>
      <c r="H134" s="35">
        <v>843168</v>
      </c>
      <c r="I134" s="35">
        <v>336</v>
      </c>
      <c r="J134" s="9" t="s">
        <v>12</v>
      </c>
      <c r="K134" s="9" t="s">
        <v>159</v>
      </c>
      <c r="L134" s="8">
        <v>6</v>
      </c>
      <c r="M134" s="8">
        <v>0</v>
      </c>
      <c r="N134" s="9"/>
      <c r="O134" s="8">
        <v>0</v>
      </c>
      <c r="P134" s="9"/>
      <c r="Q134" s="8">
        <v>0</v>
      </c>
      <c r="R134" s="9"/>
      <c r="S134" s="8">
        <v>0</v>
      </c>
      <c r="T134" s="9"/>
      <c r="U134" s="8">
        <v>0</v>
      </c>
      <c r="V134" s="9"/>
      <c r="W134" s="33">
        <v>0</v>
      </c>
      <c r="X134" s="9"/>
      <c r="Y134" s="30">
        <v>0</v>
      </c>
      <c r="Z134" s="9"/>
      <c r="AA134" s="30">
        <v>0</v>
      </c>
      <c r="AB134" s="9"/>
      <c r="AC134" s="30">
        <v>0</v>
      </c>
      <c r="AD134" s="9"/>
      <c r="AE134" s="30">
        <v>0</v>
      </c>
      <c r="AF134" s="9"/>
      <c r="AG134" s="19">
        <v>0</v>
      </c>
      <c r="AI134" s="32">
        <v>0</v>
      </c>
      <c r="AK134" s="7" t="str">
        <f t="shared" si="2"/>
        <v>No</v>
      </c>
    </row>
    <row r="135" spans="1:37">
      <c r="A135" s="7" t="s">
        <v>399</v>
      </c>
      <c r="B135" s="7" t="s">
        <v>400</v>
      </c>
      <c r="C135" s="37" t="s">
        <v>86</v>
      </c>
      <c r="D135" s="296">
        <v>3006</v>
      </c>
      <c r="E135" s="297">
        <v>30006</v>
      </c>
      <c r="F135" s="27" t="s">
        <v>401</v>
      </c>
      <c r="G135" s="27" t="s">
        <v>158</v>
      </c>
      <c r="H135" s="35">
        <v>953556</v>
      </c>
      <c r="I135" s="35">
        <v>330</v>
      </c>
      <c r="J135" s="9" t="s">
        <v>7</v>
      </c>
      <c r="K135" s="9" t="s">
        <v>159</v>
      </c>
      <c r="L135" s="8">
        <v>121</v>
      </c>
      <c r="M135" s="8">
        <v>11976</v>
      </c>
      <c r="N135" s="9"/>
      <c r="O135" s="8">
        <v>6960</v>
      </c>
      <c r="P135" s="9"/>
      <c r="Q135" s="8">
        <v>0</v>
      </c>
      <c r="R135" s="9"/>
      <c r="S135" s="8">
        <v>20221</v>
      </c>
      <c r="T135" s="9"/>
      <c r="U135" s="8">
        <v>0</v>
      </c>
      <c r="V135" s="9"/>
      <c r="W135" s="33">
        <v>39157</v>
      </c>
      <c r="X135" s="9"/>
      <c r="Y135" s="30">
        <v>16</v>
      </c>
      <c r="Z135" s="9"/>
      <c r="AA135" s="30">
        <v>5</v>
      </c>
      <c r="AB135" s="9"/>
      <c r="AC135" s="30">
        <v>0</v>
      </c>
      <c r="AD135" s="9"/>
      <c r="AE135" s="30">
        <v>13</v>
      </c>
      <c r="AF135" s="9"/>
      <c r="AG135" s="19">
        <v>0</v>
      </c>
      <c r="AI135" s="32">
        <v>34</v>
      </c>
      <c r="AK135" s="7" t="str">
        <f t="shared" si="2"/>
        <v>No</v>
      </c>
    </row>
    <row r="136" spans="1:37">
      <c r="A136" s="7" t="s">
        <v>630</v>
      </c>
      <c r="B136" s="7" t="s">
        <v>292</v>
      </c>
      <c r="C136" s="37" t="s">
        <v>52</v>
      </c>
      <c r="D136" s="296">
        <v>5031</v>
      </c>
      <c r="E136" s="297">
        <v>50031</v>
      </c>
      <c r="F136" s="27" t="s">
        <v>165</v>
      </c>
      <c r="G136" s="27" t="s">
        <v>158</v>
      </c>
      <c r="H136" s="35">
        <v>3734090</v>
      </c>
      <c r="I136" s="35">
        <v>317</v>
      </c>
      <c r="J136" s="9" t="s">
        <v>7</v>
      </c>
      <c r="K136" s="9" t="s">
        <v>159</v>
      </c>
      <c r="L136" s="8">
        <v>195</v>
      </c>
      <c r="M136" s="8">
        <v>0</v>
      </c>
      <c r="N136" s="9"/>
      <c r="O136" s="8">
        <v>0</v>
      </c>
      <c r="P136" s="9"/>
      <c r="Q136" s="8">
        <v>0</v>
      </c>
      <c r="R136" s="9"/>
      <c r="S136" s="8">
        <v>0</v>
      </c>
      <c r="T136" s="9"/>
      <c r="U136" s="8">
        <v>0</v>
      </c>
      <c r="V136" s="9"/>
      <c r="W136" s="33">
        <v>0</v>
      </c>
      <c r="X136" s="9"/>
      <c r="Y136" s="30">
        <v>0</v>
      </c>
      <c r="Z136" s="9"/>
      <c r="AA136" s="30">
        <v>0</v>
      </c>
      <c r="AB136" s="9"/>
      <c r="AC136" s="30">
        <v>0</v>
      </c>
      <c r="AD136" s="9"/>
      <c r="AE136" s="30">
        <v>0</v>
      </c>
      <c r="AF136" s="9"/>
      <c r="AG136" s="19">
        <v>0</v>
      </c>
      <c r="AI136" s="32">
        <v>0</v>
      </c>
      <c r="AK136" s="7" t="str">
        <f t="shared" si="2"/>
        <v>No</v>
      </c>
    </row>
    <row r="137" spans="1:37">
      <c r="A137" s="7" t="s">
        <v>630</v>
      </c>
      <c r="B137" s="7" t="s">
        <v>292</v>
      </c>
      <c r="C137" s="37" t="s">
        <v>52</v>
      </c>
      <c r="D137" s="296">
        <v>5031</v>
      </c>
      <c r="E137" s="297">
        <v>50031</v>
      </c>
      <c r="F137" s="27" t="s">
        <v>165</v>
      </c>
      <c r="G137" s="27" t="s">
        <v>158</v>
      </c>
      <c r="H137" s="35">
        <v>3734090</v>
      </c>
      <c r="I137" s="35">
        <v>317</v>
      </c>
      <c r="J137" s="9" t="s">
        <v>10</v>
      </c>
      <c r="K137" s="9" t="s">
        <v>159</v>
      </c>
      <c r="L137" s="8">
        <v>84</v>
      </c>
      <c r="M137" s="8">
        <v>0</v>
      </c>
      <c r="N137" s="9"/>
      <c r="O137" s="8">
        <v>0</v>
      </c>
      <c r="P137" s="9"/>
      <c r="Q137" s="8">
        <v>0</v>
      </c>
      <c r="R137" s="9"/>
      <c r="S137" s="8">
        <v>0</v>
      </c>
      <c r="T137" s="9"/>
      <c r="U137" s="8">
        <v>0</v>
      </c>
      <c r="V137" s="9"/>
      <c r="W137" s="33">
        <v>0</v>
      </c>
      <c r="X137" s="9"/>
      <c r="Y137" s="30">
        <v>0</v>
      </c>
      <c r="Z137" s="9"/>
      <c r="AA137" s="30">
        <v>0</v>
      </c>
      <c r="AB137" s="9"/>
      <c r="AC137" s="30">
        <v>0</v>
      </c>
      <c r="AD137" s="9"/>
      <c r="AE137" s="30">
        <v>0</v>
      </c>
      <c r="AF137" s="9"/>
      <c r="AG137" s="19">
        <v>0</v>
      </c>
      <c r="AI137" s="32">
        <v>0</v>
      </c>
      <c r="AK137" s="7" t="str">
        <f t="shared" si="2"/>
        <v>No</v>
      </c>
    </row>
    <row r="138" spans="1:37">
      <c r="A138" s="7" t="s">
        <v>661</v>
      </c>
      <c r="B138" s="7" t="s">
        <v>662</v>
      </c>
      <c r="C138" s="37" t="s">
        <v>45</v>
      </c>
      <c r="D138" s="296">
        <v>4018</v>
      </c>
      <c r="E138" s="297">
        <v>40018</v>
      </c>
      <c r="F138" s="27" t="s">
        <v>165</v>
      </c>
      <c r="G138" s="27" t="s">
        <v>158</v>
      </c>
      <c r="H138" s="35">
        <v>972546</v>
      </c>
      <c r="I138" s="35">
        <v>316</v>
      </c>
      <c r="J138" s="9" t="s">
        <v>7</v>
      </c>
      <c r="K138" s="9" t="s">
        <v>159</v>
      </c>
      <c r="L138" s="8">
        <v>172</v>
      </c>
      <c r="M138" s="8">
        <v>19430</v>
      </c>
      <c r="N138" s="9"/>
      <c r="O138" s="8">
        <v>0</v>
      </c>
      <c r="P138" s="9"/>
      <c r="Q138" s="8">
        <v>0</v>
      </c>
      <c r="R138" s="9"/>
      <c r="S138" s="8">
        <v>2437</v>
      </c>
      <c r="T138" s="9"/>
      <c r="U138" s="8">
        <v>0</v>
      </c>
      <c r="V138" s="9"/>
      <c r="W138" s="33">
        <v>21867</v>
      </c>
      <c r="X138" s="9"/>
      <c r="Y138" s="30">
        <v>16</v>
      </c>
      <c r="Z138" s="9"/>
      <c r="AA138" s="30">
        <v>0</v>
      </c>
      <c r="AB138" s="9"/>
      <c r="AC138" s="30">
        <v>0</v>
      </c>
      <c r="AD138" s="9"/>
      <c r="AE138" s="30">
        <v>3</v>
      </c>
      <c r="AF138" s="9"/>
      <c r="AG138" s="19">
        <v>0</v>
      </c>
      <c r="AI138" s="32">
        <v>19</v>
      </c>
      <c r="AK138" s="7" t="str">
        <f t="shared" si="2"/>
        <v>No</v>
      </c>
    </row>
    <row r="139" spans="1:37">
      <c r="A139" s="7" t="s">
        <v>661</v>
      </c>
      <c r="B139" s="7" t="s">
        <v>662</v>
      </c>
      <c r="C139" s="37" t="s">
        <v>45</v>
      </c>
      <c r="D139" s="296">
        <v>4018</v>
      </c>
      <c r="E139" s="297">
        <v>40018</v>
      </c>
      <c r="F139" s="27" t="s">
        <v>165</v>
      </c>
      <c r="G139" s="27" t="s">
        <v>158</v>
      </c>
      <c r="H139" s="35">
        <v>972546</v>
      </c>
      <c r="I139" s="35">
        <v>316</v>
      </c>
      <c r="J139" s="9" t="s">
        <v>10</v>
      </c>
      <c r="K139" s="9" t="s">
        <v>159</v>
      </c>
      <c r="L139" s="8">
        <v>2</v>
      </c>
      <c r="M139" s="8">
        <v>0</v>
      </c>
      <c r="N139" s="9"/>
      <c r="O139" s="8">
        <v>0</v>
      </c>
      <c r="P139" s="9"/>
      <c r="Q139" s="8">
        <v>0</v>
      </c>
      <c r="R139" s="9"/>
      <c r="S139" s="8">
        <v>0</v>
      </c>
      <c r="T139" s="9"/>
      <c r="U139" s="8">
        <v>0</v>
      </c>
      <c r="V139" s="9"/>
      <c r="W139" s="33">
        <v>0</v>
      </c>
      <c r="X139" s="9"/>
      <c r="Y139" s="30">
        <v>0</v>
      </c>
      <c r="Z139" s="9"/>
      <c r="AA139" s="30">
        <v>0</v>
      </c>
      <c r="AB139" s="9"/>
      <c r="AC139" s="30">
        <v>0</v>
      </c>
      <c r="AD139" s="9"/>
      <c r="AE139" s="30">
        <v>0</v>
      </c>
      <c r="AF139" s="9"/>
      <c r="AG139" s="19">
        <v>0</v>
      </c>
      <c r="AI139" s="32">
        <v>0</v>
      </c>
      <c r="AK139" s="7" t="str">
        <f t="shared" si="2"/>
        <v>No</v>
      </c>
    </row>
    <row r="140" spans="1:37">
      <c r="A140" s="7" t="s">
        <v>620</v>
      </c>
      <c r="B140" s="7" t="s">
        <v>621</v>
      </c>
      <c r="C140" s="37" t="s">
        <v>89</v>
      </c>
      <c r="D140" s="296">
        <v>2</v>
      </c>
      <c r="E140" s="297">
        <v>2</v>
      </c>
      <c r="F140" s="27" t="s">
        <v>165</v>
      </c>
      <c r="G140" s="27" t="s">
        <v>158</v>
      </c>
      <c r="H140" s="35">
        <v>387847</v>
      </c>
      <c r="I140" s="35">
        <v>307</v>
      </c>
      <c r="J140" s="9" t="s">
        <v>7</v>
      </c>
      <c r="K140" s="9" t="s">
        <v>159</v>
      </c>
      <c r="L140" s="8">
        <v>111</v>
      </c>
      <c r="M140" s="8">
        <v>26619</v>
      </c>
      <c r="N140" s="9"/>
      <c r="O140" s="8">
        <v>0</v>
      </c>
      <c r="P140" s="9"/>
      <c r="Q140" s="8">
        <v>0</v>
      </c>
      <c r="R140" s="9"/>
      <c r="S140" s="8">
        <v>0</v>
      </c>
      <c r="T140" s="9"/>
      <c r="U140" s="8">
        <v>0</v>
      </c>
      <c r="V140" s="9"/>
      <c r="W140" s="33">
        <v>26619</v>
      </c>
      <c r="X140" s="9"/>
      <c r="Y140" s="30">
        <v>39</v>
      </c>
      <c r="Z140" s="9"/>
      <c r="AA140" s="30">
        <v>0</v>
      </c>
      <c r="AB140" s="9"/>
      <c r="AC140" s="30">
        <v>0</v>
      </c>
      <c r="AD140" s="9"/>
      <c r="AE140" s="30">
        <v>0</v>
      </c>
      <c r="AF140" s="9"/>
      <c r="AG140" s="19">
        <v>0</v>
      </c>
      <c r="AI140" s="32">
        <v>39</v>
      </c>
      <c r="AK140" s="7" t="str">
        <f t="shared" si="2"/>
        <v>No</v>
      </c>
    </row>
    <row r="141" spans="1:37">
      <c r="A141" s="7" t="s">
        <v>620</v>
      </c>
      <c r="B141" s="7" t="s">
        <v>621</v>
      </c>
      <c r="C141" s="37" t="s">
        <v>89</v>
      </c>
      <c r="D141" s="296">
        <v>2</v>
      </c>
      <c r="E141" s="297">
        <v>2</v>
      </c>
      <c r="F141" s="27" t="s">
        <v>165</v>
      </c>
      <c r="G141" s="27" t="s">
        <v>158</v>
      </c>
      <c r="H141" s="35">
        <v>387847</v>
      </c>
      <c r="I141" s="35">
        <v>307</v>
      </c>
      <c r="J141" s="9" t="s">
        <v>8</v>
      </c>
      <c r="K141" s="9" t="s">
        <v>159</v>
      </c>
      <c r="L141" s="8">
        <v>97</v>
      </c>
      <c r="M141" s="8">
        <v>0</v>
      </c>
      <c r="N141" s="9"/>
      <c r="O141" s="8">
        <v>0</v>
      </c>
      <c r="P141" s="9"/>
      <c r="Q141" s="8">
        <v>0</v>
      </c>
      <c r="R141" s="9"/>
      <c r="S141" s="8">
        <v>0</v>
      </c>
      <c r="T141" s="9"/>
      <c r="U141" s="8">
        <v>0</v>
      </c>
      <c r="V141" s="9"/>
      <c r="W141" s="33">
        <v>0</v>
      </c>
      <c r="X141" s="9"/>
      <c r="Y141" s="30">
        <v>0</v>
      </c>
      <c r="Z141" s="9"/>
      <c r="AA141" s="30">
        <v>0</v>
      </c>
      <c r="AB141" s="9"/>
      <c r="AC141" s="30">
        <v>0</v>
      </c>
      <c r="AD141" s="9"/>
      <c r="AE141" s="30">
        <v>0</v>
      </c>
      <c r="AF141" s="9"/>
      <c r="AG141" s="19">
        <v>0</v>
      </c>
      <c r="AI141" s="32">
        <v>0</v>
      </c>
      <c r="AK141" s="7" t="str">
        <f t="shared" si="2"/>
        <v>No</v>
      </c>
    </row>
    <row r="142" spans="1:37">
      <c r="A142" s="7" t="s">
        <v>620</v>
      </c>
      <c r="B142" s="7" t="s">
        <v>621</v>
      </c>
      <c r="C142" s="37" t="s">
        <v>89</v>
      </c>
      <c r="D142" s="296">
        <v>2</v>
      </c>
      <c r="E142" s="297">
        <v>2</v>
      </c>
      <c r="F142" s="27" t="s">
        <v>165</v>
      </c>
      <c r="G142" s="27" t="s">
        <v>158</v>
      </c>
      <c r="H142" s="35">
        <v>387847</v>
      </c>
      <c r="I142" s="35">
        <v>307</v>
      </c>
      <c r="J142" s="9" t="s">
        <v>10</v>
      </c>
      <c r="K142" s="9" t="s">
        <v>159</v>
      </c>
      <c r="L142" s="8">
        <v>52</v>
      </c>
      <c r="M142" s="8">
        <v>5423</v>
      </c>
      <c r="N142" s="9"/>
      <c r="O142" s="8">
        <v>0</v>
      </c>
      <c r="P142" s="9"/>
      <c r="Q142" s="8">
        <v>0</v>
      </c>
      <c r="R142" s="9"/>
      <c r="S142" s="8">
        <v>0</v>
      </c>
      <c r="T142" s="9"/>
      <c r="U142" s="8">
        <v>0</v>
      </c>
      <c r="V142" s="9"/>
      <c r="W142" s="33">
        <v>5423</v>
      </c>
      <c r="X142" s="9"/>
      <c r="Y142" s="30">
        <v>5</v>
      </c>
      <c r="Z142" s="9"/>
      <c r="AA142" s="30">
        <v>0</v>
      </c>
      <c r="AB142" s="9"/>
      <c r="AC142" s="30">
        <v>0</v>
      </c>
      <c r="AD142" s="9"/>
      <c r="AE142" s="30">
        <v>0</v>
      </c>
      <c r="AF142" s="9"/>
      <c r="AG142" s="19">
        <v>0</v>
      </c>
      <c r="AI142" s="32">
        <v>5</v>
      </c>
      <c r="AK142" s="7" t="str">
        <f t="shared" si="2"/>
        <v>No</v>
      </c>
    </row>
    <row r="143" spans="1:37">
      <c r="A143" s="7" t="s">
        <v>550</v>
      </c>
      <c r="B143" s="7" t="s">
        <v>551</v>
      </c>
      <c r="C143" s="37" t="s">
        <v>63</v>
      </c>
      <c r="D143" s="296">
        <v>2098</v>
      </c>
      <c r="E143" s="297">
        <v>20098</v>
      </c>
      <c r="F143" s="27" t="s">
        <v>165</v>
      </c>
      <c r="G143" s="27" t="s">
        <v>158</v>
      </c>
      <c r="H143" s="35">
        <v>18351295</v>
      </c>
      <c r="I143" s="35">
        <v>303</v>
      </c>
      <c r="J143" s="9" t="s">
        <v>20</v>
      </c>
      <c r="K143" s="9" t="s">
        <v>159</v>
      </c>
      <c r="L143" s="8">
        <v>298</v>
      </c>
      <c r="M143" s="8">
        <v>0</v>
      </c>
      <c r="N143" s="9"/>
      <c r="O143" s="8">
        <v>0</v>
      </c>
      <c r="P143" s="9"/>
      <c r="Q143" s="8">
        <v>0</v>
      </c>
      <c r="R143" s="9"/>
      <c r="S143" s="8">
        <v>0</v>
      </c>
      <c r="T143" s="9"/>
      <c r="U143" s="8">
        <v>0</v>
      </c>
      <c r="V143" s="9"/>
      <c r="W143" s="33">
        <v>0</v>
      </c>
      <c r="X143" s="9"/>
      <c r="Y143" s="30">
        <v>0</v>
      </c>
      <c r="Z143" s="9"/>
      <c r="AA143" s="30">
        <v>0</v>
      </c>
      <c r="AB143" s="9"/>
      <c r="AC143" s="30">
        <v>0</v>
      </c>
      <c r="AD143" s="9"/>
      <c r="AE143" s="30">
        <v>0</v>
      </c>
      <c r="AF143" s="9"/>
      <c r="AG143" s="19">
        <v>0</v>
      </c>
      <c r="AI143" s="32">
        <v>0</v>
      </c>
      <c r="AK143" s="7" t="str">
        <f t="shared" si="2"/>
        <v>No</v>
      </c>
    </row>
    <row r="144" spans="1:37">
      <c r="A144" s="7" t="s">
        <v>432</v>
      </c>
      <c r="B144" s="7" t="s">
        <v>433</v>
      </c>
      <c r="C144" s="37" t="s">
        <v>55</v>
      </c>
      <c r="D144" s="296">
        <v>7005</v>
      </c>
      <c r="E144" s="297">
        <v>70005</v>
      </c>
      <c r="F144" s="27" t="s">
        <v>165</v>
      </c>
      <c r="G144" s="27" t="s">
        <v>158</v>
      </c>
      <c r="H144" s="35">
        <v>1519417</v>
      </c>
      <c r="I144" s="35">
        <v>298</v>
      </c>
      <c r="J144" s="9" t="s">
        <v>7</v>
      </c>
      <c r="K144" s="9" t="s">
        <v>159</v>
      </c>
      <c r="L144" s="8">
        <v>168</v>
      </c>
      <c r="M144" s="8">
        <v>92647</v>
      </c>
      <c r="N144" s="9"/>
      <c r="O144" s="8">
        <v>765</v>
      </c>
      <c r="P144" s="9"/>
      <c r="Q144" s="8">
        <v>0</v>
      </c>
      <c r="R144" s="9"/>
      <c r="S144" s="8">
        <v>0</v>
      </c>
      <c r="T144" s="9"/>
      <c r="U144" s="8">
        <v>0</v>
      </c>
      <c r="V144" s="9"/>
      <c r="W144" s="33">
        <v>93412</v>
      </c>
      <c r="X144" s="9"/>
      <c r="Y144" s="30">
        <v>99</v>
      </c>
      <c r="Z144" s="9"/>
      <c r="AA144" s="30">
        <v>1</v>
      </c>
      <c r="AB144" s="9"/>
      <c r="AC144" s="30">
        <v>0</v>
      </c>
      <c r="AD144" s="9"/>
      <c r="AE144" s="30">
        <v>0</v>
      </c>
      <c r="AF144" s="9"/>
      <c r="AG144" s="19">
        <v>0</v>
      </c>
      <c r="AI144" s="32">
        <v>100</v>
      </c>
      <c r="AK144" s="7" t="str">
        <f t="shared" si="2"/>
        <v>No</v>
      </c>
    </row>
    <row r="145" spans="1:37">
      <c r="A145" s="7" t="s">
        <v>246</v>
      </c>
      <c r="B145" s="7" t="s">
        <v>247</v>
      </c>
      <c r="C145" s="37" t="s">
        <v>58</v>
      </c>
      <c r="D145" s="296">
        <v>4007</v>
      </c>
      <c r="E145" s="297">
        <v>40007</v>
      </c>
      <c r="F145" s="27" t="s">
        <v>162</v>
      </c>
      <c r="G145" s="27" t="s">
        <v>158</v>
      </c>
      <c r="H145" s="35">
        <v>884891</v>
      </c>
      <c r="I145" s="35">
        <v>298</v>
      </c>
      <c r="J145" s="9" t="s">
        <v>7</v>
      </c>
      <c r="K145" s="9" t="s">
        <v>159</v>
      </c>
      <c r="L145" s="8">
        <v>65</v>
      </c>
      <c r="M145" s="8">
        <v>0</v>
      </c>
      <c r="N145" s="9"/>
      <c r="O145" s="8">
        <v>0</v>
      </c>
      <c r="P145" s="9"/>
      <c r="Q145" s="8">
        <v>0</v>
      </c>
      <c r="R145" s="9"/>
      <c r="S145" s="8">
        <v>1460</v>
      </c>
      <c r="T145" s="9"/>
      <c r="U145" s="8">
        <v>0</v>
      </c>
      <c r="V145" s="9"/>
      <c r="W145" s="33">
        <v>1460</v>
      </c>
      <c r="X145" s="9"/>
      <c r="Y145" s="30">
        <v>0</v>
      </c>
      <c r="Z145" s="9"/>
      <c r="AA145" s="30">
        <v>0</v>
      </c>
      <c r="AB145" s="9"/>
      <c r="AC145" s="30">
        <v>0</v>
      </c>
      <c r="AD145" s="9"/>
      <c r="AE145" s="30">
        <v>2</v>
      </c>
      <c r="AF145" s="9"/>
      <c r="AG145" s="19">
        <v>0</v>
      </c>
      <c r="AI145" s="32">
        <v>2</v>
      </c>
      <c r="AK145" s="7" t="str">
        <f t="shared" si="2"/>
        <v>No</v>
      </c>
    </row>
    <row r="146" spans="1:37">
      <c r="A146" s="7" t="s">
        <v>432</v>
      </c>
      <c r="B146" s="7" t="s">
        <v>433</v>
      </c>
      <c r="C146" s="37" t="s">
        <v>55</v>
      </c>
      <c r="D146" s="296">
        <v>7005</v>
      </c>
      <c r="E146" s="297">
        <v>70005</v>
      </c>
      <c r="F146" s="27" t="s">
        <v>165</v>
      </c>
      <c r="G146" s="27" t="s">
        <v>158</v>
      </c>
      <c r="H146" s="35">
        <v>1519417</v>
      </c>
      <c r="I146" s="35">
        <v>298</v>
      </c>
      <c r="J146" s="9" t="s">
        <v>8</v>
      </c>
      <c r="K146" s="9" t="s">
        <v>159</v>
      </c>
      <c r="L146" s="8">
        <v>23</v>
      </c>
      <c r="M146" s="8">
        <v>0</v>
      </c>
      <c r="N146" s="9"/>
      <c r="O146" s="8">
        <v>0</v>
      </c>
      <c r="P146" s="9"/>
      <c r="Q146" s="8">
        <v>0</v>
      </c>
      <c r="R146" s="9"/>
      <c r="S146" s="8">
        <v>0</v>
      </c>
      <c r="T146" s="9"/>
      <c r="U146" s="8">
        <v>0</v>
      </c>
      <c r="V146" s="9"/>
      <c r="W146" s="33">
        <v>0</v>
      </c>
      <c r="X146" s="9"/>
      <c r="Y146" s="30">
        <v>0</v>
      </c>
      <c r="Z146" s="9"/>
      <c r="AA146" s="30">
        <v>0</v>
      </c>
      <c r="AB146" s="9"/>
      <c r="AC146" s="30">
        <v>0</v>
      </c>
      <c r="AD146" s="9"/>
      <c r="AE146" s="30">
        <v>0</v>
      </c>
      <c r="AF146" s="9"/>
      <c r="AG146" s="19">
        <v>0</v>
      </c>
      <c r="AI146" s="32">
        <v>0</v>
      </c>
      <c r="AK146" s="7" t="str">
        <f t="shared" si="2"/>
        <v>No</v>
      </c>
    </row>
    <row r="147" spans="1:37">
      <c r="A147" s="7" t="s">
        <v>432</v>
      </c>
      <c r="B147" s="7" t="s">
        <v>433</v>
      </c>
      <c r="C147" s="37" t="s">
        <v>55</v>
      </c>
      <c r="D147" s="296">
        <v>7005</v>
      </c>
      <c r="E147" s="297">
        <v>70005</v>
      </c>
      <c r="F147" s="27" t="s">
        <v>165</v>
      </c>
      <c r="G147" s="27" t="s">
        <v>158</v>
      </c>
      <c r="H147" s="35">
        <v>1519417</v>
      </c>
      <c r="I147" s="35">
        <v>298</v>
      </c>
      <c r="J147" s="9" t="s">
        <v>10</v>
      </c>
      <c r="K147" s="9" t="s">
        <v>159</v>
      </c>
      <c r="L147" s="8">
        <v>19</v>
      </c>
      <c r="M147" s="8">
        <v>0</v>
      </c>
      <c r="N147" s="9"/>
      <c r="O147" s="8">
        <v>0</v>
      </c>
      <c r="P147" s="9"/>
      <c r="Q147" s="8">
        <v>0</v>
      </c>
      <c r="R147" s="9"/>
      <c r="S147" s="8">
        <v>0</v>
      </c>
      <c r="T147" s="9"/>
      <c r="U147" s="8">
        <v>0</v>
      </c>
      <c r="V147" s="9"/>
      <c r="W147" s="33">
        <v>0</v>
      </c>
      <c r="X147" s="9"/>
      <c r="Y147" s="30">
        <v>0</v>
      </c>
      <c r="Z147" s="9"/>
      <c r="AA147" s="30">
        <v>0</v>
      </c>
      <c r="AB147" s="9"/>
      <c r="AC147" s="30">
        <v>0</v>
      </c>
      <c r="AD147" s="9"/>
      <c r="AE147" s="30">
        <v>0</v>
      </c>
      <c r="AF147" s="9"/>
      <c r="AG147" s="19">
        <v>0</v>
      </c>
      <c r="AI147" s="32">
        <v>0</v>
      </c>
      <c r="AK147" s="7" t="str">
        <f t="shared" si="2"/>
        <v>No</v>
      </c>
    </row>
    <row r="148" spans="1:37">
      <c r="A148" s="7" t="s">
        <v>432</v>
      </c>
      <c r="B148" s="7" t="s">
        <v>433</v>
      </c>
      <c r="C148" s="37" t="s">
        <v>55</v>
      </c>
      <c r="D148" s="296">
        <v>7005</v>
      </c>
      <c r="E148" s="297">
        <v>70005</v>
      </c>
      <c r="F148" s="27" t="s">
        <v>165</v>
      </c>
      <c r="G148" s="27" t="s">
        <v>158</v>
      </c>
      <c r="H148" s="35">
        <v>1519417</v>
      </c>
      <c r="I148" s="35">
        <v>298</v>
      </c>
      <c r="J148" s="9" t="s">
        <v>22</v>
      </c>
      <c r="K148" s="9" t="s">
        <v>159</v>
      </c>
      <c r="L148" s="8">
        <v>11</v>
      </c>
      <c r="M148" s="8">
        <v>8352</v>
      </c>
      <c r="N148" s="9"/>
      <c r="O148" s="8">
        <v>0</v>
      </c>
      <c r="P148" s="9"/>
      <c r="Q148" s="8">
        <v>0</v>
      </c>
      <c r="R148" s="9"/>
      <c r="S148" s="8">
        <v>0</v>
      </c>
      <c r="T148" s="9"/>
      <c r="U148" s="8">
        <v>0</v>
      </c>
      <c r="V148" s="9"/>
      <c r="W148" s="33">
        <v>8352</v>
      </c>
      <c r="X148" s="9"/>
      <c r="Y148" s="30">
        <v>8.1999999999999993</v>
      </c>
      <c r="Z148" s="9"/>
      <c r="AA148" s="30">
        <v>0</v>
      </c>
      <c r="AB148" s="9"/>
      <c r="AC148" s="30">
        <v>0</v>
      </c>
      <c r="AD148" s="9"/>
      <c r="AE148" s="30">
        <v>0</v>
      </c>
      <c r="AF148" s="9"/>
      <c r="AG148" s="19">
        <v>0</v>
      </c>
      <c r="AI148" s="32">
        <v>8.1999999999999993</v>
      </c>
      <c r="AK148" s="7" t="str">
        <f t="shared" si="2"/>
        <v>No</v>
      </c>
    </row>
    <row r="149" spans="1:37">
      <c r="A149" s="7" t="s">
        <v>548</v>
      </c>
      <c r="B149" s="7" t="s">
        <v>549</v>
      </c>
      <c r="C149" s="37" t="s">
        <v>32</v>
      </c>
      <c r="D149" s="296">
        <v>4027</v>
      </c>
      <c r="E149" s="297">
        <v>40027</v>
      </c>
      <c r="F149" s="27" t="s">
        <v>165</v>
      </c>
      <c r="G149" s="27" t="s">
        <v>158</v>
      </c>
      <c r="H149" s="35">
        <v>2441770</v>
      </c>
      <c r="I149" s="35">
        <v>295</v>
      </c>
      <c r="J149" s="9" t="s">
        <v>7</v>
      </c>
      <c r="K149" s="9" t="s">
        <v>159</v>
      </c>
      <c r="L149" s="8">
        <v>157</v>
      </c>
      <c r="M149" s="8">
        <v>82</v>
      </c>
      <c r="N149" s="9"/>
      <c r="O149" s="8">
        <v>0</v>
      </c>
      <c r="P149" s="9"/>
      <c r="Q149" s="8">
        <v>49</v>
      </c>
      <c r="R149" s="9"/>
      <c r="S149" s="8">
        <v>358</v>
      </c>
      <c r="T149" s="9"/>
      <c r="U149" s="8">
        <v>0</v>
      </c>
      <c r="V149" s="9"/>
      <c r="W149" s="33">
        <v>489</v>
      </c>
      <c r="X149" s="9"/>
      <c r="Y149" s="30">
        <v>1</v>
      </c>
      <c r="Z149" s="9"/>
      <c r="AA149" s="30">
        <v>0</v>
      </c>
      <c r="AB149" s="9"/>
      <c r="AC149" s="30">
        <v>1</v>
      </c>
      <c r="AD149" s="9"/>
      <c r="AE149" s="30">
        <v>4</v>
      </c>
      <c r="AF149" s="9"/>
      <c r="AG149" s="19">
        <v>0</v>
      </c>
      <c r="AI149" s="32">
        <v>6</v>
      </c>
      <c r="AK149" s="7" t="str">
        <f t="shared" si="2"/>
        <v>No</v>
      </c>
    </row>
    <row r="150" spans="1:37">
      <c r="A150" s="7" t="s">
        <v>548</v>
      </c>
      <c r="B150" s="7" t="s">
        <v>549</v>
      </c>
      <c r="C150" s="37" t="s">
        <v>32</v>
      </c>
      <c r="D150" s="296">
        <v>4027</v>
      </c>
      <c r="E150" s="297">
        <v>40027</v>
      </c>
      <c r="F150" s="27" t="s">
        <v>165</v>
      </c>
      <c r="G150" s="27" t="s">
        <v>158</v>
      </c>
      <c r="H150" s="35">
        <v>2441770</v>
      </c>
      <c r="I150" s="35">
        <v>295</v>
      </c>
      <c r="J150" s="9" t="s">
        <v>18</v>
      </c>
      <c r="K150" s="9" t="s">
        <v>159</v>
      </c>
      <c r="L150" s="8">
        <v>7</v>
      </c>
      <c r="M150" s="8">
        <v>0</v>
      </c>
      <c r="N150" s="9"/>
      <c r="O150" s="8">
        <v>0</v>
      </c>
      <c r="P150" s="9"/>
      <c r="Q150" s="8">
        <v>0</v>
      </c>
      <c r="R150" s="9"/>
      <c r="S150" s="8">
        <v>0</v>
      </c>
      <c r="T150" s="9"/>
      <c r="U150" s="8">
        <v>0</v>
      </c>
      <c r="V150" s="9"/>
      <c r="W150" s="33">
        <v>0</v>
      </c>
      <c r="X150" s="9"/>
      <c r="Y150" s="30">
        <v>0</v>
      </c>
      <c r="Z150" s="9"/>
      <c r="AA150" s="30">
        <v>0</v>
      </c>
      <c r="AB150" s="9"/>
      <c r="AC150" s="30">
        <v>0</v>
      </c>
      <c r="AD150" s="9"/>
      <c r="AE150" s="30">
        <v>0</v>
      </c>
      <c r="AF150" s="9"/>
      <c r="AG150" s="19">
        <v>0</v>
      </c>
      <c r="AI150" s="32">
        <v>0</v>
      </c>
      <c r="AK150" s="7" t="str">
        <f t="shared" si="2"/>
        <v>No</v>
      </c>
    </row>
    <row r="151" spans="1:37">
      <c r="A151" s="7" t="s">
        <v>565</v>
      </c>
      <c r="B151" s="7" t="s">
        <v>566</v>
      </c>
      <c r="C151" s="37" t="s">
        <v>80</v>
      </c>
      <c r="D151" s="296">
        <v>1001</v>
      </c>
      <c r="E151" s="297">
        <v>10001</v>
      </c>
      <c r="F151" s="27" t="s">
        <v>165</v>
      </c>
      <c r="G151" s="27" t="s">
        <v>158</v>
      </c>
      <c r="H151" s="35">
        <v>1190956</v>
      </c>
      <c r="I151" s="35">
        <v>291</v>
      </c>
      <c r="J151" s="9" t="s">
        <v>7</v>
      </c>
      <c r="K151" s="9" t="s">
        <v>159</v>
      </c>
      <c r="L151" s="8">
        <v>195</v>
      </c>
      <c r="M151" s="8">
        <v>0</v>
      </c>
      <c r="N151" s="9"/>
      <c r="O151" s="8">
        <v>0</v>
      </c>
      <c r="P151" s="9"/>
      <c r="Q151" s="8">
        <v>0</v>
      </c>
      <c r="R151" s="9"/>
      <c r="S151" s="8">
        <v>3132</v>
      </c>
      <c r="T151" s="9"/>
      <c r="U151" s="8">
        <v>0</v>
      </c>
      <c r="V151" s="9"/>
      <c r="W151" s="33">
        <v>3132</v>
      </c>
      <c r="X151" s="9"/>
      <c r="Y151" s="30">
        <v>0</v>
      </c>
      <c r="Z151" s="9"/>
      <c r="AA151" s="30">
        <v>0</v>
      </c>
      <c r="AB151" s="9"/>
      <c r="AC151" s="30">
        <v>0</v>
      </c>
      <c r="AD151" s="9"/>
      <c r="AE151" s="30">
        <v>4</v>
      </c>
      <c r="AF151" s="9"/>
      <c r="AG151" s="19">
        <v>0</v>
      </c>
      <c r="AI151" s="32">
        <v>4</v>
      </c>
      <c r="AK151" s="7" t="str">
        <f t="shared" si="2"/>
        <v>No</v>
      </c>
    </row>
    <row r="152" spans="1:37">
      <c r="A152" s="7" t="s">
        <v>565</v>
      </c>
      <c r="B152" s="7" t="s">
        <v>566</v>
      </c>
      <c r="C152" s="37" t="s">
        <v>80</v>
      </c>
      <c r="D152" s="296">
        <v>1001</v>
      </c>
      <c r="E152" s="297">
        <v>10001</v>
      </c>
      <c r="F152" s="27" t="s">
        <v>165</v>
      </c>
      <c r="G152" s="27" t="s">
        <v>158</v>
      </c>
      <c r="H152" s="35">
        <v>1190956</v>
      </c>
      <c r="I152" s="35">
        <v>291</v>
      </c>
      <c r="J152" s="9" t="s">
        <v>10</v>
      </c>
      <c r="K152" s="9" t="s">
        <v>159</v>
      </c>
      <c r="L152" s="8">
        <v>79</v>
      </c>
      <c r="M152" s="8">
        <v>0</v>
      </c>
      <c r="N152" s="9"/>
      <c r="O152" s="8">
        <v>0</v>
      </c>
      <c r="P152" s="9"/>
      <c r="Q152" s="8">
        <v>0</v>
      </c>
      <c r="R152" s="9"/>
      <c r="S152" s="8">
        <v>0</v>
      </c>
      <c r="T152" s="9"/>
      <c r="U152" s="8">
        <v>0</v>
      </c>
      <c r="V152" s="9"/>
      <c r="W152" s="33">
        <v>0</v>
      </c>
      <c r="X152" s="9"/>
      <c r="Y152" s="30">
        <v>0</v>
      </c>
      <c r="Z152" s="9"/>
      <c r="AA152" s="30">
        <v>0</v>
      </c>
      <c r="AB152" s="9"/>
      <c r="AC152" s="30">
        <v>0</v>
      </c>
      <c r="AD152" s="9"/>
      <c r="AE152" s="30">
        <v>0</v>
      </c>
      <c r="AF152" s="9"/>
      <c r="AG152" s="19">
        <v>0</v>
      </c>
      <c r="AI152" s="32">
        <v>0</v>
      </c>
      <c r="AK152" s="7" t="str">
        <f t="shared" si="2"/>
        <v>No</v>
      </c>
    </row>
    <row r="153" spans="1:37">
      <c r="A153" s="7" t="s">
        <v>419</v>
      </c>
      <c r="B153" s="7" t="s">
        <v>420</v>
      </c>
      <c r="C153" s="37" t="s">
        <v>89</v>
      </c>
      <c r="D153" s="296">
        <v>19</v>
      </c>
      <c r="E153" s="297">
        <v>19</v>
      </c>
      <c r="F153" s="27" t="s">
        <v>165</v>
      </c>
      <c r="G153" s="27" t="s">
        <v>158</v>
      </c>
      <c r="H153" s="35">
        <v>176617</v>
      </c>
      <c r="I153" s="35">
        <v>286</v>
      </c>
      <c r="J153" s="9" t="s">
        <v>8</v>
      </c>
      <c r="K153" s="9" t="s">
        <v>159</v>
      </c>
      <c r="L153" s="8">
        <v>189</v>
      </c>
      <c r="M153" s="8">
        <v>0</v>
      </c>
      <c r="N153" s="9"/>
      <c r="O153" s="8">
        <v>0</v>
      </c>
      <c r="P153" s="9"/>
      <c r="Q153" s="8">
        <v>0</v>
      </c>
      <c r="R153" s="9"/>
      <c r="S153" s="8">
        <v>0</v>
      </c>
      <c r="T153" s="9"/>
      <c r="U153" s="8">
        <v>0</v>
      </c>
      <c r="V153" s="9"/>
      <c r="W153" s="33">
        <v>0</v>
      </c>
      <c r="X153" s="9"/>
      <c r="Y153" s="30">
        <v>0</v>
      </c>
      <c r="Z153" s="9"/>
      <c r="AA153" s="30">
        <v>0</v>
      </c>
      <c r="AB153" s="9"/>
      <c r="AC153" s="30">
        <v>0</v>
      </c>
      <c r="AD153" s="9"/>
      <c r="AE153" s="30">
        <v>0</v>
      </c>
      <c r="AF153" s="9"/>
      <c r="AG153" s="19">
        <v>0</v>
      </c>
      <c r="AI153" s="32">
        <v>0</v>
      </c>
      <c r="AK153" s="7" t="str">
        <f t="shared" si="2"/>
        <v>No</v>
      </c>
    </row>
    <row r="154" spans="1:37">
      <c r="A154" s="7" t="s">
        <v>419</v>
      </c>
      <c r="B154" s="7" t="s">
        <v>420</v>
      </c>
      <c r="C154" s="37" t="s">
        <v>89</v>
      </c>
      <c r="D154" s="296">
        <v>19</v>
      </c>
      <c r="E154" s="297">
        <v>19</v>
      </c>
      <c r="F154" s="27" t="s">
        <v>165</v>
      </c>
      <c r="G154" s="27" t="s">
        <v>158</v>
      </c>
      <c r="H154" s="35">
        <v>176617</v>
      </c>
      <c r="I154" s="35">
        <v>286</v>
      </c>
      <c r="J154" s="9" t="s">
        <v>7</v>
      </c>
      <c r="K154" s="9" t="s">
        <v>159</v>
      </c>
      <c r="L154" s="8">
        <v>50</v>
      </c>
      <c r="M154" s="8">
        <v>0</v>
      </c>
      <c r="N154" s="9"/>
      <c r="O154" s="8">
        <v>0</v>
      </c>
      <c r="P154" s="9"/>
      <c r="Q154" s="8">
        <v>0</v>
      </c>
      <c r="R154" s="9"/>
      <c r="S154" s="8">
        <v>0</v>
      </c>
      <c r="T154" s="9"/>
      <c r="U154" s="8">
        <v>0</v>
      </c>
      <c r="V154" s="9"/>
      <c r="W154" s="33">
        <v>0</v>
      </c>
      <c r="X154" s="9"/>
      <c r="Y154" s="30">
        <v>0</v>
      </c>
      <c r="Z154" s="9"/>
      <c r="AA154" s="30">
        <v>0</v>
      </c>
      <c r="AB154" s="9"/>
      <c r="AC154" s="30">
        <v>0</v>
      </c>
      <c r="AD154" s="9"/>
      <c r="AE154" s="30">
        <v>0</v>
      </c>
      <c r="AF154" s="9"/>
      <c r="AG154" s="19">
        <v>0</v>
      </c>
      <c r="AI154" s="32">
        <v>0</v>
      </c>
      <c r="AK154" s="7" t="str">
        <f t="shared" si="2"/>
        <v>No</v>
      </c>
    </row>
    <row r="155" spans="1:37">
      <c r="A155" s="7" t="s">
        <v>419</v>
      </c>
      <c r="B155" s="7" t="s">
        <v>420</v>
      </c>
      <c r="C155" s="37" t="s">
        <v>89</v>
      </c>
      <c r="D155" s="296">
        <v>19</v>
      </c>
      <c r="E155" s="297">
        <v>19</v>
      </c>
      <c r="F155" s="27" t="s">
        <v>165</v>
      </c>
      <c r="G155" s="27" t="s">
        <v>158</v>
      </c>
      <c r="H155" s="35">
        <v>176617</v>
      </c>
      <c r="I155" s="35">
        <v>286</v>
      </c>
      <c r="J155" s="9" t="s">
        <v>10</v>
      </c>
      <c r="K155" s="9" t="s">
        <v>159</v>
      </c>
      <c r="L155" s="8">
        <v>38</v>
      </c>
      <c r="M155" s="8">
        <v>0</v>
      </c>
      <c r="N155" s="9"/>
      <c r="O155" s="8">
        <v>0</v>
      </c>
      <c r="P155" s="9"/>
      <c r="Q155" s="8">
        <v>0</v>
      </c>
      <c r="R155" s="9"/>
      <c r="S155" s="8">
        <v>0</v>
      </c>
      <c r="T155" s="9"/>
      <c r="U155" s="8">
        <v>0</v>
      </c>
      <c r="V155" s="9"/>
      <c r="W155" s="33">
        <v>0</v>
      </c>
      <c r="X155" s="9"/>
      <c r="Y155" s="30">
        <v>0</v>
      </c>
      <c r="Z155" s="9"/>
      <c r="AA155" s="30">
        <v>0</v>
      </c>
      <c r="AB155" s="9"/>
      <c r="AC155" s="30">
        <v>0</v>
      </c>
      <c r="AD155" s="9"/>
      <c r="AE155" s="30">
        <v>0</v>
      </c>
      <c r="AF155" s="9"/>
      <c r="AG155" s="19">
        <v>0</v>
      </c>
      <c r="AI155" s="32">
        <v>0</v>
      </c>
      <c r="AK155" s="7" t="str">
        <f t="shared" si="2"/>
        <v>No</v>
      </c>
    </row>
    <row r="156" spans="1:37">
      <c r="A156" s="7" t="s">
        <v>419</v>
      </c>
      <c r="B156" s="7" t="s">
        <v>420</v>
      </c>
      <c r="C156" s="37" t="s">
        <v>89</v>
      </c>
      <c r="D156" s="296">
        <v>19</v>
      </c>
      <c r="E156" s="297">
        <v>19</v>
      </c>
      <c r="F156" s="27" t="s">
        <v>165</v>
      </c>
      <c r="G156" s="27" t="s">
        <v>158</v>
      </c>
      <c r="H156" s="35">
        <v>176617</v>
      </c>
      <c r="I156" s="35">
        <v>286</v>
      </c>
      <c r="J156" s="9" t="s">
        <v>18</v>
      </c>
      <c r="K156" s="9" t="s">
        <v>159</v>
      </c>
      <c r="L156" s="8">
        <v>9</v>
      </c>
      <c r="M156" s="8">
        <v>0</v>
      </c>
      <c r="N156" s="9"/>
      <c r="O156" s="8">
        <v>0</v>
      </c>
      <c r="P156" s="9"/>
      <c r="Q156" s="8">
        <v>0</v>
      </c>
      <c r="R156" s="9"/>
      <c r="S156" s="8">
        <v>0</v>
      </c>
      <c r="T156" s="9"/>
      <c r="U156" s="8">
        <v>0</v>
      </c>
      <c r="V156" s="9"/>
      <c r="W156" s="33">
        <v>0</v>
      </c>
      <c r="X156" s="9"/>
      <c r="Y156" s="30">
        <v>0</v>
      </c>
      <c r="Z156" s="9"/>
      <c r="AA156" s="30">
        <v>0</v>
      </c>
      <c r="AB156" s="9"/>
      <c r="AC156" s="30">
        <v>0</v>
      </c>
      <c r="AD156" s="9"/>
      <c r="AE156" s="30">
        <v>0</v>
      </c>
      <c r="AF156" s="9"/>
      <c r="AG156" s="19">
        <v>0</v>
      </c>
      <c r="AI156" s="32">
        <v>0</v>
      </c>
      <c r="AK156" s="7" t="str">
        <f t="shared" si="2"/>
        <v>No</v>
      </c>
    </row>
    <row r="157" spans="1:37">
      <c r="A157" s="7" t="s">
        <v>49</v>
      </c>
      <c r="B157" s="7" t="s">
        <v>567</v>
      </c>
      <c r="C157" s="37" t="s">
        <v>48</v>
      </c>
      <c r="D157" s="296">
        <v>3051</v>
      </c>
      <c r="E157" s="297">
        <v>30051</v>
      </c>
      <c r="F157" s="27" t="s">
        <v>162</v>
      </c>
      <c r="G157" s="27" t="s">
        <v>158</v>
      </c>
      <c r="H157" s="35">
        <v>4586770</v>
      </c>
      <c r="I157" s="35">
        <v>282</v>
      </c>
      <c r="J157" s="9" t="s">
        <v>7</v>
      </c>
      <c r="K157" s="9" t="s">
        <v>159</v>
      </c>
      <c r="L157" s="8">
        <v>282</v>
      </c>
      <c r="M157" s="8">
        <v>24095</v>
      </c>
      <c r="N157" s="9"/>
      <c r="O157" s="8">
        <v>0</v>
      </c>
      <c r="P157" s="9"/>
      <c r="Q157" s="8">
        <v>449</v>
      </c>
      <c r="R157" s="9"/>
      <c r="S157" s="8">
        <v>1873</v>
      </c>
      <c r="T157" s="9"/>
      <c r="U157" s="8">
        <v>0</v>
      </c>
      <c r="V157" s="9"/>
      <c r="W157" s="33">
        <v>26417</v>
      </c>
      <c r="X157" s="9"/>
      <c r="Y157" s="30">
        <v>34</v>
      </c>
      <c r="Z157" s="9"/>
      <c r="AA157" s="30">
        <v>0</v>
      </c>
      <c r="AB157" s="9"/>
      <c r="AC157" s="30">
        <v>1</v>
      </c>
      <c r="AD157" s="9"/>
      <c r="AE157" s="30">
        <v>2</v>
      </c>
      <c r="AF157" s="9"/>
      <c r="AG157" s="19">
        <v>0</v>
      </c>
      <c r="AI157" s="32">
        <v>37</v>
      </c>
      <c r="AK157" s="7" t="str">
        <f t="shared" si="2"/>
        <v>No</v>
      </c>
    </row>
    <row r="158" spans="1:37">
      <c r="A158" s="7" t="s">
        <v>37</v>
      </c>
      <c r="B158" s="7" t="s">
        <v>481</v>
      </c>
      <c r="C158" s="37" t="s">
        <v>36</v>
      </c>
      <c r="D158" s="296">
        <v>4153</v>
      </c>
      <c r="E158" s="297">
        <v>40153</v>
      </c>
      <c r="F158" s="27" t="s">
        <v>243</v>
      </c>
      <c r="G158" s="27" t="s">
        <v>158</v>
      </c>
      <c r="H158" s="35">
        <v>4515419</v>
      </c>
      <c r="I158" s="35">
        <v>279</v>
      </c>
      <c r="J158" s="9" t="s">
        <v>8</v>
      </c>
      <c r="K158" s="9" t="s">
        <v>159</v>
      </c>
      <c r="L158" s="8">
        <v>279</v>
      </c>
      <c r="M158" s="8">
        <v>0</v>
      </c>
      <c r="N158" s="9"/>
      <c r="O158" s="8">
        <v>0</v>
      </c>
      <c r="P158" s="9"/>
      <c r="Q158" s="8">
        <v>0</v>
      </c>
      <c r="R158" s="9"/>
      <c r="S158" s="8">
        <v>3470</v>
      </c>
      <c r="T158" s="9"/>
      <c r="U158" s="8">
        <v>0</v>
      </c>
      <c r="V158" s="9"/>
      <c r="W158" s="33">
        <v>3470</v>
      </c>
      <c r="X158" s="9"/>
      <c r="Y158" s="30">
        <v>0</v>
      </c>
      <c r="Z158" s="9"/>
      <c r="AA158" s="30">
        <v>0</v>
      </c>
      <c r="AB158" s="9"/>
      <c r="AC158" s="30">
        <v>0</v>
      </c>
      <c r="AD158" s="9"/>
      <c r="AE158" s="30">
        <v>3</v>
      </c>
      <c r="AF158" s="9"/>
      <c r="AG158" s="19">
        <v>0</v>
      </c>
      <c r="AI158" s="32">
        <v>3</v>
      </c>
      <c r="AK158" s="7" t="str">
        <f t="shared" si="2"/>
        <v>No</v>
      </c>
    </row>
    <row r="159" spans="1:37">
      <c r="A159" s="7" t="s">
        <v>250</v>
      </c>
      <c r="B159" s="7" t="s">
        <v>199</v>
      </c>
      <c r="C159" s="37" t="s">
        <v>70</v>
      </c>
      <c r="D159" s="296">
        <v>2002</v>
      </c>
      <c r="E159" s="297">
        <v>20002</v>
      </c>
      <c r="F159" s="27" t="s">
        <v>165</v>
      </c>
      <c r="G159" s="27" t="s">
        <v>158</v>
      </c>
      <c r="H159" s="35">
        <v>594962</v>
      </c>
      <c r="I159" s="35">
        <v>277</v>
      </c>
      <c r="J159" s="9" t="s">
        <v>7</v>
      </c>
      <c r="K159" s="9" t="s">
        <v>159</v>
      </c>
      <c r="L159" s="8">
        <v>201</v>
      </c>
      <c r="M159" s="8">
        <v>2129</v>
      </c>
      <c r="N159" s="9"/>
      <c r="O159" s="8">
        <v>0</v>
      </c>
      <c r="P159" s="9"/>
      <c r="Q159" s="8">
        <v>0</v>
      </c>
      <c r="R159" s="9"/>
      <c r="S159" s="8">
        <v>1610</v>
      </c>
      <c r="T159" s="9"/>
      <c r="U159" s="8">
        <v>0</v>
      </c>
      <c r="V159" s="9"/>
      <c r="W159" s="33">
        <v>3739</v>
      </c>
      <c r="X159" s="9"/>
      <c r="Y159" s="30">
        <v>3</v>
      </c>
      <c r="Z159" s="9"/>
      <c r="AA159" s="30">
        <v>0</v>
      </c>
      <c r="AB159" s="9"/>
      <c r="AC159" s="30">
        <v>0</v>
      </c>
      <c r="AD159" s="9"/>
      <c r="AE159" s="30">
        <v>2</v>
      </c>
      <c r="AF159" s="9"/>
      <c r="AG159" s="19">
        <v>0</v>
      </c>
      <c r="AI159" s="32">
        <v>5</v>
      </c>
      <c r="AK159" s="7" t="str">
        <f t="shared" si="2"/>
        <v>No</v>
      </c>
    </row>
    <row r="160" spans="1:37">
      <c r="A160" s="7" t="s">
        <v>250</v>
      </c>
      <c r="B160" s="7" t="s">
        <v>199</v>
      </c>
      <c r="C160" s="37" t="s">
        <v>70</v>
      </c>
      <c r="D160" s="296">
        <v>2002</v>
      </c>
      <c r="E160" s="297">
        <v>20002</v>
      </c>
      <c r="F160" s="27" t="s">
        <v>165</v>
      </c>
      <c r="G160" s="27" t="s">
        <v>158</v>
      </c>
      <c r="H160" s="35">
        <v>594962</v>
      </c>
      <c r="I160" s="35">
        <v>277</v>
      </c>
      <c r="J160" s="9" t="s">
        <v>10</v>
      </c>
      <c r="K160" s="9" t="s">
        <v>159</v>
      </c>
      <c r="L160" s="8">
        <v>28</v>
      </c>
      <c r="M160" s="8">
        <v>2081</v>
      </c>
      <c r="N160" s="9"/>
      <c r="O160" s="8">
        <v>0</v>
      </c>
      <c r="P160" s="9"/>
      <c r="Q160" s="8">
        <v>0</v>
      </c>
      <c r="R160" s="9"/>
      <c r="S160" s="8">
        <v>0</v>
      </c>
      <c r="T160" s="9"/>
      <c r="U160" s="8">
        <v>0</v>
      </c>
      <c r="V160" s="9"/>
      <c r="W160" s="33">
        <v>2081</v>
      </c>
      <c r="X160" s="9"/>
      <c r="Y160" s="30">
        <v>2</v>
      </c>
      <c r="Z160" s="9"/>
      <c r="AA160" s="30">
        <v>0</v>
      </c>
      <c r="AB160" s="9"/>
      <c r="AC160" s="30">
        <v>0</v>
      </c>
      <c r="AD160" s="9"/>
      <c r="AE160" s="30">
        <v>0</v>
      </c>
      <c r="AF160" s="9"/>
      <c r="AG160" s="19">
        <v>0</v>
      </c>
      <c r="AI160" s="32">
        <v>2</v>
      </c>
      <c r="AK160" s="7" t="str">
        <f t="shared" si="2"/>
        <v>No</v>
      </c>
    </row>
    <row r="161" spans="1:37">
      <c r="A161" s="7" t="s">
        <v>581</v>
      </c>
      <c r="B161" s="7" t="s">
        <v>582</v>
      </c>
      <c r="C161" s="37" t="s">
        <v>76</v>
      </c>
      <c r="D161" s="296">
        <v>25</v>
      </c>
      <c r="E161" s="297">
        <v>25</v>
      </c>
      <c r="F161" s="27" t="s">
        <v>165</v>
      </c>
      <c r="G161" s="27" t="s">
        <v>158</v>
      </c>
      <c r="H161" s="35">
        <v>236632</v>
      </c>
      <c r="I161" s="35">
        <v>276</v>
      </c>
      <c r="J161" s="9" t="s">
        <v>7</v>
      </c>
      <c r="K161" s="9" t="s">
        <v>159</v>
      </c>
      <c r="L161" s="8">
        <v>53</v>
      </c>
      <c r="M161" s="8">
        <v>787</v>
      </c>
      <c r="N161" s="9"/>
      <c r="O161" s="8">
        <v>0</v>
      </c>
      <c r="P161" s="9"/>
      <c r="Q161" s="8">
        <v>0</v>
      </c>
      <c r="R161" s="9"/>
      <c r="S161" s="8">
        <v>1471</v>
      </c>
      <c r="T161" s="9"/>
      <c r="U161" s="8">
        <v>0</v>
      </c>
      <c r="V161" s="9"/>
      <c r="W161" s="33">
        <v>2258</v>
      </c>
      <c r="X161" s="9"/>
      <c r="Y161" s="30">
        <v>1</v>
      </c>
      <c r="Z161" s="9"/>
      <c r="AA161" s="30">
        <v>0</v>
      </c>
      <c r="AB161" s="9"/>
      <c r="AC161" s="30">
        <v>0</v>
      </c>
      <c r="AD161" s="9"/>
      <c r="AE161" s="30">
        <v>1</v>
      </c>
      <c r="AF161" s="9"/>
      <c r="AG161" s="19">
        <v>0</v>
      </c>
      <c r="AI161" s="32">
        <v>2</v>
      </c>
      <c r="AK161" s="7" t="str">
        <f t="shared" si="2"/>
        <v>No</v>
      </c>
    </row>
    <row r="162" spans="1:37">
      <c r="A162" s="7" t="s">
        <v>568</v>
      </c>
      <c r="B162" s="7" t="s">
        <v>308</v>
      </c>
      <c r="C162" s="37" t="s">
        <v>17</v>
      </c>
      <c r="D162" s="296">
        <v>9031</v>
      </c>
      <c r="E162" s="297">
        <v>90031</v>
      </c>
      <c r="F162" s="27" t="s">
        <v>165</v>
      </c>
      <c r="G162" s="27" t="s">
        <v>158</v>
      </c>
      <c r="H162" s="35">
        <v>1932666</v>
      </c>
      <c r="I162" s="35">
        <v>274</v>
      </c>
      <c r="J162" s="9" t="s">
        <v>7</v>
      </c>
      <c r="K162" s="9" t="s">
        <v>159</v>
      </c>
      <c r="L162" s="8">
        <v>82</v>
      </c>
      <c r="M162" s="8">
        <v>12272</v>
      </c>
      <c r="N162" s="9"/>
      <c r="O162" s="8">
        <v>0</v>
      </c>
      <c r="P162" s="9"/>
      <c r="Q162" s="8">
        <v>0</v>
      </c>
      <c r="R162" s="9"/>
      <c r="S162" s="8">
        <v>8267</v>
      </c>
      <c r="T162" s="9"/>
      <c r="U162" s="8">
        <v>0</v>
      </c>
      <c r="V162" s="9"/>
      <c r="W162" s="33">
        <v>20539</v>
      </c>
      <c r="X162" s="9"/>
      <c r="Y162" s="30">
        <v>5.5</v>
      </c>
      <c r="Z162" s="9"/>
      <c r="AA162" s="30">
        <v>0</v>
      </c>
      <c r="AB162" s="9"/>
      <c r="AC162" s="30">
        <v>0</v>
      </c>
      <c r="AD162" s="9"/>
      <c r="AE162" s="30">
        <v>17.8</v>
      </c>
      <c r="AF162" s="9"/>
      <c r="AG162" s="19">
        <v>0</v>
      </c>
      <c r="AI162" s="32">
        <v>23.3</v>
      </c>
      <c r="AK162" s="7" t="str">
        <f t="shared" si="2"/>
        <v>No</v>
      </c>
    </row>
    <row r="163" spans="1:37">
      <c r="A163" s="7" t="s">
        <v>568</v>
      </c>
      <c r="B163" s="7" t="s">
        <v>308</v>
      </c>
      <c r="C163" s="37" t="s">
        <v>17</v>
      </c>
      <c r="D163" s="296">
        <v>9031</v>
      </c>
      <c r="E163" s="297">
        <v>90031</v>
      </c>
      <c r="F163" s="27" t="s">
        <v>165</v>
      </c>
      <c r="G163" s="27" t="s">
        <v>158</v>
      </c>
      <c r="H163" s="35">
        <v>1932666</v>
      </c>
      <c r="I163" s="35">
        <v>274</v>
      </c>
      <c r="J163" s="9" t="s">
        <v>18</v>
      </c>
      <c r="K163" s="9" t="s">
        <v>159</v>
      </c>
      <c r="L163" s="8">
        <v>15</v>
      </c>
      <c r="M163" s="8">
        <v>1028</v>
      </c>
      <c r="N163" s="9"/>
      <c r="O163" s="8">
        <v>0</v>
      </c>
      <c r="P163" s="9"/>
      <c r="Q163" s="8">
        <v>0</v>
      </c>
      <c r="R163" s="9"/>
      <c r="S163" s="8">
        <v>565</v>
      </c>
      <c r="T163" s="9"/>
      <c r="U163" s="8">
        <v>0</v>
      </c>
      <c r="V163" s="9"/>
      <c r="W163" s="33">
        <v>1593</v>
      </c>
      <c r="X163" s="9"/>
      <c r="Y163" s="30">
        <v>0.5</v>
      </c>
      <c r="Z163" s="9"/>
      <c r="AA163" s="30">
        <v>0</v>
      </c>
      <c r="AB163" s="9"/>
      <c r="AC163" s="30">
        <v>0</v>
      </c>
      <c r="AD163" s="9"/>
      <c r="AE163" s="30">
        <v>1.2</v>
      </c>
      <c r="AF163" s="9"/>
      <c r="AG163" s="19">
        <v>0</v>
      </c>
      <c r="AI163" s="32">
        <v>1.7</v>
      </c>
      <c r="AK163" s="7" t="str">
        <f t="shared" si="2"/>
        <v>No</v>
      </c>
    </row>
    <row r="164" spans="1:37">
      <c r="A164" s="7" t="s">
        <v>529</v>
      </c>
      <c r="B164" s="7" t="s">
        <v>530</v>
      </c>
      <c r="C164" s="37" t="s">
        <v>17</v>
      </c>
      <c r="D164" s="296">
        <v>9029</v>
      </c>
      <c r="E164" s="297">
        <v>90029</v>
      </c>
      <c r="F164" s="27" t="s">
        <v>165</v>
      </c>
      <c r="G164" s="27" t="s">
        <v>158</v>
      </c>
      <c r="H164" s="35">
        <v>1932666</v>
      </c>
      <c r="I164" s="35">
        <v>266</v>
      </c>
      <c r="J164" s="9" t="s">
        <v>7</v>
      </c>
      <c r="K164" s="9" t="s">
        <v>159</v>
      </c>
      <c r="L164" s="8">
        <v>162</v>
      </c>
      <c r="M164" s="8">
        <v>8280</v>
      </c>
      <c r="N164" s="9"/>
      <c r="O164" s="8">
        <v>0</v>
      </c>
      <c r="P164" s="9"/>
      <c r="Q164" s="8">
        <v>0</v>
      </c>
      <c r="R164" s="9"/>
      <c r="S164" s="8">
        <v>2439</v>
      </c>
      <c r="T164" s="9"/>
      <c r="U164" s="8">
        <v>0</v>
      </c>
      <c r="V164" s="9"/>
      <c r="W164" s="33">
        <v>10719</v>
      </c>
      <c r="X164" s="9"/>
      <c r="Y164" s="30">
        <v>25</v>
      </c>
      <c r="Z164" s="9"/>
      <c r="AA164" s="30">
        <v>0</v>
      </c>
      <c r="AB164" s="9"/>
      <c r="AC164" s="30">
        <v>0</v>
      </c>
      <c r="AD164" s="9"/>
      <c r="AE164" s="30">
        <v>3</v>
      </c>
      <c r="AF164" s="9"/>
      <c r="AG164" s="19">
        <v>0</v>
      </c>
      <c r="AI164" s="32">
        <v>28</v>
      </c>
      <c r="AK164" s="7" t="str">
        <f t="shared" si="2"/>
        <v>No</v>
      </c>
    </row>
    <row r="165" spans="1:37">
      <c r="A165" s="7" t="s">
        <v>647</v>
      </c>
      <c r="B165" s="7" t="s">
        <v>648</v>
      </c>
      <c r="C165" s="37" t="s">
        <v>73</v>
      </c>
      <c r="D165" s="296">
        <v>5022</v>
      </c>
      <c r="E165" s="297">
        <v>50022</v>
      </c>
      <c r="F165" s="27" t="s">
        <v>165</v>
      </c>
      <c r="G165" s="27" t="s">
        <v>158</v>
      </c>
      <c r="H165" s="35">
        <v>507643</v>
      </c>
      <c r="I165" s="35">
        <v>261</v>
      </c>
      <c r="J165" s="9" t="s">
        <v>7</v>
      </c>
      <c r="K165" s="9" t="s">
        <v>159</v>
      </c>
      <c r="L165" s="8">
        <v>109</v>
      </c>
      <c r="M165" s="8">
        <v>16517</v>
      </c>
      <c r="N165" s="9"/>
      <c r="O165" s="8">
        <v>2247</v>
      </c>
      <c r="P165" s="9"/>
      <c r="Q165" s="8">
        <v>2926</v>
      </c>
      <c r="R165" s="9"/>
      <c r="S165" s="8">
        <v>1982</v>
      </c>
      <c r="T165" s="9"/>
      <c r="U165" s="8">
        <v>0</v>
      </c>
      <c r="V165" s="9"/>
      <c r="W165" s="33">
        <v>23672</v>
      </c>
      <c r="X165" s="9"/>
      <c r="Y165" s="30">
        <v>14</v>
      </c>
      <c r="Z165" s="9"/>
      <c r="AA165" s="30">
        <v>2</v>
      </c>
      <c r="AB165" s="9"/>
      <c r="AC165" s="30">
        <v>3</v>
      </c>
      <c r="AD165" s="9"/>
      <c r="AE165" s="30">
        <v>4</v>
      </c>
      <c r="AF165" s="9"/>
      <c r="AG165" s="19">
        <v>0</v>
      </c>
      <c r="AI165" s="32">
        <v>23</v>
      </c>
      <c r="AK165" s="7" t="str">
        <f t="shared" si="2"/>
        <v>No</v>
      </c>
    </row>
    <row r="166" spans="1:37">
      <c r="A166" s="7" t="s">
        <v>647</v>
      </c>
      <c r="B166" s="7" t="s">
        <v>648</v>
      </c>
      <c r="C166" s="37" t="s">
        <v>73</v>
      </c>
      <c r="D166" s="296">
        <v>5022</v>
      </c>
      <c r="E166" s="297">
        <v>50022</v>
      </c>
      <c r="F166" s="27" t="s">
        <v>165</v>
      </c>
      <c r="G166" s="27" t="s">
        <v>158</v>
      </c>
      <c r="H166" s="35">
        <v>507643</v>
      </c>
      <c r="I166" s="35">
        <v>261</v>
      </c>
      <c r="J166" s="9" t="s">
        <v>10</v>
      </c>
      <c r="K166" s="9" t="s">
        <v>159</v>
      </c>
      <c r="L166" s="8">
        <v>60</v>
      </c>
      <c r="M166" s="8">
        <v>23353</v>
      </c>
      <c r="N166" s="9"/>
      <c r="O166" s="8">
        <v>0</v>
      </c>
      <c r="P166" s="9"/>
      <c r="Q166" s="8">
        <v>330</v>
      </c>
      <c r="R166" s="9"/>
      <c r="S166" s="8">
        <v>500</v>
      </c>
      <c r="T166" s="9"/>
      <c r="U166" s="8">
        <v>0</v>
      </c>
      <c r="V166" s="9"/>
      <c r="W166" s="33">
        <v>24183</v>
      </c>
      <c r="X166" s="9"/>
      <c r="Y166" s="30">
        <v>16</v>
      </c>
      <c r="Z166" s="9"/>
      <c r="AA166" s="30">
        <v>0</v>
      </c>
      <c r="AB166" s="9"/>
      <c r="AC166" s="30">
        <v>1</v>
      </c>
      <c r="AD166" s="9"/>
      <c r="AE166" s="30">
        <v>1</v>
      </c>
      <c r="AF166" s="9"/>
      <c r="AG166" s="19">
        <v>0</v>
      </c>
      <c r="AI166" s="32">
        <v>18</v>
      </c>
      <c r="AK166" s="7" t="str">
        <f t="shared" si="2"/>
        <v>No</v>
      </c>
    </row>
    <row r="167" spans="1:37">
      <c r="A167" s="7" t="s">
        <v>486</v>
      </c>
      <c r="B167" s="7" t="s">
        <v>487</v>
      </c>
      <c r="C167" s="37" t="s">
        <v>83</v>
      </c>
      <c r="D167" s="296">
        <v>4004</v>
      </c>
      <c r="E167" s="297">
        <v>40004</v>
      </c>
      <c r="F167" s="27" t="s">
        <v>165</v>
      </c>
      <c r="G167" s="27" t="s">
        <v>158</v>
      </c>
      <c r="H167" s="35">
        <v>969587</v>
      </c>
      <c r="I167" s="35">
        <v>260</v>
      </c>
      <c r="J167" s="9" t="s">
        <v>7</v>
      </c>
      <c r="K167" s="9" t="s">
        <v>159</v>
      </c>
      <c r="L167" s="8">
        <v>124</v>
      </c>
      <c r="M167" s="8">
        <v>0</v>
      </c>
      <c r="N167" s="9"/>
      <c r="O167" s="8">
        <v>0</v>
      </c>
      <c r="P167" s="9"/>
      <c r="Q167" s="8">
        <v>0</v>
      </c>
      <c r="R167" s="9"/>
      <c r="S167" s="8">
        <v>1796</v>
      </c>
      <c r="T167" s="9"/>
      <c r="U167" s="8">
        <v>0</v>
      </c>
      <c r="V167" s="9"/>
      <c r="W167" s="33">
        <v>1796</v>
      </c>
      <c r="X167" s="9"/>
      <c r="Y167" s="30">
        <v>0</v>
      </c>
      <c r="Z167" s="9"/>
      <c r="AA167" s="30">
        <v>0</v>
      </c>
      <c r="AB167" s="9"/>
      <c r="AC167" s="30">
        <v>0</v>
      </c>
      <c r="AD167" s="9"/>
      <c r="AE167" s="30">
        <v>4.3</v>
      </c>
      <c r="AF167" s="9"/>
      <c r="AG167" s="19">
        <v>0</v>
      </c>
      <c r="AI167" s="32">
        <v>4.3</v>
      </c>
      <c r="AK167" s="7" t="str">
        <f t="shared" si="2"/>
        <v>No</v>
      </c>
    </row>
    <row r="168" spans="1:37">
      <c r="A168" s="7" t="s">
        <v>486</v>
      </c>
      <c r="B168" s="7" t="s">
        <v>487</v>
      </c>
      <c r="C168" s="37" t="s">
        <v>83</v>
      </c>
      <c r="D168" s="296">
        <v>4004</v>
      </c>
      <c r="E168" s="297">
        <v>40004</v>
      </c>
      <c r="F168" s="27" t="s">
        <v>165</v>
      </c>
      <c r="G168" s="27" t="s">
        <v>158</v>
      </c>
      <c r="H168" s="35">
        <v>969587</v>
      </c>
      <c r="I168" s="35">
        <v>260</v>
      </c>
      <c r="J168" s="9" t="s">
        <v>10</v>
      </c>
      <c r="K168" s="9" t="s">
        <v>159</v>
      </c>
      <c r="L168" s="8">
        <v>63</v>
      </c>
      <c r="M168" s="8">
        <v>5195</v>
      </c>
      <c r="N168" s="9"/>
      <c r="O168" s="8">
        <v>0</v>
      </c>
      <c r="P168" s="9"/>
      <c r="Q168" s="8">
        <v>0</v>
      </c>
      <c r="R168" s="9"/>
      <c r="S168" s="8">
        <v>1048</v>
      </c>
      <c r="T168" s="9"/>
      <c r="U168" s="8">
        <v>0</v>
      </c>
      <c r="V168" s="9"/>
      <c r="W168" s="33">
        <v>6243</v>
      </c>
      <c r="X168" s="9"/>
      <c r="Y168" s="30">
        <v>9</v>
      </c>
      <c r="Z168" s="9"/>
      <c r="AA168" s="30">
        <v>0</v>
      </c>
      <c r="AB168" s="9"/>
      <c r="AC168" s="30">
        <v>0</v>
      </c>
      <c r="AD168" s="9"/>
      <c r="AE168" s="30">
        <v>2.5</v>
      </c>
      <c r="AF168" s="9"/>
      <c r="AG168" s="19">
        <v>0</v>
      </c>
      <c r="AI168" s="32">
        <v>11.5</v>
      </c>
      <c r="AK168" s="7" t="str">
        <f t="shared" si="2"/>
        <v>No</v>
      </c>
    </row>
    <row r="169" spans="1:37">
      <c r="A169" s="7" t="s">
        <v>486</v>
      </c>
      <c r="B169" s="7" t="s">
        <v>487</v>
      </c>
      <c r="C169" s="37" t="s">
        <v>83</v>
      </c>
      <c r="D169" s="296">
        <v>4004</v>
      </c>
      <c r="E169" s="297">
        <v>40004</v>
      </c>
      <c r="F169" s="27" t="s">
        <v>165</v>
      </c>
      <c r="G169" s="27" t="s">
        <v>158</v>
      </c>
      <c r="H169" s="35">
        <v>969587</v>
      </c>
      <c r="I169" s="35">
        <v>260</v>
      </c>
      <c r="J169" s="9" t="s">
        <v>18</v>
      </c>
      <c r="K169" s="9" t="s">
        <v>159</v>
      </c>
      <c r="L169" s="8">
        <v>23</v>
      </c>
      <c r="M169" s="8">
        <v>0</v>
      </c>
      <c r="N169" s="9"/>
      <c r="O169" s="8">
        <v>0</v>
      </c>
      <c r="P169" s="9"/>
      <c r="Q169" s="8">
        <v>0</v>
      </c>
      <c r="R169" s="9"/>
      <c r="S169" s="8">
        <v>102</v>
      </c>
      <c r="T169" s="9"/>
      <c r="U169" s="8">
        <v>0</v>
      </c>
      <c r="V169" s="9"/>
      <c r="W169" s="33">
        <v>102</v>
      </c>
      <c r="X169" s="9"/>
      <c r="Y169" s="30">
        <v>0</v>
      </c>
      <c r="Z169" s="9"/>
      <c r="AA169" s="30">
        <v>0</v>
      </c>
      <c r="AB169" s="9"/>
      <c r="AC169" s="30">
        <v>0</v>
      </c>
      <c r="AD169" s="9"/>
      <c r="AE169" s="30">
        <v>0.2</v>
      </c>
      <c r="AF169" s="9"/>
      <c r="AG169" s="19">
        <v>0</v>
      </c>
      <c r="AI169" s="32">
        <v>0.2</v>
      </c>
      <c r="AK169" s="7" t="str">
        <f t="shared" si="2"/>
        <v>No</v>
      </c>
    </row>
    <row r="170" spans="1:37">
      <c r="A170" s="7" t="s">
        <v>1120</v>
      </c>
      <c r="B170" s="7" t="s">
        <v>210</v>
      </c>
      <c r="C170" s="37" t="s">
        <v>70</v>
      </c>
      <c r="D170" s="296">
        <v>2113</v>
      </c>
      <c r="E170" s="297">
        <v>20113</v>
      </c>
      <c r="F170" s="27" t="s">
        <v>165</v>
      </c>
      <c r="G170" s="27" t="s">
        <v>158</v>
      </c>
      <c r="H170" s="35">
        <v>720572</v>
      </c>
      <c r="I170" s="35">
        <v>257</v>
      </c>
      <c r="J170" s="9" t="s">
        <v>7</v>
      </c>
      <c r="K170" s="9" t="s">
        <v>159</v>
      </c>
      <c r="L170" s="8">
        <v>213</v>
      </c>
      <c r="M170" s="8">
        <v>39281</v>
      </c>
      <c r="N170" s="9"/>
      <c r="O170" s="8">
        <v>0</v>
      </c>
      <c r="P170" s="9"/>
      <c r="Q170" s="8">
        <v>0</v>
      </c>
      <c r="R170" s="9"/>
      <c r="S170" s="8">
        <v>5305</v>
      </c>
      <c r="T170" s="9"/>
      <c r="U170" s="8">
        <v>0</v>
      </c>
      <c r="V170" s="9"/>
      <c r="W170" s="33">
        <v>44586</v>
      </c>
      <c r="X170" s="9"/>
      <c r="Y170" s="30">
        <v>26</v>
      </c>
      <c r="Z170" s="9"/>
      <c r="AA170" s="30">
        <v>0</v>
      </c>
      <c r="AB170" s="9"/>
      <c r="AC170" s="30">
        <v>0</v>
      </c>
      <c r="AD170" s="9"/>
      <c r="AE170" s="30">
        <v>5</v>
      </c>
      <c r="AF170" s="9"/>
      <c r="AG170" s="19">
        <v>0</v>
      </c>
      <c r="AI170" s="32">
        <v>31</v>
      </c>
      <c r="AK170" s="7" t="str">
        <f t="shared" si="2"/>
        <v>No</v>
      </c>
    </row>
    <row r="171" spans="1:37">
      <c r="A171" s="7" t="s">
        <v>90</v>
      </c>
      <c r="B171" s="7" t="s">
        <v>436</v>
      </c>
      <c r="C171" s="37" t="s">
        <v>89</v>
      </c>
      <c r="D171" s="296">
        <v>20</v>
      </c>
      <c r="E171" s="297">
        <v>20</v>
      </c>
      <c r="F171" s="27" t="s">
        <v>165</v>
      </c>
      <c r="G171" s="27" t="s">
        <v>158</v>
      </c>
      <c r="H171" s="35">
        <v>198979</v>
      </c>
      <c r="I171" s="35">
        <v>257</v>
      </c>
      <c r="J171" s="9" t="s">
        <v>7</v>
      </c>
      <c r="K171" s="9" t="s">
        <v>159</v>
      </c>
      <c r="L171" s="8">
        <v>90</v>
      </c>
      <c r="M171" s="8">
        <v>61623</v>
      </c>
      <c r="N171" s="9"/>
      <c r="O171" s="8">
        <v>457</v>
      </c>
      <c r="P171" s="9"/>
      <c r="Q171" s="8">
        <v>0</v>
      </c>
      <c r="R171" s="9"/>
      <c r="S171" s="8">
        <v>2829</v>
      </c>
      <c r="T171" s="9"/>
      <c r="U171" s="8">
        <v>302</v>
      </c>
      <c r="V171" s="9"/>
      <c r="W171" s="33">
        <v>65211</v>
      </c>
      <c r="X171" s="9"/>
      <c r="Y171" s="30">
        <v>92</v>
      </c>
      <c r="Z171" s="9"/>
      <c r="AA171" s="30">
        <v>0.78</v>
      </c>
      <c r="AB171" s="9"/>
      <c r="AC171" s="30">
        <v>0</v>
      </c>
      <c r="AD171" s="9"/>
      <c r="AE171" s="30">
        <v>2.73</v>
      </c>
      <c r="AF171" s="9"/>
      <c r="AG171" s="19">
        <v>0</v>
      </c>
      <c r="AI171" s="32">
        <v>95.51</v>
      </c>
      <c r="AK171" s="7" t="str">
        <f t="shared" si="2"/>
        <v>No</v>
      </c>
    </row>
    <row r="172" spans="1:37">
      <c r="A172" s="7" t="s">
        <v>90</v>
      </c>
      <c r="B172" s="7" t="s">
        <v>436</v>
      </c>
      <c r="C172" s="37" t="s">
        <v>89</v>
      </c>
      <c r="D172" s="296">
        <v>20</v>
      </c>
      <c r="E172" s="297">
        <v>20</v>
      </c>
      <c r="F172" s="27" t="s">
        <v>165</v>
      </c>
      <c r="G172" s="27" t="s">
        <v>158</v>
      </c>
      <c r="H172" s="35">
        <v>198979</v>
      </c>
      <c r="I172" s="35">
        <v>257</v>
      </c>
      <c r="J172" s="9" t="s">
        <v>10</v>
      </c>
      <c r="K172" s="9" t="s">
        <v>159</v>
      </c>
      <c r="L172" s="8">
        <v>85</v>
      </c>
      <c r="M172" s="8">
        <v>19737</v>
      </c>
      <c r="N172" s="9"/>
      <c r="O172" s="8">
        <v>111</v>
      </c>
      <c r="P172" s="9"/>
      <c r="Q172" s="8">
        <v>0</v>
      </c>
      <c r="R172" s="9"/>
      <c r="S172" s="8">
        <v>1807</v>
      </c>
      <c r="T172" s="9"/>
      <c r="U172" s="8">
        <v>193</v>
      </c>
      <c r="V172" s="9"/>
      <c r="W172" s="33">
        <v>21848</v>
      </c>
      <c r="X172" s="9"/>
      <c r="Y172" s="30">
        <v>13</v>
      </c>
      <c r="Z172" s="9"/>
      <c r="AA172" s="30">
        <v>0.19</v>
      </c>
      <c r="AB172" s="9"/>
      <c r="AC172" s="30">
        <v>0</v>
      </c>
      <c r="AD172" s="9"/>
      <c r="AE172" s="30">
        <v>1.74</v>
      </c>
      <c r="AF172" s="9"/>
      <c r="AG172" s="19">
        <v>0</v>
      </c>
      <c r="AI172" s="32">
        <v>14.93</v>
      </c>
      <c r="AK172" s="7" t="str">
        <f t="shared" si="2"/>
        <v>No</v>
      </c>
    </row>
    <row r="173" spans="1:37">
      <c r="A173" s="7" t="s">
        <v>90</v>
      </c>
      <c r="B173" s="7" t="s">
        <v>436</v>
      </c>
      <c r="C173" s="37" t="s">
        <v>89</v>
      </c>
      <c r="D173" s="296">
        <v>20</v>
      </c>
      <c r="E173" s="297">
        <v>20</v>
      </c>
      <c r="F173" s="27" t="s">
        <v>165</v>
      </c>
      <c r="G173" s="27" t="s">
        <v>158</v>
      </c>
      <c r="H173" s="35">
        <v>198979</v>
      </c>
      <c r="I173" s="35">
        <v>257</v>
      </c>
      <c r="J173" s="9" t="s">
        <v>8</v>
      </c>
      <c r="K173" s="9" t="s">
        <v>159</v>
      </c>
      <c r="L173" s="8">
        <v>78</v>
      </c>
      <c r="M173" s="8">
        <v>934</v>
      </c>
      <c r="N173" s="9"/>
      <c r="O173" s="8">
        <v>18</v>
      </c>
      <c r="P173" s="9"/>
      <c r="Q173" s="8">
        <v>0</v>
      </c>
      <c r="R173" s="9"/>
      <c r="S173" s="8">
        <v>122</v>
      </c>
      <c r="T173" s="9"/>
      <c r="U173" s="8">
        <v>13</v>
      </c>
      <c r="V173" s="9"/>
      <c r="W173" s="33">
        <v>1087</v>
      </c>
      <c r="X173" s="9"/>
      <c r="Y173" s="30">
        <v>1</v>
      </c>
      <c r="Z173" s="9"/>
      <c r="AA173" s="30">
        <v>0.03</v>
      </c>
      <c r="AB173" s="9"/>
      <c r="AC173" s="30">
        <v>0</v>
      </c>
      <c r="AD173" s="9"/>
      <c r="AE173" s="30">
        <v>0.12</v>
      </c>
      <c r="AF173" s="9"/>
      <c r="AG173" s="19">
        <v>0</v>
      </c>
      <c r="AI173" s="32">
        <v>1.1499999999999999</v>
      </c>
      <c r="AK173" s="7" t="str">
        <f t="shared" si="2"/>
        <v>No</v>
      </c>
    </row>
    <row r="174" spans="1:37">
      <c r="A174" s="7" t="s">
        <v>1120</v>
      </c>
      <c r="B174" s="7" t="s">
        <v>210</v>
      </c>
      <c r="C174" s="37" t="s">
        <v>70</v>
      </c>
      <c r="D174" s="296">
        <v>2113</v>
      </c>
      <c r="E174" s="297">
        <v>20113</v>
      </c>
      <c r="F174" s="27" t="s">
        <v>165</v>
      </c>
      <c r="G174" s="27" t="s">
        <v>158</v>
      </c>
      <c r="H174" s="35">
        <v>720572</v>
      </c>
      <c r="I174" s="35">
        <v>257</v>
      </c>
      <c r="J174" s="9" t="s">
        <v>10</v>
      </c>
      <c r="K174" s="9" t="s">
        <v>159</v>
      </c>
      <c r="L174" s="8">
        <v>44</v>
      </c>
      <c r="M174" s="8">
        <v>55144</v>
      </c>
      <c r="N174" s="9"/>
      <c r="O174" s="8">
        <v>769</v>
      </c>
      <c r="P174" s="9"/>
      <c r="Q174" s="8">
        <v>0</v>
      </c>
      <c r="R174" s="9"/>
      <c r="S174" s="8">
        <v>0</v>
      </c>
      <c r="T174" s="9"/>
      <c r="U174" s="8">
        <v>0</v>
      </c>
      <c r="V174" s="9"/>
      <c r="W174" s="33">
        <v>55913</v>
      </c>
      <c r="X174" s="9"/>
      <c r="Y174" s="30">
        <v>39</v>
      </c>
      <c r="Z174" s="9"/>
      <c r="AA174" s="30">
        <v>1</v>
      </c>
      <c r="AB174" s="9"/>
      <c r="AC174" s="30">
        <v>0</v>
      </c>
      <c r="AD174" s="9"/>
      <c r="AE174" s="30">
        <v>0</v>
      </c>
      <c r="AF174" s="9"/>
      <c r="AG174" s="19">
        <v>0</v>
      </c>
      <c r="AI174" s="32">
        <v>40</v>
      </c>
      <c r="AK174" s="7" t="str">
        <f t="shared" si="2"/>
        <v>No</v>
      </c>
    </row>
    <row r="175" spans="1:37">
      <c r="A175" s="7" t="s">
        <v>35</v>
      </c>
      <c r="B175" s="7" t="s">
        <v>720</v>
      </c>
      <c r="C175" s="37" t="s">
        <v>32</v>
      </c>
      <c r="D175" s="296">
        <v>4152</v>
      </c>
      <c r="E175" s="297">
        <v>40152</v>
      </c>
      <c r="F175" s="27" t="s">
        <v>243</v>
      </c>
      <c r="G175" s="27" t="s">
        <v>158</v>
      </c>
      <c r="H175" s="35">
        <v>5502379</v>
      </c>
      <c r="I175" s="35">
        <v>254</v>
      </c>
      <c r="J175" s="9" t="s">
        <v>8</v>
      </c>
      <c r="K175" s="9" t="s">
        <v>159</v>
      </c>
      <c r="L175" s="8">
        <v>254</v>
      </c>
      <c r="M175" s="8">
        <v>0</v>
      </c>
      <c r="N175" s="9"/>
      <c r="O175" s="8">
        <v>0</v>
      </c>
      <c r="P175" s="9"/>
      <c r="Q175" s="8">
        <v>0</v>
      </c>
      <c r="R175" s="9"/>
      <c r="S175" s="8">
        <v>693</v>
      </c>
      <c r="T175" s="9"/>
      <c r="U175" s="8">
        <v>0</v>
      </c>
      <c r="V175" s="9"/>
      <c r="W175" s="33">
        <v>693</v>
      </c>
      <c r="X175" s="9"/>
      <c r="Y175" s="30">
        <v>0</v>
      </c>
      <c r="Z175" s="9"/>
      <c r="AA175" s="30">
        <v>0</v>
      </c>
      <c r="AB175" s="9"/>
      <c r="AC175" s="30">
        <v>0</v>
      </c>
      <c r="AD175" s="9"/>
      <c r="AE175" s="30">
        <v>1</v>
      </c>
      <c r="AF175" s="9"/>
      <c r="AG175" s="19">
        <v>0</v>
      </c>
      <c r="AI175" s="32">
        <v>1</v>
      </c>
      <c r="AK175" s="7" t="str">
        <f t="shared" si="2"/>
        <v>No</v>
      </c>
    </row>
    <row r="176" spans="1:37">
      <c r="A176" s="7" t="s">
        <v>461</v>
      </c>
      <c r="B176" s="7" t="s">
        <v>462</v>
      </c>
      <c r="C176" s="37" t="s">
        <v>93</v>
      </c>
      <c r="D176" s="296">
        <v>5005</v>
      </c>
      <c r="E176" s="297">
        <v>50005</v>
      </c>
      <c r="F176" s="27" t="s">
        <v>162</v>
      </c>
      <c r="G176" s="27" t="s">
        <v>158</v>
      </c>
      <c r="H176" s="35">
        <v>401661</v>
      </c>
      <c r="I176" s="35">
        <v>254</v>
      </c>
      <c r="J176" s="9" t="s">
        <v>7</v>
      </c>
      <c r="K176" s="9" t="s">
        <v>159</v>
      </c>
      <c r="L176" s="8">
        <v>182</v>
      </c>
      <c r="M176" s="8">
        <v>18545</v>
      </c>
      <c r="N176" s="9"/>
      <c r="O176" s="8">
        <v>0</v>
      </c>
      <c r="P176" s="9"/>
      <c r="Q176" s="8">
        <v>0</v>
      </c>
      <c r="R176" s="9"/>
      <c r="S176" s="8">
        <v>10669</v>
      </c>
      <c r="T176" s="9"/>
      <c r="U176" s="8">
        <v>0</v>
      </c>
      <c r="V176" s="9"/>
      <c r="W176" s="33">
        <v>29214</v>
      </c>
      <c r="X176" s="9"/>
      <c r="Y176" s="30">
        <v>31</v>
      </c>
      <c r="Z176" s="9"/>
      <c r="AA176" s="30">
        <v>0</v>
      </c>
      <c r="AB176" s="9"/>
      <c r="AC176" s="30">
        <v>0</v>
      </c>
      <c r="AD176" s="9"/>
      <c r="AE176" s="30">
        <v>7</v>
      </c>
      <c r="AF176" s="9"/>
      <c r="AG176" s="19">
        <v>0</v>
      </c>
      <c r="AI176" s="32">
        <v>38</v>
      </c>
      <c r="AK176" s="7" t="str">
        <f t="shared" si="2"/>
        <v>No</v>
      </c>
    </row>
    <row r="177" spans="1:37">
      <c r="A177" s="7" t="s">
        <v>461</v>
      </c>
      <c r="B177" s="7" t="s">
        <v>462</v>
      </c>
      <c r="C177" s="37" t="s">
        <v>93</v>
      </c>
      <c r="D177" s="296">
        <v>5005</v>
      </c>
      <c r="E177" s="297">
        <v>50005</v>
      </c>
      <c r="F177" s="27" t="s">
        <v>162</v>
      </c>
      <c r="G177" s="27" t="s">
        <v>158</v>
      </c>
      <c r="H177" s="35">
        <v>401661</v>
      </c>
      <c r="I177" s="35">
        <v>254</v>
      </c>
      <c r="J177" s="9" t="s">
        <v>10</v>
      </c>
      <c r="K177" s="9" t="s">
        <v>159</v>
      </c>
      <c r="L177" s="8">
        <v>12</v>
      </c>
      <c r="M177" s="8">
        <v>0</v>
      </c>
      <c r="N177" s="9"/>
      <c r="O177" s="8">
        <v>0</v>
      </c>
      <c r="P177" s="9"/>
      <c r="Q177" s="8">
        <v>0</v>
      </c>
      <c r="R177" s="9"/>
      <c r="S177" s="8">
        <v>0</v>
      </c>
      <c r="T177" s="9"/>
      <c r="U177" s="8">
        <v>0</v>
      </c>
      <c r="V177" s="9"/>
      <c r="W177" s="33">
        <v>0</v>
      </c>
      <c r="X177" s="9"/>
      <c r="Y177" s="30">
        <v>0</v>
      </c>
      <c r="Z177" s="9"/>
      <c r="AA177" s="30">
        <v>0</v>
      </c>
      <c r="AB177" s="9"/>
      <c r="AC177" s="30">
        <v>0</v>
      </c>
      <c r="AD177" s="9"/>
      <c r="AE177" s="30">
        <v>0</v>
      </c>
      <c r="AF177" s="9"/>
      <c r="AG177" s="19">
        <v>0</v>
      </c>
      <c r="AI177" s="32">
        <v>0</v>
      </c>
      <c r="AK177" s="7" t="str">
        <f t="shared" si="2"/>
        <v>No</v>
      </c>
    </row>
    <row r="178" spans="1:37">
      <c r="A178" s="7" t="s">
        <v>424</v>
      </c>
      <c r="B178" s="7" t="s">
        <v>425</v>
      </c>
      <c r="C178" s="37" t="s">
        <v>32</v>
      </c>
      <c r="D178" s="296">
        <v>4040</v>
      </c>
      <c r="E178" s="297">
        <v>40040</v>
      </c>
      <c r="F178" s="27" t="s">
        <v>165</v>
      </c>
      <c r="G178" s="27" t="s">
        <v>158</v>
      </c>
      <c r="H178" s="35">
        <v>1065219</v>
      </c>
      <c r="I178" s="35">
        <v>244</v>
      </c>
      <c r="J178" s="9" t="s">
        <v>7</v>
      </c>
      <c r="K178" s="9" t="s">
        <v>159</v>
      </c>
      <c r="L178" s="8">
        <v>150</v>
      </c>
      <c r="M178" s="8">
        <v>62512</v>
      </c>
      <c r="N178" s="9"/>
      <c r="O178" s="8">
        <v>1457</v>
      </c>
      <c r="P178" s="9"/>
      <c r="Q178" s="8">
        <v>0</v>
      </c>
      <c r="R178" s="9"/>
      <c r="S178" s="8">
        <v>30903</v>
      </c>
      <c r="T178" s="9"/>
      <c r="U178" s="8">
        <v>0</v>
      </c>
      <c r="V178" s="9"/>
      <c r="W178" s="33">
        <v>94872</v>
      </c>
      <c r="X178" s="9"/>
      <c r="Y178" s="30">
        <v>44</v>
      </c>
      <c r="Z178" s="9"/>
      <c r="AA178" s="30">
        <v>1</v>
      </c>
      <c r="AB178" s="9"/>
      <c r="AC178" s="30">
        <v>0</v>
      </c>
      <c r="AD178" s="9"/>
      <c r="AE178" s="30">
        <v>24</v>
      </c>
      <c r="AF178" s="9"/>
      <c r="AG178" s="19">
        <v>0</v>
      </c>
      <c r="AI178" s="32">
        <v>69</v>
      </c>
      <c r="AK178" s="7" t="str">
        <f t="shared" si="2"/>
        <v>No</v>
      </c>
    </row>
    <row r="179" spans="1:37">
      <c r="A179" s="7" t="s">
        <v>424</v>
      </c>
      <c r="B179" s="7" t="s">
        <v>425</v>
      </c>
      <c r="C179" s="37" t="s">
        <v>32</v>
      </c>
      <c r="D179" s="296">
        <v>4040</v>
      </c>
      <c r="E179" s="297">
        <v>40040</v>
      </c>
      <c r="F179" s="27" t="s">
        <v>165</v>
      </c>
      <c r="G179" s="27" t="s">
        <v>158</v>
      </c>
      <c r="H179" s="35">
        <v>1065219</v>
      </c>
      <c r="I179" s="35">
        <v>244</v>
      </c>
      <c r="J179" s="9" t="s">
        <v>34</v>
      </c>
      <c r="K179" s="9" t="s">
        <v>159</v>
      </c>
      <c r="L179" s="8">
        <v>5</v>
      </c>
      <c r="M179" s="8">
        <v>3563</v>
      </c>
      <c r="N179" s="9"/>
      <c r="O179" s="8">
        <v>0</v>
      </c>
      <c r="P179" s="9"/>
      <c r="Q179" s="8">
        <v>0</v>
      </c>
      <c r="R179" s="9"/>
      <c r="S179" s="8">
        <v>0</v>
      </c>
      <c r="T179" s="9"/>
      <c r="U179" s="8">
        <v>0</v>
      </c>
      <c r="V179" s="9"/>
      <c r="W179" s="33">
        <v>3563</v>
      </c>
      <c r="X179" s="9"/>
      <c r="Y179" s="30">
        <v>2</v>
      </c>
      <c r="Z179" s="9"/>
      <c r="AA179" s="30">
        <v>0</v>
      </c>
      <c r="AB179" s="9"/>
      <c r="AC179" s="30">
        <v>0</v>
      </c>
      <c r="AD179" s="9"/>
      <c r="AE179" s="30">
        <v>0</v>
      </c>
      <c r="AF179" s="9"/>
      <c r="AG179" s="19">
        <v>0</v>
      </c>
      <c r="AI179" s="32">
        <v>2</v>
      </c>
      <c r="AK179" s="7" t="str">
        <f t="shared" si="2"/>
        <v>No</v>
      </c>
    </row>
    <row r="180" spans="1:37">
      <c r="A180" s="7" t="s">
        <v>389</v>
      </c>
      <c r="B180" s="7" t="s">
        <v>390</v>
      </c>
      <c r="C180" s="37" t="s">
        <v>52</v>
      </c>
      <c r="D180" s="296">
        <v>5033</v>
      </c>
      <c r="E180" s="297">
        <v>50033</v>
      </c>
      <c r="F180" s="27" t="s">
        <v>165</v>
      </c>
      <c r="G180" s="27" t="s">
        <v>158</v>
      </c>
      <c r="H180" s="35">
        <v>569935</v>
      </c>
      <c r="I180" s="35">
        <v>241</v>
      </c>
      <c r="J180" s="9" t="s">
        <v>7</v>
      </c>
      <c r="K180" s="9" t="s">
        <v>159</v>
      </c>
      <c r="L180" s="8">
        <v>125</v>
      </c>
      <c r="M180" s="8">
        <v>27203</v>
      </c>
      <c r="N180" s="9"/>
      <c r="O180" s="8">
        <v>0</v>
      </c>
      <c r="P180" s="9"/>
      <c r="Q180" s="8">
        <v>0</v>
      </c>
      <c r="R180" s="9"/>
      <c r="S180" s="8">
        <v>1787</v>
      </c>
      <c r="T180" s="9"/>
      <c r="U180" s="8">
        <v>0</v>
      </c>
      <c r="V180" s="9"/>
      <c r="W180" s="33">
        <v>28990</v>
      </c>
      <c r="X180" s="9"/>
      <c r="Y180" s="30">
        <v>9.8000000000000007</v>
      </c>
      <c r="Z180" s="9"/>
      <c r="AA180" s="30">
        <v>0</v>
      </c>
      <c r="AB180" s="9"/>
      <c r="AC180" s="30">
        <v>0</v>
      </c>
      <c r="AD180" s="9"/>
      <c r="AE180" s="30">
        <v>2</v>
      </c>
      <c r="AF180" s="9"/>
      <c r="AG180" s="19">
        <v>0</v>
      </c>
      <c r="AI180" s="32">
        <v>11.8</v>
      </c>
      <c r="AK180" s="7" t="str">
        <f t="shared" si="2"/>
        <v>No</v>
      </c>
    </row>
    <row r="181" spans="1:37">
      <c r="A181" s="7" t="s">
        <v>389</v>
      </c>
      <c r="B181" s="7" t="s">
        <v>390</v>
      </c>
      <c r="C181" s="37" t="s">
        <v>52</v>
      </c>
      <c r="D181" s="296">
        <v>5033</v>
      </c>
      <c r="E181" s="297">
        <v>50033</v>
      </c>
      <c r="F181" s="27" t="s">
        <v>165</v>
      </c>
      <c r="G181" s="27" t="s">
        <v>158</v>
      </c>
      <c r="H181" s="35">
        <v>569935</v>
      </c>
      <c r="I181" s="35">
        <v>241</v>
      </c>
      <c r="J181" s="9" t="s">
        <v>8</v>
      </c>
      <c r="K181" s="9" t="s">
        <v>159</v>
      </c>
      <c r="L181" s="8">
        <v>27</v>
      </c>
      <c r="M181" s="8">
        <v>0</v>
      </c>
      <c r="N181" s="9"/>
      <c r="O181" s="8">
        <v>0</v>
      </c>
      <c r="P181" s="9"/>
      <c r="Q181" s="8">
        <v>0</v>
      </c>
      <c r="R181" s="9"/>
      <c r="S181" s="8">
        <v>0</v>
      </c>
      <c r="T181" s="9"/>
      <c r="U181" s="8">
        <v>0</v>
      </c>
      <c r="V181" s="9"/>
      <c r="W181" s="33">
        <v>0</v>
      </c>
      <c r="X181" s="9"/>
      <c r="Y181" s="30">
        <v>0</v>
      </c>
      <c r="Z181" s="9"/>
      <c r="AA181" s="30">
        <v>0</v>
      </c>
      <c r="AB181" s="9"/>
      <c r="AC181" s="30">
        <v>0</v>
      </c>
      <c r="AD181" s="9"/>
      <c r="AE181" s="30">
        <v>0</v>
      </c>
      <c r="AF181" s="9"/>
      <c r="AG181" s="19">
        <v>0</v>
      </c>
      <c r="AI181" s="32">
        <v>0</v>
      </c>
      <c r="AK181" s="7" t="str">
        <f t="shared" si="2"/>
        <v>No</v>
      </c>
    </row>
    <row r="182" spans="1:37">
      <c r="A182" s="7" t="s">
        <v>389</v>
      </c>
      <c r="B182" s="7" t="s">
        <v>390</v>
      </c>
      <c r="C182" s="37" t="s">
        <v>52</v>
      </c>
      <c r="D182" s="296">
        <v>5033</v>
      </c>
      <c r="E182" s="297">
        <v>50033</v>
      </c>
      <c r="F182" s="27" t="s">
        <v>165</v>
      </c>
      <c r="G182" s="27" t="s">
        <v>158</v>
      </c>
      <c r="H182" s="35">
        <v>569935</v>
      </c>
      <c r="I182" s="35">
        <v>241</v>
      </c>
      <c r="J182" s="9" t="s">
        <v>22</v>
      </c>
      <c r="K182" s="9" t="s">
        <v>159</v>
      </c>
      <c r="L182" s="8">
        <v>8</v>
      </c>
      <c r="M182" s="8">
        <v>890</v>
      </c>
      <c r="N182" s="9"/>
      <c r="O182" s="8">
        <v>0</v>
      </c>
      <c r="P182" s="9"/>
      <c r="Q182" s="8">
        <v>0</v>
      </c>
      <c r="R182" s="9"/>
      <c r="S182" s="8">
        <v>0</v>
      </c>
      <c r="T182" s="9"/>
      <c r="U182" s="8">
        <v>0</v>
      </c>
      <c r="V182" s="9"/>
      <c r="W182" s="33">
        <v>890</v>
      </c>
      <c r="X182" s="9"/>
      <c r="Y182" s="30">
        <v>0.2</v>
      </c>
      <c r="Z182" s="9"/>
      <c r="AA182" s="30">
        <v>0</v>
      </c>
      <c r="AB182" s="9"/>
      <c r="AC182" s="30">
        <v>0</v>
      </c>
      <c r="AD182" s="9"/>
      <c r="AE182" s="30">
        <v>0</v>
      </c>
      <c r="AF182" s="9"/>
      <c r="AG182" s="19">
        <v>0</v>
      </c>
      <c r="AI182" s="32">
        <v>0.2</v>
      </c>
      <c r="AK182" s="7" t="str">
        <f t="shared" si="2"/>
        <v>No</v>
      </c>
    </row>
    <row r="183" spans="1:37">
      <c r="A183" s="7" t="s">
        <v>328</v>
      </c>
      <c r="B183" s="7" t="s">
        <v>329</v>
      </c>
      <c r="C183" s="37" t="s">
        <v>28</v>
      </c>
      <c r="D183" s="296">
        <v>1048</v>
      </c>
      <c r="E183" s="297">
        <v>10048</v>
      </c>
      <c r="F183" s="27" t="s">
        <v>157</v>
      </c>
      <c r="G183" s="27" t="s">
        <v>158</v>
      </c>
      <c r="H183" s="35">
        <v>924859</v>
      </c>
      <c r="I183" s="35">
        <v>232</v>
      </c>
      <c r="J183" s="9" t="s">
        <v>7</v>
      </c>
      <c r="K183" s="9" t="s">
        <v>159</v>
      </c>
      <c r="L183" s="8">
        <v>223</v>
      </c>
      <c r="M183" s="8">
        <v>11520</v>
      </c>
      <c r="N183" s="9"/>
      <c r="O183" s="8">
        <v>0</v>
      </c>
      <c r="P183" s="9"/>
      <c r="Q183" s="8">
        <v>0</v>
      </c>
      <c r="R183" s="9"/>
      <c r="S183" s="8">
        <v>5850</v>
      </c>
      <c r="T183" s="9"/>
      <c r="U183" s="8">
        <v>0</v>
      </c>
      <c r="V183" s="9"/>
      <c r="W183" s="33">
        <v>17370</v>
      </c>
      <c r="X183" s="9"/>
      <c r="Y183" s="30">
        <v>16</v>
      </c>
      <c r="Z183" s="9"/>
      <c r="AA183" s="30">
        <v>0</v>
      </c>
      <c r="AB183" s="9"/>
      <c r="AC183" s="30">
        <v>0</v>
      </c>
      <c r="AD183" s="9"/>
      <c r="AE183" s="30">
        <v>9</v>
      </c>
      <c r="AF183" s="9"/>
      <c r="AG183" s="19">
        <v>0</v>
      </c>
      <c r="AI183" s="32">
        <v>25</v>
      </c>
      <c r="AK183" s="7" t="str">
        <f t="shared" si="2"/>
        <v>No</v>
      </c>
    </row>
    <row r="184" spans="1:37">
      <c r="A184" s="7" t="s">
        <v>577</v>
      </c>
      <c r="B184" s="7" t="s">
        <v>578</v>
      </c>
      <c r="C184" s="37" t="s">
        <v>17</v>
      </c>
      <c r="D184" s="296">
        <v>9019</v>
      </c>
      <c r="E184" s="297">
        <v>90019</v>
      </c>
      <c r="F184" s="27" t="s">
        <v>165</v>
      </c>
      <c r="G184" s="27" t="s">
        <v>158</v>
      </c>
      <c r="H184" s="35">
        <v>1723634</v>
      </c>
      <c r="I184" s="35">
        <v>232</v>
      </c>
      <c r="J184" s="9" t="s">
        <v>7</v>
      </c>
      <c r="K184" s="9" t="s">
        <v>159</v>
      </c>
      <c r="L184" s="8">
        <v>162</v>
      </c>
      <c r="M184" s="8">
        <v>0</v>
      </c>
      <c r="N184" s="9"/>
      <c r="O184" s="8">
        <v>0</v>
      </c>
      <c r="P184" s="9"/>
      <c r="Q184" s="8">
        <v>0</v>
      </c>
      <c r="R184" s="9"/>
      <c r="S184" s="8">
        <v>0</v>
      </c>
      <c r="T184" s="9"/>
      <c r="U184" s="8">
        <v>0</v>
      </c>
      <c r="V184" s="9"/>
      <c r="W184" s="33">
        <v>0</v>
      </c>
      <c r="X184" s="9"/>
      <c r="Y184" s="30">
        <v>0</v>
      </c>
      <c r="Z184" s="9"/>
      <c r="AA184" s="30">
        <v>0</v>
      </c>
      <c r="AB184" s="9"/>
      <c r="AC184" s="30">
        <v>0</v>
      </c>
      <c r="AD184" s="9"/>
      <c r="AE184" s="30">
        <v>0</v>
      </c>
      <c r="AF184" s="9"/>
      <c r="AG184" s="19">
        <v>0</v>
      </c>
      <c r="AI184" s="32">
        <v>0</v>
      </c>
      <c r="AK184" s="7" t="str">
        <f t="shared" si="2"/>
        <v>No</v>
      </c>
    </row>
    <row r="185" spans="1:37">
      <c r="A185" s="7" t="s">
        <v>577</v>
      </c>
      <c r="B185" s="7" t="s">
        <v>578</v>
      </c>
      <c r="C185" s="37" t="s">
        <v>17</v>
      </c>
      <c r="D185" s="296">
        <v>9019</v>
      </c>
      <c r="E185" s="297">
        <v>90019</v>
      </c>
      <c r="F185" s="27" t="s">
        <v>165</v>
      </c>
      <c r="G185" s="27" t="s">
        <v>158</v>
      </c>
      <c r="H185" s="35">
        <v>1723634</v>
      </c>
      <c r="I185" s="35">
        <v>232</v>
      </c>
      <c r="J185" s="9" t="s">
        <v>21</v>
      </c>
      <c r="K185" s="9" t="s">
        <v>159</v>
      </c>
      <c r="L185" s="8">
        <v>68</v>
      </c>
      <c r="M185" s="8">
        <v>0</v>
      </c>
      <c r="N185" s="9"/>
      <c r="O185" s="8">
        <v>0</v>
      </c>
      <c r="P185" s="9"/>
      <c r="Q185" s="8">
        <v>0</v>
      </c>
      <c r="R185" s="9"/>
      <c r="S185" s="8">
        <v>0</v>
      </c>
      <c r="T185" s="9"/>
      <c r="U185" s="8">
        <v>0</v>
      </c>
      <c r="V185" s="9"/>
      <c r="W185" s="33">
        <v>0</v>
      </c>
      <c r="X185" s="9"/>
      <c r="Y185" s="30">
        <v>0</v>
      </c>
      <c r="Z185" s="9"/>
      <c r="AA185" s="30">
        <v>0</v>
      </c>
      <c r="AB185" s="9"/>
      <c r="AC185" s="30">
        <v>0</v>
      </c>
      <c r="AD185" s="9"/>
      <c r="AE185" s="30">
        <v>0</v>
      </c>
      <c r="AF185" s="9"/>
      <c r="AG185" s="19">
        <v>0</v>
      </c>
      <c r="AI185" s="32">
        <v>0</v>
      </c>
      <c r="AK185" s="7" t="str">
        <f t="shared" si="2"/>
        <v>No</v>
      </c>
    </row>
    <row r="186" spans="1:37">
      <c r="A186" s="7" t="s">
        <v>328</v>
      </c>
      <c r="B186" s="7" t="s">
        <v>329</v>
      </c>
      <c r="C186" s="37" t="s">
        <v>28</v>
      </c>
      <c r="D186" s="296">
        <v>1048</v>
      </c>
      <c r="E186" s="297">
        <v>10048</v>
      </c>
      <c r="F186" s="27" t="s">
        <v>157</v>
      </c>
      <c r="G186" s="27" t="s">
        <v>158</v>
      </c>
      <c r="H186" s="35">
        <v>924859</v>
      </c>
      <c r="I186" s="35">
        <v>232</v>
      </c>
      <c r="J186" s="9" t="s">
        <v>22</v>
      </c>
      <c r="K186" s="9" t="s">
        <v>159</v>
      </c>
      <c r="L186" s="8">
        <v>9</v>
      </c>
      <c r="M186" s="8">
        <v>953</v>
      </c>
      <c r="N186" s="9"/>
      <c r="O186" s="8">
        <v>0</v>
      </c>
      <c r="P186" s="9"/>
      <c r="Q186" s="8">
        <v>0</v>
      </c>
      <c r="R186" s="9"/>
      <c r="S186" s="8">
        <v>484</v>
      </c>
      <c r="T186" s="9"/>
      <c r="U186" s="8">
        <v>0</v>
      </c>
      <c r="V186" s="9"/>
      <c r="W186" s="33">
        <v>1437</v>
      </c>
      <c r="X186" s="9"/>
      <c r="Y186" s="30">
        <v>1</v>
      </c>
      <c r="Z186" s="9"/>
      <c r="AA186" s="30">
        <v>0</v>
      </c>
      <c r="AB186" s="9"/>
      <c r="AC186" s="30">
        <v>0</v>
      </c>
      <c r="AD186" s="9"/>
      <c r="AE186" s="30">
        <v>1</v>
      </c>
      <c r="AF186" s="9"/>
      <c r="AG186" s="19">
        <v>0</v>
      </c>
      <c r="AI186" s="32">
        <v>2</v>
      </c>
      <c r="AK186" s="7" t="str">
        <f t="shared" si="2"/>
        <v>No</v>
      </c>
    </row>
    <row r="187" spans="1:37">
      <c r="A187" s="7" t="s">
        <v>577</v>
      </c>
      <c r="B187" s="7" t="s">
        <v>578</v>
      </c>
      <c r="C187" s="37" t="s">
        <v>17</v>
      </c>
      <c r="D187" s="296">
        <v>9019</v>
      </c>
      <c r="E187" s="297">
        <v>90019</v>
      </c>
      <c r="F187" s="27" t="s">
        <v>165</v>
      </c>
      <c r="G187" s="27" t="s">
        <v>158</v>
      </c>
      <c r="H187" s="35">
        <v>1723634</v>
      </c>
      <c r="I187" s="35">
        <v>232</v>
      </c>
      <c r="J187" s="9" t="s">
        <v>10</v>
      </c>
      <c r="K187" s="9" t="s">
        <v>159</v>
      </c>
      <c r="L187" s="8">
        <v>2</v>
      </c>
      <c r="M187" s="8">
        <v>0</v>
      </c>
      <c r="N187" s="9"/>
      <c r="O187" s="8">
        <v>0</v>
      </c>
      <c r="P187" s="9"/>
      <c r="Q187" s="8">
        <v>0</v>
      </c>
      <c r="R187" s="9"/>
      <c r="S187" s="8">
        <v>0</v>
      </c>
      <c r="T187" s="9"/>
      <c r="U187" s="8">
        <v>0</v>
      </c>
      <c r="V187" s="9"/>
      <c r="W187" s="33">
        <v>0</v>
      </c>
      <c r="X187" s="9"/>
      <c r="Y187" s="30">
        <v>0</v>
      </c>
      <c r="Z187" s="9"/>
      <c r="AA187" s="30">
        <v>0</v>
      </c>
      <c r="AB187" s="9"/>
      <c r="AC187" s="30">
        <v>0</v>
      </c>
      <c r="AD187" s="9"/>
      <c r="AE187" s="30">
        <v>0</v>
      </c>
      <c r="AF187" s="9"/>
      <c r="AG187" s="19">
        <v>0</v>
      </c>
      <c r="AI187" s="32">
        <v>0</v>
      </c>
      <c r="AK187" s="7" t="str">
        <f t="shared" si="2"/>
        <v>No</v>
      </c>
    </row>
    <row r="188" spans="1:37">
      <c r="A188" s="7" t="s">
        <v>351</v>
      </c>
      <c r="B188" s="7" t="s">
        <v>352</v>
      </c>
      <c r="C188" s="37" t="s">
        <v>38</v>
      </c>
      <c r="D188" s="296">
        <v>7010</v>
      </c>
      <c r="E188" s="297">
        <v>70010</v>
      </c>
      <c r="F188" s="27" t="s">
        <v>165</v>
      </c>
      <c r="G188" s="27" t="s">
        <v>158</v>
      </c>
      <c r="H188" s="35">
        <v>450070</v>
      </c>
      <c r="I188" s="35">
        <v>226</v>
      </c>
      <c r="J188" s="9" t="s">
        <v>7</v>
      </c>
      <c r="K188" s="9" t="s">
        <v>159</v>
      </c>
      <c r="L188" s="8">
        <v>113</v>
      </c>
      <c r="M188" s="8">
        <v>40865</v>
      </c>
      <c r="N188" s="9"/>
      <c r="O188" s="8">
        <v>294</v>
      </c>
      <c r="P188" s="9"/>
      <c r="Q188" s="8">
        <v>2412</v>
      </c>
      <c r="R188" s="9"/>
      <c r="S188" s="8">
        <v>7477</v>
      </c>
      <c r="T188" s="9"/>
      <c r="U188" s="8">
        <v>0</v>
      </c>
      <c r="V188" s="9"/>
      <c r="W188" s="33">
        <v>51048</v>
      </c>
      <c r="X188" s="9"/>
      <c r="Y188" s="30">
        <v>33</v>
      </c>
      <c r="Z188" s="9"/>
      <c r="AA188" s="30">
        <v>1</v>
      </c>
      <c r="AB188" s="9"/>
      <c r="AC188" s="30">
        <v>10.44</v>
      </c>
      <c r="AD188" s="9"/>
      <c r="AE188" s="30">
        <v>5.89</v>
      </c>
      <c r="AF188" s="9"/>
      <c r="AG188" s="19">
        <v>0</v>
      </c>
      <c r="AI188" s="32">
        <v>50.33</v>
      </c>
      <c r="AK188" s="7" t="str">
        <f t="shared" si="2"/>
        <v>No</v>
      </c>
    </row>
    <row r="189" spans="1:37">
      <c r="A189" s="7" t="s">
        <v>351</v>
      </c>
      <c r="B189" s="7" t="s">
        <v>352</v>
      </c>
      <c r="C189" s="37" t="s">
        <v>38</v>
      </c>
      <c r="D189" s="296">
        <v>7010</v>
      </c>
      <c r="E189" s="297">
        <v>70010</v>
      </c>
      <c r="F189" s="27" t="s">
        <v>165</v>
      </c>
      <c r="G189" s="27" t="s">
        <v>158</v>
      </c>
      <c r="H189" s="35">
        <v>450070</v>
      </c>
      <c r="I189" s="35">
        <v>226</v>
      </c>
      <c r="J189" s="9" t="s">
        <v>8</v>
      </c>
      <c r="K189" s="9" t="s">
        <v>159</v>
      </c>
      <c r="L189" s="8">
        <v>90</v>
      </c>
      <c r="M189" s="8">
        <v>0</v>
      </c>
      <c r="N189" s="9"/>
      <c r="O189" s="8">
        <v>0</v>
      </c>
      <c r="P189" s="9"/>
      <c r="Q189" s="8">
        <v>321</v>
      </c>
      <c r="R189" s="9"/>
      <c r="S189" s="8">
        <v>639</v>
      </c>
      <c r="T189" s="9"/>
      <c r="U189" s="8">
        <v>0</v>
      </c>
      <c r="V189" s="9"/>
      <c r="W189" s="33">
        <v>960</v>
      </c>
      <c r="X189" s="9"/>
      <c r="Y189" s="30">
        <v>0</v>
      </c>
      <c r="Z189" s="9"/>
      <c r="AA189" s="30">
        <v>0</v>
      </c>
      <c r="AB189" s="9"/>
      <c r="AC189" s="30">
        <v>1.4</v>
      </c>
      <c r="AD189" s="9"/>
      <c r="AE189" s="30">
        <v>0.51</v>
      </c>
      <c r="AF189" s="9"/>
      <c r="AG189" s="19">
        <v>0</v>
      </c>
      <c r="AI189" s="32">
        <v>1.91</v>
      </c>
      <c r="AK189" s="7" t="str">
        <f t="shared" si="2"/>
        <v>No</v>
      </c>
    </row>
    <row r="190" spans="1:37">
      <c r="A190" s="7" t="s">
        <v>351</v>
      </c>
      <c r="B190" s="7" t="s">
        <v>352</v>
      </c>
      <c r="C190" s="37" t="s">
        <v>38</v>
      </c>
      <c r="D190" s="296">
        <v>7010</v>
      </c>
      <c r="E190" s="297">
        <v>70010</v>
      </c>
      <c r="F190" s="27" t="s">
        <v>165</v>
      </c>
      <c r="G190" s="27" t="s">
        <v>158</v>
      </c>
      <c r="H190" s="35">
        <v>450070</v>
      </c>
      <c r="I190" s="35">
        <v>226</v>
      </c>
      <c r="J190" s="9" t="s">
        <v>10</v>
      </c>
      <c r="K190" s="9" t="s">
        <v>159</v>
      </c>
      <c r="L190" s="8">
        <v>21</v>
      </c>
      <c r="M190" s="8">
        <v>30455</v>
      </c>
      <c r="N190" s="9"/>
      <c r="O190" s="8">
        <v>0</v>
      </c>
      <c r="P190" s="9"/>
      <c r="Q190" s="8">
        <v>500</v>
      </c>
      <c r="R190" s="9"/>
      <c r="S190" s="8">
        <v>754</v>
      </c>
      <c r="T190" s="9"/>
      <c r="U190" s="8">
        <v>0</v>
      </c>
      <c r="V190" s="9"/>
      <c r="W190" s="33">
        <v>31709</v>
      </c>
      <c r="X190" s="9"/>
      <c r="Y190" s="30">
        <v>20</v>
      </c>
      <c r="Z190" s="9"/>
      <c r="AA190" s="30">
        <v>0</v>
      </c>
      <c r="AB190" s="9"/>
      <c r="AC190" s="30">
        <v>2.16</v>
      </c>
      <c r="AD190" s="9"/>
      <c r="AE190" s="30">
        <v>0.6</v>
      </c>
      <c r="AF190" s="9"/>
      <c r="AG190" s="19">
        <v>0</v>
      </c>
      <c r="AI190" s="32">
        <v>22.76</v>
      </c>
      <c r="AK190" s="7" t="str">
        <f t="shared" si="2"/>
        <v>No</v>
      </c>
    </row>
    <row r="191" spans="1:37">
      <c r="A191" s="7" t="s">
        <v>64</v>
      </c>
      <c r="B191" s="7" t="s">
        <v>196</v>
      </c>
      <c r="C191" s="37" t="s">
        <v>63</v>
      </c>
      <c r="D191" s="296">
        <v>2122</v>
      </c>
      <c r="E191" s="297">
        <v>20122</v>
      </c>
      <c r="F191" s="27" t="s">
        <v>173</v>
      </c>
      <c r="G191" s="27" t="s">
        <v>158</v>
      </c>
      <c r="H191" s="35">
        <v>18351295</v>
      </c>
      <c r="I191" s="35">
        <v>225</v>
      </c>
      <c r="J191" s="9" t="s">
        <v>18</v>
      </c>
      <c r="K191" s="9" t="s">
        <v>159</v>
      </c>
      <c r="L191" s="8">
        <v>225</v>
      </c>
      <c r="M191" s="8">
        <v>0</v>
      </c>
      <c r="N191" s="9"/>
      <c r="O191" s="8">
        <v>0</v>
      </c>
      <c r="P191" s="9"/>
      <c r="Q191" s="8">
        <v>0</v>
      </c>
      <c r="R191" s="9"/>
      <c r="S191" s="8">
        <v>0</v>
      </c>
      <c r="T191" s="9"/>
      <c r="U191" s="8">
        <v>0</v>
      </c>
      <c r="V191" s="9"/>
      <c r="W191" s="33">
        <v>0</v>
      </c>
      <c r="X191" s="9"/>
      <c r="Y191" s="30">
        <v>0</v>
      </c>
      <c r="Z191" s="9"/>
      <c r="AA191" s="30">
        <v>0</v>
      </c>
      <c r="AB191" s="9"/>
      <c r="AC191" s="30">
        <v>0</v>
      </c>
      <c r="AD191" s="9"/>
      <c r="AE191" s="30">
        <v>0</v>
      </c>
      <c r="AF191" s="9"/>
      <c r="AG191" s="19">
        <v>0</v>
      </c>
      <c r="AI191" s="32">
        <v>0</v>
      </c>
      <c r="AK191" s="7" t="str">
        <f t="shared" si="2"/>
        <v>No</v>
      </c>
    </row>
    <row r="192" spans="1:37">
      <c r="A192" s="7" t="s">
        <v>1121</v>
      </c>
      <c r="B192" s="7" t="s">
        <v>239</v>
      </c>
      <c r="C192" s="37" t="s">
        <v>70</v>
      </c>
      <c r="D192" s="296">
        <v>2018</v>
      </c>
      <c r="E192" s="297">
        <v>20018</v>
      </c>
      <c r="F192" s="27" t="s">
        <v>165</v>
      </c>
      <c r="G192" s="27" t="s">
        <v>158</v>
      </c>
      <c r="H192" s="35">
        <v>412317</v>
      </c>
      <c r="I192" s="35">
        <v>208</v>
      </c>
      <c r="J192" s="9" t="s">
        <v>7</v>
      </c>
      <c r="K192" s="9" t="s">
        <v>159</v>
      </c>
      <c r="L192" s="8">
        <v>162</v>
      </c>
      <c r="M192" s="8">
        <v>79222</v>
      </c>
      <c r="N192" s="9"/>
      <c r="O192" s="8">
        <v>0</v>
      </c>
      <c r="P192" s="9"/>
      <c r="Q192" s="8">
        <v>4895</v>
      </c>
      <c r="R192" s="9"/>
      <c r="S192" s="8">
        <v>13151</v>
      </c>
      <c r="T192" s="9"/>
      <c r="U192" s="8">
        <v>0</v>
      </c>
      <c r="V192" s="9"/>
      <c r="W192" s="33">
        <v>97268</v>
      </c>
      <c r="X192" s="9"/>
      <c r="Y192" s="30">
        <v>95</v>
      </c>
      <c r="Z192" s="9"/>
      <c r="AA192" s="30">
        <v>0</v>
      </c>
      <c r="AB192" s="9"/>
      <c r="AC192" s="30">
        <v>13</v>
      </c>
      <c r="AD192" s="9"/>
      <c r="AE192" s="30">
        <v>22</v>
      </c>
      <c r="AF192" s="9"/>
      <c r="AG192" s="19">
        <v>0</v>
      </c>
      <c r="AI192" s="32">
        <v>130</v>
      </c>
      <c r="AK192" s="7" t="str">
        <f t="shared" si="2"/>
        <v>No</v>
      </c>
    </row>
    <row r="193" spans="1:37">
      <c r="A193" s="7" t="s">
        <v>1122</v>
      </c>
      <c r="B193" s="7" t="s">
        <v>474</v>
      </c>
      <c r="C193" s="37" t="s">
        <v>73</v>
      </c>
      <c r="D193" s="296">
        <v>5010</v>
      </c>
      <c r="E193" s="297">
        <v>50010</v>
      </c>
      <c r="F193" s="27" t="s">
        <v>165</v>
      </c>
      <c r="G193" s="27" t="s">
        <v>158</v>
      </c>
      <c r="H193" s="35">
        <v>569499</v>
      </c>
      <c r="I193" s="35">
        <v>208</v>
      </c>
      <c r="J193" s="9" t="s">
        <v>7</v>
      </c>
      <c r="K193" s="9" t="s">
        <v>159</v>
      </c>
      <c r="L193" s="8">
        <v>110</v>
      </c>
      <c r="M193" s="8">
        <v>0</v>
      </c>
      <c r="N193" s="9"/>
      <c r="O193" s="8">
        <v>0</v>
      </c>
      <c r="P193" s="9"/>
      <c r="Q193" s="8">
        <v>0</v>
      </c>
      <c r="R193" s="9"/>
      <c r="S193" s="8">
        <v>2120</v>
      </c>
      <c r="T193" s="9"/>
      <c r="U193" s="8">
        <v>0</v>
      </c>
      <c r="V193" s="9"/>
      <c r="W193" s="33">
        <v>2120</v>
      </c>
      <c r="X193" s="9"/>
      <c r="Y193" s="30">
        <v>0</v>
      </c>
      <c r="Z193" s="9"/>
      <c r="AA193" s="30">
        <v>0</v>
      </c>
      <c r="AB193" s="9"/>
      <c r="AC193" s="30">
        <v>0</v>
      </c>
      <c r="AD193" s="9"/>
      <c r="AE193" s="30">
        <v>2.08</v>
      </c>
      <c r="AF193" s="9"/>
      <c r="AG193" s="19">
        <v>0</v>
      </c>
      <c r="AI193" s="32">
        <v>2.08</v>
      </c>
      <c r="AK193" s="7" t="str">
        <f t="shared" si="2"/>
        <v>No</v>
      </c>
    </row>
    <row r="194" spans="1:37">
      <c r="A194" s="7" t="s">
        <v>1122</v>
      </c>
      <c r="B194" s="7" t="s">
        <v>474</v>
      </c>
      <c r="C194" s="37" t="s">
        <v>73</v>
      </c>
      <c r="D194" s="296">
        <v>5010</v>
      </c>
      <c r="E194" s="297">
        <v>50010</v>
      </c>
      <c r="F194" s="27" t="s">
        <v>165</v>
      </c>
      <c r="G194" s="27" t="s">
        <v>158</v>
      </c>
      <c r="H194" s="35">
        <v>569499</v>
      </c>
      <c r="I194" s="35">
        <v>208</v>
      </c>
      <c r="J194" s="9" t="s">
        <v>10</v>
      </c>
      <c r="K194" s="9" t="s">
        <v>159</v>
      </c>
      <c r="L194" s="8">
        <v>91</v>
      </c>
      <c r="M194" s="8">
        <v>64298</v>
      </c>
      <c r="N194" s="9"/>
      <c r="O194" s="8">
        <v>0</v>
      </c>
      <c r="P194" s="9"/>
      <c r="Q194" s="8">
        <v>0</v>
      </c>
      <c r="R194" s="9"/>
      <c r="S194" s="8">
        <v>2206</v>
      </c>
      <c r="T194" s="9"/>
      <c r="U194" s="8">
        <v>0</v>
      </c>
      <c r="V194" s="9"/>
      <c r="W194" s="33">
        <v>66504</v>
      </c>
      <c r="X194" s="9"/>
      <c r="Y194" s="30">
        <v>41</v>
      </c>
      <c r="Z194" s="9"/>
      <c r="AA194" s="30">
        <v>0</v>
      </c>
      <c r="AB194" s="9"/>
      <c r="AC194" s="30">
        <v>0</v>
      </c>
      <c r="AD194" s="9"/>
      <c r="AE194" s="30">
        <v>1.5</v>
      </c>
      <c r="AF194" s="9"/>
      <c r="AG194" s="19">
        <v>0</v>
      </c>
      <c r="AI194" s="32">
        <v>42.5</v>
      </c>
      <c r="AK194" s="7" t="str">
        <f t="shared" ref="AK194:AK257" si="3">IF(AJ194&amp;AH194&amp;AF194&amp;AD194&amp;AB194&amp;Z194&amp;X194&amp;V194&amp;T194&amp;R194&amp;P194&amp;N194&lt;&gt;"","Yes","No")</f>
        <v>No</v>
      </c>
    </row>
    <row r="195" spans="1:37">
      <c r="A195" s="7" t="s">
        <v>1121</v>
      </c>
      <c r="B195" s="7" t="s">
        <v>239</v>
      </c>
      <c r="C195" s="37" t="s">
        <v>70</v>
      </c>
      <c r="D195" s="296">
        <v>2018</v>
      </c>
      <c r="E195" s="297">
        <v>20018</v>
      </c>
      <c r="F195" s="27" t="s">
        <v>165</v>
      </c>
      <c r="G195" s="27" t="s">
        <v>158</v>
      </c>
      <c r="H195" s="35">
        <v>412317</v>
      </c>
      <c r="I195" s="35">
        <v>208</v>
      </c>
      <c r="J195" s="9" t="s">
        <v>10</v>
      </c>
      <c r="K195" s="9" t="s">
        <v>159</v>
      </c>
      <c r="L195" s="8">
        <v>25</v>
      </c>
      <c r="M195" s="8">
        <v>5353</v>
      </c>
      <c r="N195" s="9"/>
      <c r="O195" s="8">
        <v>0</v>
      </c>
      <c r="P195" s="9"/>
      <c r="Q195" s="8">
        <v>0</v>
      </c>
      <c r="R195" s="9"/>
      <c r="S195" s="8">
        <v>0</v>
      </c>
      <c r="T195" s="9"/>
      <c r="U195" s="8">
        <v>0</v>
      </c>
      <c r="V195" s="9"/>
      <c r="W195" s="33">
        <v>5353</v>
      </c>
      <c r="X195" s="9"/>
      <c r="Y195" s="30">
        <v>67</v>
      </c>
      <c r="Z195" s="9"/>
      <c r="AA195" s="30">
        <v>0</v>
      </c>
      <c r="AB195" s="9"/>
      <c r="AC195" s="30">
        <v>0</v>
      </c>
      <c r="AD195" s="9"/>
      <c r="AE195" s="30">
        <v>0</v>
      </c>
      <c r="AF195" s="9"/>
      <c r="AG195" s="19">
        <v>0</v>
      </c>
      <c r="AI195" s="32">
        <v>67</v>
      </c>
      <c r="AK195" s="7" t="str">
        <f t="shared" si="3"/>
        <v>No</v>
      </c>
    </row>
    <row r="196" spans="1:37">
      <c r="A196" s="7" t="s">
        <v>1122</v>
      </c>
      <c r="B196" s="7" t="s">
        <v>474</v>
      </c>
      <c r="C196" s="37" t="s">
        <v>73</v>
      </c>
      <c r="D196" s="296">
        <v>5010</v>
      </c>
      <c r="E196" s="297">
        <v>50010</v>
      </c>
      <c r="F196" s="27" t="s">
        <v>165</v>
      </c>
      <c r="G196" s="27" t="s">
        <v>158</v>
      </c>
      <c r="H196" s="35">
        <v>569499</v>
      </c>
      <c r="I196" s="35">
        <v>208</v>
      </c>
      <c r="J196" s="9" t="s">
        <v>18</v>
      </c>
      <c r="K196" s="9" t="s">
        <v>159</v>
      </c>
      <c r="L196" s="8">
        <v>7</v>
      </c>
      <c r="M196" s="8">
        <v>0</v>
      </c>
      <c r="N196" s="9"/>
      <c r="O196" s="8">
        <v>0</v>
      </c>
      <c r="P196" s="9"/>
      <c r="Q196" s="8">
        <v>0</v>
      </c>
      <c r="R196" s="9"/>
      <c r="S196" s="8">
        <v>202</v>
      </c>
      <c r="T196" s="9"/>
      <c r="U196" s="8">
        <v>0</v>
      </c>
      <c r="V196" s="9"/>
      <c r="W196" s="33">
        <v>202</v>
      </c>
      <c r="X196" s="9"/>
      <c r="Y196" s="30">
        <v>0</v>
      </c>
      <c r="Z196" s="9"/>
      <c r="AA196" s="30">
        <v>0</v>
      </c>
      <c r="AB196" s="9"/>
      <c r="AC196" s="30">
        <v>0</v>
      </c>
      <c r="AD196" s="9"/>
      <c r="AE196" s="30">
        <v>0.18</v>
      </c>
      <c r="AF196" s="9"/>
      <c r="AG196" s="19">
        <v>0</v>
      </c>
      <c r="AI196" s="32">
        <v>0.18</v>
      </c>
      <c r="AK196" s="7" t="str">
        <f t="shared" si="3"/>
        <v>No</v>
      </c>
    </row>
    <row r="197" spans="1:37">
      <c r="A197" s="7" t="s">
        <v>227</v>
      </c>
      <c r="B197" s="7" t="s">
        <v>228</v>
      </c>
      <c r="C197" s="37" t="s">
        <v>52</v>
      </c>
      <c r="D197" s="296">
        <v>5148</v>
      </c>
      <c r="E197" s="297">
        <v>50148</v>
      </c>
      <c r="F197" s="27" t="s">
        <v>165</v>
      </c>
      <c r="G197" s="27" t="s">
        <v>158</v>
      </c>
      <c r="H197" s="35">
        <v>87106</v>
      </c>
      <c r="I197" s="35">
        <v>205</v>
      </c>
      <c r="J197" s="9" t="s">
        <v>10</v>
      </c>
      <c r="K197" s="9" t="s">
        <v>159</v>
      </c>
      <c r="L197" s="8">
        <v>43</v>
      </c>
      <c r="M197" s="8">
        <v>51650</v>
      </c>
      <c r="N197" s="9"/>
      <c r="O197" s="8">
        <v>9233</v>
      </c>
      <c r="P197" s="9"/>
      <c r="Q197" s="8">
        <v>696</v>
      </c>
      <c r="R197" s="9"/>
      <c r="S197" s="8">
        <v>0</v>
      </c>
      <c r="T197" s="9"/>
      <c r="U197" s="8">
        <v>0</v>
      </c>
      <c r="V197" s="9"/>
      <c r="W197" s="33">
        <v>61579</v>
      </c>
      <c r="X197" s="9"/>
      <c r="Y197" s="30">
        <v>46.1</v>
      </c>
      <c r="Z197" s="9"/>
      <c r="AA197" s="30">
        <v>6</v>
      </c>
      <c r="AB197" s="9"/>
      <c r="AC197" s="30">
        <v>1.3</v>
      </c>
      <c r="AD197" s="9"/>
      <c r="AE197" s="30">
        <v>0</v>
      </c>
      <c r="AF197" s="9"/>
      <c r="AG197" s="19">
        <v>0</v>
      </c>
      <c r="AI197" s="32">
        <v>53.4</v>
      </c>
      <c r="AK197" s="7" t="str">
        <f t="shared" si="3"/>
        <v>No</v>
      </c>
    </row>
    <row r="198" spans="1:37">
      <c r="A198" s="7" t="s">
        <v>227</v>
      </c>
      <c r="B198" s="7" t="s">
        <v>228</v>
      </c>
      <c r="C198" s="37" t="s">
        <v>52</v>
      </c>
      <c r="D198" s="296">
        <v>5148</v>
      </c>
      <c r="E198" s="297">
        <v>50148</v>
      </c>
      <c r="F198" s="27" t="s">
        <v>165</v>
      </c>
      <c r="G198" s="27" t="s">
        <v>158</v>
      </c>
      <c r="H198" s="35">
        <v>87106</v>
      </c>
      <c r="I198" s="35">
        <v>205</v>
      </c>
      <c r="J198" s="9" t="s">
        <v>7</v>
      </c>
      <c r="K198" s="9" t="s">
        <v>159</v>
      </c>
      <c r="L198" s="8">
        <v>9</v>
      </c>
      <c r="M198" s="8">
        <v>23164</v>
      </c>
      <c r="N198" s="9"/>
      <c r="O198" s="8">
        <v>4141</v>
      </c>
      <c r="P198" s="9"/>
      <c r="Q198" s="8">
        <v>312</v>
      </c>
      <c r="R198" s="9"/>
      <c r="S198" s="8">
        <v>0</v>
      </c>
      <c r="T198" s="9"/>
      <c r="U198" s="8">
        <v>0</v>
      </c>
      <c r="V198" s="9"/>
      <c r="W198" s="33">
        <v>27617</v>
      </c>
      <c r="X198" s="9"/>
      <c r="Y198" s="30">
        <v>20.66</v>
      </c>
      <c r="Z198" s="9"/>
      <c r="AA198" s="30">
        <v>2.69</v>
      </c>
      <c r="AB198" s="9"/>
      <c r="AC198" s="30">
        <v>0.6</v>
      </c>
      <c r="AD198" s="9"/>
      <c r="AE198" s="30">
        <v>0</v>
      </c>
      <c r="AF198" s="9"/>
      <c r="AG198" s="19">
        <v>0</v>
      </c>
      <c r="AI198" s="32">
        <v>23.95</v>
      </c>
      <c r="AK198" s="7" t="str">
        <f t="shared" si="3"/>
        <v>No</v>
      </c>
    </row>
    <row r="199" spans="1:37">
      <c r="A199" s="7" t="s">
        <v>227</v>
      </c>
      <c r="B199" s="7" t="s">
        <v>228</v>
      </c>
      <c r="C199" s="37" t="s">
        <v>52</v>
      </c>
      <c r="D199" s="296">
        <v>5148</v>
      </c>
      <c r="E199" s="297">
        <v>50148</v>
      </c>
      <c r="F199" s="27" t="s">
        <v>165</v>
      </c>
      <c r="G199" s="27" t="s">
        <v>158</v>
      </c>
      <c r="H199" s="35">
        <v>87106</v>
      </c>
      <c r="I199" s="35">
        <v>205</v>
      </c>
      <c r="J199" s="9" t="s">
        <v>18</v>
      </c>
      <c r="K199" s="9" t="s">
        <v>159</v>
      </c>
      <c r="L199" s="8">
        <v>3</v>
      </c>
      <c r="M199" s="8">
        <v>2553</v>
      </c>
      <c r="N199" s="9"/>
      <c r="O199" s="8">
        <v>456</v>
      </c>
      <c r="P199" s="9"/>
      <c r="Q199" s="8">
        <v>34</v>
      </c>
      <c r="R199" s="9"/>
      <c r="S199" s="8">
        <v>0</v>
      </c>
      <c r="T199" s="9"/>
      <c r="U199" s="8">
        <v>0</v>
      </c>
      <c r="V199" s="9"/>
      <c r="W199" s="33">
        <v>3043</v>
      </c>
      <c r="X199" s="9"/>
      <c r="Y199" s="30">
        <v>2.2999999999999998</v>
      </c>
      <c r="Z199" s="9"/>
      <c r="AA199" s="30">
        <v>0.3</v>
      </c>
      <c r="AB199" s="9"/>
      <c r="AC199" s="30">
        <v>7.0000000000000007E-2</v>
      </c>
      <c r="AD199" s="9"/>
      <c r="AE199" s="30">
        <v>0</v>
      </c>
      <c r="AF199" s="9"/>
      <c r="AG199" s="19">
        <v>0</v>
      </c>
      <c r="AI199" s="32">
        <v>2.67</v>
      </c>
      <c r="AK199" s="7" t="str">
        <f t="shared" si="3"/>
        <v>No</v>
      </c>
    </row>
    <row r="200" spans="1:37">
      <c r="A200" s="7" t="s">
        <v>417</v>
      </c>
      <c r="B200" s="7" t="s">
        <v>418</v>
      </c>
      <c r="C200" s="37" t="s">
        <v>42</v>
      </c>
      <c r="D200" s="296">
        <v>5050</v>
      </c>
      <c r="E200" s="297">
        <v>50050</v>
      </c>
      <c r="F200" s="27" t="s">
        <v>165</v>
      </c>
      <c r="G200" s="27" t="s">
        <v>158</v>
      </c>
      <c r="H200" s="35">
        <v>1487483</v>
      </c>
      <c r="I200" s="35">
        <v>202</v>
      </c>
      <c r="J200" s="9" t="s">
        <v>7</v>
      </c>
      <c r="K200" s="9" t="s">
        <v>159</v>
      </c>
      <c r="L200" s="8">
        <v>136</v>
      </c>
      <c r="M200" s="8">
        <v>2352</v>
      </c>
      <c r="N200" s="9"/>
      <c r="O200" s="8">
        <v>0</v>
      </c>
      <c r="P200" s="9"/>
      <c r="Q200" s="8">
        <v>1459</v>
      </c>
      <c r="R200" s="9"/>
      <c r="S200" s="8">
        <v>3180</v>
      </c>
      <c r="T200" s="9"/>
      <c r="U200" s="8">
        <v>0</v>
      </c>
      <c r="V200" s="9"/>
      <c r="W200" s="33">
        <v>6991</v>
      </c>
      <c r="X200" s="9"/>
      <c r="Y200" s="30">
        <v>2</v>
      </c>
      <c r="Z200" s="9"/>
      <c r="AA200" s="30">
        <v>0</v>
      </c>
      <c r="AB200" s="9"/>
      <c r="AC200" s="30">
        <v>1</v>
      </c>
      <c r="AD200" s="9"/>
      <c r="AE200" s="30">
        <v>3</v>
      </c>
      <c r="AF200" s="9"/>
      <c r="AG200" s="19">
        <v>0</v>
      </c>
      <c r="AI200" s="32">
        <v>6</v>
      </c>
      <c r="AK200" s="7" t="str">
        <f t="shared" si="3"/>
        <v>No</v>
      </c>
    </row>
    <row r="201" spans="1:37">
      <c r="A201" s="7" t="s">
        <v>1123</v>
      </c>
      <c r="B201" s="7" t="s">
        <v>469</v>
      </c>
      <c r="C201" s="37" t="s">
        <v>52</v>
      </c>
      <c r="D201" s="296">
        <v>5032</v>
      </c>
      <c r="E201" s="297">
        <v>50032</v>
      </c>
      <c r="F201" s="27" t="s">
        <v>165</v>
      </c>
      <c r="G201" s="27" t="s">
        <v>158</v>
      </c>
      <c r="H201" s="35">
        <v>356218</v>
      </c>
      <c r="I201" s="35">
        <v>202</v>
      </c>
      <c r="J201" s="9" t="s">
        <v>10</v>
      </c>
      <c r="K201" s="9" t="s">
        <v>159</v>
      </c>
      <c r="L201" s="8">
        <v>101</v>
      </c>
      <c r="M201" s="8">
        <v>79526</v>
      </c>
      <c r="N201" s="9"/>
      <c r="O201" s="8">
        <v>0</v>
      </c>
      <c r="P201" s="9"/>
      <c r="Q201" s="8">
        <v>0</v>
      </c>
      <c r="R201" s="9"/>
      <c r="S201" s="8">
        <v>5023</v>
      </c>
      <c r="T201" s="9"/>
      <c r="U201" s="8">
        <v>0</v>
      </c>
      <c r="V201" s="9"/>
      <c r="W201" s="33">
        <v>84549</v>
      </c>
      <c r="X201" s="9"/>
      <c r="Y201" s="30">
        <v>80</v>
      </c>
      <c r="Z201" s="9"/>
      <c r="AA201" s="30">
        <v>0</v>
      </c>
      <c r="AB201" s="9"/>
      <c r="AC201" s="30">
        <v>0</v>
      </c>
      <c r="AD201" s="9"/>
      <c r="AE201" s="30">
        <v>4.4000000000000004</v>
      </c>
      <c r="AF201" s="9"/>
      <c r="AG201" s="19">
        <v>0</v>
      </c>
      <c r="AI201" s="32">
        <v>84.4</v>
      </c>
      <c r="AK201" s="7" t="str">
        <f t="shared" si="3"/>
        <v>No</v>
      </c>
    </row>
    <row r="202" spans="1:37">
      <c r="A202" s="7" t="s">
        <v>1123</v>
      </c>
      <c r="B202" s="7" t="s">
        <v>469</v>
      </c>
      <c r="C202" s="37" t="s">
        <v>52</v>
      </c>
      <c r="D202" s="296">
        <v>5032</v>
      </c>
      <c r="E202" s="297">
        <v>50032</v>
      </c>
      <c r="F202" s="27" t="s">
        <v>165</v>
      </c>
      <c r="G202" s="27" t="s">
        <v>158</v>
      </c>
      <c r="H202" s="35">
        <v>356218</v>
      </c>
      <c r="I202" s="35">
        <v>202</v>
      </c>
      <c r="J202" s="9" t="s">
        <v>7</v>
      </c>
      <c r="K202" s="9" t="s">
        <v>159</v>
      </c>
      <c r="L202" s="8">
        <v>99</v>
      </c>
      <c r="M202" s="8">
        <v>104859</v>
      </c>
      <c r="N202" s="9"/>
      <c r="O202" s="8">
        <v>0</v>
      </c>
      <c r="P202" s="9"/>
      <c r="Q202" s="8">
        <v>0</v>
      </c>
      <c r="R202" s="9"/>
      <c r="S202" s="8">
        <v>5172</v>
      </c>
      <c r="T202" s="9"/>
      <c r="U202" s="8">
        <v>0</v>
      </c>
      <c r="V202" s="9"/>
      <c r="W202" s="33">
        <v>110031</v>
      </c>
      <c r="X202" s="9"/>
      <c r="Y202" s="30">
        <v>88</v>
      </c>
      <c r="Z202" s="9"/>
      <c r="AA202" s="30">
        <v>0</v>
      </c>
      <c r="AB202" s="9"/>
      <c r="AC202" s="30">
        <v>0</v>
      </c>
      <c r="AD202" s="9"/>
      <c r="AE202" s="30">
        <v>4.5999999999999996</v>
      </c>
      <c r="AF202" s="9"/>
      <c r="AG202" s="19">
        <v>0</v>
      </c>
      <c r="AI202" s="32">
        <v>92.6</v>
      </c>
      <c r="AK202" s="7" t="str">
        <f t="shared" si="3"/>
        <v>No</v>
      </c>
    </row>
    <row r="203" spans="1:37">
      <c r="A203" s="7" t="s">
        <v>410</v>
      </c>
      <c r="B203" s="7" t="s">
        <v>411</v>
      </c>
      <c r="C203" s="37" t="s">
        <v>32</v>
      </c>
      <c r="D203" s="296">
        <v>4041</v>
      </c>
      <c r="E203" s="297">
        <v>40041</v>
      </c>
      <c r="F203" s="27" t="s">
        <v>165</v>
      </c>
      <c r="G203" s="27" t="s">
        <v>158</v>
      </c>
      <c r="H203" s="35">
        <v>2441770</v>
      </c>
      <c r="I203" s="35">
        <v>201</v>
      </c>
      <c r="J203" s="9" t="s">
        <v>7</v>
      </c>
      <c r="K203" s="9" t="s">
        <v>159</v>
      </c>
      <c r="L203" s="8">
        <v>162</v>
      </c>
      <c r="M203" s="8">
        <v>8524</v>
      </c>
      <c r="N203" s="9"/>
      <c r="O203" s="8">
        <v>1705</v>
      </c>
      <c r="P203" s="9"/>
      <c r="Q203" s="8">
        <v>1900</v>
      </c>
      <c r="R203" s="9"/>
      <c r="S203" s="8">
        <v>1346</v>
      </c>
      <c r="T203" s="9"/>
      <c r="U203" s="8">
        <v>0</v>
      </c>
      <c r="V203" s="9"/>
      <c r="W203" s="33">
        <v>13475</v>
      </c>
      <c r="X203" s="9"/>
      <c r="Y203" s="30">
        <v>9</v>
      </c>
      <c r="Z203" s="9"/>
      <c r="AA203" s="30">
        <v>2</v>
      </c>
      <c r="AB203" s="9"/>
      <c r="AC203" s="30">
        <v>3</v>
      </c>
      <c r="AD203" s="9"/>
      <c r="AE203" s="30">
        <v>2</v>
      </c>
      <c r="AF203" s="9"/>
      <c r="AG203" s="19">
        <v>0</v>
      </c>
      <c r="AI203" s="32">
        <v>16</v>
      </c>
      <c r="AK203" s="7" t="str">
        <f t="shared" si="3"/>
        <v>No</v>
      </c>
    </row>
    <row r="204" spans="1:37">
      <c r="A204" s="7" t="s">
        <v>410</v>
      </c>
      <c r="B204" s="7" t="s">
        <v>411</v>
      </c>
      <c r="C204" s="37" t="s">
        <v>32</v>
      </c>
      <c r="D204" s="296">
        <v>4041</v>
      </c>
      <c r="E204" s="297">
        <v>40041</v>
      </c>
      <c r="F204" s="27" t="s">
        <v>165</v>
      </c>
      <c r="G204" s="27" t="s">
        <v>158</v>
      </c>
      <c r="H204" s="35">
        <v>2441770</v>
      </c>
      <c r="I204" s="35">
        <v>201</v>
      </c>
      <c r="J204" s="9" t="s">
        <v>10</v>
      </c>
      <c r="K204" s="9" t="s">
        <v>159</v>
      </c>
      <c r="L204" s="8">
        <v>36</v>
      </c>
      <c r="M204" s="8">
        <v>0</v>
      </c>
      <c r="N204" s="9"/>
      <c r="O204" s="8">
        <v>0</v>
      </c>
      <c r="P204" s="9"/>
      <c r="Q204" s="8">
        <v>0</v>
      </c>
      <c r="R204" s="9"/>
      <c r="S204" s="8">
        <v>0</v>
      </c>
      <c r="T204" s="9"/>
      <c r="U204" s="8">
        <v>0</v>
      </c>
      <c r="V204" s="9"/>
      <c r="W204" s="33">
        <v>0</v>
      </c>
      <c r="X204" s="9"/>
      <c r="Y204" s="30">
        <v>0</v>
      </c>
      <c r="Z204" s="9"/>
      <c r="AA204" s="30">
        <v>0</v>
      </c>
      <c r="AB204" s="9"/>
      <c r="AC204" s="30">
        <v>0</v>
      </c>
      <c r="AD204" s="9"/>
      <c r="AE204" s="30">
        <v>0</v>
      </c>
      <c r="AF204" s="9"/>
      <c r="AG204" s="19">
        <v>0</v>
      </c>
      <c r="AI204" s="32">
        <v>0</v>
      </c>
      <c r="AK204" s="7" t="str">
        <f t="shared" si="3"/>
        <v>No</v>
      </c>
    </row>
    <row r="205" spans="1:37">
      <c r="A205" s="7" t="s">
        <v>410</v>
      </c>
      <c r="B205" s="7" t="s">
        <v>411</v>
      </c>
      <c r="C205" s="37" t="s">
        <v>32</v>
      </c>
      <c r="D205" s="296">
        <v>4041</v>
      </c>
      <c r="E205" s="297">
        <v>40041</v>
      </c>
      <c r="F205" s="27" t="s">
        <v>165</v>
      </c>
      <c r="G205" s="27" t="s">
        <v>158</v>
      </c>
      <c r="H205" s="35">
        <v>2441770</v>
      </c>
      <c r="I205" s="35">
        <v>201</v>
      </c>
      <c r="J205" s="9" t="s">
        <v>12</v>
      </c>
      <c r="K205" s="9" t="s">
        <v>159</v>
      </c>
      <c r="L205" s="8">
        <v>3</v>
      </c>
      <c r="M205" s="8">
        <v>0</v>
      </c>
      <c r="N205" s="9"/>
      <c r="O205" s="8">
        <v>0</v>
      </c>
      <c r="P205" s="9"/>
      <c r="Q205" s="8">
        <v>0</v>
      </c>
      <c r="R205" s="9"/>
      <c r="S205" s="8">
        <v>1177</v>
      </c>
      <c r="T205" s="9"/>
      <c r="U205" s="8">
        <v>0</v>
      </c>
      <c r="V205" s="9"/>
      <c r="W205" s="33">
        <v>1177</v>
      </c>
      <c r="X205" s="9"/>
      <c r="Y205" s="30">
        <v>0</v>
      </c>
      <c r="Z205" s="9"/>
      <c r="AA205" s="30">
        <v>0</v>
      </c>
      <c r="AB205" s="9"/>
      <c r="AC205" s="30">
        <v>0</v>
      </c>
      <c r="AD205" s="9"/>
      <c r="AE205" s="30">
        <v>37</v>
      </c>
      <c r="AF205" s="9"/>
      <c r="AG205" s="19">
        <v>0</v>
      </c>
      <c r="AI205" s="32">
        <v>37</v>
      </c>
      <c r="AK205" s="7" t="str">
        <f t="shared" si="3"/>
        <v>No</v>
      </c>
    </row>
    <row r="206" spans="1:37">
      <c r="A206" s="7" t="s">
        <v>451</v>
      </c>
      <c r="B206" s="7" t="s">
        <v>306</v>
      </c>
      <c r="C206" s="37" t="s">
        <v>17</v>
      </c>
      <c r="D206" s="296">
        <v>9023</v>
      </c>
      <c r="E206" s="297">
        <v>90023</v>
      </c>
      <c r="F206" s="27" t="s">
        <v>401</v>
      </c>
      <c r="G206" s="27" t="s">
        <v>158</v>
      </c>
      <c r="H206" s="35">
        <v>12150996</v>
      </c>
      <c r="I206" s="35">
        <v>197</v>
      </c>
      <c r="J206" s="9" t="s">
        <v>7</v>
      </c>
      <c r="K206" s="9" t="s">
        <v>159</v>
      </c>
      <c r="L206" s="8">
        <v>187</v>
      </c>
      <c r="M206" s="8">
        <v>10852</v>
      </c>
      <c r="N206" s="9"/>
      <c r="O206" s="8">
        <v>1926</v>
      </c>
      <c r="P206" s="9"/>
      <c r="Q206" s="8">
        <v>0</v>
      </c>
      <c r="R206" s="9"/>
      <c r="S206" s="8">
        <v>8159</v>
      </c>
      <c r="T206" s="9"/>
      <c r="U206" s="8">
        <v>0</v>
      </c>
      <c r="V206" s="9"/>
      <c r="W206" s="33">
        <v>20937</v>
      </c>
      <c r="X206" s="9"/>
      <c r="Y206" s="30">
        <v>7</v>
      </c>
      <c r="Z206" s="9"/>
      <c r="AA206" s="30">
        <v>2</v>
      </c>
      <c r="AB206" s="9"/>
      <c r="AC206" s="30">
        <v>0</v>
      </c>
      <c r="AD206" s="9"/>
      <c r="AE206" s="30">
        <v>8</v>
      </c>
      <c r="AF206" s="9"/>
      <c r="AG206" s="19">
        <v>0</v>
      </c>
      <c r="AI206" s="32">
        <v>17</v>
      </c>
      <c r="AK206" s="7" t="str">
        <f t="shared" si="3"/>
        <v>No</v>
      </c>
    </row>
    <row r="207" spans="1:37">
      <c r="A207" s="7" t="s">
        <v>633</v>
      </c>
      <c r="B207" s="7" t="s">
        <v>634</v>
      </c>
      <c r="C207" s="37" t="s">
        <v>69</v>
      </c>
      <c r="D207" s="296">
        <v>6019</v>
      </c>
      <c r="E207" s="297">
        <v>60019</v>
      </c>
      <c r="F207" s="27" t="s">
        <v>162</v>
      </c>
      <c r="G207" s="27" t="s">
        <v>158</v>
      </c>
      <c r="H207" s="35">
        <v>741318</v>
      </c>
      <c r="I207" s="35">
        <v>193</v>
      </c>
      <c r="J207" s="9" t="s">
        <v>7</v>
      </c>
      <c r="K207" s="9" t="s">
        <v>159</v>
      </c>
      <c r="L207" s="8">
        <v>131</v>
      </c>
      <c r="M207" s="8">
        <v>0</v>
      </c>
      <c r="N207" s="9"/>
      <c r="O207" s="8">
        <v>0</v>
      </c>
      <c r="P207" s="9"/>
      <c r="Q207" s="8">
        <v>0</v>
      </c>
      <c r="R207" s="9"/>
      <c r="S207" s="8">
        <v>0</v>
      </c>
      <c r="T207" s="9"/>
      <c r="U207" s="8">
        <v>0</v>
      </c>
      <c r="V207" s="9"/>
      <c r="W207" s="33">
        <v>0</v>
      </c>
      <c r="X207" s="9"/>
      <c r="Y207" s="30">
        <v>0</v>
      </c>
      <c r="Z207" s="9"/>
      <c r="AA207" s="30">
        <v>0</v>
      </c>
      <c r="AB207" s="9"/>
      <c r="AC207" s="30">
        <v>0</v>
      </c>
      <c r="AD207" s="9"/>
      <c r="AE207" s="30">
        <v>0</v>
      </c>
      <c r="AF207" s="9"/>
      <c r="AG207" s="19">
        <v>0</v>
      </c>
      <c r="AI207" s="32">
        <v>0</v>
      </c>
      <c r="AK207" s="7" t="str">
        <f t="shared" si="3"/>
        <v>No</v>
      </c>
    </row>
    <row r="208" spans="1:37">
      <c r="A208" s="7" t="s">
        <v>633</v>
      </c>
      <c r="B208" s="7" t="s">
        <v>634</v>
      </c>
      <c r="C208" s="37" t="s">
        <v>69</v>
      </c>
      <c r="D208" s="296">
        <v>6019</v>
      </c>
      <c r="E208" s="297">
        <v>60019</v>
      </c>
      <c r="F208" s="27" t="s">
        <v>162</v>
      </c>
      <c r="G208" s="27" t="s">
        <v>158</v>
      </c>
      <c r="H208" s="35">
        <v>741318</v>
      </c>
      <c r="I208" s="35">
        <v>193</v>
      </c>
      <c r="J208" s="9" t="s">
        <v>10</v>
      </c>
      <c r="K208" s="9" t="s">
        <v>159</v>
      </c>
      <c r="L208" s="8">
        <v>62</v>
      </c>
      <c r="M208" s="8">
        <v>0</v>
      </c>
      <c r="N208" s="9"/>
      <c r="O208" s="8">
        <v>0</v>
      </c>
      <c r="P208" s="9"/>
      <c r="Q208" s="8">
        <v>0</v>
      </c>
      <c r="R208" s="9"/>
      <c r="S208" s="8">
        <v>0</v>
      </c>
      <c r="T208" s="9"/>
      <c r="U208" s="8">
        <v>0</v>
      </c>
      <c r="V208" s="9"/>
      <c r="W208" s="33">
        <v>0</v>
      </c>
      <c r="X208" s="9"/>
      <c r="Y208" s="30">
        <v>0</v>
      </c>
      <c r="Z208" s="9"/>
      <c r="AA208" s="30">
        <v>0</v>
      </c>
      <c r="AB208" s="9"/>
      <c r="AC208" s="30">
        <v>0</v>
      </c>
      <c r="AD208" s="9"/>
      <c r="AE208" s="30">
        <v>0</v>
      </c>
      <c r="AF208" s="9"/>
      <c r="AG208" s="19">
        <v>0</v>
      </c>
      <c r="AI208" s="32">
        <v>0</v>
      </c>
      <c r="AK208" s="7" t="str">
        <f t="shared" si="3"/>
        <v>No</v>
      </c>
    </row>
    <row r="209" spans="1:37">
      <c r="A209" s="7" t="s">
        <v>374</v>
      </c>
      <c r="B209" s="7" t="s">
        <v>375</v>
      </c>
      <c r="C209" s="37" t="s">
        <v>84</v>
      </c>
      <c r="D209" s="296">
        <v>6007</v>
      </c>
      <c r="E209" s="297">
        <v>60007</v>
      </c>
      <c r="F209" s="27" t="s">
        <v>165</v>
      </c>
      <c r="G209" s="27" t="s">
        <v>158</v>
      </c>
      <c r="H209" s="35">
        <v>5121892</v>
      </c>
      <c r="I209" s="35">
        <v>192</v>
      </c>
      <c r="J209" s="9" t="s">
        <v>7</v>
      </c>
      <c r="K209" s="9" t="s">
        <v>159</v>
      </c>
      <c r="L209" s="8">
        <v>108</v>
      </c>
      <c r="M209" s="8">
        <v>0</v>
      </c>
      <c r="N209" s="9"/>
      <c r="O209" s="8">
        <v>0</v>
      </c>
      <c r="P209" s="9"/>
      <c r="Q209" s="8">
        <v>0</v>
      </c>
      <c r="R209" s="9"/>
      <c r="S209" s="8">
        <v>4160</v>
      </c>
      <c r="T209" s="9"/>
      <c r="U209" s="8">
        <v>0</v>
      </c>
      <c r="V209" s="9"/>
      <c r="W209" s="33">
        <v>4160</v>
      </c>
      <c r="X209" s="9"/>
      <c r="Y209" s="30">
        <v>0</v>
      </c>
      <c r="Z209" s="9"/>
      <c r="AA209" s="30">
        <v>0</v>
      </c>
      <c r="AB209" s="9"/>
      <c r="AC209" s="30">
        <v>0</v>
      </c>
      <c r="AD209" s="9"/>
      <c r="AE209" s="30">
        <v>4</v>
      </c>
      <c r="AF209" s="9"/>
      <c r="AG209" s="19">
        <v>0</v>
      </c>
      <c r="AI209" s="32">
        <v>4</v>
      </c>
      <c r="AK209" s="7" t="str">
        <f t="shared" si="3"/>
        <v>No</v>
      </c>
    </row>
    <row r="210" spans="1:37">
      <c r="A210" s="7" t="s">
        <v>374</v>
      </c>
      <c r="B210" s="7" t="s">
        <v>375</v>
      </c>
      <c r="C210" s="37" t="s">
        <v>84</v>
      </c>
      <c r="D210" s="296">
        <v>6007</v>
      </c>
      <c r="E210" s="297">
        <v>60007</v>
      </c>
      <c r="F210" s="27" t="s">
        <v>165</v>
      </c>
      <c r="G210" s="27" t="s">
        <v>158</v>
      </c>
      <c r="H210" s="35">
        <v>5121892</v>
      </c>
      <c r="I210" s="35">
        <v>192</v>
      </c>
      <c r="J210" s="9" t="s">
        <v>10</v>
      </c>
      <c r="K210" s="9" t="s">
        <v>159</v>
      </c>
      <c r="L210" s="8">
        <v>34</v>
      </c>
      <c r="M210" s="8">
        <v>0</v>
      </c>
      <c r="N210" s="9"/>
      <c r="O210" s="8">
        <v>0</v>
      </c>
      <c r="P210" s="9"/>
      <c r="Q210" s="8">
        <v>0</v>
      </c>
      <c r="R210" s="9"/>
      <c r="S210" s="8">
        <v>2080</v>
      </c>
      <c r="T210" s="9" t="s">
        <v>121</v>
      </c>
      <c r="U210" s="8">
        <v>0</v>
      </c>
      <c r="V210" s="9"/>
      <c r="W210" s="33">
        <v>2080</v>
      </c>
      <c r="X210" s="9" t="s">
        <v>121</v>
      </c>
      <c r="Y210" s="30">
        <v>0</v>
      </c>
      <c r="Z210" s="9"/>
      <c r="AA210" s="30">
        <v>0</v>
      </c>
      <c r="AB210" s="9"/>
      <c r="AC210" s="30">
        <v>0</v>
      </c>
      <c r="AD210" s="9"/>
      <c r="AE210" s="30">
        <v>2</v>
      </c>
      <c r="AF210" s="9"/>
      <c r="AG210" s="19">
        <v>0</v>
      </c>
      <c r="AI210" s="32">
        <v>2</v>
      </c>
      <c r="AK210" s="7" t="str">
        <f t="shared" si="3"/>
        <v>Yes</v>
      </c>
    </row>
    <row r="211" spans="1:37">
      <c r="A211" s="7" t="s">
        <v>467</v>
      </c>
      <c r="B211" s="7" t="s">
        <v>468</v>
      </c>
      <c r="C211" s="37" t="s">
        <v>84</v>
      </c>
      <c r="D211" s="296">
        <v>6006</v>
      </c>
      <c r="E211" s="297">
        <v>60006</v>
      </c>
      <c r="F211" s="27" t="s">
        <v>162</v>
      </c>
      <c r="G211" s="27" t="s">
        <v>158</v>
      </c>
      <c r="H211" s="35">
        <v>803086</v>
      </c>
      <c r="I211" s="35">
        <v>186</v>
      </c>
      <c r="J211" s="9" t="s">
        <v>7</v>
      </c>
      <c r="K211" s="9" t="s">
        <v>159</v>
      </c>
      <c r="L211" s="8">
        <v>125</v>
      </c>
      <c r="M211" s="8">
        <v>0</v>
      </c>
      <c r="N211" s="9"/>
      <c r="O211" s="8">
        <v>0</v>
      </c>
      <c r="P211" s="9"/>
      <c r="Q211" s="8">
        <v>0</v>
      </c>
      <c r="R211" s="9"/>
      <c r="S211" s="8">
        <v>0</v>
      </c>
      <c r="T211" s="9"/>
      <c r="U211" s="8">
        <v>0</v>
      </c>
      <c r="V211" s="9"/>
      <c r="W211" s="33">
        <v>0</v>
      </c>
      <c r="X211" s="9"/>
      <c r="Y211" s="30">
        <v>0</v>
      </c>
      <c r="Z211" s="9"/>
      <c r="AA211" s="30">
        <v>0</v>
      </c>
      <c r="AB211" s="9"/>
      <c r="AC211" s="30">
        <v>0</v>
      </c>
      <c r="AD211" s="9"/>
      <c r="AE211" s="30">
        <v>0</v>
      </c>
      <c r="AF211" s="9"/>
      <c r="AG211" s="19">
        <v>0</v>
      </c>
      <c r="AI211" s="32">
        <v>0</v>
      </c>
      <c r="AK211" s="7" t="str">
        <f t="shared" si="3"/>
        <v>No</v>
      </c>
    </row>
    <row r="212" spans="1:37">
      <c r="A212" s="7" t="s">
        <v>703</v>
      </c>
      <c r="B212" s="7" t="s">
        <v>704</v>
      </c>
      <c r="C212" s="37" t="s">
        <v>77</v>
      </c>
      <c r="D212" s="296">
        <v>3027</v>
      </c>
      <c r="E212" s="297">
        <v>30027</v>
      </c>
      <c r="F212" s="27" t="s">
        <v>165</v>
      </c>
      <c r="G212" s="27" t="s">
        <v>158</v>
      </c>
      <c r="H212" s="35">
        <v>232045</v>
      </c>
      <c r="I212" s="35">
        <v>178</v>
      </c>
      <c r="J212" s="9" t="s">
        <v>10</v>
      </c>
      <c r="K212" s="9" t="s">
        <v>159</v>
      </c>
      <c r="L212" s="8">
        <v>103</v>
      </c>
      <c r="M212" s="8">
        <v>119600</v>
      </c>
      <c r="N212" s="9"/>
      <c r="O212" s="8">
        <v>0</v>
      </c>
      <c r="P212" s="9"/>
      <c r="Q212" s="8">
        <v>549</v>
      </c>
      <c r="R212" s="9"/>
      <c r="S212" s="8">
        <v>942</v>
      </c>
      <c r="T212" s="9"/>
      <c r="U212" s="8">
        <v>0</v>
      </c>
      <c r="V212" s="9"/>
      <c r="W212" s="33">
        <v>121091</v>
      </c>
      <c r="X212" s="9"/>
      <c r="Y212" s="30">
        <v>93.35</v>
      </c>
      <c r="Z212" s="9"/>
      <c r="AA212" s="30">
        <v>0</v>
      </c>
      <c r="AB212" s="9"/>
      <c r="AC212" s="30">
        <v>0.6</v>
      </c>
      <c r="AD212" s="9"/>
      <c r="AE212" s="30">
        <v>1.3</v>
      </c>
      <c r="AF212" s="9"/>
      <c r="AG212" s="19">
        <v>0</v>
      </c>
      <c r="AI212" s="32">
        <v>95.25</v>
      </c>
      <c r="AK212" s="7" t="str">
        <f t="shared" si="3"/>
        <v>No</v>
      </c>
    </row>
    <row r="213" spans="1:37">
      <c r="A213" s="7" t="s">
        <v>491</v>
      </c>
      <c r="B213" s="7" t="s">
        <v>492</v>
      </c>
      <c r="C213" s="37" t="s">
        <v>73</v>
      </c>
      <c r="D213" s="296">
        <v>5017</v>
      </c>
      <c r="E213" s="297">
        <v>50017</v>
      </c>
      <c r="F213" s="27" t="s">
        <v>165</v>
      </c>
      <c r="G213" s="27" t="s">
        <v>158</v>
      </c>
      <c r="H213" s="35">
        <v>724091</v>
      </c>
      <c r="I213" s="35">
        <v>178</v>
      </c>
      <c r="J213" s="9" t="s">
        <v>7</v>
      </c>
      <c r="K213" s="9" t="s">
        <v>159</v>
      </c>
      <c r="L213" s="8">
        <v>98</v>
      </c>
      <c r="M213" s="8">
        <v>0</v>
      </c>
      <c r="N213" s="9"/>
      <c r="O213" s="8">
        <v>0</v>
      </c>
      <c r="P213" s="9"/>
      <c r="Q213" s="8">
        <v>0</v>
      </c>
      <c r="R213" s="9"/>
      <c r="S213" s="8">
        <v>0</v>
      </c>
      <c r="T213" s="9"/>
      <c r="U213" s="8">
        <v>0</v>
      </c>
      <c r="V213" s="9"/>
      <c r="W213" s="33">
        <v>0</v>
      </c>
      <c r="X213" s="9"/>
      <c r="Y213" s="30">
        <v>0</v>
      </c>
      <c r="Z213" s="9"/>
      <c r="AA213" s="30">
        <v>0</v>
      </c>
      <c r="AB213" s="9"/>
      <c r="AC213" s="30">
        <v>0</v>
      </c>
      <c r="AD213" s="9"/>
      <c r="AE213" s="30">
        <v>0</v>
      </c>
      <c r="AF213" s="9"/>
      <c r="AG213" s="19">
        <v>0</v>
      </c>
      <c r="AI213" s="32">
        <v>0</v>
      </c>
      <c r="AK213" s="7" t="str">
        <f t="shared" si="3"/>
        <v>No</v>
      </c>
    </row>
    <row r="214" spans="1:37">
      <c r="A214" s="7" t="s">
        <v>491</v>
      </c>
      <c r="B214" s="7" t="s">
        <v>492</v>
      </c>
      <c r="C214" s="37" t="s">
        <v>73</v>
      </c>
      <c r="D214" s="296">
        <v>5017</v>
      </c>
      <c r="E214" s="297">
        <v>50017</v>
      </c>
      <c r="F214" s="27" t="s">
        <v>165</v>
      </c>
      <c r="G214" s="27" t="s">
        <v>158</v>
      </c>
      <c r="H214" s="35">
        <v>724091</v>
      </c>
      <c r="I214" s="35">
        <v>178</v>
      </c>
      <c r="J214" s="9" t="s">
        <v>10</v>
      </c>
      <c r="K214" s="9" t="s">
        <v>159</v>
      </c>
      <c r="L214" s="8">
        <v>54</v>
      </c>
      <c r="M214" s="8">
        <v>0</v>
      </c>
      <c r="N214" s="9"/>
      <c r="O214" s="8">
        <v>0</v>
      </c>
      <c r="P214" s="9"/>
      <c r="Q214" s="8">
        <v>0</v>
      </c>
      <c r="R214" s="9"/>
      <c r="S214" s="8">
        <v>0</v>
      </c>
      <c r="T214" s="9"/>
      <c r="U214" s="8">
        <v>0</v>
      </c>
      <c r="V214" s="9"/>
      <c r="W214" s="33">
        <v>0</v>
      </c>
      <c r="X214" s="9"/>
      <c r="Y214" s="30">
        <v>0</v>
      </c>
      <c r="Z214" s="9"/>
      <c r="AA214" s="30">
        <v>0</v>
      </c>
      <c r="AB214" s="9"/>
      <c r="AC214" s="30">
        <v>0</v>
      </c>
      <c r="AD214" s="9"/>
      <c r="AE214" s="30">
        <v>0</v>
      </c>
      <c r="AF214" s="9"/>
      <c r="AG214" s="19">
        <v>0</v>
      </c>
      <c r="AI214" s="32">
        <v>0</v>
      </c>
      <c r="AK214" s="7" t="str">
        <f t="shared" si="3"/>
        <v>No</v>
      </c>
    </row>
    <row r="215" spans="1:37">
      <c r="A215" s="7" t="s">
        <v>703</v>
      </c>
      <c r="B215" s="7" t="s">
        <v>704</v>
      </c>
      <c r="C215" s="37" t="s">
        <v>77</v>
      </c>
      <c r="D215" s="296">
        <v>3027</v>
      </c>
      <c r="E215" s="297">
        <v>30027</v>
      </c>
      <c r="F215" s="27" t="s">
        <v>165</v>
      </c>
      <c r="G215" s="27" t="s">
        <v>158</v>
      </c>
      <c r="H215" s="35">
        <v>232045</v>
      </c>
      <c r="I215" s="35">
        <v>178</v>
      </c>
      <c r="J215" s="9" t="s">
        <v>7</v>
      </c>
      <c r="K215" s="9" t="s">
        <v>159</v>
      </c>
      <c r="L215" s="8">
        <v>35</v>
      </c>
      <c r="M215" s="8">
        <v>6753</v>
      </c>
      <c r="N215" s="9"/>
      <c r="O215" s="8">
        <v>0</v>
      </c>
      <c r="P215" s="9"/>
      <c r="Q215" s="8">
        <v>1097</v>
      </c>
      <c r="R215" s="9"/>
      <c r="S215" s="8">
        <v>444</v>
      </c>
      <c r="T215" s="9"/>
      <c r="U215" s="8">
        <v>0</v>
      </c>
      <c r="V215" s="9"/>
      <c r="W215" s="33">
        <v>8294</v>
      </c>
      <c r="X215" s="9"/>
      <c r="Y215" s="30">
        <v>8.4</v>
      </c>
      <c r="Z215" s="9"/>
      <c r="AA215" s="30">
        <v>0</v>
      </c>
      <c r="AB215" s="9"/>
      <c r="AC215" s="30">
        <v>1.2</v>
      </c>
      <c r="AD215" s="9"/>
      <c r="AE215" s="30">
        <v>0.6</v>
      </c>
      <c r="AF215" s="9"/>
      <c r="AG215" s="19">
        <v>0</v>
      </c>
      <c r="AI215" s="32">
        <v>10.199999999999999</v>
      </c>
      <c r="AK215" s="7" t="str">
        <f t="shared" si="3"/>
        <v>No</v>
      </c>
    </row>
    <row r="216" spans="1:37">
      <c r="A216" s="7" t="s">
        <v>491</v>
      </c>
      <c r="B216" s="7" t="s">
        <v>492</v>
      </c>
      <c r="C216" s="37" t="s">
        <v>73</v>
      </c>
      <c r="D216" s="296">
        <v>5017</v>
      </c>
      <c r="E216" s="297">
        <v>50017</v>
      </c>
      <c r="F216" s="27" t="s">
        <v>165</v>
      </c>
      <c r="G216" s="27" t="s">
        <v>158</v>
      </c>
      <c r="H216" s="35">
        <v>724091</v>
      </c>
      <c r="I216" s="35">
        <v>178</v>
      </c>
      <c r="J216" s="9" t="s">
        <v>25</v>
      </c>
      <c r="K216" s="9" t="s">
        <v>159</v>
      </c>
      <c r="L216" s="8">
        <v>26</v>
      </c>
      <c r="M216" s="8">
        <v>0</v>
      </c>
      <c r="N216" s="9"/>
      <c r="O216" s="8">
        <v>0</v>
      </c>
      <c r="P216" s="9"/>
      <c r="Q216" s="8">
        <v>0</v>
      </c>
      <c r="R216" s="9"/>
      <c r="S216" s="8">
        <v>0</v>
      </c>
      <c r="T216" s="9"/>
      <c r="U216" s="8">
        <v>0</v>
      </c>
      <c r="V216" s="9"/>
      <c r="W216" s="33">
        <v>0</v>
      </c>
      <c r="X216" s="9"/>
      <c r="Y216" s="30">
        <v>0</v>
      </c>
      <c r="Z216" s="9"/>
      <c r="AA216" s="30">
        <v>0</v>
      </c>
      <c r="AB216" s="9"/>
      <c r="AC216" s="30">
        <v>0</v>
      </c>
      <c r="AD216" s="9"/>
      <c r="AE216" s="30">
        <v>0</v>
      </c>
      <c r="AF216" s="9"/>
      <c r="AG216" s="19">
        <v>0</v>
      </c>
      <c r="AI216" s="32">
        <v>0</v>
      </c>
      <c r="AK216" s="7" t="str">
        <f t="shared" si="3"/>
        <v>No</v>
      </c>
    </row>
    <row r="217" spans="1:37">
      <c r="A217" s="7" t="s">
        <v>703</v>
      </c>
      <c r="B217" s="7" t="s">
        <v>704</v>
      </c>
      <c r="C217" s="37" t="s">
        <v>77</v>
      </c>
      <c r="D217" s="296">
        <v>3027</v>
      </c>
      <c r="E217" s="297">
        <v>30027</v>
      </c>
      <c r="F217" s="27" t="s">
        <v>165</v>
      </c>
      <c r="G217" s="27" t="s">
        <v>158</v>
      </c>
      <c r="H217" s="35">
        <v>232045</v>
      </c>
      <c r="I217" s="35">
        <v>178</v>
      </c>
      <c r="J217" s="9" t="s">
        <v>18</v>
      </c>
      <c r="K217" s="9" t="s">
        <v>159</v>
      </c>
      <c r="L217" s="8">
        <v>9</v>
      </c>
      <c r="M217" s="8">
        <v>11538</v>
      </c>
      <c r="N217" s="9"/>
      <c r="O217" s="8">
        <v>0</v>
      </c>
      <c r="P217" s="9"/>
      <c r="Q217" s="8">
        <v>183</v>
      </c>
      <c r="R217" s="9"/>
      <c r="S217" s="8">
        <v>74</v>
      </c>
      <c r="T217" s="9"/>
      <c r="U217" s="8">
        <v>0</v>
      </c>
      <c r="V217" s="9"/>
      <c r="W217" s="33">
        <v>11795</v>
      </c>
      <c r="X217" s="9"/>
      <c r="Y217" s="30">
        <v>7.25</v>
      </c>
      <c r="Z217" s="9"/>
      <c r="AA217" s="30">
        <v>0</v>
      </c>
      <c r="AB217" s="9"/>
      <c r="AC217" s="30">
        <v>0.2</v>
      </c>
      <c r="AD217" s="9"/>
      <c r="AE217" s="30">
        <v>0.1</v>
      </c>
      <c r="AF217" s="9"/>
      <c r="AG217" s="19">
        <v>0</v>
      </c>
      <c r="AI217" s="32">
        <v>7.55</v>
      </c>
      <c r="AK217" s="7" t="str">
        <f t="shared" si="3"/>
        <v>No</v>
      </c>
    </row>
    <row r="218" spans="1:37">
      <c r="A218" s="7" t="s">
        <v>248</v>
      </c>
      <c r="B218" s="7" t="s">
        <v>249</v>
      </c>
      <c r="C218" s="37" t="s">
        <v>52</v>
      </c>
      <c r="D218" s="296">
        <v>5036</v>
      </c>
      <c r="E218" s="297">
        <v>50036</v>
      </c>
      <c r="F218" s="27" t="s">
        <v>165</v>
      </c>
      <c r="G218" s="27" t="s">
        <v>158</v>
      </c>
      <c r="H218" s="35">
        <v>313532</v>
      </c>
      <c r="I218" s="35">
        <v>176</v>
      </c>
      <c r="J218" s="9" t="s">
        <v>7</v>
      </c>
      <c r="K218" s="9" t="s">
        <v>159</v>
      </c>
      <c r="L218" s="8">
        <v>76</v>
      </c>
      <c r="M218" s="8">
        <v>50302</v>
      </c>
      <c r="N218" s="9"/>
      <c r="O218" s="8">
        <v>0</v>
      </c>
      <c r="P218" s="9"/>
      <c r="Q218" s="8">
        <v>0</v>
      </c>
      <c r="R218" s="9"/>
      <c r="S218" s="8">
        <v>6000</v>
      </c>
      <c r="T218" s="9"/>
      <c r="U218" s="8">
        <v>0</v>
      </c>
      <c r="V218" s="9"/>
      <c r="W218" s="33">
        <v>56302</v>
      </c>
      <c r="X218" s="9"/>
      <c r="Y218" s="30">
        <v>42</v>
      </c>
      <c r="Z218" s="9"/>
      <c r="AA218" s="30">
        <v>0</v>
      </c>
      <c r="AB218" s="9"/>
      <c r="AC218" s="30">
        <v>0</v>
      </c>
      <c r="AD218" s="9"/>
      <c r="AE218" s="30">
        <v>9.3000000000000007</v>
      </c>
      <c r="AF218" s="9"/>
      <c r="AG218" s="19">
        <v>0</v>
      </c>
      <c r="AI218" s="32">
        <v>51.3</v>
      </c>
      <c r="AK218" s="7" t="str">
        <f t="shared" si="3"/>
        <v>No</v>
      </c>
    </row>
    <row r="219" spans="1:37">
      <c r="A219" s="7" t="s">
        <v>318</v>
      </c>
      <c r="B219" s="7" t="s">
        <v>319</v>
      </c>
      <c r="C219" s="37" t="s">
        <v>89</v>
      </c>
      <c r="D219" s="296">
        <v>24</v>
      </c>
      <c r="E219" s="297">
        <v>24</v>
      </c>
      <c r="F219" s="27" t="s">
        <v>165</v>
      </c>
      <c r="G219" s="27" t="s">
        <v>158</v>
      </c>
      <c r="H219" s="35">
        <v>1849898</v>
      </c>
      <c r="I219" s="35">
        <v>176</v>
      </c>
      <c r="J219" s="9" t="s">
        <v>7</v>
      </c>
      <c r="K219" s="9" t="s">
        <v>159</v>
      </c>
      <c r="L219" s="8">
        <v>56</v>
      </c>
      <c r="M219" s="8">
        <v>63036</v>
      </c>
      <c r="N219" s="9"/>
      <c r="O219" s="8">
        <v>2482</v>
      </c>
      <c r="P219" s="9"/>
      <c r="Q219" s="8">
        <v>0</v>
      </c>
      <c r="R219" s="9"/>
      <c r="S219" s="8">
        <v>0</v>
      </c>
      <c r="T219" s="9"/>
      <c r="U219" s="8">
        <v>1126</v>
      </c>
      <c r="V219" s="9"/>
      <c r="W219" s="33">
        <v>66644</v>
      </c>
      <c r="X219" s="9"/>
      <c r="Y219" s="30">
        <v>33.869999999999997</v>
      </c>
      <c r="Z219" s="9"/>
      <c r="AA219" s="30">
        <v>1.85</v>
      </c>
      <c r="AB219" s="9"/>
      <c r="AC219" s="30">
        <v>0</v>
      </c>
      <c r="AD219" s="9"/>
      <c r="AE219" s="30">
        <v>0</v>
      </c>
      <c r="AF219" s="9"/>
      <c r="AG219" s="19">
        <v>1</v>
      </c>
      <c r="AI219" s="32">
        <v>36.72</v>
      </c>
      <c r="AK219" s="7" t="str">
        <f t="shared" si="3"/>
        <v>No</v>
      </c>
    </row>
    <row r="220" spans="1:37">
      <c r="A220" s="7" t="s">
        <v>318</v>
      </c>
      <c r="B220" s="7" t="s">
        <v>319</v>
      </c>
      <c r="C220" s="37" t="s">
        <v>89</v>
      </c>
      <c r="D220" s="296">
        <v>24</v>
      </c>
      <c r="E220" s="297">
        <v>24</v>
      </c>
      <c r="F220" s="27" t="s">
        <v>165</v>
      </c>
      <c r="G220" s="27" t="s">
        <v>158</v>
      </c>
      <c r="H220" s="35">
        <v>1849898</v>
      </c>
      <c r="I220" s="35">
        <v>176</v>
      </c>
      <c r="J220" s="9" t="s">
        <v>10</v>
      </c>
      <c r="K220" s="9" t="s">
        <v>159</v>
      </c>
      <c r="L220" s="8">
        <v>46</v>
      </c>
      <c r="M220" s="8">
        <v>66059</v>
      </c>
      <c r="N220" s="9"/>
      <c r="O220" s="8">
        <v>1190</v>
      </c>
      <c r="P220" s="9"/>
      <c r="Q220" s="8">
        <v>0</v>
      </c>
      <c r="R220" s="9"/>
      <c r="S220" s="8">
        <v>0</v>
      </c>
      <c r="T220" s="9"/>
      <c r="U220" s="8">
        <v>0</v>
      </c>
      <c r="V220" s="9"/>
      <c r="W220" s="33">
        <v>67249</v>
      </c>
      <c r="X220" s="9"/>
      <c r="Y220" s="30">
        <v>31</v>
      </c>
      <c r="Z220" s="9"/>
      <c r="AA220" s="30">
        <v>0.76</v>
      </c>
      <c r="AB220" s="9"/>
      <c r="AC220" s="30">
        <v>0</v>
      </c>
      <c r="AD220" s="9"/>
      <c r="AE220" s="30">
        <v>0</v>
      </c>
      <c r="AF220" s="9"/>
      <c r="AG220" s="19">
        <v>0</v>
      </c>
      <c r="AI220" s="32">
        <v>31.76</v>
      </c>
      <c r="AK220" s="7" t="str">
        <f t="shared" si="3"/>
        <v>No</v>
      </c>
    </row>
    <row r="221" spans="1:37">
      <c r="A221" s="7" t="s">
        <v>318</v>
      </c>
      <c r="B221" s="7" t="s">
        <v>319</v>
      </c>
      <c r="C221" s="37" t="s">
        <v>89</v>
      </c>
      <c r="D221" s="296">
        <v>24</v>
      </c>
      <c r="E221" s="297">
        <v>24</v>
      </c>
      <c r="F221" s="27" t="s">
        <v>165</v>
      </c>
      <c r="G221" s="27" t="s">
        <v>158</v>
      </c>
      <c r="H221" s="35">
        <v>1849898</v>
      </c>
      <c r="I221" s="35">
        <v>176</v>
      </c>
      <c r="J221" s="9" t="s">
        <v>18</v>
      </c>
      <c r="K221" s="9" t="s">
        <v>159</v>
      </c>
      <c r="L221" s="8">
        <v>41</v>
      </c>
      <c r="M221" s="8">
        <v>13263</v>
      </c>
      <c r="N221" s="9"/>
      <c r="O221" s="8">
        <v>522</v>
      </c>
      <c r="P221" s="9"/>
      <c r="Q221" s="8">
        <v>0</v>
      </c>
      <c r="R221" s="9"/>
      <c r="S221" s="8">
        <v>0</v>
      </c>
      <c r="T221" s="9"/>
      <c r="U221" s="8">
        <v>0</v>
      </c>
      <c r="V221" s="9"/>
      <c r="W221" s="33">
        <v>13785</v>
      </c>
      <c r="X221" s="9"/>
      <c r="Y221" s="30">
        <v>7.13</v>
      </c>
      <c r="Z221" s="9"/>
      <c r="AA221" s="30">
        <v>0.39</v>
      </c>
      <c r="AB221" s="9"/>
      <c r="AC221" s="30">
        <v>0</v>
      </c>
      <c r="AD221" s="9"/>
      <c r="AE221" s="30">
        <v>0</v>
      </c>
      <c r="AF221" s="9"/>
      <c r="AG221" s="19">
        <v>0</v>
      </c>
      <c r="AI221" s="32">
        <v>7.52</v>
      </c>
      <c r="AK221" s="7" t="str">
        <f t="shared" si="3"/>
        <v>No</v>
      </c>
    </row>
    <row r="222" spans="1:37">
      <c r="A222" s="7" t="s">
        <v>248</v>
      </c>
      <c r="B222" s="7" t="s">
        <v>249</v>
      </c>
      <c r="C222" s="37" t="s">
        <v>52</v>
      </c>
      <c r="D222" s="296">
        <v>5036</v>
      </c>
      <c r="E222" s="297">
        <v>50036</v>
      </c>
      <c r="F222" s="27" t="s">
        <v>165</v>
      </c>
      <c r="G222" s="27" t="s">
        <v>158</v>
      </c>
      <c r="H222" s="35">
        <v>313532</v>
      </c>
      <c r="I222" s="35">
        <v>176</v>
      </c>
      <c r="J222" s="9" t="s">
        <v>10</v>
      </c>
      <c r="K222" s="9" t="s">
        <v>159</v>
      </c>
      <c r="L222" s="8">
        <v>37</v>
      </c>
      <c r="M222" s="8">
        <v>12679</v>
      </c>
      <c r="N222" s="9"/>
      <c r="O222" s="8">
        <v>0</v>
      </c>
      <c r="P222" s="9"/>
      <c r="Q222" s="8">
        <v>0</v>
      </c>
      <c r="R222" s="9"/>
      <c r="S222" s="8">
        <v>1874</v>
      </c>
      <c r="T222" s="9"/>
      <c r="U222" s="8">
        <v>0</v>
      </c>
      <c r="V222" s="9"/>
      <c r="W222" s="33">
        <v>14553</v>
      </c>
      <c r="X222" s="9"/>
      <c r="Y222" s="30">
        <v>10</v>
      </c>
      <c r="Z222" s="9"/>
      <c r="AA222" s="30">
        <v>0</v>
      </c>
      <c r="AB222" s="9"/>
      <c r="AC222" s="30">
        <v>0</v>
      </c>
      <c r="AD222" s="9"/>
      <c r="AE222" s="30">
        <v>2</v>
      </c>
      <c r="AF222" s="9"/>
      <c r="AG222" s="19">
        <v>0</v>
      </c>
      <c r="AI222" s="32">
        <v>12</v>
      </c>
      <c r="AK222" s="7" t="str">
        <f t="shared" si="3"/>
        <v>No</v>
      </c>
    </row>
    <row r="223" spans="1:37">
      <c r="A223" s="7" t="s">
        <v>318</v>
      </c>
      <c r="B223" s="7" t="s">
        <v>319</v>
      </c>
      <c r="C223" s="37" t="s">
        <v>89</v>
      </c>
      <c r="D223" s="296">
        <v>24</v>
      </c>
      <c r="E223" s="297">
        <v>24</v>
      </c>
      <c r="F223" s="27" t="s">
        <v>165</v>
      </c>
      <c r="G223" s="27" t="s">
        <v>158</v>
      </c>
      <c r="H223" s="35">
        <v>1849898</v>
      </c>
      <c r="I223" s="35">
        <v>176</v>
      </c>
      <c r="J223" s="9" t="s">
        <v>8</v>
      </c>
      <c r="K223" s="9" t="s">
        <v>159</v>
      </c>
      <c r="L223" s="8">
        <v>33</v>
      </c>
      <c r="M223" s="8">
        <v>0</v>
      </c>
      <c r="N223" s="9"/>
      <c r="O223" s="8">
        <v>0</v>
      </c>
      <c r="P223" s="9"/>
      <c r="Q223" s="8">
        <v>0</v>
      </c>
      <c r="R223" s="9"/>
      <c r="S223" s="8">
        <v>0</v>
      </c>
      <c r="T223" s="9"/>
      <c r="U223" s="8">
        <v>0</v>
      </c>
      <c r="V223" s="9"/>
      <c r="W223" s="33">
        <v>0</v>
      </c>
      <c r="X223" s="9"/>
      <c r="Y223" s="30">
        <v>0</v>
      </c>
      <c r="Z223" s="9"/>
      <c r="AA223" s="30">
        <v>0</v>
      </c>
      <c r="AB223" s="9"/>
      <c r="AC223" s="30">
        <v>0</v>
      </c>
      <c r="AD223" s="9"/>
      <c r="AE223" s="30">
        <v>0</v>
      </c>
      <c r="AF223" s="9"/>
      <c r="AG223" s="19">
        <v>0</v>
      </c>
      <c r="AI223" s="32">
        <v>0</v>
      </c>
      <c r="AK223" s="7" t="str">
        <f t="shared" si="3"/>
        <v>No</v>
      </c>
    </row>
    <row r="224" spans="1:37">
      <c r="A224" s="7" t="s">
        <v>449</v>
      </c>
      <c r="B224" s="7" t="s">
        <v>450</v>
      </c>
      <c r="C224" s="37" t="s">
        <v>77</v>
      </c>
      <c r="D224" s="296">
        <v>3010</v>
      </c>
      <c r="E224" s="297">
        <v>30010</v>
      </c>
      <c r="F224" s="27" t="s">
        <v>165</v>
      </c>
      <c r="G224" s="27" t="s">
        <v>158</v>
      </c>
      <c r="H224" s="35">
        <v>664651</v>
      </c>
      <c r="I224" s="35">
        <v>175</v>
      </c>
      <c r="J224" s="9" t="s">
        <v>7</v>
      </c>
      <c r="K224" s="9" t="s">
        <v>159</v>
      </c>
      <c r="L224" s="8">
        <v>71</v>
      </c>
      <c r="M224" s="8">
        <v>0</v>
      </c>
      <c r="N224" s="9"/>
      <c r="O224" s="8">
        <v>0</v>
      </c>
      <c r="P224" s="9"/>
      <c r="Q224" s="8">
        <v>0</v>
      </c>
      <c r="R224" s="9"/>
      <c r="S224" s="8">
        <v>1995</v>
      </c>
      <c r="T224" s="9"/>
      <c r="U224" s="8">
        <v>0</v>
      </c>
      <c r="V224" s="9"/>
      <c r="W224" s="33">
        <v>1995</v>
      </c>
      <c r="X224" s="9"/>
      <c r="Y224" s="30">
        <v>0</v>
      </c>
      <c r="Z224" s="9"/>
      <c r="AA224" s="30">
        <v>0</v>
      </c>
      <c r="AB224" s="9"/>
      <c r="AC224" s="30">
        <v>0</v>
      </c>
      <c r="AD224" s="9"/>
      <c r="AE224" s="30">
        <v>8</v>
      </c>
      <c r="AF224" s="9"/>
      <c r="AG224" s="19">
        <v>0</v>
      </c>
      <c r="AI224" s="32">
        <v>8</v>
      </c>
      <c r="AK224" s="7" t="str">
        <f t="shared" si="3"/>
        <v>No</v>
      </c>
    </row>
    <row r="225" spans="1:37">
      <c r="A225" s="7" t="s">
        <v>166</v>
      </c>
      <c r="B225" s="7" t="s">
        <v>167</v>
      </c>
      <c r="C225" s="37" t="s">
        <v>17</v>
      </c>
      <c r="D225" s="296">
        <v>9008</v>
      </c>
      <c r="E225" s="297">
        <v>90008</v>
      </c>
      <c r="F225" s="27" t="s">
        <v>162</v>
      </c>
      <c r="G225" s="27" t="s">
        <v>158</v>
      </c>
      <c r="H225" s="35">
        <v>12150996</v>
      </c>
      <c r="I225" s="35">
        <v>173</v>
      </c>
      <c r="J225" s="9" t="s">
        <v>7</v>
      </c>
      <c r="K225" s="9" t="s">
        <v>159</v>
      </c>
      <c r="L225" s="8">
        <v>167</v>
      </c>
      <c r="M225" s="8">
        <v>2317</v>
      </c>
      <c r="N225" s="9"/>
      <c r="O225" s="8">
        <v>1254</v>
      </c>
      <c r="P225" s="9"/>
      <c r="Q225" s="8">
        <v>0</v>
      </c>
      <c r="R225" s="9"/>
      <c r="S225" s="8">
        <v>1709</v>
      </c>
      <c r="T225" s="9"/>
      <c r="U225" s="8">
        <v>0</v>
      </c>
      <c r="V225" s="9"/>
      <c r="W225" s="33">
        <v>5280</v>
      </c>
      <c r="X225" s="9"/>
      <c r="Y225" s="30">
        <v>2.8</v>
      </c>
      <c r="Z225" s="9"/>
      <c r="AA225" s="30">
        <v>1</v>
      </c>
      <c r="AB225" s="9"/>
      <c r="AC225" s="30">
        <v>0</v>
      </c>
      <c r="AD225" s="9"/>
      <c r="AE225" s="30">
        <v>1.25</v>
      </c>
      <c r="AF225" s="9"/>
      <c r="AG225" s="19">
        <v>0</v>
      </c>
      <c r="AI225" s="32">
        <v>5.05</v>
      </c>
      <c r="AK225" s="7" t="str">
        <f t="shared" si="3"/>
        <v>No</v>
      </c>
    </row>
    <row r="226" spans="1:37">
      <c r="A226" s="7" t="s">
        <v>689</v>
      </c>
      <c r="B226" s="7" t="s">
        <v>690</v>
      </c>
      <c r="C226" s="37" t="s">
        <v>44</v>
      </c>
      <c r="D226" s="296">
        <v>7015</v>
      </c>
      <c r="E226" s="297">
        <v>70015</v>
      </c>
      <c r="F226" s="27" t="s">
        <v>162</v>
      </c>
      <c r="G226" s="27" t="s">
        <v>158</v>
      </c>
      <c r="H226" s="35">
        <v>472870</v>
      </c>
      <c r="I226" s="35">
        <v>170</v>
      </c>
      <c r="J226" s="9" t="s">
        <v>7</v>
      </c>
      <c r="K226" s="9" t="s">
        <v>159</v>
      </c>
      <c r="L226" s="8">
        <v>38</v>
      </c>
      <c r="M226" s="8">
        <v>0</v>
      </c>
      <c r="N226" s="9"/>
      <c r="O226" s="8">
        <v>0</v>
      </c>
      <c r="P226" s="9"/>
      <c r="Q226" s="8">
        <v>0</v>
      </c>
      <c r="R226" s="9"/>
      <c r="S226" s="8">
        <v>0</v>
      </c>
      <c r="T226" s="9"/>
      <c r="U226" s="8">
        <v>0</v>
      </c>
      <c r="V226" s="9"/>
      <c r="W226" s="33">
        <v>0</v>
      </c>
      <c r="X226" s="9"/>
      <c r="Y226" s="30">
        <v>0</v>
      </c>
      <c r="Z226" s="9"/>
      <c r="AA226" s="30">
        <v>0</v>
      </c>
      <c r="AB226" s="9"/>
      <c r="AC226" s="30">
        <v>0</v>
      </c>
      <c r="AD226" s="9"/>
      <c r="AE226" s="30">
        <v>0</v>
      </c>
      <c r="AF226" s="9"/>
      <c r="AG226" s="19">
        <v>0</v>
      </c>
      <c r="AI226" s="32">
        <v>0</v>
      </c>
      <c r="AK226" s="7" t="str">
        <f t="shared" si="3"/>
        <v>No</v>
      </c>
    </row>
    <row r="227" spans="1:37">
      <c r="A227" s="7" t="s">
        <v>320</v>
      </c>
      <c r="B227" s="7" t="s">
        <v>321</v>
      </c>
      <c r="C227" s="37" t="s">
        <v>26</v>
      </c>
      <c r="D227" s="296">
        <v>8005</v>
      </c>
      <c r="E227" s="297">
        <v>80005</v>
      </c>
      <c r="F227" s="27" t="s">
        <v>162</v>
      </c>
      <c r="G227" s="27" t="s">
        <v>158</v>
      </c>
      <c r="H227" s="35">
        <v>559409</v>
      </c>
      <c r="I227" s="35">
        <v>170</v>
      </c>
      <c r="J227" s="9" t="s">
        <v>8</v>
      </c>
      <c r="K227" s="9" t="s">
        <v>159</v>
      </c>
      <c r="L227" s="8">
        <v>34</v>
      </c>
      <c r="M227" s="8">
        <v>0</v>
      </c>
      <c r="N227" s="9"/>
      <c r="O227" s="8">
        <v>0</v>
      </c>
      <c r="P227" s="9"/>
      <c r="Q227" s="8">
        <v>0</v>
      </c>
      <c r="R227" s="9"/>
      <c r="S227" s="8">
        <v>0</v>
      </c>
      <c r="T227" s="9"/>
      <c r="U227" s="8">
        <v>0</v>
      </c>
      <c r="V227" s="9"/>
      <c r="W227" s="33">
        <v>0</v>
      </c>
      <c r="X227" s="9"/>
      <c r="Y227" s="30">
        <v>0</v>
      </c>
      <c r="Z227" s="9"/>
      <c r="AA227" s="30">
        <v>0</v>
      </c>
      <c r="AB227" s="9"/>
      <c r="AC227" s="30">
        <v>0</v>
      </c>
      <c r="AD227" s="9"/>
      <c r="AE227" s="30">
        <v>0</v>
      </c>
      <c r="AF227" s="9"/>
      <c r="AG227" s="19">
        <v>0</v>
      </c>
      <c r="AI227" s="32">
        <v>0</v>
      </c>
      <c r="AK227" s="7" t="str">
        <f t="shared" si="3"/>
        <v>No</v>
      </c>
    </row>
    <row r="228" spans="1:37">
      <c r="A228" s="7" t="s">
        <v>689</v>
      </c>
      <c r="B228" s="7" t="s">
        <v>690</v>
      </c>
      <c r="C228" s="37" t="s">
        <v>44</v>
      </c>
      <c r="D228" s="296">
        <v>7015</v>
      </c>
      <c r="E228" s="297">
        <v>70015</v>
      </c>
      <c r="F228" s="27" t="s">
        <v>162</v>
      </c>
      <c r="G228" s="27" t="s">
        <v>158</v>
      </c>
      <c r="H228" s="35">
        <v>472870</v>
      </c>
      <c r="I228" s="35">
        <v>170</v>
      </c>
      <c r="J228" s="9" t="s">
        <v>10</v>
      </c>
      <c r="K228" s="9" t="s">
        <v>159</v>
      </c>
      <c r="L228" s="8">
        <v>23</v>
      </c>
      <c r="M228" s="8">
        <v>0</v>
      </c>
      <c r="N228" s="9"/>
      <c r="O228" s="8">
        <v>0</v>
      </c>
      <c r="P228" s="9"/>
      <c r="Q228" s="8">
        <v>0</v>
      </c>
      <c r="R228" s="9"/>
      <c r="S228" s="8">
        <v>0</v>
      </c>
      <c r="T228" s="9"/>
      <c r="U228" s="8">
        <v>0</v>
      </c>
      <c r="V228" s="9"/>
      <c r="W228" s="33">
        <v>0</v>
      </c>
      <c r="X228" s="9"/>
      <c r="Y228" s="30">
        <v>0</v>
      </c>
      <c r="Z228" s="9"/>
      <c r="AA228" s="30">
        <v>0</v>
      </c>
      <c r="AB228" s="9"/>
      <c r="AC228" s="30">
        <v>0</v>
      </c>
      <c r="AD228" s="9"/>
      <c r="AE228" s="30">
        <v>0</v>
      </c>
      <c r="AF228" s="9"/>
      <c r="AG228" s="19">
        <v>0</v>
      </c>
      <c r="AI228" s="32">
        <v>0</v>
      </c>
      <c r="AK228" s="7" t="str">
        <f t="shared" si="3"/>
        <v>No</v>
      </c>
    </row>
    <row r="229" spans="1:37">
      <c r="A229" s="7" t="s">
        <v>413</v>
      </c>
      <c r="B229" s="7" t="s">
        <v>414</v>
      </c>
      <c r="C229" s="37" t="s">
        <v>63</v>
      </c>
      <c r="D229" s="296">
        <v>2126</v>
      </c>
      <c r="E229" s="297">
        <v>20126</v>
      </c>
      <c r="F229" s="27" t="s">
        <v>173</v>
      </c>
      <c r="G229" s="27" t="s">
        <v>158</v>
      </c>
      <c r="H229" s="35">
        <v>18351295</v>
      </c>
      <c r="I229" s="35">
        <v>161</v>
      </c>
      <c r="J229" s="9" t="s">
        <v>18</v>
      </c>
      <c r="K229" s="9" t="s">
        <v>159</v>
      </c>
      <c r="L229" s="8">
        <v>161</v>
      </c>
      <c r="M229" s="8">
        <v>1716</v>
      </c>
      <c r="N229" s="9"/>
      <c r="O229" s="8">
        <v>0</v>
      </c>
      <c r="P229" s="9"/>
      <c r="Q229" s="8">
        <v>0</v>
      </c>
      <c r="R229" s="9"/>
      <c r="S229" s="8">
        <v>1074</v>
      </c>
      <c r="T229" s="9"/>
      <c r="U229" s="8">
        <v>0</v>
      </c>
      <c r="V229" s="9"/>
      <c r="W229" s="33">
        <v>2790</v>
      </c>
      <c r="X229" s="9"/>
      <c r="Y229" s="30">
        <v>2</v>
      </c>
      <c r="Z229" s="9"/>
      <c r="AA229" s="30">
        <v>0</v>
      </c>
      <c r="AB229" s="9"/>
      <c r="AC229" s="30">
        <v>0</v>
      </c>
      <c r="AD229" s="9"/>
      <c r="AE229" s="30">
        <v>1</v>
      </c>
      <c r="AF229" s="9"/>
      <c r="AG229" s="19">
        <v>0</v>
      </c>
      <c r="AI229" s="32">
        <v>3</v>
      </c>
      <c r="AK229" s="7" t="str">
        <f t="shared" si="3"/>
        <v>No</v>
      </c>
    </row>
    <row r="230" spans="1:37">
      <c r="A230" s="7" t="s">
        <v>201</v>
      </c>
      <c r="B230" s="7" t="s">
        <v>202</v>
      </c>
      <c r="C230" s="37" t="s">
        <v>52</v>
      </c>
      <c r="D230" s="296">
        <v>5040</v>
      </c>
      <c r="E230" s="297">
        <v>50040</v>
      </c>
      <c r="F230" s="27" t="s">
        <v>165</v>
      </c>
      <c r="G230" s="27" t="s">
        <v>158</v>
      </c>
      <c r="H230" s="35">
        <v>306022</v>
      </c>
      <c r="I230" s="35">
        <v>160</v>
      </c>
      <c r="J230" s="9" t="s">
        <v>7</v>
      </c>
      <c r="K230" s="9" t="s">
        <v>159</v>
      </c>
      <c r="L230" s="8">
        <v>84</v>
      </c>
      <c r="M230" s="8">
        <v>27799</v>
      </c>
      <c r="N230" s="9"/>
      <c r="O230" s="8">
        <v>0</v>
      </c>
      <c r="P230" s="9"/>
      <c r="Q230" s="8">
        <v>0</v>
      </c>
      <c r="R230" s="9"/>
      <c r="S230" s="8">
        <v>0</v>
      </c>
      <c r="T230" s="9"/>
      <c r="U230" s="8">
        <v>0</v>
      </c>
      <c r="V230" s="9"/>
      <c r="W230" s="33">
        <v>27799</v>
      </c>
      <c r="X230" s="9"/>
      <c r="Y230" s="30">
        <v>30</v>
      </c>
      <c r="Z230" s="9"/>
      <c r="AA230" s="30">
        <v>0</v>
      </c>
      <c r="AB230" s="9"/>
      <c r="AC230" s="30">
        <v>0</v>
      </c>
      <c r="AD230" s="9"/>
      <c r="AE230" s="30">
        <v>0</v>
      </c>
      <c r="AF230" s="9"/>
      <c r="AG230" s="19">
        <v>0</v>
      </c>
      <c r="AI230" s="32">
        <v>30</v>
      </c>
      <c r="AK230" s="7" t="str">
        <f t="shared" si="3"/>
        <v>No</v>
      </c>
    </row>
    <row r="231" spans="1:37">
      <c r="A231" s="7" t="s">
        <v>201</v>
      </c>
      <c r="B231" s="7" t="s">
        <v>202</v>
      </c>
      <c r="C231" s="37" t="s">
        <v>52</v>
      </c>
      <c r="D231" s="296">
        <v>5040</v>
      </c>
      <c r="E231" s="297">
        <v>50040</v>
      </c>
      <c r="F231" s="27" t="s">
        <v>165</v>
      </c>
      <c r="G231" s="27" t="s">
        <v>158</v>
      </c>
      <c r="H231" s="35">
        <v>306022</v>
      </c>
      <c r="I231" s="35">
        <v>160</v>
      </c>
      <c r="J231" s="9" t="s">
        <v>10</v>
      </c>
      <c r="K231" s="9" t="s">
        <v>159</v>
      </c>
      <c r="L231" s="8">
        <v>9</v>
      </c>
      <c r="M231" s="8">
        <v>0</v>
      </c>
      <c r="N231" s="9"/>
      <c r="O231" s="8">
        <v>0</v>
      </c>
      <c r="P231" s="9"/>
      <c r="Q231" s="8">
        <v>0</v>
      </c>
      <c r="R231" s="9"/>
      <c r="S231" s="8">
        <v>0</v>
      </c>
      <c r="T231" s="9"/>
      <c r="U231" s="8">
        <v>0</v>
      </c>
      <c r="V231" s="9"/>
      <c r="W231" s="33">
        <v>0</v>
      </c>
      <c r="X231" s="9"/>
      <c r="Y231" s="30">
        <v>0</v>
      </c>
      <c r="Z231" s="9"/>
      <c r="AA231" s="30">
        <v>0</v>
      </c>
      <c r="AB231" s="9"/>
      <c r="AC231" s="30">
        <v>0</v>
      </c>
      <c r="AD231" s="9"/>
      <c r="AE231" s="30">
        <v>0</v>
      </c>
      <c r="AF231" s="9"/>
      <c r="AG231" s="19">
        <v>0</v>
      </c>
      <c r="AI231" s="32">
        <v>0</v>
      </c>
      <c r="AK231" s="7" t="str">
        <f t="shared" si="3"/>
        <v>No</v>
      </c>
    </row>
    <row r="232" spans="1:37">
      <c r="A232" s="7" t="s">
        <v>201</v>
      </c>
      <c r="B232" s="7" t="s">
        <v>202</v>
      </c>
      <c r="C232" s="37" t="s">
        <v>52</v>
      </c>
      <c r="D232" s="296">
        <v>5040</v>
      </c>
      <c r="E232" s="297">
        <v>50040</v>
      </c>
      <c r="F232" s="27" t="s">
        <v>165</v>
      </c>
      <c r="G232" s="27" t="s">
        <v>158</v>
      </c>
      <c r="H232" s="35">
        <v>306022</v>
      </c>
      <c r="I232" s="35">
        <v>160</v>
      </c>
      <c r="J232" s="9" t="s">
        <v>18</v>
      </c>
      <c r="K232" s="9" t="s">
        <v>159</v>
      </c>
      <c r="L232" s="8">
        <v>2</v>
      </c>
      <c r="M232" s="8">
        <v>2650</v>
      </c>
      <c r="N232" s="9"/>
      <c r="O232" s="8">
        <v>0</v>
      </c>
      <c r="P232" s="9"/>
      <c r="Q232" s="8">
        <v>0</v>
      </c>
      <c r="R232" s="9"/>
      <c r="S232" s="8">
        <v>0</v>
      </c>
      <c r="T232" s="9"/>
      <c r="U232" s="8">
        <v>0</v>
      </c>
      <c r="V232" s="9"/>
      <c r="W232" s="33">
        <v>2650</v>
      </c>
      <c r="X232" s="9"/>
      <c r="Y232" s="30">
        <v>2</v>
      </c>
      <c r="Z232" s="9"/>
      <c r="AA232" s="30">
        <v>0</v>
      </c>
      <c r="AB232" s="9"/>
      <c r="AC232" s="30">
        <v>0</v>
      </c>
      <c r="AD232" s="9"/>
      <c r="AE232" s="30">
        <v>0</v>
      </c>
      <c r="AF232" s="9"/>
      <c r="AG232" s="19">
        <v>0</v>
      </c>
      <c r="AI232" s="32">
        <v>2</v>
      </c>
      <c r="AK232" s="7" t="str">
        <f t="shared" si="3"/>
        <v>No</v>
      </c>
    </row>
    <row r="233" spans="1:37">
      <c r="A233" s="7" t="s">
        <v>120</v>
      </c>
      <c r="B233" s="7" t="s">
        <v>564</v>
      </c>
      <c r="C233" s="37" t="s">
        <v>58</v>
      </c>
      <c r="D233" s="296">
        <v>4108</v>
      </c>
      <c r="E233" s="297">
        <v>40108</v>
      </c>
      <c r="F233" s="27" t="s">
        <v>165</v>
      </c>
      <c r="G233" s="27" t="s">
        <v>158</v>
      </c>
      <c r="H233" s="35">
        <v>347602</v>
      </c>
      <c r="I233" s="35">
        <v>153</v>
      </c>
      <c r="J233" s="9" t="s">
        <v>8</v>
      </c>
      <c r="K233" s="9" t="s">
        <v>159</v>
      </c>
      <c r="L233" s="8">
        <v>60</v>
      </c>
      <c r="M233" s="8">
        <v>0</v>
      </c>
      <c r="N233" s="9"/>
      <c r="O233" s="8">
        <v>0</v>
      </c>
      <c r="P233" s="9"/>
      <c r="Q233" s="8">
        <v>0</v>
      </c>
      <c r="R233" s="9"/>
      <c r="S233" s="8">
        <v>2548</v>
      </c>
      <c r="T233" s="9"/>
      <c r="U233" s="8">
        <v>0</v>
      </c>
      <c r="V233" s="9"/>
      <c r="W233" s="33">
        <v>2548</v>
      </c>
      <c r="X233" s="9"/>
      <c r="Y233" s="30">
        <v>0</v>
      </c>
      <c r="Z233" s="9"/>
      <c r="AA233" s="30">
        <v>0</v>
      </c>
      <c r="AB233" s="9"/>
      <c r="AC233" s="30">
        <v>0</v>
      </c>
      <c r="AD233" s="9"/>
      <c r="AE233" s="30">
        <v>2</v>
      </c>
      <c r="AF233" s="9"/>
      <c r="AG233" s="19">
        <v>0</v>
      </c>
      <c r="AI233" s="32">
        <v>2</v>
      </c>
      <c r="AK233" s="7" t="str">
        <f t="shared" si="3"/>
        <v>No</v>
      </c>
    </row>
    <row r="234" spans="1:37">
      <c r="A234" s="7" t="s">
        <v>120</v>
      </c>
      <c r="B234" s="7" t="s">
        <v>564</v>
      </c>
      <c r="C234" s="37" t="s">
        <v>58</v>
      </c>
      <c r="D234" s="296">
        <v>4108</v>
      </c>
      <c r="E234" s="297">
        <v>40108</v>
      </c>
      <c r="F234" s="27" t="s">
        <v>165</v>
      </c>
      <c r="G234" s="27" t="s">
        <v>158</v>
      </c>
      <c r="H234" s="35">
        <v>347602</v>
      </c>
      <c r="I234" s="35">
        <v>153</v>
      </c>
      <c r="J234" s="9" t="s">
        <v>7</v>
      </c>
      <c r="K234" s="9" t="s">
        <v>159</v>
      </c>
      <c r="L234" s="8">
        <v>58</v>
      </c>
      <c r="M234" s="8">
        <v>9612</v>
      </c>
      <c r="N234" s="9"/>
      <c r="O234" s="8">
        <v>0</v>
      </c>
      <c r="P234" s="9"/>
      <c r="Q234" s="8">
        <v>0</v>
      </c>
      <c r="R234" s="9"/>
      <c r="S234" s="8">
        <v>3057</v>
      </c>
      <c r="T234" s="9"/>
      <c r="U234" s="8">
        <v>0</v>
      </c>
      <c r="V234" s="9"/>
      <c r="W234" s="33">
        <v>12669</v>
      </c>
      <c r="X234" s="9"/>
      <c r="Y234" s="30">
        <v>15</v>
      </c>
      <c r="Z234" s="9"/>
      <c r="AA234" s="30">
        <v>0</v>
      </c>
      <c r="AB234" s="9"/>
      <c r="AC234" s="30">
        <v>0</v>
      </c>
      <c r="AD234" s="9"/>
      <c r="AE234" s="30">
        <v>2</v>
      </c>
      <c r="AF234" s="9"/>
      <c r="AG234" s="19">
        <v>0</v>
      </c>
      <c r="AI234" s="32">
        <v>17</v>
      </c>
      <c r="AK234" s="7" t="str">
        <f t="shared" si="3"/>
        <v>No</v>
      </c>
    </row>
    <row r="235" spans="1:37">
      <c r="A235" s="7" t="s">
        <v>120</v>
      </c>
      <c r="B235" s="7" t="s">
        <v>564</v>
      </c>
      <c r="C235" s="37" t="s">
        <v>58</v>
      </c>
      <c r="D235" s="296">
        <v>4108</v>
      </c>
      <c r="E235" s="297">
        <v>40108</v>
      </c>
      <c r="F235" s="27" t="s">
        <v>165</v>
      </c>
      <c r="G235" s="27" t="s">
        <v>158</v>
      </c>
      <c r="H235" s="35">
        <v>347602</v>
      </c>
      <c r="I235" s="35">
        <v>153</v>
      </c>
      <c r="J235" s="9" t="s">
        <v>10</v>
      </c>
      <c r="K235" s="9" t="s">
        <v>159</v>
      </c>
      <c r="L235" s="8">
        <v>15</v>
      </c>
      <c r="M235" s="8">
        <v>1600</v>
      </c>
      <c r="N235" s="9"/>
      <c r="O235" s="8">
        <v>0</v>
      </c>
      <c r="P235" s="9"/>
      <c r="Q235" s="8">
        <v>0</v>
      </c>
      <c r="R235" s="9"/>
      <c r="S235" s="8">
        <v>764</v>
      </c>
      <c r="T235" s="9"/>
      <c r="U235" s="8">
        <v>0</v>
      </c>
      <c r="V235" s="9"/>
      <c r="W235" s="33">
        <v>2364</v>
      </c>
      <c r="X235" s="9"/>
      <c r="Y235" s="30">
        <v>2</v>
      </c>
      <c r="Z235" s="9"/>
      <c r="AA235" s="30">
        <v>0</v>
      </c>
      <c r="AB235" s="9"/>
      <c r="AC235" s="30">
        <v>0</v>
      </c>
      <c r="AD235" s="9"/>
      <c r="AE235" s="30">
        <v>1</v>
      </c>
      <c r="AF235" s="9"/>
      <c r="AG235" s="19">
        <v>0</v>
      </c>
      <c r="AI235" s="32">
        <v>3</v>
      </c>
      <c r="AK235" s="7" t="str">
        <f t="shared" si="3"/>
        <v>No</v>
      </c>
    </row>
    <row r="236" spans="1:37">
      <c r="A236" s="7" t="s">
        <v>385</v>
      </c>
      <c r="B236" s="7" t="s">
        <v>386</v>
      </c>
      <c r="C236" s="37" t="s">
        <v>17</v>
      </c>
      <c r="D236" s="296">
        <v>9016</v>
      </c>
      <c r="E236" s="297">
        <v>90016</v>
      </c>
      <c r="F236" s="27" t="s">
        <v>165</v>
      </c>
      <c r="G236" s="27" t="s">
        <v>158</v>
      </c>
      <c r="H236" s="35">
        <v>3281212</v>
      </c>
      <c r="I236" s="35">
        <v>152</v>
      </c>
      <c r="J236" s="9" t="s">
        <v>7</v>
      </c>
      <c r="K236" s="9" t="s">
        <v>159</v>
      </c>
      <c r="L236" s="8">
        <v>129</v>
      </c>
      <c r="M236" s="8">
        <v>8000</v>
      </c>
      <c r="N236" s="9"/>
      <c r="O236" s="8">
        <v>0</v>
      </c>
      <c r="P236" s="9"/>
      <c r="Q236" s="8">
        <v>0</v>
      </c>
      <c r="R236" s="9"/>
      <c r="S236" s="8">
        <v>4000</v>
      </c>
      <c r="T236" s="9"/>
      <c r="U236" s="8">
        <v>0</v>
      </c>
      <c r="V236" s="9"/>
      <c r="W236" s="33">
        <v>12000</v>
      </c>
      <c r="X236" s="9"/>
      <c r="Y236" s="30">
        <v>8</v>
      </c>
      <c r="Z236" s="9"/>
      <c r="AA236" s="30">
        <v>0</v>
      </c>
      <c r="AB236" s="9"/>
      <c r="AC236" s="30">
        <v>0</v>
      </c>
      <c r="AD236" s="9"/>
      <c r="AE236" s="30">
        <v>4</v>
      </c>
      <c r="AF236" s="9"/>
      <c r="AG236" s="19">
        <v>0</v>
      </c>
      <c r="AI236" s="32">
        <v>12</v>
      </c>
      <c r="AK236" s="7" t="str">
        <f t="shared" si="3"/>
        <v>No</v>
      </c>
    </row>
    <row r="237" spans="1:37">
      <c r="A237" s="7" t="s">
        <v>514</v>
      </c>
      <c r="B237" s="7" t="s">
        <v>156</v>
      </c>
      <c r="C237" s="37" t="s">
        <v>5</v>
      </c>
      <c r="D237" s="296">
        <v>12</v>
      </c>
      <c r="E237" s="297">
        <v>12</v>
      </c>
      <c r="F237" s="27" t="s">
        <v>162</v>
      </c>
      <c r="G237" s="27" t="s">
        <v>158</v>
      </c>
      <c r="H237" s="35">
        <v>251243</v>
      </c>
      <c r="I237" s="35">
        <v>152</v>
      </c>
      <c r="J237" s="9" t="s">
        <v>7</v>
      </c>
      <c r="K237" s="9" t="s">
        <v>159</v>
      </c>
      <c r="L237" s="8">
        <v>43</v>
      </c>
      <c r="M237" s="8">
        <v>0</v>
      </c>
      <c r="N237" s="9"/>
      <c r="O237" s="8">
        <v>0</v>
      </c>
      <c r="P237" s="9"/>
      <c r="Q237" s="8">
        <v>0</v>
      </c>
      <c r="R237" s="9"/>
      <c r="S237" s="8">
        <v>0</v>
      </c>
      <c r="T237" s="9"/>
      <c r="U237" s="8">
        <v>0</v>
      </c>
      <c r="V237" s="9"/>
      <c r="W237" s="33">
        <v>0</v>
      </c>
      <c r="X237" s="9"/>
      <c r="Y237" s="30">
        <v>0</v>
      </c>
      <c r="Z237" s="9"/>
      <c r="AA237" s="30">
        <v>0</v>
      </c>
      <c r="AB237" s="9"/>
      <c r="AC237" s="30">
        <v>0</v>
      </c>
      <c r="AD237" s="9"/>
      <c r="AE237" s="30">
        <v>0</v>
      </c>
      <c r="AF237" s="9"/>
      <c r="AG237" s="19">
        <v>0</v>
      </c>
      <c r="AI237" s="32">
        <v>0</v>
      </c>
      <c r="AK237" s="7" t="str">
        <f t="shared" si="3"/>
        <v>No</v>
      </c>
    </row>
    <row r="238" spans="1:37">
      <c r="A238" s="7" t="s">
        <v>618</v>
      </c>
      <c r="B238" s="7" t="s">
        <v>619</v>
      </c>
      <c r="C238" s="37" t="s">
        <v>32</v>
      </c>
      <c r="D238" s="296">
        <v>4063</v>
      </c>
      <c r="E238" s="297">
        <v>40063</v>
      </c>
      <c r="F238" s="27" t="s">
        <v>162</v>
      </c>
      <c r="G238" s="27" t="s">
        <v>158</v>
      </c>
      <c r="H238" s="35">
        <v>452791</v>
      </c>
      <c r="I238" s="35">
        <v>152</v>
      </c>
      <c r="J238" s="9" t="s">
        <v>7</v>
      </c>
      <c r="K238" s="9" t="s">
        <v>159</v>
      </c>
      <c r="L238" s="8">
        <v>29</v>
      </c>
      <c r="M238" s="8">
        <v>7000</v>
      </c>
      <c r="N238" s="9"/>
      <c r="O238" s="8">
        <v>0</v>
      </c>
      <c r="P238" s="9"/>
      <c r="Q238" s="8">
        <v>0</v>
      </c>
      <c r="R238" s="9"/>
      <c r="S238" s="8">
        <v>0</v>
      </c>
      <c r="T238" s="9"/>
      <c r="U238" s="8">
        <v>0</v>
      </c>
      <c r="V238" s="9"/>
      <c r="W238" s="33">
        <v>7000</v>
      </c>
      <c r="X238" s="9"/>
      <c r="Y238" s="30">
        <v>7</v>
      </c>
      <c r="Z238" s="9"/>
      <c r="AA238" s="30">
        <v>0</v>
      </c>
      <c r="AB238" s="9"/>
      <c r="AC238" s="30">
        <v>0</v>
      </c>
      <c r="AD238" s="9"/>
      <c r="AE238" s="30">
        <v>0</v>
      </c>
      <c r="AF238" s="9"/>
      <c r="AG238" s="19">
        <v>0</v>
      </c>
      <c r="AI238" s="32">
        <v>7</v>
      </c>
      <c r="AK238" s="7" t="str">
        <f t="shared" si="3"/>
        <v>No</v>
      </c>
    </row>
    <row r="239" spans="1:37">
      <c r="A239" s="7" t="s">
        <v>618</v>
      </c>
      <c r="B239" s="7" t="s">
        <v>619</v>
      </c>
      <c r="C239" s="37" t="s">
        <v>32</v>
      </c>
      <c r="D239" s="296">
        <v>4063</v>
      </c>
      <c r="E239" s="297">
        <v>40063</v>
      </c>
      <c r="F239" s="27" t="s">
        <v>162</v>
      </c>
      <c r="G239" s="27" t="s">
        <v>158</v>
      </c>
      <c r="H239" s="35">
        <v>452791</v>
      </c>
      <c r="I239" s="35">
        <v>152</v>
      </c>
      <c r="J239" s="9" t="s">
        <v>10</v>
      </c>
      <c r="K239" s="9" t="s">
        <v>159</v>
      </c>
      <c r="L239" s="8">
        <v>27</v>
      </c>
      <c r="M239" s="8">
        <v>7650</v>
      </c>
      <c r="N239" s="9"/>
      <c r="O239" s="8">
        <v>0</v>
      </c>
      <c r="P239" s="9"/>
      <c r="Q239" s="8">
        <v>0</v>
      </c>
      <c r="R239" s="9"/>
      <c r="S239" s="8">
        <v>0</v>
      </c>
      <c r="T239" s="9"/>
      <c r="U239" s="8">
        <v>0</v>
      </c>
      <c r="V239" s="9"/>
      <c r="W239" s="33">
        <v>7650</v>
      </c>
      <c r="X239" s="9"/>
      <c r="Y239" s="30">
        <v>7.5</v>
      </c>
      <c r="Z239" s="9"/>
      <c r="AA239" s="30">
        <v>0</v>
      </c>
      <c r="AB239" s="9"/>
      <c r="AC239" s="30">
        <v>0</v>
      </c>
      <c r="AD239" s="9"/>
      <c r="AE239" s="30">
        <v>0</v>
      </c>
      <c r="AF239" s="9"/>
      <c r="AG239" s="19">
        <v>0</v>
      </c>
      <c r="AI239" s="32">
        <v>7.5</v>
      </c>
      <c r="AK239" s="7" t="str">
        <f t="shared" si="3"/>
        <v>No</v>
      </c>
    </row>
    <row r="240" spans="1:37">
      <c r="A240" s="7" t="s">
        <v>385</v>
      </c>
      <c r="B240" s="7" t="s">
        <v>386</v>
      </c>
      <c r="C240" s="37" t="s">
        <v>17</v>
      </c>
      <c r="D240" s="296">
        <v>9016</v>
      </c>
      <c r="E240" s="297">
        <v>90016</v>
      </c>
      <c r="F240" s="27" t="s">
        <v>165</v>
      </c>
      <c r="G240" s="27" t="s">
        <v>158</v>
      </c>
      <c r="H240" s="35">
        <v>3281212</v>
      </c>
      <c r="I240" s="35">
        <v>152</v>
      </c>
      <c r="J240" s="9" t="s">
        <v>19</v>
      </c>
      <c r="K240" s="9" t="s">
        <v>159</v>
      </c>
      <c r="L240" s="8">
        <v>6</v>
      </c>
      <c r="M240" s="8">
        <v>41486</v>
      </c>
      <c r="N240" s="9"/>
      <c r="O240" s="8">
        <v>0</v>
      </c>
      <c r="P240" s="9"/>
      <c r="Q240" s="8">
        <v>0</v>
      </c>
      <c r="R240" s="9"/>
      <c r="S240" s="8">
        <v>0</v>
      </c>
      <c r="T240" s="9"/>
      <c r="U240" s="8">
        <v>234</v>
      </c>
      <c r="V240" s="9"/>
      <c r="W240" s="33">
        <v>41720</v>
      </c>
      <c r="X240" s="9"/>
      <c r="Y240" s="30">
        <v>58</v>
      </c>
      <c r="Z240" s="9"/>
      <c r="AA240" s="30">
        <v>0</v>
      </c>
      <c r="AB240" s="9"/>
      <c r="AC240" s="30">
        <v>0</v>
      </c>
      <c r="AD240" s="9"/>
      <c r="AE240" s="30">
        <v>0</v>
      </c>
      <c r="AF240" s="9"/>
      <c r="AG240" s="19">
        <v>0.1</v>
      </c>
      <c r="AI240" s="32">
        <v>58.1</v>
      </c>
      <c r="AK240" s="7" t="str">
        <f t="shared" si="3"/>
        <v>No</v>
      </c>
    </row>
    <row r="241" spans="1:37">
      <c r="A241" s="7" t="s">
        <v>472</v>
      </c>
      <c r="B241" s="7" t="s">
        <v>473</v>
      </c>
      <c r="C241" s="37" t="s">
        <v>83</v>
      </c>
      <c r="D241" s="296">
        <v>4003</v>
      </c>
      <c r="E241" s="297">
        <v>40003</v>
      </c>
      <c r="F241" s="27" t="s">
        <v>162</v>
      </c>
      <c r="G241" s="27" t="s">
        <v>158</v>
      </c>
      <c r="H241" s="35">
        <v>1060061</v>
      </c>
      <c r="I241" s="35">
        <v>150</v>
      </c>
      <c r="J241" s="9" t="s">
        <v>7</v>
      </c>
      <c r="K241" s="9" t="s">
        <v>159</v>
      </c>
      <c r="L241" s="8">
        <v>108</v>
      </c>
      <c r="M241" s="8">
        <v>1197</v>
      </c>
      <c r="N241" s="9"/>
      <c r="O241" s="8">
        <v>0</v>
      </c>
      <c r="P241" s="9"/>
      <c r="Q241" s="8">
        <v>0</v>
      </c>
      <c r="R241" s="9"/>
      <c r="S241" s="8">
        <v>0</v>
      </c>
      <c r="T241" s="9"/>
      <c r="U241" s="8">
        <v>0</v>
      </c>
      <c r="V241" s="9"/>
      <c r="W241" s="33">
        <v>1197</v>
      </c>
      <c r="X241" s="9"/>
      <c r="Y241" s="30">
        <v>1</v>
      </c>
      <c r="Z241" s="9"/>
      <c r="AA241" s="30">
        <v>0</v>
      </c>
      <c r="AB241" s="9"/>
      <c r="AC241" s="30">
        <v>0</v>
      </c>
      <c r="AD241" s="9"/>
      <c r="AE241" s="30">
        <v>0</v>
      </c>
      <c r="AF241" s="9"/>
      <c r="AG241" s="19">
        <v>0</v>
      </c>
      <c r="AI241" s="32">
        <v>1</v>
      </c>
      <c r="AK241" s="7" t="str">
        <f t="shared" si="3"/>
        <v>No</v>
      </c>
    </row>
    <row r="242" spans="1:37">
      <c r="A242" s="7" t="s">
        <v>472</v>
      </c>
      <c r="B242" s="7" t="s">
        <v>473</v>
      </c>
      <c r="C242" s="37" t="s">
        <v>83</v>
      </c>
      <c r="D242" s="296">
        <v>4003</v>
      </c>
      <c r="E242" s="297">
        <v>40003</v>
      </c>
      <c r="F242" s="27" t="s">
        <v>162</v>
      </c>
      <c r="G242" s="27" t="s">
        <v>158</v>
      </c>
      <c r="H242" s="35">
        <v>1060061</v>
      </c>
      <c r="I242" s="35">
        <v>150</v>
      </c>
      <c r="J242" s="9" t="s">
        <v>10</v>
      </c>
      <c r="K242" s="9" t="s">
        <v>159</v>
      </c>
      <c r="L242" s="8">
        <v>42</v>
      </c>
      <c r="M242" s="8">
        <v>0</v>
      </c>
      <c r="N242" s="9"/>
      <c r="O242" s="8">
        <v>0</v>
      </c>
      <c r="P242" s="9"/>
      <c r="Q242" s="8">
        <v>0</v>
      </c>
      <c r="R242" s="9"/>
      <c r="S242" s="8">
        <v>0</v>
      </c>
      <c r="T242" s="9"/>
      <c r="U242" s="8">
        <v>0</v>
      </c>
      <c r="V242" s="9"/>
      <c r="W242" s="33">
        <v>0</v>
      </c>
      <c r="X242" s="9"/>
      <c r="Y242" s="30">
        <v>0</v>
      </c>
      <c r="Z242" s="9"/>
      <c r="AA242" s="30">
        <v>0</v>
      </c>
      <c r="AB242" s="9"/>
      <c r="AC242" s="30">
        <v>0</v>
      </c>
      <c r="AD242" s="9"/>
      <c r="AE242" s="30">
        <v>0</v>
      </c>
      <c r="AF242" s="9"/>
      <c r="AG242" s="19">
        <v>0</v>
      </c>
      <c r="AI242" s="32">
        <v>0</v>
      </c>
      <c r="AK242" s="7" t="str">
        <f t="shared" si="3"/>
        <v>No</v>
      </c>
    </row>
    <row r="243" spans="1:37">
      <c r="A243" s="7" t="s">
        <v>472</v>
      </c>
      <c r="B243" s="7" t="s">
        <v>473</v>
      </c>
      <c r="C243" s="37" t="s">
        <v>83</v>
      </c>
      <c r="D243" s="296">
        <v>4003</v>
      </c>
      <c r="E243" s="297">
        <v>40003</v>
      </c>
      <c r="F243" s="27" t="s">
        <v>162</v>
      </c>
      <c r="G243" s="27" t="s">
        <v>158</v>
      </c>
      <c r="H243" s="35">
        <v>1060061</v>
      </c>
      <c r="I243" s="35">
        <v>150</v>
      </c>
      <c r="J243" s="9" t="s">
        <v>12</v>
      </c>
      <c r="K243" s="9" t="s">
        <v>159</v>
      </c>
      <c r="L243" s="8">
        <v>0</v>
      </c>
      <c r="M243" s="8">
        <v>0</v>
      </c>
      <c r="N243" s="9"/>
      <c r="O243" s="8">
        <v>0</v>
      </c>
      <c r="P243" s="9"/>
      <c r="Q243" s="8">
        <v>0</v>
      </c>
      <c r="R243" s="9"/>
      <c r="S243" s="8">
        <v>0</v>
      </c>
      <c r="T243" s="9"/>
      <c r="U243" s="8">
        <v>0</v>
      </c>
      <c r="V243" s="9"/>
      <c r="W243" s="33">
        <v>0</v>
      </c>
      <c r="X243" s="9"/>
      <c r="Y243" s="30">
        <v>0</v>
      </c>
      <c r="Z243" s="9"/>
      <c r="AA243" s="30">
        <v>0</v>
      </c>
      <c r="AB243" s="9"/>
      <c r="AC243" s="30">
        <v>0</v>
      </c>
      <c r="AD243" s="9"/>
      <c r="AE243" s="30">
        <v>0</v>
      </c>
      <c r="AF243" s="9"/>
      <c r="AG243" s="19">
        <v>0</v>
      </c>
      <c r="AI243" s="32">
        <v>0</v>
      </c>
      <c r="AK243" s="7" t="str">
        <f t="shared" si="3"/>
        <v>No</v>
      </c>
    </row>
    <row r="244" spans="1:37">
      <c r="A244" s="7" t="s">
        <v>459</v>
      </c>
      <c r="B244" s="7" t="s">
        <v>460</v>
      </c>
      <c r="C244" s="37" t="s">
        <v>40</v>
      </c>
      <c r="D244" s="296">
        <v>5146</v>
      </c>
      <c r="E244" s="297">
        <v>50146</v>
      </c>
      <c r="F244" s="27" t="s">
        <v>165</v>
      </c>
      <c r="G244" s="27" t="s">
        <v>158</v>
      </c>
      <c r="H244" s="35">
        <v>2150706</v>
      </c>
      <c r="I244" s="35">
        <v>145</v>
      </c>
      <c r="J244" s="9" t="s">
        <v>8</v>
      </c>
      <c r="K244" s="9" t="s">
        <v>159</v>
      </c>
      <c r="L244" s="8">
        <v>52</v>
      </c>
      <c r="M244" s="8">
        <v>0</v>
      </c>
      <c r="N244" s="9"/>
      <c r="O244" s="8">
        <v>0</v>
      </c>
      <c r="P244" s="9"/>
      <c r="Q244" s="8">
        <v>0</v>
      </c>
      <c r="R244" s="9"/>
      <c r="S244" s="8">
        <v>0</v>
      </c>
      <c r="T244" s="9"/>
      <c r="U244" s="8">
        <v>0</v>
      </c>
      <c r="V244" s="9"/>
      <c r="W244" s="33">
        <v>0</v>
      </c>
      <c r="X244" s="9"/>
      <c r="Y244" s="30">
        <v>0</v>
      </c>
      <c r="Z244" s="9"/>
      <c r="AA244" s="30">
        <v>0</v>
      </c>
      <c r="AB244" s="9"/>
      <c r="AC244" s="30">
        <v>0</v>
      </c>
      <c r="AD244" s="9"/>
      <c r="AE244" s="30">
        <v>0</v>
      </c>
      <c r="AF244" s="9"/>
      <c r="AG244" s="19">
        <v>0</v>
      </c>
      <c r="AI244" s="32">
        <v>0</v>
      </c>
      <c r="AK244" s="7" t="str">
        <f t="shared" si="3"/>
        <v>No</v>
      </c>
    </row>
    <row r="245" spans="1:37">
      <c r="A245" s="7" t="s">
        <v>379</v>
      </c>
      <c r="B245" s="7" t="s">
        <v>380</v>
      </c>
      <c r="C245" s="37" t="s">
        <v>32</v>
      </c>
      <c r="D245" s="296">
        <v>4030</v>
      </c>
      <c r="E245" s="297">
        <v>40030</v>
      </c>
      <c r="F245" s="27" t="s">
        <v>162</v>
      </c>
      <c r="G245" s="27" t="s">
        <v>158</v>
      </c>
      <c r="H245" s="35">
        <v>187781</v>
      </c>
      <c r="I245" s="35">
        <v>143</v>
      </c>
      <c r="J245" s="9" t="s">
        <v>7</v>
      </c>
      <c r="K245" s="9" t="s">
        <v>159</v>
      </c>
      <c r="L245" s="8">
        <v>108</v>
      </c>
      <c r="M245" s="8">
        <v>0</v>
      </c>
      <c r="N245" s="9"/>
      <c r="O245" s="8">
        <v>0</v>
      </c>
      <c r="P245" s="9"/>
      <c r="Q245" s="8">
        <v>0</v>
      </c>
      <c r="R245" s="9"/>
      <c r="S245" s="8">
        <v>587</v>
      </c>
      <c r="T245" s="9"/>
      <c r="U245" s="8">
        <v>0</v>
      </c>
      <c r="V245" s="9"/>
      <c r="W245" s="33">
        <v>587</v>
      </c>
      <c r="X245" s="9"/>
      <c r="Y245" s="30">
        <v>0</v>
      </c>
      <c r="Z245" s="9"/>
      <c r="AA245" s="30">
        <v>0</v>
      </c>
      <c r="AB245" s="9"/>
      <c r="AC245" s="30">
        <v>0</v>
      </c>
      <c r="AD245" s="9"/>
      <c r="AE245" s="30">
        <v>1</v>
      </c>
      <c r="AF245" s="9"/>
      <c r="AG245" s="19">
        <v>0</v>
      </c>
      <c r="AI245" s="32">
        <v>1</v>
      </c>
      <c r="AK245" s="7" t="str">
        <f t="shared" si="3"/>
        <v>No</v>
      </c>
    </row>
    <row r="246" spans="1:37">
      <c r="A246" s="7" t="s">
        <v>257</v>
      </c>
      <c r="B246" s="7" t="s">
        <v>258</v>
      </c>
      <c r="C246" s="37" t="s">
        <v>17</v>
      </c>
      <c r="D246" s="296">
        <v>9078</v>
      </c>
      <c r="E246" s="297">
        <v>90078</v>
      </c>
      <c r="F246" s="27" t="s">
        <v>165</v>
      </c>
      <c r="G246" s="27" t="s">
        <v>158</v>
      </c>
      <c r="H246" s="35">
        <v>615968</v>
      </c>
      <c r="I246" s="35">
        <v>143</v>
      </c>
      <c r="J246" s="9" t="s">
        <v>7</v>
      </c>
      <c r="K246" s="9" t="s">
        <v>159</v>
      </c>
      <c r="L246" s="8">
        <v>93</v>
      </c>
      <c r="M246" s="8">
        <v>4921</v>
      </c>
      <c r="N246" s="9"/>
      <c r="O246" s="8">
        <v>0</v>
      </c>
      <c r="P246" s="9"/>
      <c r="Q246" s="8">
        <v>0</v>
      </c>
      <c r="R246" s="9"/>
      <c r="S246" s="8">
        <v>2334</v>
      </c>
      <c r="T246" s="9"/>
      <c r="U246" s="8">
        <v>0</v>
      </c>
      <c r="V246" s="9"/>
      <c r="W246" s="33">
        <v>7255</v>
      </c>
      <c r="X246" s="9"/>
      <c r="Y246" s="30">
        <v>5</v>
      </c>
      <c r="Z246" s="9"/>
      <c r="AA246" s="30">
        <v>0</v>
      </c>
      <c r="AB246" s="9"/>
      <c r="AC246" s="30">
        <v>0</v>
      </c>
      <c r="AD246" s="9"/>
      <c r="AE246" s="30">
        <v>2</v>
      </c>
      <c r="AF246" s="9"/>
      <c r="AG246" s="19">
        <v>0</v>
      </c>
      <c r="AI246" s="32">
        <v>7</v>
      </c>
      <c r="AK246" s="7" t="str">
        <f t="shared" si="3"/>
        <v>No</v>
      </c>
    </row>
    <row r="247" spans="1:37">
      <c r="A247" s="7" t="s">
        <v>27</v>
      </c>
      <c r="B247" s="7" t="s">
        <v>563</v>
      </c>
      <c r="C247" s="37" t="s">
        <v>26</v>
      </c>
      <c r="D247" s="296">
        <v>8109</v>
      </c>
      <c r="E247" s="297">
        <v>80109</v>
      </c>
      <c r="F247" s="27" t="s">
        <v>243</v>
      </c>
      <c r="G247" s="27" t="s">
        <v>158</v>
      </c>
      <c r="H247" s="35">
        <v>2374203</v>
      </c>
      <c r="I247" s="35">
        <v>135</v>
      </c>
      <c r="J247" s="9" t="s">
        <v>8</v>
      </c>
      <c r="K247" s="9" t="s">
        <v>159</v>
      </c>
      <c r="L247" s="8">
        <v>135</v>
      </c>
      <c r="M247" s="8">
        <v>0</v>
      </c>
      <c r="N247" s="9"/>
      <c r="O247" s="8">
        <v>0</v>
      </c>
      <c r="P247" s="9"/>
      <c r="Q247" s="8">
        <v>0</v>
      </c>
      <c r="R247" s="9"/>
      <c r="S247" s="8">
        <v>501</v>
      </c>
      <c r="T247" s="9"/>
      <c r="U247" s="8">
        <v>0</v>
      </c>
      <c r="V247" s="9"/>
      <c r="W247" s="33">
        <v>501</v>
      </c>
      <c r="X247" s="9"/>
      <c r="Y247" s="30">
        <v>0</v>
      </c>
      <c r="Z247" s="9"/>
      <c r="AA247" s="30">
        <v>0</v>
      </c>
      <c r="AB247" s="9"/>
      <c r="AC247" s="30">
        <v>0</v>
      </c>
      <c r="AD247" s="9"/>
      <c r="AE247" s="30">
        <v>1</v>
      </c>
      <c r="AF247" s="9"/>
      <c r="AG247" s="19">
        <v>0</v>
      </c>
      <c r="AI247" s="32">
        <v>1</v>
      </c>
      <c r="AK247" s="7" t="str">
        <f t="shared" si="3"/>
        <v>No</v>
      </c>
    </row>
    <row r="248" spans="1:37">
      <c r="A248" s="7" t="s">
        <v>23</v>
      </c>
      <c r="B248" s="7" t="s">
        <v>578</v>
      </c>
      <c r="C248" s="37" t="s">
        <v>17</v>
      </c>
      <c r="D248" s="296">
        <v>9223</v>
      </c>
      <c r="E248" s="297">
        <v>90223</v>
      </c>
      <c r="F248" s="27" t="s">
        <v>165</v>
      </c>
      <c r="G248" s="27" t="s">
        <v>158</v>
      </c>
      <c r="H248" s="35">
        <v>1723634</v>
      </c>
      <c r="I248" s="35">
        <v>134</v>
      </c>
      <c r="J248" s="9" t="s">
        <v>10</v>
      </c>
      <c r="K248" s="9" t="s">
        <v>159</v>
      </c>
      <c r="L248" s="8">
        <v>93</v>
      </c>
      <c r="M248" s="8">
        <v>15906</v>
      </c>
      <c r="N248" s="9"/>
      <c r="O248" s="8">
        <v>0</v>
      </c>
      <c r="P248" s="9"/>
      <c r="Q248" s="8">
        <v>0</v>
      </c>
      <c r="R248" s="9"/>
      <c r="S248" s="8">
        <v>0</v>
      </c>
      <c r="T248" s="9"/>
      <c r="U248" s="8">
        <v>0</v>
      </c>
      <c r="V248" s="9"/>
      <c r="W248" s="33">
        <v>15906</v>
      </c>
      <c r="X248" s="9"/>
      <c r="Y248" s="30">
        <v>12.4</v>
      </c>
      <c r="Z248" s="9"/>
      <c r="AA248" s="30">
        <v>0</v>
      </c>
      <c r="AB248" s="9"/>
      <c r="AC248" s="30">
        <v>0</v>
      </c>
      <c r="AD248" s="9"/>
      <c r="AE248" s="30">
        <v>0</v>
      </c>
      <c r="AF248" s="9"/>
      <c r="AG248" s="19">
        <v>0</v>
      </c>
      <c r="AI248" s="32">
        <v>12.4</v>
      </c>
      <c r="AK248" s="7" t="str">
        <f t="shared" si="3"/>
        <v>No</v>
      </c>
    </row>
    <row r="249" spans="1:37">
      <c r="A249" s="7" t="s">
        <v>338</v>
      </c>
      <c r="B249" s="7" t="s">
        <v>339</v>
      </c>
      <c r="C249" s="37" t="s">
        <v>32</v>
      </c>
      <c r="D249" s="296">
        <v>4032</v>
      </c>
      <c r="E249" s="297">
        <v>40032</v>
      </c>
      <c r="F249" s="27" t="s">
        <v>162</v>
      </c>
      <c r="G249" s="27" t="s">
        <v>158</v>
      </c>
      <c r="H249" s="35">
        <v>349064</v>
      </c>
      <c r="I249" s="35">
        <v>133</v>
      </c>
      <c r="J249" s="9" t="s">
        <v>7</v>
      </c>
      <c r="K249" s="9" t="s">
        <v>159</v>
      </c>
      <c r="L249" s="8">
        <v>54</v>
      </c>
      <c r="M249" s="8">
        <v>0</v>
      </c>
      <c r="N249" s="9"/>
      <c r="O249" s="8">
        <v>0</v>
      </c>
      <c r="P249" s="9"/>
      <c r="Q249" s="8">
        <v>0</v>
      </c>
      <c r="R249" s="9"/>
      <c r="S249" s="8">
        <v>3367</v>
      </c>
      <c r="T249" s="9"/>
      <c r="U249" s="8">
        <v>0</v>
      </c>
      <c r="V249" s="9"/>
      <c r="W249" s="33">
        <v>3367</v>
      </c>
      <c r="X249" s="9"/>
      <c r="Y249" s="30">
        <v>0</v>
      </c>
      <c r="Z249" s="9"/>
      <c r="AA249" s="30">
        <v>0</v>
      </c>
      <c r="AB249" s="9"/>
      <c r="AC249" s="30">
        <v>0</v>
      </c>
      <c r="AD249" s="9"/>
      <c r="AE249" s="30">
        <v>3</v>
      </c>
      <c r="AF249" s="9"/>
      <c r="AG249" s="19">
        <v>0</v>
      </c>
      <c r="AI249" s="32">
        <v>3</v>
      </c>
      <c r="AK249" s="7" t="str">
        <f t="shared" si="3"/>
        <v>No</v>
      </c>
    </row>
    <row r="250" spans="1:37">
      <c r="A250" s="7" t="s">
        <v>338</v>
      </c>
      <c r="B250" s="7" t="s">
        <v>339</v>
      </c>
      <c r="C250" s="37" t="s">
        <v>32</v>
      </c>
      <c r="D250" s="296">
        <v>4032</v>
      </c>
      <c r="E250" s="297">
        <v>40032</v>
      </c>
      <c r="F250" s="27" t="s">
        <v>162</v>
      </c>
      <c r="G250" s="27" t="s">
        <v>158</v>
      </c>
      <c r="H250" s="35">
        <v>349064</v>
      </c>
      <c r="I250" s="35">
        <v>133</v>
      </c>
      <c r="J250" s="9" t="s">
        <v>10</v>
      </c>
      <c r="K250" s="9" t="s">
        <v>159</v>
      </c>
      <c r="L250" s="8">
        <v>49</v>
      </c>
      <c r="M250" s="8">
        <v>0</v>
      </c>
      <c r="N250" s="9"/>
      <c r="O250" s="8">
        <v>0</v>
      </c>
      <c r="P250" s="9"/>
      <c r="Q250" s="8">
        <v>561</v>
      </c>
      <c r="R250" s="9"/>
      <c r="S250" s="8">
        <v>5616</v>
      </c>
      <c r="T250" s="9"/>
      <c r="U250" s="8">
        <v>0</v>
      </c>
      <c r="V250" s="9"/>
      <c r="W250" s="33">
        <v>6177</v>
      </c>
      <c r="X250" s="9"/>
      <c r="Y250" s="30">
        <v>0</v>
      </c>
      <c r="Z250" s="9"/>
      <c r="AA250" s="30">
        <v>0</v>
      </c>
      <c r="AB250" s="9"/>
      <c r="AC250" s="30">
        <v>0.4</v>
      </c>
      <c r="AD250" s="9"/>
      <c r="AE250" s="30">
        <v>4</v>
      </c>
      <c r="AF250" s="9"/>
      <c r="AG250" s="19">
        <v>0</v>
      </c>
      <c r="AI250" s="32">
        <v>4.4000000000000004</v>
      </c>
      <c r="AK250" s="7" t="str">
        <f t="shared" si="3"/>
        <v>No</v>
      </c>
    </row>
    <row r="251" spans="1:37">
      <c r="A251" s="7" t="s">
        <v>377</v>
      </c>
      <c r="B251" s="7" t="s">
        <v>378</v>
      </c>
      <c r="C251" s="37" t="s">
        <v>17</v>
      </c>
      <c r="D251" s="296">
        <v>9027</v>
      </c>
      <c r="E251" s="297">
        <v>90027</v>
      </c>
      <c r="F251" s="27" t="s">
        <v>162</v>
      </c>
      <c r="G251" s="27" t="s">
        <v>158</v>
      </c>
      <c r="H251" s="35">
        <v>654628</v>
      </c>
      <c r="I251" s="35">
        <v>129</v>
      </c>
      <c r="J251" s="9" t="s">
        <v>7</v>
      </c>
      <c r="K251" s="9" t="s">
        <v>159</v>
      </c>
      <c r="L251" s="8">
        <v>80</v>
      </c>
      <c r="M251" s="8">
        <v>0</v>
      </c>
      <c r="N251" s="9"/>
      <c r="O251" s="8">
        <v>0</v>
      </c>
      <c r="P251" s="9"/>
      <c r="Q251" s="8">
        <v>0</v>
      </c>
      <c r="R251" s="9"/>
      <c r="S251" s="8">
        <v>0</v>
      </c>
      <c r="T251" s="9"/>
      <c r="U251" s="8">
        <v>0</v>
      </c>
      <c r="V251" s="9"/>
      <c r="W251" s="33">
        <v>0</v>
      </c>
      <c r="X251" s="9"/>
      <c r="Y251" s="30">
        <v>0</v>
      </c>
      <c r="Z251" s="9"/>
      <c r="AA251" s="30">
        <v>0</v>
      </c>
      <c r="AB251" s="9"/>
      <c r="AC251" s="30">
        <v>0</v>
      </c>
      <c r="AD251" s="9"/>
      <c r="AE251" s="30">
        <v>0</v>
      </c>
      <c r="AF251" s="9"/>
      <c r="AG251" s="19">
        <v>0</v>
      </c>
      <c r="AI251" s="32">
        <v>0</v>
      </c>
      <c r="AK251" s="7" t="str">
        <f t="shared" si="3"/>
        <v>No</v>
      </c>
    </row>
    <row r="252" spans="1:37">
      <c r="A252" s="7" t="s">
        <v>174</v>
      </c>
      <c r="B252" s="7" t="s">
        <v>175</v>
      </c>
      <c r="C252" s="37" t="s">
        <v>48</v>
      </c>
      <c r="D252" s="296">
        <v>3085</v>
      </c>
      <c r="E252" s="297">
        <v>30085</v>
      </c>
      <c r="F252" s="27" t="s">
        <v>162</v>
      </c>
      <c r="G252" s="27" t="s">
        <v>158</v>
      </c>
      <c r="H252" s="35">
        <v>4586770</v>
      </c>
      <c r="I252" s="35">
        <v>128</v>
      </c>
      <c r="J252" s="9" t="s">
        <v>10</v>
      </c>
      <c r="K252" s="9" t="s">
        <v>159</v>
      </c>
      <c r="L252" s="8">
        <v>52</v>
      </c>
      <c r="M252" s="8">
        <v>0</v>
      </c>
      <c r="N252" s="9"/>
      <c r="O252" s="8">
        <v>0</v>
      </c>
      <c r="P252" s="9"/>
      <c r="Q252" s="8">
        <v>0</v>
      </c>
      <c r="R252" s="9"/>
      <c r="S252" s="8">
        <v>0</v>
      </c>
      <c r="T252" s="9"/>
      <c r="U252" s="8">
        <v>0</v>
      </c>
      <c r="V252" s="9"/>
      <c r="W252" s="33">
        <v>0</v>
      </c>
      <c r="X252" s="9"/>
      <c r="Y252" s="30">
        <v>0</v>
      </c>
      <c r="Z252" s="9"/>
      <c r="AA252" s="30">
        <v>0</v>
      </c>
      <c r="AB252" s="9"/>
      <c r="AC252" s="30">
        <v>0</v>
      </c>
      <c r="AD252" s="9"/>
      <c r="AE252" s="30">
        <v>0</v>
      </c>
      <c r="AF252" s="9"/>
      <c r="AG252" s="19">
        <v>0</v>
      </c>
      <c r="AI252" s="32">
        <v>0</v>
      </c>
      <c r="AK252" s="7" t="str">
        <f t="shared" si="3"/>
        <v>No</v>
      </c>
    </row>
    <row r="253" spans="1:37">
      <c r="A253" s="7" t="s">
        <v>1110</v>
      </c>
      <c r="B253" s="7" t="s">
        <v>409</v>
      </c>
      <c r="C253" s="37" t="s">
        <v>84</v>
      </c>
      <c r="D253" s="296">
        <v>6084</v>
      </c>
      <c r="E253" s="297">
        <v>60084</v>
      </c>
      <c r="F253" s="27" t="s">
        <v>243</v>
      </c>
      <c r="G253" s="27" t="s">
        <v>158</v>
      </c>
      <c r="H253" s="35">
        <v>5121892</v>
      </c>
      <c r="I253" s="35">
        <v>127</v>
      </c>
      <c r="J253" s="9" t="s">
        <v>8</v>
      </c>
      <c r="K253" s="9" t="s">
        <v>159</v>
      </c>
      <c r="L253" s="8">
        <v>127</v>
      </c>
      <c r="M253" s="8">
        <v>0</v>
      </c>
      <c r="N253" s="9"/>
      <c r="O253" s="8">
        <v>0</v>
      </c>
      <c r="P253" s="9"/>
      <c r="Q253" s="8">
        <v>0</v>
      </c>
      <c r="R253" s="9"/>
      <c r="S253" s="8">
        <v>661</v>
      </c>
      <c r="T253" s="9"/>
      <c r="U253" s="8">
        <v>0</v>
      </c>
      <c r="V253" s="9"/>
      <c r="W253" s="33">
        <v>661</v>
      </c>
      <c r="X253" s="9"/>
      <c r="Y253" s="30">
        <v>0</v>
      </c>
      <c r="Z253" s="9"/>
      <c r="AA253" s="30">
        <v>0</v>
      </c>
      <c r="AB253" s="9"/>
      <c r="AC253" s="30">
        <v>0</v>
      </c>
      <c r="AD253" s="9"/>
      <c r="AE253" s="30">
        <v>1</v>
      </c>
      <c r="AF253" s="9"/>
      <c r="AG253" s="19">
        <v>0</v>
      </c>
      <c r="AI253" s="32">
        <v>1</v>
      </c>
      <c r="AK253" s="7" t="str">
        <f t="shared" si="3"/>
        <v>No</v>
      </c>
    </row>
    <row r="254" spans="1:37">
      <c r="A254" s="7" t="s">
        <v>168</v>
      </c>
      <c r="B254" s="7" t="s">
        <v>169</v>
      </c>
      <c r="C254" s="37" t="s">
        <v>84</v>
      </c>
      <c r="D254" s="296">
        <v>6091</v>
      </c>
      <c r="E254" s="297">
        <v>60091</v>
      </c>
      <c r="F254" s="27" t="s">
        <v>165</v>
      </c>
      <c r="G254" s="27" t="s">
        <v>158</v>
      </c>
      <c r="H254" s="35">
        <v>217630</v>
      </c>
      <c r="I254" s="35">
        <v>122</v>
      </c>
      <c r="J254" s="9" t="s">
        <v>10</v>
      </c>
      <c r="K254" s="9" t="s">
        <v>159</v>
      </c>
      <c r="L254" s="8">
        <v>108</v>
      </c>
      <c r="M254" s="8">
        <v>0</v>
      </c>
      <c r="N254" s="9"/>
      <c r="O254" s="8">
        <v>0</v>
      </c>
      <c r="P254" s="9"/>
      <c r="Q254" s="8">
        <v>0</v>
      </c>
      <c r="R254" s="9"/>
      <c r="S254" s="8">
        <v>0</v>
      </c>
      <c r="T254" s="9"/>
      <c r="U254" s="8">
        <v>0</v>
      </c>
      <c r="V254" s="9"/>
      <c r="W254" s="33">
        <v>0</v>
      </c>
      <c r="X254" s="9"/>
      <c r="Y254" s="30">
        <v>0</v>
      </c>
      <c r="Z254" s="9"/>
      <c r="AA254" s="30">
        <v>0</v>
      </c>
      <c r="AB254" s="9"/>
      <c r="AC254" s="30">
        <v>0</v>
      </c>
      <c r="AD254" s="9"/>
      <c r="AE254" s="30">
        <v>0</v>
      </c>
      <c r="AF254" s="9"/>
      <c r="AG254" s="19">
        <v>0</v>
      </c>
      <c r="AI254" s="32">
        <v>0</v>
      </c>
      <c r="AK254" s="7" t="str">
        <f t="shared" si="3"/>
        <v>No</v>
      </c>
    </row>
    <row r="255" spans="1:37">
      <c r="A255" s="7" t="s">
        <v>168</v>
      </c>
      <c r="B255" s="7" t="s">
        <v>169</v>
      </c>
      <c r="C255" s="37" t="s">
        <v>84</v>
      </c>
      <c r="D255" s="296">
        <v>6091</v>
      </c>
      <c r="E255" s="297">
        <v>60091</v>
      </c>
      <c r="F255" s="27" t="s">
        <v>165</v>
      </c>
      <c r="G255" s="27" t="s">
        <v>158</v>
      </c>
      <c r="H255" s="35">
        <v>217630</v>
      </c>
      <c r="I255" s="35">
        <v>122</v>
      </c>
      <c r="J255" s="9" t="s">
        <v>7</v>
      </c>
      <c r="K255" s="9" t="s">
        <v>159</v>
      </c>
      <c r="L255" s="8">
        <v>14</v>
      </c>
      <c r="M255" s="8">
        <v>0</v>
      </c>
      <c r="N255" s="9"/>
      <c r="O255" s="8">
        <v>0</v>
      </c>
      <c r="P255" s="9"/>
      <c r="Q255" s="8">
        <v>0</v>
      </c>
      <c r="R255" s="9"/>
      <c r="S255" s="8">
        <v>0</v>
      </c>
      <c r="T255" s="9"/>
      <c r="U255" s="8">
        <v>0</v>
      </c>
      <c r="V255" s="9"/>
      <c r="W255" s="33">
        <v>0</v>
      </c>
      <c r="X255" s="9"/>
      <c r="Y255" s="30">
        <v>0</v>
      </c>
      <c r="Z255" s="9"/>
      <c r="AA255" s="30">
        <v>0</v>
      </c>
      <c r="AB255" s="9"/>
      <c r="AC255" s="30">
        <v>0</v>
      </c>
      <c r="AD255" s="9"/>
      <c r="AE255" s="30">
        <v>0</v>
      </c>
      <c r="AF255" s="9"/>
      <c r="AG255" s="19">
        <v>0</v>
      </c>
      <c r="AI255" s="32">
        <v>0</v>
      </c>
      <c r="AK255" s="7" t="str">
        <f t="shared" si="3"/>
        <v>No</v>
      </c>
    </row>
    <row r="256" spans="1:37">
      <c r="A256" s="7" t="s">
        <v>269</v>
      </c>
      <c r="B256" s="7" t="s">
        <v>270</v>
      </c>
      <c r="C256" s="37" t="s">
        <v>40</v>
      </c>
      <c r="D256" s="296">
        <v>5060</v>
      </c>
      <c r="E256" s="297">
        <v>50060</v>
      </c>
      <c r="F256" s="27" t="s">
        <v>165</v>
      </c>
      <c r="G256" s="27" t="s">
        <v>158</v>
      </c>
      <c r="H256" s="35">
        <v>145361</v>
      </c>
      <c r="I256" s="35">
        <v>120</v>
      </c>
      <c r="J256" s="9" t="s">
        <v>7</v>
      </c>
      <c r="K256" s="9" t="s">
        <v>159</v>
      </c>
      <c r="L256" s="8">
        <v>97</v>
      </c>
      <c r="M256" s="8">
        <v>130511</v>
      </c>
      <c r="N256" s="9"/>
      <c r="O256" s="8">
        <v>3098</v>
      </c>
      <c r="P256" s="9"/>
      <c r="Q256" s="8">
        <v>5912</v>
      </c>
      <c r="R256" s="9"/>
      <c r="S256" s="8">
        <v>10117</v>
      </c>
      <c r="T256" s="9"/>
      <c r="U256" s="8">
        <v>0</v>
      </c>
      <c r="V256" s="9"/>
      <c r="W256" s="33">
        <v>149638</v>
      </c>
      <c r="X256" s="9"/>
      <c r="Y256" s="30">
        <v>101.9</v>
      </c>
      <c r="Z256" s="9"/>
      <c r="AA256" s="30">
        <v>3.1</v>
      </c>
      <c r="AB256" s="9"/>
      <c r="AC256" s="30">
        <v>4</v>
      </c>
      <c r="AD256" s="9"/>
      <c r="AE256" s="30">
        <v>9.6999999999999993</v>
      </c>
      <c r="AF256" s="9"/>
      <c r="AG256" s="19">
        <v>0</v>
      </c>
      <c r="AI256" s="32">
        <v>118.7</v>
      </c>
      <c r="AK256" s="7" t="str">
        <f t="shared" si="3"/>
        <v>No</v>
      </c>
    </row>
    <row r="257" spans="1:37">
      <c r="A257" s="7" t="s">
        <v>269</v>
      </c>
      <c r="B257" s="7" t="s">
        <v>270</v>
      </c>
      <c r="C257" s="37" t="s">
        <v>40</v>
      </c>
      <c r="D257" s="296">
        <v>5060</v>
      </c>
      <c r="E257" s="297">
        <v>50060</v>
      </c>
      <c r="F257" s="27" t="s">
        <v>165</v>
      </c>
      <c r="G257" s="27" t="s">
        <v>158</v>
      </c>
      <c r="H257" s="35">
        <v>145361</v>
      </c>
      <c r="I257" s="35">
        <v>120</v>
      </c>
      <c r="J257" s="9" t="s">
        <v>10</v>
      </c>
      <c r="K257" s="9" t="s">
        <v>159</v>
      </c>
      <c r="L257" s="8">
        <v>8</v>
      </c>
      <c r="M257" s="8">
        <v>11002</v>
      </c>
      <c r="N257" s="9"/>
      <c r="O257" s="8">
        <v>1118</v>
      </c>
      <c r="P257" s="9"/>
      <c r="Q257" s="8">
        <v>75</v>
      </c>
      <c r="R257" s="9"/>
      <c r="S257" s="8">
        <v>1600</v>
      </c>
      <c r="T257" s="9"/>
      <c r="U257" s="8">
        <v>0</v>
      </c>
      <c r="V257" s="9"/>
      <c r="W257" s="33">
        <v>13795</v>
      </c>
      <c r="X257" s="9"/>
      <c r="Y257" s="30">
        <v>9</v>
      </c>
      <c r="Z257" s="9"/>
      <c r="AA257" s="30">
        <v>1.1000000000000001</v>
      </c>
      <c r="AB257" s="9"/>
      <c r="AC257" s="30">
        <v>1</v>
      </c>
      <c r="AD257" s="9"/>
      <c r="AE257" s="30">
        <v>1</v>
      </c>
      <c r="AF257" s="9"/>
      <c r="AG257" s="19">
        <v>0</v>
      </c>
      <c r="AI257" s="32">
        <v>12.1</v>
      </c>
      <c r="AK257" s="7" t="str">
        <f t="shared" si="3"/>
        <v>No</v>
      </c>
    </row>
    <row r="258" spans="1:37">
      <c r="A258" s="7" t="s">
        <v>779</v>
      </c>
      <c r="B258" s="7" t="s">
        <v>343</v>
      </c>
      <c r="C258" s="37" t="s">
        <v>40</v>
      </c>
      <c r="D258" s="296">
        <v>5211</v>
      </c>
      <c r="E258" s="297">
        <v>50211</v>
      </c>
      <c r="F258" s="27" t="s">
        <v>165</v>
      </c>
      <c r="G258" s="27" t="s">
        <v>158</v>
      </c>
      <c r="H258" s="35">
        <v>67821</v>
      </c>
      <c r="I258" s="35">
        <v>119</v>
      </c>
      <c r="J258" s="9" t="s">
        <v>7</v>
      </c>
      <c r="K258" s="9" t="s">
        <v>159</v>
      </c>
      <c r="L258" s="8">
        <v>119</v>
      </c>
      <c r="M258" s="8">
        <v>2231</v>
      </c>
      <c r="N258" s="9"/>
      <c r="O258" s="8">
        <v>1113</v>
      </c>
      <c r="P258" s="9"/>
      <c r="Q258" s="8">
        <v>0</v>
      </c>
      <c r="R258" s="9"/>
      <c r="S258" s="8">
        <v>371</v>
      </c>
      <c r="T258" s="9"/>
      <c r="U258" s="8">
        <v>0</v>
      </c>
      <c r="V258" s="9"/>
      <c r="W258" s="33">
        <v>3715</v>
      </c>
      <c r="X258" s="9"/>
      <c r="Y258" s="30">
        <v>2</v>
      </c>
      <c r="Z258" s="9"/>
      <c r="AA258" s="30">
        <v>1</v>
      </c>
      <c r="AB258" s="9"/>
      <c r="AC258" s="30">
        <v>0</v>
      </c>
      <c r="AD258" s="9"/>
      <c r="AE258" s="30">
        <v>1</v>
      </c>
      <c r="AF258" s="9"/>
      <c r="AG258" s="19">
        <v>0</v>
      </c>
      <c r="AI258" s="32">
        <v>4</v>
      </c>
      <c r="AK258" s="7" t="str">
        <f t="shared" ref="AK258:AK321" si="4">IF(AJ258&amp;AH258&amp;AF258&amp;AD258&amp;AB258&amp;Z258&amp;X258&amp;V258&amp;T258&amp;R258&amp;P258&amp;N258&lt;&gt;"","Yes","No")</f>
        <v>No</v>
      </c>
    </row>
    <row r="259" spans="1:37">
      <c r="A259" s="7" t="s">
        <v>482</v>
      </c>
      <c r="B259" s="7" t="s">
        <v>483</v>
      </c>
      <c r="C259" s="37" t="s">
        <v>79</v>
      </c>
      <c r="D259" s="296">
        <v>4086</v>
      </c>
      <c r="E259" s="297">
        <v>40086</v>
      </c>
      <c r="F259" s="27" t="s">
        <v>165</v>
      </c>
      <c r="G259" s="27" t="s">
        <v>158</v>
      </c>
      <c r="H259" s="35">
        <v>2148346</v>
      </c>
      <c r="I259" s="35">
        <v>118</v>
      </c>
      <c r="J259" s="9" t="s">
        <v>7</v>
      </c>
      <c r="K259" s="9" t="s">
        <v>159</v>
      </c>
      <c r="L259" s="8">
        <v>88</v>
      </c>
      <c r="M259" s="8">
        <v>0</v>
      </c>
      <c r="N259" s="9"/>
      <c r="O259" s="8">
        <v>0</v>
      </c>
      <c r="P259" s="9"/>
      <c r="Q259" s="8">
        <v>0</v>
      </c>
      <c r="R259" s="9"/>
      <c r="S259" s="8">
        <v>0</v>
      </c>
      <c r="T259" s="9"/>
      <c r="U259" s="8">
        <v>0</v>
      </c>
      <c r="V259" s="9"/>
      <c r="W259" s="33">
        <v>0</v>
      </c>
      <c r="X259" s="9"/>
      <c r="Y259" s="30">
        <v>0</v>
      </c>
      <c r="Z259" s="9"/>
      <c r="AA259" s="30">
        <v>0</v>
      </c>
      <c r="AB259" s="9"/>
      <c r="AC259" s="30">
        <v>0</v>
      </c>
      <c r="AD259" s="9"/>
      <c r="AE259" s="30">
        <v>0</v>
      </c>
      <c r="AF259" s="9"/>
      <c r="AG259" s="19">
        <v>0</v>
      </c>
      <c r="AI259" s="32">
        <v>0</v>
      </c>
      <c r="AK259" s="7" t="str">
        <f t="shared" si="4"/>
        <v>No</v>
      </c>
    </row>
    <row r="260" spans="1:37">
      <c r="A260" s="7" t="s">
        <v>482</v>
      </c>
      <c r="B260" s="7" t="s">
        <v>483</v>
      </c>
      <c r="C260" s="37" t="s">
        <v>79</v>
      </c>
      <c r="D260" s="296">
        <v>4086</v>
      </c>
      <c r="E260" s="297">
        <v>40086</v>
      </c>
      <c r="F260" s="27" t="s">
        <v>165</v>
      </c>
      <c r="G260" s="27" t="s">
        <v>158</v>
      </c>
      <c r="H260" s="35">
        <v>2148346</v>
      </c>
      <c r="I260" s="35">
        <v>118</v>
      </c>
      <c r="J260" s="9" t="s">
        <v>10</v>
      </c>
      <c r="K260" s="9" t="s">
        <v>159</v>
      </c>
      <c r="L260" s="8">
        <v>30</v>
      </c>
      <c r="M260" s="8">
        <v>0</v>
      </c>
      <c r="N260" s="9"/>
      <c r="O260" s="8">
        <v>0</v>
      </c>
      <c r="P260" s="9"/>
      <c r="Q260" s="8">
        <v>0</v>
      </c>
      <c r="R260" s="9"/>
      <c r="S260" s="8">
        <v>0</v>
      </c>
      <c r="T260" s="9"/>
      <c r="U260" s="8">
        <v>0</v>
      </c>
      <c r="V260" s="9"/>
      <c r="W260" s="33">
        <v>0</v>
      </c>
      <c r="X260" s="9"/>
      <c r="Y260" s="30">
        <v>0</v>
      </c>
      <c r="Z260" s="9"/>
      <c r="AA260" s="30">
        <v>0</v>
      </c>
      <c r="AB260" s="9"/>
      <c r="AC260" s="30">
        <v>0</v>
      </c>
      <c r="AD260" s="9"/>
      <c r="AE260" s="30">
        <v>0</v>
      </c>
      <c r="AF260" s="9"/>
      <c r="AG260" s="19">
        <v>0</v>
      </c>
      <c r="AI260" s="32">
        <v>0</v>
      </c>
      <c r="AK260" s="7" t="str">
        <f t="shared" si="4"/>
        <v>No</v>
      </c>
    </row>
    <row r="261" spans="1:37">
      <c r="A261" s="7" t="s">
        <v>593</v>
      </c>
      <c r="B261" s="7" t="s">
        <v>594</v>
      </c>
      <c r="C261" s="37" t="s">
        <v>17</v>
      </c>
      <c r="D261" s="296">
        <v>9006</v>
      </c>
      <c r="E261" s="297">
        <v>90006</v>
      </c>
      <c r="F261" s="27" t="s">
        <v>165</v>
      </c>
      <c r="G261" s="27" t="s">
        <v>158</v>
      </c>
      <c r="H261" s="35">
        <v>163703</v>
      </c>
      <c r="I261" s="35">
        <v>117</v>
      </c>
      <c r="J261" s="9" t="s">
        <v>7</v>
      </c>
      <c r="K261" s="9" t="s">
        <v>159</v>
      </c>
      <c r="L261" s="8">
        <v>67</v>
      </c>
      <c r="M261" s="8">
        <v>0</v>
      </c>
      <c r="N261" s="9"/>
      <c r="O261" s="8">
        <v>0</v>
      </c>
      <c r="P261" s="9"/>
      <c r="Q261" s="8">
        <v>0</v>
      </c>
      <c r="R261" s="9"/>
      <c r="S261" s="8">
        <v>0</v>
      </c>
      <c r="T261" s="9"/>
      <c r="U261" s="8">
        <v>0</v>
      </c>
      <c r="V261" s="9"/>
      <c r="W261" s="33">
        <v>0</v>
      </c>
      <c r="X261" s="9"/>
      <c r="Y261" s="30">
        <v>0</v>
      </c>
      <c r="Z261" s="9"/>
      <c r="AA261" s="30">
        <v>0</v>
      </c>
      <c r="AB261" s="9"/>
      <c r="AC261" s="30">
        <v>0</v>
      </c>
      <c r="AD261" s="9"/>
      <c r="AE261" s="30">
        <v>0</v>
      </c>
      <c r="AF261" s="9"/>
      <c r="AG261" s="19">
        <v>0</v>
      </c>
      <c r="AI261" s="32">
        <v>0</v>
      </c>
      <c r="AK261" s="7" t="str">
        <f t="shared" si="4"/>
        <v>No</v>
      </c>
    </row>
    <row r="262" spans="1:37">
      <c r="A262" s="7" t="s">
        <v>593</v>
      </c>
      <c r="B262" s="7" t="s">
        <v>594</v>
      </c>
      <c r="C262" s="37" t="s">
        <v>17</v>
      </c>
      <c r="D262" s="296">
        <v>9006</v>
      </c>
      <c r="E262" s="297">
        <v>90006</v>
      </c>
      <c r="F262" s="27" t="s">
        <v>165</v>
      </c>
      <c r="G262" s="27" t="s">
        <v>158</v>
      </c>
      <c r="H262" s="35">
        <v>163703</v>
      </c>
      <c r="I262" s="35">
        <v>117</v>
      </c>
      <c r="J262" s="9" t="s">
        <v>10</v>
      </c>
      <c r="K262" s="9" t="s">
        <v>159</v>
      </c>
      <c r="L262" s="8">
        <v>29</v>
      </c>
      <c r="M262" s="8">
        <v>0</v>
      </c>
      <c r="N262" s="9"/>
      <c r="O262" s="8">
        <v>0</v>
      </c>
      <c r="P262" s="9"/>
      <c r="Q262" s="8">
        <v>0</v>
      </c>
      <c r="R262" s="9"/>
      <c r="S262" s="8">
        <v>0</v>
      </c>
      <c r="T262" s="9"/>
      <c r="U262" s="8">
        <v>0</v>
      </c>
      <c r="V262" s="9"/>
      <c r="W262" s="33">
        <v>0</v>
      </c>
      <c r="X262" s="9"/>
      <c r="Y262" s="30">
        <v>0</v>
      </c>
      <c r="Z262" s="9"/>
      <c r="AA262" s="30">
        <v>0</v>
      </c>
      <c r="AB262" s="9"/>
      <c r="AC262" s="30">
        <v>0</v>
      </c>
      <c r="AD262" s="9"/>
      <c r="AE262" s="30">
        <v>0</v>
      </c>
      <c r="AF262" s="9"/>
      <c r="AG262" s="19">
        <v>0</v>
      </c>
      <c r="AI262" s="32">
        <v>0</v>
      </c>
      <c r="AK262" s="7" t="str">
        <f t="shared" si="4"/>
        <v>No</v>
      </c>
    </row>
    <row r="263" spans="1:37">
      <c r="A263" s="7" t="s">
        <v>593</v>
      </c>
      <c r="B263" s="7" t="s">
        <v>594</v>
      </c>
      <c r="C263" s="37" t="s">
        <v>17</v>
      </c>
      <c r="D263" s="296">
        <v>9006</v>
      </c>
      <c r="E263" s="297">
        <v>90006</v>
      </c>
      <c r="F263" s="27" t="s">
        <v>165</v>
      </c>
      <c r="G263" s="27" t="s">
        <v>158</v>
      </c>
      <c r="H263" s="35">
        <v>163703</v>
      </c>
      <c r="I263" s="35">
        <v>117</v>
      </c>
      <c r="J263" s="9" t="s">
        <v>18</v>
      </c>
      <c r="K263" s="9" t="s">
        <v>159</v>
      </c>
      <c r="L263" s="8">
        <v>15</v>
      </c>
      <c r="M263" s="8">
        <v>0</v>
      </c>
      <c r="N263" s="9"/>
      <c r="O263" s="8">
        <v>0</v>
      </c>
      <c r="P263" s="9"/>
      <c r="Q263" s="8">
        <v>0</v>
      </c>
      <c r="R263" s="9"/>
      <c r="S263" s="8">
        <v>0</v>
      </c>
      <c r="T263" s="9"/>
      <c r="U263" s="8">
        <v>0</v>
      </c>
      <c r="V263" s="9"/>
      <c r="W263" s="33">
        <v>0</v>
      </c>
      <c r="X263" s="9"/>
      <c r="Y263" s="30">
        <v>0</v>
      </c>
      <c r="Z263" s="9"/>
      <c r="AA263" s="30">
        <v>0</v>
      </c>
      <c r="AB263" s="9"/>
      <c r="AC263" s="30">
        <v>0</v>
      </c>
      <c r="AD263" s="9"/>
      <c r="AE263" s="30">
        <v>0</v>
      </c>
      <c r="AF263" s="9"/>
      <c r="AG263" s="19">
        <v>0</v>
      </c>
      <c r="AI263" s="32">
        <v>0</v>
      </c>
      <c r="AK263" s="7" t="str">
        <f t="shared" si="4"/>
        <v>No</v>
      </c>
    </row>
    <row r="264" spans="1:37">
      <c r="A264" s="7" t="s">
        <v>364</v>
      </c>
      <c r="B264" s="7" t="s">
        <v>365</v>
      </c>
      <c r="C264" s="37" t="s">
        <v>77</v>
      </c>
      <c r="D264" s="296">
        <v>3013</v>
      </c>
      <c r="E264" s="297">
        <v>30013</v>
      </c>
      <c r="F264" s="27" t="s">
        <v>165</v>
      </c>
      <c r="G264" s="27" t="s">
        <v>158</v>
      </c>
      <c r="H264" s="35">
        <v>196611</v>
      </c>
      <c r="I264" s="35">
        <v>116</v>
      </c>
      <c r="J264" s="9" t="s">
        <v>7</v>
      </c>
      <c r="K264" s="9" t="s">
        <v>159</v>
      </c>
      <c r="L264" s="8">
        <v>61</v>
      </c>
      <c r="M264" s="8">
        <v>2944</v>
      </c>
      <c r="N264" s="9"/>
      <c r="O264" s="8">
        <v>0</v>
      </c>
      <c r="P264" s="9"/>
      <c r="Q264" s="8">
        <v>0</v>
      </c>
      <c r="R264" s="9"/>
      <c r="S264" s="8">
        <v>0</v>
      </c>
      <c r="T264" s="9"/>
      <c r="U264" s="8">
        <v>0</v>
      </c>
      <c r="V264" s="9"/>
      <c r="W264" s="33">
        <v>2944</v>
      </c>
      <c r="X264" s="9"/>
      <c r="Y264" s="30">
        <v>3</v>
      </c>
      <c r="Z264" s="9"/>
      <c r="AA264" s="30">
        <v>0</v>
      </c>
      <c r="AB264" s="9"/>
      <c r="AC264" s="30">
        <v>0</v>
      </c>
      <c r="AD264" s="9"/>
      <c r="AE264" s="30">
        <v>0</v>
      </c>
      <c r="AF264" s="9"/>
      <c r="AG264" s="19">
        <v>0</v>
      </c>
      <c r="AI264" s="32">
        <v>3</v>
      </c>
      <c r="AK264" s="7" t="str">
        <f t="shared" si="4"/>
        <v>No</v>
      </c>
    </row>
    <row r="265" spans="1:37">
      <c r="A265" s="7" t="s">
        <v>364</v>
      </c>
      <c r="B265" s="7" t="s">
        <v>365</v>
      </c>
      <c r="C265" s="37" t="s">
        <v>77</v>
      </c>
      <c r="D265" s="296">
        <v>3013</v>
      </c>
      <c r="E265" s="297">
        <v>30013</v>
      </c>
      <c r="F265" s="27" t="s">
        <v>165</v>
      </c>
      <c r="G265" s="27" t="s">
        <v>158</v>
      </c>
      <c r="H265" s="35">
        <v>196611</v>
      </c>
      <c r="I265" s="35">
        <v>116</v>
      </c>
      <c r="J265" s="9" t="s">
        <v>10</v>
      </c>
      <c r="K265" s="9" t="s">
        <v>159</v>
      </c>
      <c r="L265" s="8">
        <v>55</v>
      </c>
      <c r="M265" s="8">
        <v>26676</v>
      </c>
      <c r="N265" s="9"/>
      <c r="O265" s="8">
        <v>0</v>
      </c>
      <c r="P265" s="9"/>
      <c r="Q265" s="8">
        <v>0</v>
      </c>
      <c r="R265" s="9"/>
      <c r="S265" s="8">
        <v>0</v>
      </c>
      <c r="T265" s="9"/>
      <c r="U265" s="8">
        <v>0</v>
      </c>
      <c r="V265" s="9"/>
      <c r="W265" s="33">
        <v>26676</v>
      </c>
      <c r="X265" s="9"/>
      <c r="Y265" s="30">
        <v>28</v>
      </c>
      <c r="Z265" s="9"/>
      <c r="AA265" s="30">
        <v>0</v>
      </c>
      <c r="AB265" s="9"/>
      <c r="AC265" s="30">
        <v>0</v>
      </c>
      <c r="AD265" s="9"/>
      <c r="AE265" s="30">
        <v>0</v>
      </c>
      <c r="AF265" s="9"/>
      <c r="AG265" s="19">
        <v>0</v>
      </c>
      <c r="AI265" s="32">
        <v>28</v>
      </c>
      <c r="AK265" s="7" t="str">
        <f t="shared" si="4"/>
        <v>No</v>
      </c>
    </row>
    <row r="266" spans="1:37">
      <c r="A266" s="7" t="s">
        <v>267</v>
      </c>
      <c r="B266" s="7" t="s">
        <v>268</v>
      </c>
      <c r="C266" s="37" t="s">
        <v>77</v>
      </c>
      <c r="D266" s="296">
        <v>3054</v>
      </c>
      <c r="E266" s="297">
        <v>30054</v>
      </c>
      <c r="F266" s="27" t="s">
        <v>165</v>
      </c>
      <c r="G266" s="27" t="s">
        <v>158</v>
      </c>
      <c r="H266" s="35">
        <v>87454</v>
      </c>
      <c r="I266" s="35">
        <v>114</v>
      </c>
      <c r="J266" s="9" t="s">
        <v>7</v>
      </c>
      <c r="K266" s="9" t="s">
        <v>159</v>
      </c>
      <c r="L266" s="8">
        <v>61</v>
      </c>
      <c r="M266" s="8">
        <v>1167</v>
      </c>
      <c r="N266" s="9"/>
      <c r="O266" s="8">
        <v>0</v>
      </c>
      <c r="P266" s="9"/>
      <c r="Q266" s="8">
        <v>0</v>
      </c>
      <c r="R266" s="9"/>
      <c r="S266" s="8">
        <v>1182</v>
      </c>
      <c r="T266" s="9"/>
      <c r="U266" s="8">
        <v>0</v>
      </c>
      <c r="V266" s="9"/>
      <c r="W266" s="33">
        <v>2349</v>
      </c>
      <c r="X266" s="9"/>
      <c r="Y266" s="30">
        <v>0.97</v>
      </c>
      <c r="Z266" s="9"/>
      <c r="AA266" s="30">
        <v>0</v>
      </c>
      <c r="AB266" s="9"/>
      <c r="AC266" s="30">
        <v>0</v>
      </c>
      <c r="AD266" s="9"/>
      <c r="AE266" s="30">
        <v>1.76</v>
      </c>
      <c r="AF266" s="9"/>
      <c r="AG266" s="19">
        <v>0</v>
      </c>
      <c r="AI266" s="32">
        <v>2.73</v>
      </c>
      <c r="AK266" s="7" t="str">
        <f t="shared" si="4"/>
        <v>No</v>
      </c>
    </row>
    <row r="267" spans="1:37">
      <c r="A267" s="7" t="s">
        <v>725</v>
      </c>
      <c r="B267" s="7" t="s">
        <v>726</v>
      </c>
      <c r="C267" s="37" t="s">
        <v>84</v>
      </c>
      <c r="D267" s="296">
        <v>6101</v>
      </c>
      <c r="E267" s="297">
        <v>60101</v>
      </c>
      <c r="F267" s="27" t="s">
        <v>165</v>
      </c>
      <c r="G267" s="27" t="s">
        <v>158</v>
      </c>
      <c r="H267" s="35">
        <v>366174</v>
      </c>
      <c r="I267" s="35">
        <v>114</v>
      </c>
      <c r="J267" s="9" t="s">
        <v>7</v>
      </c>
      <c r="K267" s="9" t="s">
        <v>159</v>
      </c>
      <c r="L267" s="8">
        <v>50</v>
      </c>
      <c r="M267" s="8">
        <v>56964</v>
      </c>
      <c r="N267" s="9"/>
      <c r="O267" s="8">
        <v>912</v>
      </c>
      <c r="P267" s="9"/>
      <c r="Q267" s="8">
        <v>0</v>
      </c>
      <c r="R267" s="9"/>
      <c r="S267" s="8">
        <v>0</v>
      </c>
      <c r="T267" s="9"/>
      <c r="U267" s="8">
        <v>0</v>
      </c>
      <c r="V267" s="9"/>
      <c r="W267" s="33">
        <v>57876</v>
      </c>
      <c r="X267" s="9"/>
      <c r="Y267" s="30">
        <v>40.6</v>
      </c>
      <c r="Z267" s="9"/>
      <c r="AA267" s="30">
        <v>0</v>
      </c>
      <c r="AB267" s="9"/>
      <c r="AC267" s="30">
        <v>0</v>
      </c>
      <c r="AD267" s="9"/>
      <c r="AE267" s="30">
        <v>0</v>
      </c>
      <c r="AF267" s="9"/>
      <c r="AG267" s="19">
        <v>0</v>
      </c>
      <c r="AI267" s="32">
        <v>40.6</v>
      </c>
      <c r="AK267" s="7" t="str">
        <f t="shared" si="4"/>
        <v>No</v>
      </c>
    </row>
    <row r="268" spans="1:37">
      <c r="A268" s="7" t="s">
        <v>267</v>
      </c>
      <c r="B268" s="7" t="s">
        <v>268</v>
      </c>
      <c r="C268" s="37" t="s">
        <v>77</v>
      </c>
      <c r="D268" s="296">
        <v>3054</v>
      </c>
      <c r="E268" s="297">
        <v>30054</v>
      </c>
      <c r="F268" s="27" t="s">
        <v>165</v>
      </c>
      <c r="G268" s="27" t="s">
        <v>158</v>
      </c>
      <c r="H268" s="35">
        <v>87454</v>
      </c>
      <c r="I268" s="35">
        <v>114</v>
      </c>
      <c r="J268" s="9" t="s">
        <v>8</v>
      </c>
      <c r="K268" s="9" t="s">
        <v>159</v>
      </c>
      <c r="L268" s="8">
        <v>43</v>
      </c>
      <c r="M268" s="8">
        <v>162</v>
      </c>
      <c r="N268" s="9"/>
      <c r="O268" s="8">
        <v>0</v>
      </c>
      <c r="P268" s="9"/>
      <c r="Q268" s="8">
        <v>0</v>
      </c>
      <c r="R268" s="9"/>
      <c r="S268" s="8">
        <v>164</v>
      </c>
      <c r="T268" s="9"/>
      <c r="U268" s="8">
        <v>0</v>
      </c>
      <c r="V268" s="9"/>
      <c r="W268" s="33">
        <v>326</v>
      </c>
      <c r="X268" s="9"/>
      <c r="Y268" s="30">
        <v>0.13</v>
      </c>
      <c r="Z268" s="9"/>
      <c r="AA268" s="30">
        <v>0</v>
      </c>
      <c r="AB268" s="9"/>
      <c r="AC268" s="30">
        <v>0</v>
      </c>
      <c r="AD268" s="9"/>
      <c r="AE268" s="30">
        <v>0.24</v>
      </c>
      <c r="AF268" s="9"/>
      <c r="AG268" s="19">
        <v>0</v>
      </c>
      <c r="AI268" s="32">
        <v>0.37</v>
      </c>
      <c r="AK268" s="7" t="str">
        <f t="shared" si="4"/>
        <v>No</v>
      </c>
    </row>
    <row r="269" spans="1:37">
      <c r="A269" s="7" t="s">
        <v>725</v>
      </c>
      <c r="B269" s="7" t="s">
        <v>726</v>
      </c>
      <c r="C269" s="37" t="s">
        <v>84</v>
      </c>
      <c r="D269" s="296">
        <v>6101</v>
      </c>
      <c r="E269" s="297">
        <v>60101</v>
      </c>
      <c r="F269" s="27" t="s">
        <v>165</v>
      </c>
      <c r="G269" s="27" t="s">
        <v>158</v>
      </c>
      <c r="H269" s="35">
        <v>366174</v>
      </c>
      <c r="I269" s="35">
        <v>114</v>
      </c>
      <c r="J269" s="9" t="s">
        <v>10</v>
      </c>
      <c r="K269" s="9" t="s">
        <v>159</v>
      </c>
      <c r="L269" s="8">
        <v>14</v>
      </c>
      <c r="M269" s="8">
        <v>2034</v>
      </c>
      <c r="N269" s="9"/>
      <c r="O269" s="8">
        <v>131</v>
      </c>
      <c r="P269" s="9"/>
      <c r="Q269" s="8">
        <v>0</v>
      </c>
      <c r="R269" s="9"/>
      <c r="S269" s="8">
        <v>0</v>
      </c>
      <c r="T269" s="9"/>
      <c r="U269" s="8">
        <v>0</v>
      </c>
      <c r="V269" s="9"/>
      <c r="W269" s="33">
        <v>2165</v>
      </c>
      <c r="X269" s="9"/>
      <c r="Y269" s="30">
        <v>2.4</v>
      </c>
      <c r="Z269" s="9"/>
      <c r="AA269" s="30">
        <v>0</v>
      </c>
      <c r="AB269" s="9"/>
      <c r="AC269" s="30">
        <v>0</v>
      </c>
      <c r="AD269" s="9"/>
      <c r="AE269" s="30">
        <v>0</v>
      </c>
      <c r="AF269" s="9"/>
      <c r="AG269" s="19">
        <v>0</v>
      </c>
      <c r="AI269" s="32">
        <v>2.4</v>
      </c>
      <c r="AK269" s="7" t="str">
        <f t="shared" si="4"/>
        <v>No</v>
      </c>
    </row>
    <row r="270" spans="1:37">
      <c r="A270" s="7" t="s">
        <v>657</v>
      </c>
      <c r="B270" s="7" t="s">
        <v>658</v>
      </c>
      <c r="C270" s="37" t="s">
        <v>45</v>
      </c>
      <c r="D270" s="296">
        <v>4019</v>
      </c>
      <c r="E270" s="297">
        <v>40019</v>
      </c>
      <c r="F270" s="27" t="s">
        <v>165</v>
      </c>
      <c r="G270" s="27" t="s">
        <v>158</v>
      </c>
      <c r="H270" s="35">
        <v>1624827</v>
      </c>
      <c r="I270" s="35">
        <v>113</v>
      </c>
      <c r="J270" s="9" t="s">
        <v>7</v>
      </c>
      <c r="K270" s="9" t="s">
        <v>159</v>
      </c>
      <c r="L270" s="8">
        <v>91</v>
      </c>
      <c r="M270" s="8">
        <v>25666</v>
      </c>
      <c r="N270" s="9"/>
      <c r="O270" s="8">
        <v>2453</v>
      </c>
      <c r="P270" s="9"/>
      <c r="Q270" s="8">
        <v>2665</v>
      </c>
      <c r="R270" s="9"/>
      <c r="S270" s="8">
        <v>3037</v>
      </c>
      <c r="T270" s="9"/>
      <c r="U270" s="8">
        <v>0</v>
      </c>
      <c r="V270" s="9"/>
      <c r="W270" s="33">
        <v>33821</v>
      </c>
      <c r="X270" s="9"/>
      <c r="Y270" s="30">
        <v>20</v>
      </c>
      <c r="Z270" s="9"/>
      <c r="AA270" s="30">
        <v>2</v>
      </c>
      <c r="AB270" s="9"/>
      <c r="AC270" s="30">
        <v>1.8</v>
      </c>
      <c r="AD270" s="9"/>
      <c r="AE270" s="30">
        <v>2.4</v>
      </c>
      <c r="AF270" s="9"/>
      <c r="AG270" s="19">
        <v>0</v>
      </c>
      <c r="AI270" s="32">
        <v>26.2</v>
      </c>
      <c r="AK270" s="7" t="str">
        <f t="shared" si="4"/>
        <v>No</v>
      </c>
    </row>
    <row r="271" spans="1:37">
      <c r="A271" s="7" t="s">
        <v>657</v>
      </c>
      <c r="B271" s="7" t="s">
        <v>658</v>
      </c>
      <c r="C271" s="37" t="s">
        <v>45</v>
      </c>
      <c r="D271" s="296">
        <v>4019</v>
      </c>
      <c r="E271" s="297">
        <v>40019</v>
      </c>
      <c r="F271" s="27" t="s">
        <v>165</v>
      </c>
      <c r="G271" s="27" t="s">
        <v>158</v>
      </c>
      <c r="H271" s="35">
        <v>1624827</v>
      </c>
      <c r="I271" s="35">
        <v>113</v>
      </c>
      <c r="J271" s="9" t="s">
        <v>10</v>
      </c>
      <c r="K271" s="9" t="s">
        <v>159</v>
      </c>
      <c r="L271" s="8">
        <v>22</v>
      </c>
      <c r="M271" s="8">
        <v>7364</v>
      </c>
      <c r="N271" s="9"/>
      <c r="O271" s="8">
        <v>1111</v>
      </c>
      <c r="P271" s="9"/>
      <c r="Q271" s="8">
        <v>645</v>
      </c>
      <c r="R271" s="9"/>
      <c r="S271" s="8">
        <v>734</v>
      </c>
      <c r="T271" s="9"/>
      <c r="U271" s="8">
        <v>0</v>
      </c>
      <c r="V271" s="9"/>
      <c r="W271" s="33">
        <v>9854</v>
      </c>
      <c r="X271" s="9"/>
      <c r="Y271" s="30">
        <v>6</v>
      </c>
      <c r="Z271" s="9"/>
      <c r="AA271" s="30">
        <v>1</v>
      </c>
      <c r="AB271" s="9"/>
      <c r="AC271" s="30">
        <v>0.4</v>
      </c>
      <c r="AD271" s="9"/>
      <c r="AE271" s="30">
        <v>0.6</v>
      </c>
      <c r="AF271" s="9"/>
      <c r="AG271" s="19">
        <v>0</v>
      </c>
      <c r="AI271" s="32">
        <v>8</v>
      </c>
      <c r="AK271" s="7" t="str">
        <f t="shared" si="4"/>
        <v>No</v>
      </c>
    </row>
    <row r="272" spans="1:37">
      <c r="A272" s="7" t="s">
        <v>659</v>
      </c>
      <c r="B272" s="7" t="s">
        <v>660</v>
      </c>
      <c r="C272" s="37" t="s">
        <v>60</v>
      </c>
      <c r="D272" s="296">
        <v>7002</v>
      </c>
      <c r="E272" s="297">
        <v>70002</v>
      </c>
      <c r="F272" s="27" t="s">
        <v>165</v>
      </c>
      <c r="G272" s="27" t="s">
        <v>158</v>
      </c>
      <c r="H272" s="35">
        <v>725008</v>
      </c>
      <c r="I272" s="35">
        <v>112</v>
      </c>
      <c r="J272" s="9" t="s">
        <v>7</v>
      </c>
      <c r="K272" s="9" t="s">
        <v>159</v>
      </c>
      <c r="L272" s="8">
        <v>90</v>
      </c>
      <c r="M272" s="8">
        <v>0</v>
      </c>
      <c r="N272" s="9"/>
      <c r="O272" s="8">
        <v>0</v>
      </c>
      <c r="P272" s="9"/>
      <c r="Q272" s="8">
        <v>0</v>
      </c>
      <c r="R272" s="9"/>
      <c r="S272" s="8">
        <v>2314</v>
      </c>
      <c r="T272" s="9"/>
      <c r="U272" s="8">
        <v>0</v>
      </c>
      <c r="V272" s="9"/>
      <c r="W272" s="33">
        <v>2314</v>
      </c>
      <c r="X272" s="9"/>
      <c r="Y272" s="30">
        <v>0</v>
      </c>
      <c r="Z272" s="9"/>
      <c r="AA272" s="30">
        <v>0</v>
      </c>
      <c r="AB272" s="9"/>
      <c r="AC272" s="30">
        <v>0</v>
      </c>
      <c r="AD272" s="9"/>
      <c r="AE272" s="30">
        <v>3</v>
      </c>
      <c r="AF272" s="9"/>
      <c r="AG272" s="19">
        <v>0</v>
      </c>
      <c r="AI272" s="32">
        <v>3</v>
      </c>
      <c r="AK272" s="7" t="str">
        <f t="shared" si="4"/>
        <v>No</v>
      </c>
    </row>
    <row r="273" spans="1:37">
      <c r="A273" s="7" t="s">
        <v>659</v>
      </c>
      <c r="B273" s="7" t="s">
        <v>660</v>
      </c>
      <c r="C273" s="37" t="s">
        <v>60</v>
      </c>
      <c r="D273" s="296">
        <v>7002</v>
      </c>
      <c r="E273" s="297">
        <v>70002</v>
      </c>
      <c r="F273" s="27" t="s">
        <v>165</v>
      </c>
      <c r="G273" s="27" t="s">
        <v>158</v>
      </c>
      <c r="H273" s="35">
        <v>725008</v>
      </c>
      <c r="I273" s="35">
        <v>112</v>
      </c>
      <c r="J273" s="9" t="s">
        <v>10</v>
      </c>
      <c r="K273" s="9" t="s">
        <v>159</v>
      </c>
      <c r="L273" s="8">
        <v>22</v>
      </c>
      <c r="M273" s="8">
        <v>0</v>
      </c>
      <c r="N273" s="9"/>
      <c r="O273" s="8">
        <v>0</v>
      </c>
      <c r="P273" s="9"/>
      <c r="Q273" s="8">
        <v>0</v>
      </c>
      <c r="R273" s="9"/>
      <c r="S273" s="8">
        <v>0</v>
      </c>
      <c r="T273" s="9"/>
      <c r="U273" s="8">
        <v>0</v>
      </c>
      <c r="V273" s="9"/>
      <c r="W273" s="33">
        <v>0</v>
      </c>
      <c r="X273" s="9"/>
      <c r="Y273" s="30">
        <v>0</v>
      </c>
      <c r="Z273" s="9"/>
      <c r="AA273" s="30">
        <v>0</v>
      </c>
      <c r="AB273" s="9"/>
      <c r="AC273" s="30">
        <v>0</v>
      </c>
      <c r="AD273" s="9"/>
      <c r="AE273" s="30">
        <v>0</v>
      </c>
      <c r="AF273" s="9"/>
      <c r="AG273" s="19">
        <v>0</v>
      </c>
      <c r="AI273" s="32">
        <v>0</v>
      </c>
      <c r="AK273" s="7" t="str">
        <f t="shared" si="4"/>
        <v>No</v>
      </c>
    </row>
    <row r="274" spans="1:37">
      <c r="A274" s="7" t="s">
        <v>342</v>
      </c>
      <c r="B274" s="7" t="s">
        <v>343</v>
      </c>
      <c r="C274" s="37" t="s">
        <v>77</v>
      </c>
      <c r="D274" s="296">
        <v>3014</v>
      </c>
      <c r="E274" s="297">
        <v>30014</v>
      </c>
      <c r="F274" s="27" t="s">
        <v>165</v>
      </c>
      <c r="G274" s="27" t="s">
        <v>158</v>
      </c>
      <c r="H274" s="35">
        <v>444474</v>
      </c>
      <c r="I274" s="35">
        <v>111</v>
      </c>
      <c r="J274" s="9" t="s">
        <v>7</v>
      </c>
      <c r="K274" s="9" t="s">
        <v>159</v>
      </c>
      <c r="L274" s="8">
        <v>63</v>
      </c>
      <c r="M274" s="8">
        <v>5916</v>
      </c>
      <c r="N274" s="9"/>
      <c r="O274" s="8">
        <v>0</v>
      </c>
      <c r="P274" s="9"/>
      <c r="Q274" s="8">
        <v>0</v>
      </c>
      <c r="R274" s="9"/>
      <c r="S274" s="8">
        <v>677</v>
      </c>
      <c r="T274" s="9"/>
      <c r="U274" s="8">
        <v>0</v>
      </c>
      <c r="V274" s="9"/>
      <c r="W274" s="33">
        <v>6593</v>
      </c>
      <c r="X274" s="9"/>
      <c r="Y274" s="30">
        <v>8</v>
      </c>
      <c r="Z274" s="9"/>
      <c r="AA274" s="30">
        <v>0</v>
      </c>
      <c r="AB274" s="9"/>
      <c r="AC274" s="30">
        <v>0</v>
      </c>
      <c r="AD274" s="9"/>
      <c r="AE274" s="30">
        <v>0.33</v>
      </c>
      <c r="AF274" s="9"/>
      <c r="AG274" s="19">
        <v>0</v>
      </c>
      <c r="AI274" s="32">
        <v>8.33</v>
      </c>
      <c r="AK274" s="7" t="str">
        <f t="shared" si="4"/>
        <v>No</v>
      </c>
    </row>
    <row r="275" spans="1:37">
      <c r="A275" s="7" t="s">
        <v>342</v>
      </c>
      <c r="B275" s="7" t="s">
        <v>343</v>
      </c>
      <c r="C275" s="37" t="s">
        <v>77</v>
      </c>
      <c r="D275" s="296">
        <v>3014</v>
      </c>
      <c r="E275" s="297">
        <v>30014</v>
      </c>
      <c r="F275" s="27" t="s">
        <v>165</v>
      </c>
      <c r="G275" s="27" t="s">
        <v>158</v>
      </c>
      <c r="H275" s="35">
        <v>444474</v>
      </c>
      <c r="I275" s="35">
        <v>111</v>
      </c>
      <c r="J275" s="9" t="s">
        <v>10</v>
      </c>
      <c r="K275" s="9" t="s">
        <v>159</v>
      </c>
      <c r="L275" s="8">
        <v>27</v>
      </c>
      <c r="M275" s="8">
        <v>2571</v>
      </c>
      <c r="N275" s="9"/>
      <c r="O275" s="8">
        <v>0</v>
      </c>
      <c r="P275" s="9"/>
      <c r="Q275" s="8">
        <v>0</v>
      </c>
      <c r="R275" s="9"/>
      <c r="S275" s="8">
        <v>0</v>
      </c>
      <c r="T275" s="9"/>
      <c r="U275" s="8">
        <v>0</v>
      </c>
      <c r="V275" s="9"/>
      <c r="W275" s="33">
        <v>2571</v>
      </c>
      <c r="X275" s="9"/>
      <c r="Y275" s="30">
        <v>1</v>
      </c>
      <c r="Z275" s="9"/>
      <c r="AA275" s="30">
        <v>0</v>
      </c>
      <c r="AB275" s="9"/>
      <c r="AC275" s="30">
        <v>0</v>
      </c>
      <c r="AD275" s="9"/>
      <c r="AE275" s="30">
        <v>0</v>
      </c>
      <c r="AF275" s="9"/>
      <c r="AG275" s="19">
        <v>0</v>
      </c>
      <c r="AI275" s="32">
        <v>1</v>
      </c>
      <c r="AK275" s="7" t="str">
        <f t="shared" si="4"/>
        <v>No</v>
      </c>
    </row>
    <row r="276" spans="1:37">
      <c r="A276" s="7" t="s">
        <v>655</v>
      </c>
      <c r="B276" s="7" t="s">
        <v>656</v>
      </c>
      <c r="C276" s="37" t="s">
        <v>45</v>
      </c>
      <c r="D276" s="296">
        <v>4017</v>
      </c>
      <c r="E276" s="297">
        <v>40017</v>
      </c>
      <c r="F276" s="27" t="s">
        <v>165</v>
      </c>
      <c r="G276" s="27" t="s">
        <v>158</v>
      </c>
      <c r="H276" s="35">
        <v>290263</v>
      </c>
      <c r="I276" s="35">
        <v>108</v>
      </c>
      <c r="J276" s="9" t="s">
        <v>7</v>
      </c>
      <c r="K276" s="9" t="s">
        <v>159</v>
      </c>
      <c r="L276" s="8">
        <v>54</v>
      </c>
      <c r="M276" s="8">
        <v>2636</v>
      </c>
      <c r="N276" s="9"/>
      <c r="O276" s="8">
        <v>0</v>
      </c>
      <c r="P276" s="9"/>
      <c r="Q276" s="8">
        <v>0</v>
      </c>
      <c r="R276" s="9"/>
      <c r="S276" s="8">
        <v>0</v>
      </c>
      <c r="T276" s="9"/>
      <c r="U276" s="8">
        <v>0</v>
      </c>
      <c r="V276" s="9"/>
      <c r="W276" s="33">
        <v>2636</v>
      </c>
      <c r="X276" s="9"/>
      <c r="Y276" s="30">
        <v>5</v>
      </c>
      <c r="Z276" s="9"/>
      <c r="AA276" s="30">
        <v>0</v>
      </c>
      <c r="AB276" s="9"/>
      <c r="AC276" s="30">
        <v>0</v>
      </c>
      <c r="AD276" s="9"/>
      <c r="AE276" s="30">
        <v>0</v>
      </c>
      <c r="AF276" s="9"/>
      <c r="AG276" s="19">
        <v>0</v>
      </c>
      <c r="AI276" s="32">
        <v>5</v>
      </c>
      <c r="AK276" s="7" t="str">
        <f t="shared" si="4"/>
        <v>No</v>
      </c>
    </row>
    <row r="277" spans="1:37">
      <c r="A277" s="7" t="s">
        <v>506</v>
      </c>
      <c r="B277" s="7" t="s">
        <v>507</v>
      </c>
      <c r="C277" s="37" t="s">
        <v>17</v>
      </c>
      <c r="D277" s="296">
        <v>9041</v>
      </c>
      <c r="E277" s="297">
        <v>90041</v>
      </c>
      <c r="F277" s="27" t="s">
        <v>162</v>
      </c>
      <c r="G277" s="27" t="s">
        <v>158</v>
      </c>
      <c r="H277" s="35">
        <v>12150996</v>
      </c>
      <c r="I277" s="35">
        <v>107</v>
      </c>
      <c r="J277" s="9" t="s">
        <v>7</v>
      </c>
      <c r="K277" s="9" t="s">
        <v>159</v>
      </c>
      <c r="L277" s="8">
        <v>62</v>
      </c>
      <c r="M277" s="8">
        <v>93216</v>
      </c>
      <c r="N277" s="9"/>
      <c r="O277" s="8">
        <v>6198</v>
      </c>
      <c r="P277" s="9"/>
      <c r="Q277" s="8">
        <v>0</v>
      </c>
      <c r="R277" s="9"/>
      <c r="S277" s="8">
        <v>3373</v>
      </c>
      <c r="T277" s="9"/>
      <c r="U277" s="8">
        <v>0</v>
      </c>
      <c r="V277" s="9"/>
      <c r="W277" s="33">
        <v>102787</v>
      </c>
      <c r="X277" s="9"/>
      <c r="Y277" s="30">
        <v>47</v>
      </c>
      <c r="Z277" s="9"/>
      <c r="AA277" s="30">
        <v>4</v>
      </c>
      <c r="AB277" s="9"/>
      <c r="AC277" s="30">
        <v>0</v>
      </c>
      <c r="AD277" s="9"/>
      <c r="AE277" s="30">
        <v>2</v>
      </c>
      <c r="AF277" s="9"/>
      <c r="AG277" s="19">
        <v>0</v>
      </c>
      <c r="AI277" s="32">
        <v>53</v>
      </c>
      <c r="AK277" s="7" t="str">
        <f t="shared" si="4"/>
        <v>No</v>
      </c>
    </row>
    <row r="278" spans="1:37">
      <c r="A278" s="7" t="s">
        <v>508</v>
      </c>
      <c r="B278" s="7" t="s">
        <v>509</v>
      </c>
      <c r="C278" s="37" t="s">
        <v>17</v>
      </c>
      <c r="D278" s="296">
        <v>9062</v>
      </c>
      <c r="E278" s="297">
        <v>90062</v>
      </c>
      <c r="F278" s="27" t="s">
        <v>165</v>
      </c>
      <c r="G278" s="27" t="s">
        <v>158</v>
      </c>
      <c r="H278" s="35">
        <v>114237</v>
      </c>
      <c r="I278" s="35">
        <v>105</v>
      </c>
      <c r="J278" s="9" t="s">
        <v>7</v>
      </c>
      <c r="K278" s="9" t="s">
        <v>159</v>
      </c>
      <c r="L278" s="8">
        <v>51</v>
      </c>
      <c r="M278" s="8">
        <v>0</v>
      </c>
      <c r="N278" s="9"/>
      <c r="O278" s="8">
        <v>0</v>
      </c>
      <c r="P278" s="9"/>
      <c r="Q278" s="8">
        <v>0</v>
      </c>
      <c r="R278" s="9"/>
      <c r="S278" s="8">
        <v>682</v>
      </c>
      <c r="T278" s="9"/>
      <c r="U278" s="8">
        <v>0</v>
      </c>
      <c r="V278" s="9"/>
      <c r="W278" s="33">
        <v>682</v>
      </c>
      <c r="X278" s="9"/>
      <c r="Y278" s="30">
        <v>0</v>
      </c>
      <c r="Z278" s="9"/>
      <c r="AA278" s="30">
        <v>0</v>
      </c>
      <c r="AB278" s="9"/>
      <c r="AC278" s="30">
        <v>0</v>
      </c>
      <c r="AD278" s="9"/>
      <c r="AE278" s="30">
        <v>0.9</v>
      </c>
      <c r="AF278" s="9"/>
      <c r="AG278" s="19">
        <v>0</v>
      </c>
      <c r="AI278" s="32">
        <v>0.9</v>
      </c>
      <c r="AK278" s="7" t="str">
        <f t="shared" si="4"/>
        <v>No</v>
      </c>
    </row>
    <row r="279" spans="1:37">
      <c r="A279" s="7" t="s">
        <v>508</v>
      </c>
      <c r="B279" s="7" t="s">
        <v>509</v>
      </c>
      <c r="C279" s="37" t="s">
        <v>17</v>
      </c>
      <c r="D279" s="296">
        <v>9062</v>
      </c>
      <c r="E279" s="297">
        <v>90062</v>
      </c>
      <c r="F279" s="27" t="s">
        <v>165</v>
      </c>
      <c r="G279" s="27" t="s">
        <v>158</v>
      </c>
      <c r="H279" s="35">
        <v>114237</v>
      </c>
      <c r="I279" s="35">
        <v>105</v>
      </c>
      <c r="J279" s="9" t="s">
        <v>18</v>
      </c>
      <c r="K279" s="9" t="s">
        <v>159</v>
      </c>
      <c r="L279" s="8">
        <v>7</v>
      </c>
      <c r="M279" s="8">
        <v>0</v>
      </c>
      <c r="N279" s="9"/>
      <c r="O279" s="8">
        <v>0</v>
      </c>
      <c r="P279" s="9"/>
      <c r="Q279" s="8">
        <v>0</v>
      </c>
      <c r="R279" s="9"/>
      <c r="S279" s="8">
        <v>98</v>
      </c>
      <c r="T279" s="9"/>
      <c r="U279" s="8">
        <v>0</v>
      </c>
      <c r="V279" s="9"/>
      <c r="W279" s="33">
        <v>98</v>
      </c>
      <c r="X279" s="9"/>
      <c r="Y279" s="30">
        <v>0</v>
      </c>
      <c r="Z279" s="9"/>
      <c r="AA279" s="30">
        <v>0</v>
      </c>
      <c r="AB279" s="9"/>
      <c r="AC279" s="30">
        <v>0</v>
      </c>
      <c r="AD279" s="9"/>
      <c r="AE279" s="30">
        <v>0.1</v>
      </c>
      <c r="AF279" s="9"/>
      <c r="AG279" s="19">
        <v>0</v>
      </c>
      <c r="AI279" s="32">
        <v>0.1</v>
      </c>
      <c r="AK279" s="7" t="str">
        <f t="shared" si="4"/>
        <v>No</v>
      </c>
    </row>
    <row r="280" spans="1:37">
      <c r="A280" s="7" t="s">
        <v>597</v>
      </c>
      <c r="B280" s="7" t="s">
        <v>598</v>
      </c>
      <c r="C280" s="37" t="s">
        <v>32</v>
      </c>
      <c r="D280" s="296">
        <v>4046</v>
      </c>
      <c r="E280" s="297">
        <v>40046</v>
      </c>
      <c r="F280" s="27" t="s">
        <v>162</v>
      </c>
      <c r="G280" s="27" t="s">
        <v>158</v>
      </c>
      <c r="H280" s="35">
        <v>643260</v>
      </c>
      <c r="I280" s="35">
        <v>104</v>
      </c>
      <c r="J280" s="9" t="s">
        <v>7</v>
      </c>
      <c r="K280" s="9" t="s">
        <v>159</v>
      </c>
      <c r="L280" s="8">
        <v>49</v>
      </c>
      <c r="M280" s="8">
        <v>0</v>
      </c>
      <c r="N280" s="9"/>
      <c r="O280" s="8">
        <v>0</v>
      </c>
      <c r="P280" s="9"/>
      <c r="Q280" s="8">
        <v>0</v>
      </c>
      <c r="R280" s="9"/>
      <c r="S280" s="8">
        <v>0</v>
      </c>
      <c r="T280" s="9"/>
      <c r="U280" s="8">
        <v>0</v>
      </c>
      <c r="V280" s="9"/>
      <c r="W280" s="33">
        <v>0</v>
      </c>
      <c r="X280" s="9"/>
      <c r="Y280" s="30">
        <v>0</v>
      </c>
      <c r="Z280" s="9"/>
      <c r="AA280" s="30">
        <v>0</v>
      </c>
      <c r="AB280" s="9"/>
      <c r="AC280" s="30">
        <v>0</v>
      </c>
      <c r="AD280" s="9"/>
      <c r="AE280" s="30">
        <v>0</v>
      </c>
      <c r="AF280" s="9"/>
      <c r="AG280" s="19">
        <v>0</v>
      </c>
      <c r="AI280" s="32">
        <v>0</v>
      </c>
      <c r="AK280" s="7" t="str">
        <f t="shared" si="4"/>
        <v>No</v>
      </c>
    </row>
    <row r="281" spans="1:37">
      <c r="A281" s="7" t="s">
        <v>587</v>
      </c>
      <c r="B281" s="7" t="s">
        <v>588</v>
      </c>
      <c r="C281" s="37" t="s">
        <v>17</v>
      </c>
      <c r="D281" s="296">
        <v>9012</v>
      </c>
      <c r="E281" s="297">
        <v>90012</v>
      </c>
      <c r="F281" s="27" t="s">
        <v>165</v>
      </c>
      <c r="G281" s="27" t="s">
        <v>158</v>
      </c>
      <c r="H281" s="35">
        <v>370583</v>
      </c>
      <c r="I281" s="35">
        <v>104</v>
      </c>
      <c r="J281" s="9" t="s">
        <v>7</v>
      </c>
      <c r="K281" s="9" t="s">
        <v>159</v>
      </c>
      <c r="L281" s="8">
        <v>48</v>
      </c>
      <c r="M281" s="8">
        <v>12578</v>
      </c>
      <c r="N281" s="9"/>
      <c r="O281" s="8">
        <v>0</v>
      </c>
      <c r="P281" s="9"/>
      <c r="Q281" s="8">
        <v>0</v>
      </c>
      <c r="R281" s="9"/>
      <c r="S281" s="8">
        <v>4068</v>
      </c>
      <c r="T281" s="9"/>
      <c r="U281" s="8">
        <v>854</v>
      </c>
      <c r="V281" s="9"/>
      <c r="W281" s="33">
        <v>17500</v>
      </c>
      <c r="X281" s="9"/>
      <c r="Y281" s="30">
        <v>11</v>
      </c>
      <c r="Z281" s="9"/>
      <c r="AA281" s="30">
        <v>0</v>
      </c>
      <c r="AB281" s="9"/>
      <c r="AC281" s="30">
        <v>0</v>
      </c>
      <c r="AD281" s="9"/>
      <c r="AE281" s="30">
        <v>4</v>
      </c>
      <c r="AF281" s="9"/>
      <c r="AG281" s="19">
        <v>1</v>
      </c>
      <c r="AI281" s="32">
        <v>16</v>
      </c>
      <c r="AK281" s="7" t="str">
        <f t="shared" si="4"/>
        <v>No</v>
      </c>
    </row>
    <row r="282" spans="1:37">
      <c r="A282" s="7" t="s">
        <v>597</v>
      </c>
      <c r="B282" s="7" t="s">
        <v>598</v>
      </c>
      <c r="C282" s="37" t="s">
        <v>32</v>
      </c>
      <c r="D282" s="296">
        <v>4046</v>
      </c>
      <c r="E282" s="297">
        <v>40046</v>
      </c>
      <c r="F282" s="27" t="s">
        <v>162</v>
      </c>
      <c r="G282" s="27" t="s">
        <v>158</v>
      </c>
      <c r="H282" s="35">
        <v>643260</v>
      </c>
      <c r="I282" s="35">
        <v>104</v>
      </c>
      <c r="J282" s="9" t="s">
        <v>10</v>
      </c>
      <c r="K282" s="9" t="s">
        <v>159</v>
      </c>
      <c r="L282" s="8">
        <v>14</v>
      </c>
      <c r="M282" s="8">
        <v>0</v>
      </c>
      <c r="N282" s="9"/>
      <c r="O282" s="8">
        <v>0</v>
      </c>
      <c r="P282" s="9"/>
      <c r="Q282" s="8">
        <v>0</v>
      </c>
      <c r="R282" s="9"/>
      <c r="S282" s="8">
        <v>0</v>
      </c>
      <c r="T282" s="9"/>
      <c r="U282" s="8">
        <v>0</v>
      </c>
      <c r="V282" s="9"/>
      <c r="W282" s="33">
        <v>0</v>
      </c>
      <c r="X282" s="9"/>
      <c r="Y282" s="30">
        <v>0</v>
      </c>
      <c r="Z282" s="9"/>
      <c r="AA282" s="30">
        <v>0</v>
      </c>
      <c r="AB282" s="9"/>
      <c r="AC282" s="30">
        <v>0</v>
      </c>
      <c r="AD282" s="9"/>
      <c r="AE282" s="30">
        <v>0</v>
      </c>
      <c r="AF282" s="9"/>
      <c r="AG282" s="19">
        <v>0</v>
      </c>
      <c r="AI282" s="32">
        <v>0</v>
      </c>
      <c r="AK282" s="7" t="str">
        <f t="shared" si="4"/>
        <v>No</v>
      </c>
    </row>
    <row r="283" spans="1:37">
      <c r="A283" s="7" t="s">
        <v>597</v>
      </c>
      <c r="B283" s="7" t="s">
        <v>598</v>
      </c>
      <c r="C283" s="37" t="s">
        <v>32</v>
      </c>
      <c r="D283" s="296">
        <v>4046</v>
      </c>
      <c r="E283" s="297">
        <v>40046</v>
      </c>
      <c r="F283" s="27" t="s">
        <v>162</v>
      </c>
      <c r="G283" s="27" t="s">
        <v>158</v>
      </c>
      <c r="H283" s="35">
        <v>643260</v>
      </c>
      <c r="I283" s="35">
        <v>104</v>
      </c>
      <c r="J283" s="9" t="s">
        <v>18</v>
      </c>
      <c r="K283" s="9" t="s">
        <v>159</v>
      </c>
      <c r="L283" s="8">
        <v>5</v>
      </c>
      <c r="M283" s="8">
        <v>0</v>
      </c>
      <c r="N283" s="9"/>
      <c r="O283" s="8">
        <v>0</v>
      </c>
      <c r="P283" s="9"/>
      <c r="Q283" s="8">
        <v>0</v>
      </c>
      <c r="R283" s="9"/>
      <c r="S283" s="8">
        <v>0</v>
      </c>
      <c r="T283" s="9"/>
      <c r="U283" s="8">
        <v>0</v>
      </c>
      <c r="V283" s="9"/>
      <c r="W283" s="33">
        <v>0</v>
      </c>
      <c r="X283" s="9"/>
      <c r="Y283" s="30">
        <v>0</v>
      </c>
      <c r="Z283" s="9"/>
      <c r="AA283" s="30">
        <v>0</v>
      </c>
      <c r="AB283" s="9"/>
      <c r="AC283" s="30">
        <v>0</v>
      </c>
      <c r="AD283" s="9"/>
      <c r="AE283" s="30">
        <v>0</v>
      </c>
      <c r="AF283" s="9"/>
      <c r="AG283" s="19">
        <v>0</v>
      </c>
      <c r="AI283" s="32">
        <v>0</v>
      </c>
      <c r="AK283" s="7" t="str">
        <f t="shared" si="4"/>
        <v>No</v>
      </c>
    </row>
    <row r="284" spans="1:37">
      <c r="A284" s="7" t="s">
        <v>699</v>
      </c>
      <c r="B284" s="7" t="s">
        <v>700</v>
      </c>
      <c r="C284" s="37" t="s">
        <v>47</v>
      </c>
      <c r="D284" s="296">
        <v>1014</v>
      </c>
      <c r="E284" s="297">
        <v>10014</v>
      </c>
      <c r="F284" s="27" t="s">
        <v>165</v>
      </c>
      <c r="G284" s="27" t="s">
        <v>158</v>
      </c>
      <c r="H284" s="35">
        <v>486514</v>
      </c>
      <c r="I284" s="35">
        <v>103</v>
      </c>
      <c r="J284" s="9" t="s">
        <v>7</v>
      </c>
      <c r="K284" s="9" t="s">
        <v>159</v>
      </c>
      <c r="L284" s="8">
        <v>44</v>
      </c>
      <c r="M284" s="8">
        <v>14758</v>
      </c>
      <c r="N284" s="9"/>
      <c r="O284" s="8">
        <v>325</v>
      </c>
      <c r="P284" s="9"/>
      <c r="Q284" s="8">
        <v>0</v>
      </c>
      <c r="R284" s="9"/>
      <c r="S284" s="8">
        <v>1891</v>
      </c>
      <c r="T284" s="9"/>
      <c r="U284" s="8">
        <v>0</v>
      </c>
      <c r="V284" s="9"/>
      <c r="W284" s="33">
        <v>16974</v>
      </c>
      <c r="X284" s="9"/>
      <c r="Y284" s="30">
        <v>13.7</v>
      </c>
      <c r="Z284" s="9"/>
      <c r="AA284" s="30">
        <v>0.3</v>
      </c>
      <c r="AB284" s="9"/>
      <c r="AC284" s="30">
        <v>0</v>
      </c>
      <c r="AD284" s="9"/>
      <c r="AE284" s="30">
        <v>1.8</v>
      </c>
      <c r="AF284" s="9"/>
      <c r="AG284" s="19">
        <v>0</v>
      </c>
      <c r="AI284" s="32">
        <v>15.8</v>
      </c>
      <c r="AK284" s="7" t="str">
        <f t="shared" si="4"/>
        <v>No</v>
      </c>
    </row>
    <row r="285" spans="1:37">
      <c r="A285" s="7" t="s">
        <v>699</v>
      </c>
      <c r="B285" s="7" t="s">
        <v>700</v>
      </c>
      <c r="C285" s="37" t="s">
        <v>47</v>
      </c>
      <c r="D285" s="296">
        <v>1014</v>
      </c>
      <c r="E285" s="297">
        <v>10014</v>
      </c>
      <c r="F285" s="27" t="s">
        <v>165</v>
      </c>
      <c r="G285" s="27" t="s">
        <v>158</v>
      </c>
      <c r="H285" s="35">
        <v>486514</v>
      </c>
      <c r="I285" s="35">
        <v>103</v>
      </c>
      <c r="J285" s="9" t="s">
        <v>10</v>
      </c>
      <c r="K285" s="9" t="s">
        <v>159</v>
      </c>
      <c r="L285" s="8">
        <v>10</v>
      </c>
      <c r="M285" s="8">
        <v>4985</v>
      </c>
      <c r="N285" s="9"/>
      <c r="O285" s="8">
        <v>0</v>
      </c>
      <c r="P285" s="9"/>
      <c r="Q285" s="8">
        <v>0</v>
      </c>
      <c r="R285" s="9"/>
      <c r="S285" s="8">
        <v>338</v>
      </c>
      <c r="T285" s="9"/>
      <c r="U285" s="8">
        <v>0</v>
      </c>
      <c r="V285" s="9"/>
      <c r="W285" s="33">
        <v>5323</v>
      </c>
      <c r="X285" s="9"/>
      <c r="Y285" s="30">
        <v>5</v>
      </c>
      <c r="Z285" s="9"/>
      <c r="AA285" s="30">
        <v>0</v>
      </c>
      <c r="AB285" s="9"/>
      <c r="AC285" s="30">
        <v>0</v>
      </c>
      <c r="AD285" s="9"/>
      <c r="AE285" s="30">
        <v>0.3</v>
      </c>
      <c r="AF285" s="9"/>
      <c r="AG285" s="19">
        <v>0</v>
      </c>
      <c r="AI285" s="32">
        <v>5.3</v>
      </c>
      <c r="AK285" s="7" t="str">
        <f t="shared" si="4"/>
        <v>No</v>
      </c>
    </row>
    <row r="286" spans="1:37">
      <c r="A286" s="7" t="s">
        <v>631</v>
      </c>
      <c r="B286" s="7" t="s">
        <v>632</v>
      </c>
      <c r="C286" s="37" t="s">
        <v>63</v>
      </c>
      <c r="D286" s="296">
        <v>2128</v>
      </c>
      <c r="E286" s="297">
        <v>20128</v>
      </c>
      <c r="F286" s="27" t="s">
        <v>173</v>
      </c>
      <c r="G286" s="27" t="s">
        <v>158</v>
      </c>
      <c r="H286" s="35">
        <v>18351295</v>
      </c>
      <c r="I286" s="35">
        <v>102</v>
      </c>
      <c r="J286" s="9" t="s">
        <v>18</v>
      </c>
      <c r="K286" s="9" t="s">
        <v>159</v>
      </c>
      <c r="L286" s="8">
        <v>102</v>
      </c>
      <c r="M286" s="8">
        <v>15026</v>
      </c>
      <c r="N286" s="9"/>
      <c r="O286" s="8">
        <v>1845</v>
      </c>
      <c r="P286" s="9"/>
      <c r="Q286" s="8">
        <v>0</v>
      </c>
      <c r="R286" s="9"/>
      <c r="S286" s="8">
        <v>10400</v>
      </c>
      <c r="T286" s="9"/>
      <c r="U286" s="8">
        <v>0</v>
      </c>
      <c r="V286" s="9"/>
      <c r="W286" s="33">
        <v>27271</v>
      </c>
      <c r="X286" s="9"/>
      <c r="Y286" s="30">
        <v>32</v>
      </c>
      <c r="Z286" s="9"/>
      <c r="AA286" s="30">
        <v>1</v>
      </c>
      <c r="AB286" s="9"/>
      <c r="AC286" s="30">
        <v>0</v>
      </c>
      <c r="AD286" s="9"/>
      <c r="AE286" s="30">
        <v>8</v>
      </c>
      <c r="AF286" s="9"/>
      <c r="AG286" s="19">
        <v>0</v>
      </c>
      <c r="AI286" s="32">
        <v>41</v>
      </c>
      <c r="AK286" s="7" t="str">
        <f t="shared" si="4"/>
        <v>No</v>
      </c>
    </row>
    <row r="287" spans="1:37">
      <c r="A287" s="7" t="s">
        <v>334</v>
      </c>
      <c r="B287" s="7" t="s">
        <v>335</v>
      </c>
      <c r="C287" s="37" t="s">
        <v>84</v>
      </c>
      <c r="D287" s="296">
        <v>6051</v>
      </c>
      <c r="E287" s="297">
        <v>60051</v>
      </c>
      <c r="F287" s="27" t="s">
        <v>165</v>
      </c>
      <c r="G287" s="27" t="s">
        <v>158</v>
      </c>
      <c r="H287" s="35">
        <v>320069</v>
      </c>
      <c r="I287" s="35">
        <v>102</v>
      </c>
      <c r="J287" s="9" t="s">
        <v>7</v>
      </c>
      <c r="K287" s="9" t="s">
        <v>159</v>
      </c>
      <c r="L287" s="8">
        <v>58</v>
      </c>
      <c r="M287" s="8">
        <v>5649</v>
      </c>
      <c r="N287" s="9"/>
      <c r="O287" s="8">
        <v>0</v>
      </c>
      <c r="P287" s="9"/>
      <c r="Q287" s="8">
        <v>922</v>
      </c>
      <c r="R287" s="9"/>
      <c r="S287" s="8">
        <v>4594</v>
      </c>
      <c r="T287" s="9"/>
      <c r="U287" s="8">
        <v>0</v>
      </c>
      <c r="V287" s="9"/>
      <c r="W287" s="33">
        <v>11165</v>
      </c>
      <c r="X287" s="9"/>
      <c r="Y287" s="30">
        <v>6.2</v>
      </c>
      <c r="Z287" s="9"/>
      <c r="AA287" s="30">
        <v>0</v>
      </c>
      <c r="AB287" s="9"/>
      <c r="AC287" s="30">
        <v>0.9</v>
      </c>
      <c r="AD287" s="9"/>
      <c r="AE287" s="30">
        <v>5.2</v>
      </c>
      <c r="AF287" s="9"/>
      <c r="AG287" s="19">
        <v>0</v>
      </c>
      <c r="AI287" s="32">
        <v>12.3</v>
      </c>
      <c r="AK287" s="7" t="str">
        <f t="shared" si="4"/>
        <v>No</v>
      </c>
    </row>
    <row r="288" spans="1:37">
      <c r="A288" s="7" t="s">
        <v>334</v>
      </c>
      <c r="B288" s="7" t="s">
        <v>335</v>
      </c>
      <c r="C288" s="37" t="s">
        <v>84</v>
      </c>
      <c r="D288" s="296">
        <v>6051</v>
      </c>
      <c r="E288" s="297">
        <v>60051</v>
      </c>
      <c r="F288" s="27" t="s">
        <v>165</v>
      </c>
      <c r="G288" s="27" t="s">
        <v>158</v>
      </c>
      <c r="H288" s="35">
        <v>320069</v>
      </c>
      <c r="I288" s="35">
        <v>102</v>
      </c>
      <c r="J288" s="9" t="s">
        <v>10</v>
      </c>
      <c r="K288" s="9" t="s">
        <v>159</v>
      </c>
      <c r="L288" s="8">
        <v>1</v>
      </c>
      <c r="M288" s="8">
        <v>879</v>
      </c>
      <c r="N288" s="9"/>
      <c r="O288" s="8">
        <v>0</v>
      </c>
      <c r="P288" s="9"/>
      <c r="Q288" s="8">
        <v>0</v>
      </c>
      <c r="R288" s="9"/>
      <c r="S288" s="8">
        <v>41</v>
      </c>
      <c r="T288" s="9"/>
      <c r="U288" s="8">
        <v>0</v>
      </c>
      <c r="V288" s="9"/>
      <c r="W288" s="33">
        <v>920</v>
      </c>
      <c r="X288" s="9"/>
      <c r="Y288" s="30">
        <v>1</v>
      </c>
      <c r="Z288" s="9"/>
      <c r="AA288" s="30">
        <v>0</v>
      </c>
      <c r="AB288" s="9"/>
      <c r="AC288" s="30">
        <v>0</v>
      </c>
      <c r="AD288" s="9"/>
      <c r="AE288" s="30">
        <v>0.03</v>
      </c>
      <c r="AF288" s="9"/>
      <c r="AG288" s="19">
        <v>0</v>
      </c>
      <c r="AI288" s="32">
        <v>1.03</v>
      </c>
      <c r="AK288" s="7" t="str">
        <f t="shared" si="4"/>
        <v>No</v>
      </c>
    </row>
    <row r="289" spans="1:37">
      <c r="A289" s="7" t="s">
        <v>687</v>
      </c>
      <c r="B289" s="7" t="s">
        <v>688</v>
      </c>
      <c r="C289" s="37" t="s">
        <v>89</v>
      </c>
      <c r="D289" s="296">
        <v>21</v>
      </c>
      <c r="E289" s="297">
        <v>21</v>
      </c>
      <c r="F289" s="27" t="s">
        <v>165</v>
      </c>
      <c r="G289" s="27" t="s">
        <v>158</v>
      </c>
      <c r="H289" s="35">
        <v>114473</v>
      </c>
      <c r="I289" s="35">
        <v>101</v>
      </c>
      <c r="J289" s="9" t="s">
        <v>7</v>
      </c>
      <c r="K289" s="9" t="s">
        <v>159</v>
      </c>
      <c r="L289" s="8">
        <v>44</v>
      </c>
      <c r="M289" s="8">
        <v>0</v>
      </c>
      <c r="N289" s="9"/>
      <c r="O289" s="8">
        <v>0</v>
      </c>
      <c r="P289" s="9"/>
      <c r="Q289" s="8">
        <v>0</v>
      </c>
      <c r="R289" s="9"/>
      <c r="S289" s="8">
        <v>62</v>
      </c>
      <c r="T289" s="9"/>
      <c r="U289" s="8">
        <v>0</v>
      </c>
      <c r="V289" s="9"/>
      <c r="W289" s="33">
        <v>62</v>
      </c>
      <c r="X289" s="9"/>
      <c r="Y289" s="30">
        <v>0</v>
      </c>
      <c r="Z289" s="9"/>
      <c r="AA289" s="30">
        <v>0</v>
      </c>
      <c r="AB289" s="9"/>
      <c r="AC289" s="30">
        <v>0</v>
      </c>
      <c r="AD289" s="9"/>
      <c r="AE289" s="30">
        <v>0.05</v>
      </c>
      <c r="AF289" s="9"/>
      <c r="AG289" s="19">
        <v>0</v>
      </c>
      <c r="AI289" s="32">
        <v>0.05</v>
      </c>
      <c r="AK289" s="7" t="str">
        <f t="shared" si="4"/>
        <v>No</v>
      </c>
    </row>
    <row r="290" spans="1:37">
      <c r="A290" s="7" t="s">
        <v>687</v>
      </c>
      <c r="B290" s="7" t="s">
        <v>688</v>
      </c>
      <c r="C290" s="37" t="s">
        <v>89</v>
      </c>
      <c r="D290" s="296">
        <v>21</v>
      </c>
      <c r="E290" s="297">
        <v>21</v>
      </c>
      <c r="F290" s="27" t="s">
        <v>165</v>
      </c>
      <c r="G290" s="27" t="s">
        <v>158</v>
      </c>
      <c r="H290" s="35">
        <v>114473</v>
      </c>
      <c r="I290" s="35">
        <v>101</v>
      </c>
      <c r="J290" s="9" t="s">
        <v>10</v>
      </c>
      <c r="K290" s="9" t="s">
        <v>159</v>
      </c>
      <c r="L290" s="8">
        <v>30</v>
      </c>
      <c r="M290" s="8">
        <v>1125</v>
      </c>
      <c r="N290" s="9"/>
      <c r="O290" s="8">
        <v>0</v>
      </c>
      <c r="P290" s="9"/>
      <c r="Q290" s="8">
        <v>0</v>
      </c>
      <c r="R290" s="9"/>
      <c r="S290" s="8">
        <v>62</v>
      </c>
      <c r="T290" s="9"/>
      <c r="U290" s="8">
        <v>0</v>
      </c>
      <c r="V290" s="9"/>
      <c r="W290" s="33">
        <v>1187</v>
      </c>
      <c r="X290" s="9"/>
      <c r="Y290" s="30">
        <v>1</v>
      </c>
      <c r="Z290" s="9"/>
      <c r="AA290" s="30">
        <v>0</v>
      </c>
      <c r="AB290" s="9"/>
      <c r="AC290" s="30">
        <v>0</v>
      </c>
      <c r="AD290" s="9"/>
      <c r="AE290" s="30">
        <v>0.05</v>
      </c>
      <c r="AF290" s="9"/>
      <c r="AG290" s="19">
        <v>0</v>
      </c>
      <c r="AI290" s="32">
        <v>1.05</v>
      </c>
      <c r="AK290" s="7" t="str">
        <f t="shared" si="4"/>
        <v>No</v>
      </c>
    </row>
    <row r="291" spans="1:37">
      <c r="A291" s="7" t="s">
        <v>687</v>
      </c>
      <c r="B291" s="7" t="s">
        <v>688</v>
      </c>
      <c r="C291" s="37" t="s">
        <v>89</v>
      </c>
      <c r="D291" s="296">
        <v>21</v>
      </c>
      <c r="E291" s="297">
        <v>21</v>
      </c>
      <c r="F291" s="27" t="s">
        <v>165</v>
      </c>
      <c r="G291" s="27" t="s">
        <v>158</v>
      </c>
      <c r="H291" s="35">
        <v>114473</v>
      </c>
      <c r="I291" s="35">
        <v>101</v>
      </c>
      <c r="J291" s="9" t="s">
        <v>8</v>
      </c>
      <c r="K291" s="9" t="s">
        <v>159</v>
      </c>
      <c r="L291" s="8">
        <v>25</v>
      </c>
      <c r="M291" s="8">
        <v>1114</v>
      </c>
      <c r="N291" s="9"/>
      <c r="O291" s="8">
        <v>0</v>
      </c>
      <c r="P291" s="9"/>
      <c r="Q291" s="8">
        <v>0</v>
      </c>
      <c r="R291" s="9"/>
      <c r="S291" s="8">
        <v>0</v>
      </c>
      <c r="T291" s="9"/>
      <c r="U291" s="8">
        <v>0</v>
      </c>
      <c r="V291" s="9"/>
      <c r="W291" s="33">
        <v>1114</v>
      </c>
      <c r="X291" s="9"/>
      <c r="Y291" s="30">
        <v>0.9</v>
      </c>
      <c r="Z291" s="9"/>
      <c r="AA291" s="30">
        <v>0</v>
      </c>
      <c r="AB291" s="9"/>
      <c r="AC291" s="30">
        <v>0</v>
      </c>
      <c r="AD291" s="9"/>
      <c r="AE291" s="30">
        <v>0</v>
      </c>
      <c r="AF291" s="9"/>
      <c r="AG291" s="19">
        <v>0</v>
      </c>
      <c r="AI291" s="32">
        <v>0.9</v>
      </c>
      <c r="AK291" s="7" t="str">
        <f t="shared" si="4"/>
        <v>No</v>
      </c>
    </row>
    <row r="292" spans="1:37">
      <c r="A292" s="7" t="s">
        <v>221</v>
      </c>
      <c r="B292" s="7" t="s">
        <v>222</v>
      </c>
      <c r="C292" s="37" t="s">
        <v>9</v>
      </c>
      <c r="D292" s="296">
        <v>4042</v>
      </c>
      <c r="E292" s="297">
        <v>40042</v>
      </c>
      <c r="F292" s="27" t="s">
        <v>165</v>
      </c>
      <c r="G292" s="27" t="s">
        <v>158</v>
      </c>
      <c r="H292" s="35">
        <v>749495</v>
      </c>
      <c r="I292" s="35">
        <v>100</v>
      </c>
      <c r="J292" s="9" t="s">
        <v>7</v>
      </c>
      <c r="K292" s="9" t="s">
        <v>159</v>
      </c>
      <c r="L292" s="8">
        <v>70</v>
      </c>
      <c r="M292" s="8">
        <v>2212</v>
      </c>
      <c r="N292" s="9"/>
      <c r="O292" s="8">
        <v>0</v>
      </c>
      <c r="P292" s="9"/>
      <c r="Q292" s="8">
        <v>0</v>
      </c>
      <c r="R292" s="9"/>
      <c r="S292" s="8">
        <v>0</v>
      </c>
      <c r="T292" s="9"/>
      <c r="U292" s="8">
        <v>0</v>
      </c>
      <c r="V292" s="9"/>
      <c r="W292" s="33">
        <v>2212</v>
      </c>
      <c r="X292" s="9"/>
      <c r="Y292" s="30">
        <v>2</v>
      </c>
      <c r="Z292" s="9"/>
      <c r="AA292" s="30">
        <v>0</v>
      </c>
      <c r="AB292" s="9"/>
      <c r="AC292" s="30">
        <v>0</v>
      </c>
      <c r="AD292" s="9"/>
      <c r="AE292" s="30">
        <v>0</v>
      </c>
      <c r="AF292" s="9"/>
      <c r="AG292" s="19">
        <v>0</v>
      </c>
      <c r="AI292" s="32">
        <v>2</v>
      </c>
      <c r="AK292" s="7" t="str">
        <f t="shared" si="4"/>
        <v>No</v>
      </c>
    </row>
    <row r="293" spans="1:37">
      <c r="A293" s="7" t="s">
        <v>221</v>
      </c>
      <c r="B293" s="7" t="s">
        <v>222</v>
      </c>
      <c r="C293" s="37" t="s">
        <v>9</v>
      </c>
      <c r="D293" s="296">
        <v>4042</v>
      </c>
      <c r="E293" s="297">
        <v>40042</v>
      </c>
      <c r="F293" s="27" t="s">
        <v>165</v>
      </c>
      <c r="G293" s="27" t="s">
        <v>158</v>
      </c>
      <c r="H293" s="35">
        <v>749495</v>
      </c>
      <c r="I293" s="35">
        <v>100</v>
      </c>
      <c r="J293" s="9" t="s">
        <v>10</v>
      </c>
      <c r="K293" s="9" t="s">
        <v>159</v>
      </c>
      <c r="L293" s="8">
        <v>30</v>
      </c>
      <c r="M293" s="8">
        <v>1745</v>
      </c>
      <c r="N293" s="9"/>
      <c r="O293" s="8">
        <v>0</v>
      </c>
      <c r="P293" s="9"/>
      <c r="Q293" s="8">
        <v>0</v>
      </c>
      <c r="R293" s="9"/>
      <c r="S293" s="8">
        <v>0</v>
      </c>
      <c r="T293" s="9"/>
      <c r="U293" s="8">
        <v>0</v>
      </c>
      <c r="V293" s="9"/>
      <c r="W293" s="33">
        <v>1745</v>
      </c>
      <c r="X293" s="9"/>
      <c r="Y293" s="30">
        <v>2</v>
      </c>
      <c r="Z293" s="9"/>
      <c r="AA293" s="30">
        <v>0</v>
      </c>
      <c r="AB293" s="9"/>
      <c r="AC293" s="30">
        <v>0</v>
      </c>
      <c r="AD293" s="9"/>
      <c r="AE293" s="30">
        <v>0</v>
      </c>
      <c r="AF293" s="9"/>
      <c r="AG293" s="19">
        <v>0</v>
      </c>
      <c r="AI293" s="32">
        <v>2</v>
      </c>
      <c r="AK293" s="7" t="str">
        <f t="shared" si="4"/>
        <v>No</v>
      </c>
    </row>
    <row r="294" spans="1:37">
      <c r="A294" s="7" t="s">
        <v>1124</v>
      </c>
      <c r="B294" s="7" t="s">
        <v>285</v>
      </c>
      <c r="C294" s="37" t="s">
        <v>86</v>
      </c>
      <c r="D294" s="296">
        <v>3071</v>
      </c>
      <c r="E294" s="297">
        <v>30071</v>
      </c>
      <c r="F294" s="27" t="s">
        <v>162</v>
      </c>
      <c r="G294" s="27" t="s">
        <v>158</v>
      </c>
      <c r="H294" s="35">
        <v>4586770</v>
      </c>
      <c r="I294" s="35">
        <v>99</v>
      </c>
      <c r="J294" s="9" t="s">
        <v>7</v>
      </c>
      <c r="K294" s="9" t="s">
        <v>159</v>
      </c>
      <c r="L294" s="8">
        <v>66</v>
      </c>
      <c r="M294" s="8">
        <v>14555</v>
      </c>
      <c r="N294" s="9"/>
      <c r="O294" s="8">
        <v>2060</v>
      </c>
      <c r="P294" s="9"/>
      <c r="Q294" s="8">
        <v>0</v>
      </c>
      <c r="R294" s="9"/>
      <c r="S294" s="8">
        <v>467</v>
      </c>
      <c r="T294" s="9"/>
      <c r="U294" s="8">
        <v>0</v>
      </c>
      <c r="V294" s="9"/>
      <c r="W294" s="33">
        <v>17082</v>
      </c>
      <c r="X294" s="9"/>
      <c r="Y294" s="30">
        <v>18</v>
      </c>
      <c r="Z294" s="9"/>
      <c r="AA294" s="30">
        <v>3</v>
      </c>
      <c r="AB294" s="9"/>
      <c r="AC294" s="30">
        <v>0</v>
      </c>
      <c r="AD294" s="9"/>
      <c r="AE294" s="30">
        <v>1</v>
      </c>
      <c r="AF294" s="9"/>
      <c r="AG294" s="19">
        <v>0</v>
      </c>
      <c r="AI294" s="32">
        <v>22</v>
      </c>
      <c r="AK294" s="7" t="str">
        <f t="shared" si="4"/>
        <v>No</v>
      </c>
    </row>
    <row r="295" spans="1:37">
      <c r="A295" s="7" t="s">
        <v>330</v>
      </c>
      <c r="B295" s="7" t="s">
        <v>329</v>
      </c>
      <c r="C295" s="37" t="s">
        <v>28</v>
      </c>
      <c r="D295" s="296">
        <v>1055</v>
      </c>
      <c r="E295" s="297">
        <v>10055</v>
      </c>
      <c r="F295" s="27" t="s">
        <v>157</v>
      </c>
      <c r="G295" s="27" t="s">
        <v>158</v>
      </c>
      <c r="H295" s="35">
        <v>562839</v>
      </c>
      <c r="I295" s="35">
        <v>98</v>
      </c>
      <c r="J295" s="9" t="s">
        <v>7</v>
      </c>
      <c r="K295" s="9" t="s">
        <v>159</v>
      </c>
      <c r="L295" s="8">
        <v>98</v>
      </c>
      <c r="M295" s="8">
        <v>12142</v>
      </c>
      <c r="N295" s="9"/>
      <c r="O295" s="8">
        <v>0</v>
      </c>
      <c r="P295" s="9"/>
      <c r="Q295" s="8">
        <v>0</v>
      </c>
      <c r="R295" s="9"/>
      <c r="S295" s="8">
        <v>14183</v>
      </c>
      <c r="T295" s="9"/>
      <c r="U295" s="8">
        <v>0</v>
      </c>
      <c r="V295" s="9"/>
      <c r="W295" s="33">
        <v>26325</v>
      </c>
      <c r="X295" s="9"/>
      <c r="Y295" s="30">
        <v>8</v>
      </c>
      <c r="Z295" s="9"/>
      <c r="AA295" s="30">
        <v>0</v>
      </c>
      <c r="AB295" s="9"/>
      <c r="AC295" s="30">
        <v>0</v>
      </c>
      <c r="AD295" s="9"/>
      <c r="AE295" s="30">
        <v>16</v>
      </c>
      <c r="AF295" s="9"/>
      <c r="AG295" s="19">
        <v>0</v>
      </c>
      <c r="AI295" s="32">
        <v>24</v>
      </c>
      <c r="AK295" s="7" t="str">
        <f t="shared" si="4"/>
        <v>No</v>
      </c>
    </row>
    <row r="296" spans="1:37">
      <c r="A296" s="7" t="s">
        <v>447</v>
      </c>
      <c r="B296" s="7" t="s">
        <v>448</v>
      </c>
      <c r="C296" s="37" t="s">
        <v>32</v>
      </c>
      <c r="D296" s="296">
        <v>4028</v>
      </c>
      <c r="E296" s="297">
        <v>40028</v>
      </c>
      <c r="F296" s="27" t="s">
        <v>162</v>
      </c>
      <c r="G296" s="27" t="s">
        <v>158</v>
      </c>
      <c r="H296" s="35">
        <v>530290</v>
      </c>
      <c r="I296" s="35">
        <v>98</v>
      </c>
      <c r="J296" s="9" t="s">
        <v>7</v>
      </c>
      <c r="K296" s="9" t="s">
        <v>159</v>
      </c>
      <c r="L296" s="8">
        <v>48</v>
      </c>
      <c r="M296" s="8">
        <v>3051</v>
      </c>
      <c r="N296" s="9"/>
      <c r="O296" s="8">
        <v>0</v>
      </c>
      <c r="P296" s="9"/>
      <c r="Q296" s="8">
        <v>0</v>
      </c>
      <c r="R296" s="9"/>
      <c r="S296" s="8">
        <v>0</v>
      </c>
      <c r="T296" s="9"/>
      <c r="U296" s="8">
        <v>0</v>
      </c>
      <c r="V296" s="9"/>
      <c r="W296" s="33">
        <v>3051</v>
      </c>
      <c r="X296" s="9"/>
      <c r="Y296" s="30">
        <v>3</v>
      </c>
      <c r="Z296" s="9"/>
      <c r="AA296" s="30">
        <v>0</v>
      </c>
      <c r="AB296" s="9"/>
      <c r="AC296" s="30">
        <v>0</v>
      </c>
      <c r="AD296" s="9"/>
      <c r="AE296" s="30">
        <v>0</v>
      </c>
      <c r="AF296" s="9"/>
      <c r="AG296" s="19">
        <v>0</v>
      </c>
      <c r="AI296" s="32">
        <v>3</v>
      </c>
      <c r="AK296" s="7" t="str">
        <f t="shared" si="4"/>
        <v>No</v>
      </c>
    </row>
    <row r="297" spans="1:37">
      <c r="A297" s="7" t="s">
        <v>447</v>
      </c>
      <c r="B297" s="7" t="s">
        <v>448</v>
      </c>
      <c r="C297" s="37" t="s">
        <v>32</v>
      </c>
      <c r="D297" s="296">
        <v>4028</v>
      </c>
      <c r="E297" s="297">
        <v>40028</v>
      </c>
      <c r="F297" s="27" t="s">
        <v>162</v>
      </c>
      <c r="G297" s="27" t="s">
        <v>158</v>
      </c>
      <c r="H297" s="35">
        <v>530290</v>
      </c>
      <c r="I297" s="35">
        <v>98</v>
      </c>
      <c r="J297" s="9" t="s">
        <v>10</v>
      </c>
      <c r="K297" s="9" t="s">
        <v>159</v>
      </c>
      <c r="L297" s="8">
        <v>38</v>
      </c>
      <c r="M297" s="8">
        <v>0</v>
      </c>
      <c r="N297" s="9"/>
      <c r="O297" s="8">
        <v>0</v>
      </c>
      <c r="P297" s="9"/>
      <c r="Q297" s="8">
        <v>0</v>
      </c>
      <c r="R297" s="9"/>
      <c r="S297" s="8">
        <v>0</v>
      </c>
      <c r="T297" s="9"/>
      <c r="U297" s="8">
        <v>0</v>
      </c>
      <c r="V297" s="9"/>
      <c r="W297" s="33">
        <v>0</v>
      </c>
      <c r="X297" s="9"/>
      <c r="Y297" s="30">
        <v>0</v>
      </c>
      <c r="Z297" s="9"/>
      <c r="AA297" s="30">
        <v>0</v>
      </c>
      <c r="AB297" s="9"/>
      <c r="AC297" s="30">
        <v>0</v>
      </c>
      <c r="AD297" s="9"/>
      <c r="AE297" s="30">
        <v>0</v>
      </c>
      <c r="AF297" s="9"/>
      <c r="AG297" s="19">
        <v>0</v>
      </c>
      <c r="AI297" s="32">
        <v>0</v>
      </c>
      <c r="AK297" s="7" t="str">
        <f t="shared" si="4"/>
        <v>No</v>
      </c>
    </row>
    <row r="298" spans="1:37">
      <c r="A298" s="7" t="s">
        <v>215</v>
      </c>
      <c r="B298" s="7" t="s">
        <v>216</v>
      </c>
      <c r="C298" s="37" t="s">
        <v>77</v>
      </c>
      <c r="D298" s="296">
        <v>3024</v>
      </c>
      <c r="E298" s="297">
        <v>30024</v>
      </c>
      <c r="F298" s="27" t="s">
        <v>165</v>
      </c>
      <c r="G298" s="27" t="s">
        <v>158</v>
      </c>
      <c r="H298" s="35">
        <v>266254</v>
      </c>
      <c r="I298" s="35">
        <v>97</v>
      </c>
      <c r="J298" s="9" t="s">
        <v>7</v>
      </c>
      <c r="K298" s="9" t="s">
        <v>159</v>
      </c>
      <c r="L298" s="8">
        <v>44</v>
      </c>
      <c r="M298" s="8">
        <v>3103</v>
      </c>
      <c r="N298" s="9"/>
      <c r="O298" s="8">
        <v>0</v>
      </c>
      <c r="P298" s="9"/>
      <c r="Q298" s="8">
        <v>756</v>
      </c>
      <c r="R298" s="9"/>
      <c r="S298" s="8">
        <v>1040</v>
      </c>
      <c r="T298" s="9"/>
      <c r="U298" s="8">
        <v>0</v>
      </c>
      <c r="V298" s="9"/>
      <c r="W298" s="33">
        <v>4899</v>
      </c>
      <c r="X298" s="9"/>
      <c r="Y298" s="30">
        <v>3</v>
      </c>
      <c r="Z298" s="9"/>
      <c r="AA298" s="30">
        <v>0</v>
      </c>
      <c r="AB298" s="9"/>
      <c r="AC298" s="30">
        <v>0.6</v>
      </c>
      <c r="AD298" s="9"/>
      <c r="AE298" s="30">
        <v>1</v>
      </c>
      <c r="AF298" s="9"/>
      <c r="AG298" s="19">
        <v>0</v>
      </c>
      <c r="AI298" s="32">
        <v>4.5999999999999996</v>
      </c>
      <c r="AK298" s="7" t="str">
        <f t="shared" si="4"/>
        <v>No</v>
      </c>
    </row>
    <row r="299" spans="1:37">
      <c r="A299" s="7" t="s">
        <v>215</v>
      </c>
      <c r="B299" s="7" t="s">
        <v>216</v>
      </c>
      <c r="C299" s="37" t="s">
        <v>77</v>
      </c>
      <c r="D299" s="296">
        <v>3024</v>
      </c>
      <c r="E299" s="297">
        <v>30024</v>
      </c>
      <c r="F299" s="27" t="s">
        <v>165</v>
      </c>
      <c r="G299" s="27" t="s">
        <v>158</v>
      </c>
      <c r="H299" s="35">
        <v>266254</v>
      </c>
      <c r="I299" s="35">
        <v>97</v>
      </c>
      <c r="J299" s="9" t="s">
        <v>10</v>
      </c>
      <c r="K299" s="9" t="s">
        <v>159</v>
      </c>
      <c r="L299" s="8">
        <v>34</v>
      </c>
      <c r="M299" s="8">
        <v>3433</v>
      </c>
      <c r="N299" s="9"/>
      <c r="O299" s="8">
        <v>0</v>
      </c>
      <c r="P299" s="9"/>
      <c r="Q299" s="8">
        <v>504</v>
      </c>
      <c r="R299" s="9"/>
      <c r="S299" s="8">
        <v>0</v>
      </c>
      <c r="T299" s="9"/>
      <c r="U299" s="8">
        <v>0</v>
      </c>
      <c r="V299" s="9"/>
      <c r="W299" s="33">
        <v>3937</v>
      </c>
      <c r="X299" s="9"/>
      <c r="Y299" s="30">
        <v>3</v>
      </c>
      <c r="Z299" s="9"/>
      <c r="AA299" s="30">
        <v>0</v>
      </c>
      <c r="AB299" s="9"/>
      <c r="AC299" s="30">
        <v>0.4</v>
      </c>
      <c r="AD299" s="9"/>
      <c r="AE299" s="30">
        <v>0</v>
      </c>
      <c r="AF299" s="9"/>
      <c r="AG299" s="19">
        <v>0</v>
      </c>
      <c r="AI299" s="32">
        <v>3.4</v>
      </c>
      <c r="AK299" s="7" t="str">
        <f t="shared" si="4"/>
        <v>No</v>
      </c>
    </row>
    <row r="300" spans="1:37">
      <c r="A300" s="7" t="s">
        <v>271</v>
      </c>
      <c r="B300" s="7" t="s">
        <v>272</v>
      </c>
      <c r="C300" s="37" t="s">
        <v>58</v>
      </c>
      <c r="D300" s="296">
        <v>4051</v>
      </c>
      <c r="E300" s="297">
        <v>40051</v>
      </c>
      <c r="F300" s="27" t="s">
        <v>162</v>
      </c>
      <c r="G300" s="27" t="s">
        <v>158</v>
      </c>
      <c r="H300" s="35">
        <v>347602</v>
      </c>
      <c r="I300" s="35">
        <v>96</v>
      </c>
      <c r="J300" s="9" t="s">
        <v>7</v>
      </c>
      <c r="K300" s="9" t="s">
        <v>159</v>
      </c>
      <c r="L300" s="8">
        <v>81</v>
      </c>
      <c r="M300" s="8">
        <v>1431</v>
      </c>
      <c r="N300" s="9"/>
      <c r="O300" s="8">
        <v>0</v>
      </c>
      <c r="P300" s="9"/>
      <c r="Q300" s="8">
        <v>1334</v>
      </c>
      <c r="R300" s="9"/>
      <c r="S300" s="8">
        <v>0</v>
      </c>
      <c r="T300" s="9"/>
      <c r="U300" s="8">
        <v>0</v>
      </c>
      <c r="V300" s="9"/>
      <c r="W300" s="33">
        <v>2765</v>
      </c>
      <c r="X300" s="9"/>
      <c r="Y300" s="30">
        <v>0.8</v>
      </c>
      <c r="Z300" s="9"/>
      <c r="AA300" s="30">
        <v>0</v>
      </c>
      <c r="AB300" s="9"/>
      <c r="AC300" s="30">
        <v>0.75</v>
      </c>
      <c r="AD300" s="9"/>
      <c r="AE300" s="30">
        <v>0</v>
      </c>
      <c r="AF300" s="9"/>
      <c r="AG300" s="19">
        <v>0</v>
      </c>
      <c r="AI300" s="32">
        <v>1.55</v>
      </c>
      <c r="AK300" s="7" t="str">
        <f t="shared" si="4"/>
        <v>No</v>
      </c>
    </row>
    <row r="301" spans="1:37">
      <c r="A301" s="7" t="s">
        <v>560</v>
      </c>
      <c r="B301" s="7" t="s">
        <v>561</v>
      </c>
      <c r="C301" s="37" t="s">
        <v>77</v>
      </c>
      <c r="D301" s="296">
        <v>3018</v>
      </c>
      <c r="E301" s="297">
        <v>30018</v>
      </c>
      <c r="F301" s="27" t="s">
        <v>165</v>
      </c>
      <c r="G301" s="27" t="s">
        <v>158</v>
      </c>
      <c r="H301" s="35">
        <v>402004</v>
      </c>
      <c r="I301" s="35">
        <v>96</v>
      </c>
      <c r="J301" s="9" t="s">
        <v>7</v>
      </c>
      <c r="K301" s="9" t="s">
        <v>159</v>
      </c>
      <c r="L301" s="8">
        <v>34</v>
      </c>
      <c r="M301" s="8">
        <v>8393</v>
      </c>
      <c r="N301" s="9"/>
      <c r="O301" s="8">
        <v>0</v>
      </c>
      <c r="P301" s="9"/>
      <c r="Q301" s="8">
        <v>0</v>
      </c>
      <c r="R301" s="9"/>
      <c r="S301" s="8">
        <v>620</v>
      </c>
      <c r="T301" s="9"/>
      <c r="U301" s="8">
        <v>0</v>
      </c>
      <c r="V301" s="9"/>
      <c r="W301" s="33">
        <v>9013</v>
      </c>
      <c r="X301" s="9"/>
      <c r="Y301" s="30">
        <v>12</v>
      </c>
      <c r="Z301" s="9"/>
      <c r="AA301" s="30">
        <v>0</v>
      </c>
      <c r="AB301" s="9"/>
      <c r="AC301" s="30">
        <v>0</v>
      </c>
      <c r="AD301" s="9"/>
      <c r="AE301" s="30">
        <v>1</v>
      </c>
      <c r="AF301" s="9"/>
      <c r="AG301" s="19">
        <v>0</v>
      </c>
      <c r="AI301" s="32">
        <v>13</v>
      </c>
      <c r="AK301" s="7" t="str">
        <f t="shared" si="4"/>
        <v>No</v>
      </c>
    </row>
    <row r="302" spans="1:37">
      <c r="A302" s="7" t="s">
        <v>271</v>
      </c>
      <c r="B302" s="7" t="s">
        <v>272</v>
      </c>
      <c r="C302" s="37" t="s">
        <v>58</v>
      </c>
      <c r="D302" s="296">
        <v>4051</v>
      </c>
      <c r="E302" s="297">
        <v>40051</v>
      </c>
      <c r="F302" s="27" t="s">
        <v>162</v>
      </c>
      <c r="G302" s="27" t="s">
        <v>158</v>
      </c>
      <c r="H302" s="35">
        <v>347602</v>
      </c>
      <c r="I302" s="35">
        <v>96</v>
      </c>
      <c r="J302" s="9" t="s">
        <v>10</v>
      </c>
      <c r="K302" s="9" t="s">
        <v>159</v>
      </c>
      <c r="L302" s="8">
        <v>15</v>
      </c>
      <c r="M302" s="8">
        <v>1556</v>
      </c>
      <c r="N302" s="9"/>
      <c r="O302" s="8">
        <v>0</v>
      </c>
      <c r="P302" s="9"/>
      <c r="Q302" s="8">
        <v>154</v>
      </c>
      <c r="R302" s="9"/>
      <c r="S302" s="8">
        <v>0</v>
      </c>
      <c r="T302" s="9"/>
      <c r="U302" s="8">
        <v>0</v>
      </c>
      <c r="V302" s="9"/>
      <c r="W302" s="33">
        <v>1710</v>
      </c>
      <c r="X302" s="9"/>
      <c r="Y302" s="30">
        <v>0.8</v>
      </c>
      <c r="Z302" s="9"/>
      <c r="AA302" s="30">
        <v>0</v>
      </c>
      <c r="AB302" s="9"/>
      <c r="AC302" s="30">
        <v>0.13</v>
      </c>
      <c r="AD302" s="9"/>
      <c r="AE302" s="30">
        <v>0</v>
      </c>
      <c r="AF302" s="9"/>
      <c r="AG302" s="19">
        <v>0</v>
      </c>
      <c r="AI302" s="32">
        <v>0.93</v>
      </c>
      <c r="AK302" s="7" t="str">
        <f t="shared" si="4"/>
        <v>No</v>
      </c>
    </row>
    <row r="303" spans="1:37">
      <c r="A303" s="7" t="s">
        <v>74</v>
      </c>
      <c r="B303" s="7" t="s">
        <v>439</v>
      </c>
      <c r="C303" s="37" t="s">
        <v>73</v>
      </c>
      <c r="D303" s="296">
        <v>5117</v>
      </c>
      <c r="E303" s="297">
        <v>50117</v>
      </c>
      <c r="F303" s="27" t="s">
        <v>165</v>
      </c>
      <c r="G303" s="27" t="s">
        <v>158</v>
      </c>
      <c r="H303" s="35">
        <v>1780673</v>
      </c>
      <c r="I303" s="35">
        <v>95</v>
      </c>
      <c r="J303" s="9" t="s">
        <v>10</v>
      </c>
      <c r="K303" s="9" t="s">
        <v>159</v>
      </c>
      <c r="L303" s="8">
        <v>72</v>
      </c>
      <c r="M303" s="8">
        <v>46037</v>
      </c>
      <c r="N303" s="9"/>
      <c r="O303" s="8">
        <v>0</v>
      </c>
      <c r="P303" s="9"/>
      <c r="Q303" s="8">
        <v>0</v>
      </c>
      <c r="R303" s="9"/>
      <c r="S303" s="8">
        <v>0</v>
      </c>
      <c r="T303" s="9"/>
      <c r="U303" s="8">
        <v>0</v>
      </c>
      <c r="V303" s="9"/>
      <c r="W303" s="33">
        <v>46037</v>
      </c>
      <c r="X303" s="9"/>
      <c r="Y303" s="30">
        <v>59</v>
      </c>
      <c r="Z303" s="9"/>
      <c r="AA303" s="30">
        <v>0</v>
      </c>
      <c r="AB303" s="9"/>
      <c r="AC303" s="30">
        <v>0</v>
      </c>
      <c r="AD303" s="9"/>
      <c r="AE303" s="30">
        <v>0</v>
      </c>
      <c r="AF303" s="9"/>
      <c r="AG303" s="19">
        <v>0</v>
      </c>
      <c r="AI303" s="32">
        <v>59</v>
      </c>
      <c r="AK303" s="7" t="str">
        <f t="shared" si="4"/>
        <v>No</v>
      </c>
    </row>
    <row r="304" spans="1:37">
      <c r="A304" s="7" t="s">
        <v>74</v>
      </c>
      <c r="B304" s="7" t="s">
        <v>439</v>
      </c>
      <c r="C304" s="37" t="s">
        <v>73</v>
      </c>
      <c r="D304" s="296">
        <v>5117</v>
      </c>
      <c r="E304" s="297">
        <v>50117</v>
      </c>
      <c r="F304" s="27" t="s">
        <v>165</v>
      </c>
      <c r="G304" s="27" t="s">
        <v>158</v>
      </c>
      <c r="H304" s="35">
        <v>1780673</v>
      </c>
      <c r="I304" s="35">
        <v>95</v>
      </c>
      <c r="J304" s="9" t="s">
        <v>18</v>
      </c>
      <c r="K304" s="9" t="s">
        <v>159</v>
      </c>
      <c r="L304" s="8">
        <v>13</v>
      </c>
      <c r="M304" s="8">
        <v>600</v>
      </c>
      <c r="N304" s="9"/>
      <c r="O304" s="8">
        <v>0</v>
      </c>
      <c r="P304" s="9"/>
      <c r="Q304" s="8">
        <v>0</v>
      </c>
      <c r="R304" s="9"/>
      <c r="S304" s="8">
        <v>0</v>
      </c>
      <c r="T304" s="9"/>
      <c r="U304" s="8">
        <v>0</v>
      </c>
      <c r="V304" s="9"/>
      <c r="W304" s="33">
        <v>600</v>
      </c>
      <c r="X304" s="9"/>
      <c r="Y304" s="30">
        <v>3</v>
      </c>
      <c r="Z304" s="9"/>
      <c r="AA304" s="30">
        <v>0</v>
      </c>
      <c r="AB304" s="9"/>
      <c r="AC304" s="30">
        <v>0</v>
      </c>
      <c r="AD304" s="9"/>
      <c r="AE304" s="30">
        <v>0</v>
      </c>
      <c r="AF304" s="9"/>
      <c r="AG304" s="19">
        <v>0</v>
      </c>
      <c r="AI304" s="32">
        <v>3</v>
      </c>
      <c r="AK304" s="7" t="str">
        <f t="shared" si="4"/>
        <v>No</v>
      </c>
    </row>
    <row r="305" spans="1:37">
      <c r="A305" s="7" t="s">
        <v>74</v>
      </c>
      <c r="B305" s="7" t="s">
        <v>439</v>
      </c>
      <c r="C305" s="37" t="s">
        <v>73</v>
      </c>
      <c r="D305" s="296">
        <v>5117</v>
      </c>
      <c r="E305" s="297">
        <v>50117</v>
      </c>
      <c r="F305" s="27" t="s">
        <v>165</v>
      </c>
      <c r="G305" s="27" t="s">
        <v>158</v>
      </c>
      <c r="H305" s="35">
        <v>1780673</v>
      </c>
      <c r="I305" s="35">
        <v>95</v>
      </c>
      <c r="J305" s="9" t="s">
        <v>7</v>
      </c>
      <c r="K305" s="9" t="s">
        <v>159</v>
      </c>
      <c r="L305" s="8">
        <v>10</v>
      </c>
      <c r="M305" s="8">
        <v>1023</v>
      </c>
      <c r="N305" s="9"/>
      <c r="O305" s="8">
        <v>0</v>
      </c>
      <c r="P305" s="9"/>
      <c r="Q305" s="8">
        <v>0</v>
      </c>
      <c r="R305" s="9"/>
      <c r="S305" s="8">
        <v>2017</v>
      </c>
      <c r="T305" s="9"/>
      <c r="U305" s="8">
        <v>0</v>
      </c>
      <c r="V305" s="9"/>
      <c r="W305" s="33">
        <v>3040</v>
      </c>
      <c r="X305" s="9"/>
      <c r="Y305" s="30">
        <v>2</v>
      </c>
      <c r="Z305" s="9"/>
      <c r="AA305" s="30">
        <v>0</v>
      </c>
      <c r="AB305" s="9"/>
      <c r="AC305" s="30">
        <v>0</v>
      </c>
      <c r="AD305" s="9"/>
      <c r="AE305" s="30">
        <v>6</v>
      </c>
      <c r="AF305" s="9"/>
      <c r="AG305" s="19">
        <v>0</v>
      </c>
      <c r="AI305" s="32">
        <v>8</v>
      </c>
      <c r="AK305" s="7" t="str">
        <f t="shared" si="4"/>
        <v>No</v>
      </c>
    </row>
    <row r="306" spans="1:37">
      <c r="A306" s="7" t="s">
        <v>489</v>
      </c>
      <c r="B306" s="7" t="s">
        <v>490</v>
      </c>
      <c r="C306" s="37" t="s">
        <v>75</v>
      </c>
      <c r="D306" s="296">
        <v>6018</v>
      </c>
      <c r="E306" s="297">
        <v>60018</v>
      </c>
      <c r="F306" s="27" t="s">
        <v>162</v>
      </c>
      <c r="G306" s="27" t="s">
        <v>158</v>
      </c>
      <c r="H306" s="35">
        <v>655479</v>
      </c>
      <c r="I306" s="35">
        <v>93</v>
      </c>
      <c r="J306" s="9" t="s">
        <v>7</v>
      </c>
      <c r="K306" s="9" t="s">
        <v>159</v>
      </c>
      <c r="L306" s="8">
        <v>53</v>
      </c>
      <c r="M306" s="8">
        <v>261</v>
      </c>
      <c r="N306" s="9"/>
      <c r="O306" s="8">
        <v>0</v>
      </c>
      <c r="P306" s="9"/>
      <c r="Q306" s="8">
        <v>0</v>
      </c>
      <c r="R306" s="9"/>
      <c r="S306" s="8">
        <v>2630</v>
      </c>
      <c r="T306" s="9"/>
      <c r="U306" s="8">
        <v>0</v>
      </c>
      <c r="V306" s="9"/>
      <c r="W306" s="33">
        <v>2891</v>
      </c>
      <c r="X306" s="9"/>
      <c r="Y306" s="30">
        <v>1</v>
      </c>
      <c r="Z306" s="9"/>
      <c r="AA306" s="30">
        <v>0</v>
      </c>
      <c r="AB306" s="9"/>
      <c r="AC306" s="30">
        <v>0</v>
      </c>
      <c r="AD306" s="9"/>
      <c r="AE306" s="30">
        <v>3</v>
      </c>
      <c r="AF306" s="9"/>
      <c r="AG306" s="19">
        <v>0</v>
      </c>
      <c r="AI306" s="32">
        <v>4</v>
      </c>
      <c r="AK306" s="7" t="str">
        <f t="shared" si="4"/>
        <v>No</v>
      </c>
    </row>
    <row r="307" spans="1:37">
      <c r="A307" s="7" t="s">
        <v>29</v>
      </c>
      <c r="B307" s="7" t="s">
        <v>527</v>
      </c>
      <c r="C307" s="37" t="s">
        <v>28</v>
      </c>
      <c r="D307" s="296">
        <v>1057</v>
      </c>
      <c r="E307" s="297">
        <v>10057</v>
      </c>
      <c r="F307" s="27" t="s">
        <v>165</v>
      </c>
      <c r="G307" s="27" t="s">
        <v>158</v>
      </c>
      <c r="H307" s="35">
        <v>923311</v>
      </c>
      <c r="I307" s="35">
        <v>92</v>
      </c>
      <c r="J307" s="9" t="s">
        <v>7</v>
      </c>
      <c r="K307" s="9" t="s">
        <v>159</v>
      </c>
      <c r="L307" s="8">
        <v>44</v>
      </c>
      <c r="M307" s="8">
        <v>26060</v>
      </c>
      <c r="N307" s="9"/>
      <c r="O307" s="8">
        <v>3282</v>
      </c>
      <c r="P307" s="9"/>
      <c r="Q307" s="8">
        <v>0</v>
      </c>
      <c r="R307" s="9"/>
      <c r="S307" s="8">
        <v>0</v>
      </c>
      <c r="T307" s="9"/>
      <c r="U307" s="8">
        <v>0</v>
      </c>
      <c r="V307" s="9"/>
      <c r="W307" s="33">
        <v>29342</v>
      </c>
      <c r="X307" s="9"/>
      <c r="Y307" s="30">
        <v>33</v>
      </c>
      <c r="Z307" s="9"/>
      <c r="AA307" s="30">
        <v>3</v>
      </c>
      <c r="AB307" s="9"/>
      <c r="AC307" s="30">
        <v>0</v>
      </c>
      <c r="AD307" s="9"/>
      <c r="AE307" s="30">
        <v>0</v>
      </c>
      <c r="AF307" s="9"/>
      <c r="AG307" s="19">
        <v>0</v>
      </c>
      <c r="AI307" s="32">
        <v>36</v>
      </c>
      <c r="AK307" s="7" t="str">
        <f t="shared" si="4"/>
        <v>No</v>
      </c>
    </row>
    <row r="308" spans="1:37">
      <c r="A308" s="7" t="s">
        <v>29</v>
      </c>
      <c r="B308" s="7" t="s">
        <v>527</v>
      </c>
      <c r="C308" s="37" t="s">
        <v>28</v>
      </c>
      <c r="D308" s="296">
        <v>1057</v>
      </c>
      <c r="E308" s="297">
        <v>10057</v>
      </c>
      <c r="F308" s="27" t="s">
        <v>165</v>
      </c>
      <c r="G308" s="27" t="s">
        <v>158</v>
      </c>
      <c r="H308" s="35">
        <v>923311</v>
      </c>
      <c r="I308" s="35">
        <v>92</v>
      </c>
      <c r="J308" s="9" t="s">
        <v>10</v>
      </c>
      <c r="K308" s="9" t="s">
        <v>159</v>
      </c>
      <c r="L308" s="8">
        <v>20</v>
      </c>
      <c r="M308" s="8">
        <v>6238</v>
      </c>
      <c r="N308" s="9"/>
      <c r="O308" s="8">
        <v>883</v>
      </c>
      <c r="P308" s="9"/>
      <c r="Q308" s="8">
        <v>0</v>
      </c>
      <c r="R308" s="9"/>
      <c r="S308" s="8">
        <v>0</v>
      </c>
      <c r="T308" s="9"/>
      <c r="U308" s="8">
        <v>0</v>
      </c>
      <c r="V308" s="9"/>
      <c r="W308" s="33">
        <v>7121</v>
      </c>
      <c r="X308" s="9"/>
      <c r="Y308" s="30">
        <v>7.5</v>
      </c>
      <c r="Z308" s="9"/>
      <c r="AA308" s="30">
        <v>1</v>
      </c>
      <c r="AB308" s="9"/>
      <c r="AC308" s="30">
        <v>0</v>
      </c>
      <c r="AD308" s="9"/>
      <c r="AE308" s="30">
        <v>0</v>
      </c>
      <c r="AF308" s="9"/>
      <c r="AG308" s="19">
        <v>0</v>
      </c>
      <c r="AI308" s="32">
        <v>8.5</v>
      </c>
      <c r="AK308" s="7" t="str">
        <f t="shared" si="4"/>
        <v>No</v>
      </c>
    </row>
    <row r="309" spans="1:37">
      <c r="A309" s="7" t="s">
        <v>92</v>
      </c>
      <c r="B309" s="7" t="s">
        <v>180</v>
      </c>
      <c r="C309" s="37" t="s">
        <v>89</v>
      </c>
      <c r="D309" s="296">
        <v>44</v>
      </c>
      <c r="E309" s="297">
        <v>44</v>
      </c>
      <c r="F309" s="27" t="s">
        <v>165</v>
      </c>
      <c r="G309" s="27" t="s">
        <v>158</v>
      </c>
      <c r="H309" s="35">
        <v>62966</v>
      </c>
      <c r="I309" s="35">
        <v>90</v>
      </c>
      <c r="J309" s="9" t="s">
        <v>8</v>
      </c>
      <c r="K309" s="9" t="s">
        <v>159</v>
      </c>
      <c r="L309" s="8">
        <v>50</v>
      </c>
      <c r="M309" s="8">
        <v>0</v>
      </c>
      <c r="N309" s="9"/>
      <c r="O309" s="8">
        <v>0</v>
      </c>
      <c r="P309" s="9"/>
      <c r="Q309" s="8">
        <v>47</v>
      </c>
      <c r="R309" s="9"/>
      <c r="S309" s="8">
        <v>0</v>
      </c>
      <c r="T309" s="9"/>
      <c r="U309" s="8">
        <v>0</v>
      </c>
      <c r="V309" s="9"/>
      <c r="W309" s="33">
        <v>47</v>
      </c>
      <c r="X309" s="9"/>
      <c r="Y309" s="30">
        <v>0</v>
      </c>
      <c r="Z309" s="9"/>
      <c r="AA309" s="30">
        <v>0</v>
      </c>
      <c r="AB309" s="9"/>
      <c r="AC309" s="30">
        <v>0.1</v>
      </c>
      <c r="AD309" s="9"/>
      <c r="AE309" s="30">
        <v>0</v>
      </c>
      <c r="AF309" s="9"/>
      <c r="AG309" s="19">
        <v>0</v>
      </c>
      <c r="AI309" s="32">
        <v>0.1</v>
      </c>
      <c r="AK309" s="7" t="str">
        <f t="shared" si="4"/>
        <v>No</v>
      </c>
    </row>
    <row r="310" spans="1:37">
      <c r="A310" s="7" t="s">
        <v>92</v>
      </c>
      <c r="B310" s="7" t="s">
        <v>180</v>
      </c>
      <c r="C310" s="37" t="s">
        <v>89</v>
      </c>
      <c r="D310" s="296">
        <v>44</v>
      </c>
      <c r="E310" s="297">
        <v>44</v>
      </c>
      <c r="F310" s="27" t="s">
        <v>165</v>
      </c>
      <c r="G310" s="27" t="s">
        <v>158</v>
      </c>
      <c r="H310" s="35">
        <v>62966</v>
      </c>
      <c r="I310" s="35">
        <v>90</v>
      </c>
      <c r="J310" s="9" t="s">
        <v>10</v>
      </c>
      <c r="K310" s="9" t="s">
        <v>159</v>
      </c>
      <c r="L310" s="8">
        <v>20</v>
      </c>
      <c r="M310" s="8">
        <v>17561</v>
      </c>
      <c r="N310" s="9"/>
      <c r="O310" s="8">
        <v>0</v>
      </c>
      <c r="P310" s="9"/>
      <c r="Q310" s="8">
        <v>212</v>
      </c>
      <c r="R310" s="9"/>
      <c r="S310" s="8">
        <v>0</v>
      </c>
      <c r="T310" s="9"/>
      <c r="U310" s="8">
        <v>0</v>
      </c>
      <c r="V310" s="9"/>
      <c r="W310" s="33">
        <v>17773</v>
      </c>
      <c r="X310" s="9"/>
      <c r="Y310" s="30">
        <v>11.75</v>
      </c>
      <c r="Z310" s="9"/>
      <c r="AA310" s="30">
        <v>0</v>
      </c>
      <c r="AB310" s="9"/>
      <c r="AC310" s="30">
        <v>0.45</v>
      </c>
      <c r="AD310" s="9"/>
      <c r="AE310" s="30">
        <v>0</v>
      </c>
      <c r="AF310" s="9"/>
      <c r="AG310" s="19">
        <v>0</v>
      </c>
      <c r="AI310" s="32">
        <v>12.2</v>
      </c>
      <c r="AK310" s="7" t="str">
        <f t="shared" si="4"/>
        <v>No</v>
      </c>
    </row>
    <row r="311" spans="1:37">
      <c r="A311" s="7" t="s">
        <v>92</v>
      </c>
      <c r="B311" s="7" t="s">
        <v>180</v>
      </c>
      <c r="C311" s="37" t="s">
        <v>89</v>
      </c>
      <c r="D311" s="296">
        <v>44</v>
      </c>
      <c r="E311" s="297">
        <v>44</v>
      </c>
      <c r="F311" s="27" t="s">
        <v>165</v>
      </c>
      <c r="G311" s="27" t="s">
        <v>158</v>
      </c>
      <c r="H311" s="35">
        <v>62966</v>
      </c>
      <c r="I311" s="35">
        <v>90</v>
      </c>
      <c r="J311" s="9" t="s">
        <v>7</v>
      </c>
      <c r="K311" s="9" t="s">
        <v>159</v>
      </c>
      <c r="L311" s="8">
        <v>15</v>
      </c>
      <c r="M311" s="8">
        <v>28889</v>
      </c>
      <c r="N311" s="9"/>
      <c r="O311" s="8">
        <v>0</v>
      </c>
      <c r="P311" s="9"/>
      <c r="Q311" s="8">
        <v>178</v>
      </c>
      <c r="R311" s="9"/>
      <c r="S311" s="8">
        <v>0</v>
      </c>
      <c r="T311" s="9"/>
      <c r="U311" s="8">
        <v>0</v>
      </c>
      <c r="V311" s="9"/>
      <c r="W311" s="33">
        <v>29067</v>
      </c>
      <c r="X311" s="9"/>
      <c r="Y311" s="30">
        <v>19.649999999999999</v>
      </c>
      <c r="Z311" s="9"/>
      <c r="AA311" s="30">
        <v>0</v>
      </c>
      <c r="AB311" s="9"/>
      <c r="AC311" s="30">
        <v>0.38</v>
      </c>
      <c r="AD311" s="9"/>
      <c r="AE311" s="30">
        <v>0</v>
      </c>
      <c r="AF311" s="9"/>
      <c r="AG311" s="19">
        <v>0</v>
      </c>
      <c r="AI311" s="32">
        <v>20.03</v>
      </c>
      <c r="AK311" s="7" t="str">
        <f t="shared" si="4"/>
        <v>No</v>
      </c>
    </row>
    <row r="312" spans="1:37">
      <c r="A312" s="7" t="s">
        <v>92</v>
      </c>
      <c r="B312" s="7" t="s">
        <v>180</v>
      </c>
      <c r="C312" s="37" t="s">
        <v>89</v>
      </c>
      <c r="D312" s="296">
        <v>44</v>
      </c>
      <c r="E312" s="297">
        <v>44</v>
      </c>
      <c r="F312" s="27" t="s">
        <v>165</v>
      </c>
      <c r="G312" s="27" t="s">
        <v>158</v>
      </c>
      <c r="H312" s="35">
        <v>62966</v>
      </c>
      <c r="I312" s="35">
        <v>90</v>
      </c>
      <c r="J312" s="9" t="s">
        <v>18</v>
      </c>
      <c r="K312" s="9" t="s">
        <v>159</v>
      </c>
      <c r="L312" s="8">
        <v>5</v>
      </c>
      <c r="M312" s="8">
        <v>5503</v>
      </c>
      <c r="N312" s="9"/>
      <c r="O312" s="8">
        <v>0</v>
      </c>
      <c r="P312" s="9"/>
      <c r="Q312" s="8">
        <v>34</v>
      </c>
      <c r="R312" s="9"/>
      <c r="S312" s="8">
        <v>0</v>
      </c>
      <c r="T312" s="9"/>
      <c r="U312" s="8">
        <v>0</v>
      </c>
      <c r="V312" s="9"/>
      <c r="W312" s="33">
        <v>5537</v>
      </c>
      <c r="X312" s="9"/>
      <c r="Y312" s="30">
        <v>3.72</v>
      </c>
      <c r="Z312" s="9"/>
      <c r="AA312" s="30">
        <v>0</v>
      </c>
      <c r="AB312" s="9"/>
      <c r="AC312" s="30">
        <v>7.0000000000000007E-2</v>
      </c>
      <c r="AD312" s="9"/>
      <c r="AE312" s="30">
        <v>0</v>
      </c>
      <c r="AF312" s="9"/>
      <c r="AG312" s="19">
        <v>0</v>
      </c>
      <c r="AI312" s="32">
        <v>3.79</v>
      </c>
      <c r="AK312" s="7" t="str">
        <f t="shared" si="4"/>
        <v>No</v>
      </c>
    </row>
    <row r="313" spans="1:37">
      <c r="A313" s="7" t="s">
        <v>282</v>
      </c>
      <c r="B313" s="7" t="s">
        <v>283</v>
      </c>
      <c r="C313" s="37" t="s">
        <v>84</v>
      </c>
      <c r="D313" s="296">
        <v>6010</v>
      </c>
      <c r="E313" s="297">
        <v>60010</v>
      </c>
      <c r="F313" s="27" t="s">
        <v>162</v>
      </c>
      <c r="G313" s="27" t="s">
        <v>158</v>
      </c>
      <c r="H313" s="35">
        <v>237356</v>
      </c>
      <c r="I313" s="35">
        <v>89</v>
      </c>
      <c r="J313" s="9" t="s">
        <v>7</v>
      </c>
      <c r="K313" s="9" t="s">
        <v>159</v>
      </c>
      <c r="L313" s="8">
        <v>60</v>
      </c>
      <c r="M313" s="8">
        <v>56779</v>
      </c>
      <c r="N313" s="9"/>
      <c r="O313" s="8">
        <v>0</v>
      </c>
      <c r="P313" s="9"/>
      <c r="Q313" s="8">
        <v>0</v>
      </c>
      <c r="R313" s="9"/>
      <c r="S313" s="8">
        <v>0</v>
      </c>
      <c r="T313" s="9"/>
      <c r="U313" s="8">
        <v>0</v>
      </c>
      <c r="V313" s="9"/>
      <c r="W313" s="33">
        <v>56779</v>
      </c>
      <c r="X313" s="9"/>
      <c r="Y313" s="30">
        <v>56</v>
      </c>
      <c r="Z313" s="9"/>
      <c r="AA313" s="30">
        <v>0</v>
      </c>
      <c r="AB313" s="9"/>
      <c r="AC313" s="30">
        <v>0</v>
      </c>
      <c r="AD313" s="9"/>
      <c r="AE313" s="30">
        <v>0</v>
      </c>
      <c r="AF313" s="9"/>
      <c r="AG313" s="19">
        <v>0</v>
      </c>
      <c r="AI313" s="32">
        <v>56</v>
      </c>
      <c r="AK313" s="7" t="str">
        <f t="shared" si="4"/>
        <v>No</v>
      </c>
    </row>
    <row r="314" spans="1:37">
      <c r="A314" s="7" t="s">
        <v>282</v>
      </c>
      <c r="B314" s="7" t="s">
        <v>283</v>
      </c>
      <c r="C314" s="37" t="s">
        <v>84</v>
      </c>
      <c r="D314" s="296">
        <v>6010</v>
      </c>
      <c r="E314" s="297">
        <v>60010</v>
      </c>
      <c r="F314" s="27" t="s">
        <v>162</v>
      </c>
      <c r="G314" s="27" t="s">
        <v>158</v>
      </c>
      <c r="H314" s="35">
        <v>237356</v>
      </c>
      <c r="I314" s="35">
        <v>89</v>
      </c>
      <c r="J314" s="9" t="s">
        <v>10</v>
      </c>
      <c r="K314" s="9" t="s">
        <v>159</v>
      </c>
      <c r="L314" s="8">
        <v>29</v>
      </c>
      <c r="M314" s="8">
        <v>0</v>
      </c>
      <c r="N314" s="9"/>
      <c r="O314" s="8">
        <v>0</v>
      </c>
      <c r="P314" s="9"/>
      <c r="Q314" s="8">
        <v>0</v>
      </c>
      <c r="R314" s="9"/>
      <c r="S314" s="8">
        <v>0</v>
      </c>
      <c r="T314" s="9"/>
      <c r="U314" s="8">
        <v>0</v>
      </c>
      <c r="V314" s="9"/>
      <c r="W314" s="33">
        <v>0</v>
      </c>
      <c r="X314" s="9"/>
      <c r="Y314" s="30">
        <v>0</v>
      </c>
      <c r="Z314" s="9"/>
      <c r="AA314" s="30">
        <v>0</v>
      </c>
      <c r="AB314" s="9"/>
      <c r="AC314" s="30">
        <v>0</v>
      </c>
      <c r="AD314" s="9"/>
      <c r="AE314" s="30">
        <v>0</v>
      </c>
      <c r="AF314" s="9"/>
      <c r="AG314" s="19">
        <v>0</v>
      </c>
      <c r="AI314" s="32">
        <v>0</v>
      </c>
      <c r="AK314" s="7" t="str">
        <f t="shared" si="4"/>
        <v>No</v>
      </c>
    </row>
    <row r="315" spans="1:37">
      <c r="A315" s="7" t="s">
        <v>544</v>
      </c>
      <c r="B315" s="7" t="s">
        <v>545</v>
      </c>
      <c r="C315" s="37" t="s">
        <v>32</v>
      </c>
      <c r="D315" s="296">
        <v>4074</v>
      </c>
      <c r="E315" s="297">
        <v>40074</v>
      </c>
      <c r="F315" s="27" t="s">
        <v>162</v>
      </c>
      <c r="G315" s="27" t="s">
        <v>158</v>
      </c>
      <c r="H315" s="35">
        <v>2441770</v>
      </c>
      <c r="I315" s="35">
        <v>89</v>
      </c>
      <c r="J315" s="9" t="s">
        <v>7</v>
      </c>
      <c r="K315" s="9" t="s">
        <v>159</v>
      </c>
      <c r="L315" s="8">
        <v>21</v>
      </c>
      <c r="M315" s="8">
        <v>0</v>
      </c>
      <c r="N315" s="9"/>
      <c r="O315" s="8">
        <v>0</v>
      </c>
      <c r="P315" s="9"/>
      <c r="Q315" s="8">
        <v>0</v>
      </c>
      <c r="R315" s="9"/>
      <c r="S315" s="8">
        <v>0</v>
      </c>
      <c r="T315" s="9"/>
      <c r="U315" s="8">
        <v>0</v>
      </c>
      <c r="V315" s="9"/>
      <c r="W315" s="33">
        <v>0</v>
      </c>
      <c r="X315" s="9"/>
      <c r="Y315" s="30">
        <v>0</v>
      </c>
      <c r="Z315" s="9"/>
      <c r="AA315" s="30">
        <v>0</v>
      </c>
      <c r="AB315" s="9"/>
      <c r="AC315" s="30">
        <v>0</v>
      </c>
      <c r="AD315" s="9"/>
      <c r="AE315" s="30">
        <v>0</v>
      </c>
      <c r="AF315" s="9"/>
      <c r="AG315" s="19">
        <v>0</v>
      </c>
      <c r="AI315" s="32">
        <v>0</v>
      </c>
      <c r="AK315" s="7" t="str">
        <f t="shared" si="4"/>
        <v>No</v>
      </c>
    </row>
    <row r="316" spans="1:37">
      <c r="A316" s="7" t="s">
        <v>544</v>
      </c>
      <c r="B316" s="7" t="s">
        <v>545</v>
      </c>
      <c r="C316" s="37" t="s">
        <v>32</v>
      </c>
      <c r="D316" s="296">
        <v>4074</v>
      </c>
      <c r="E316" s="297">
        <v>40074</v>
      </c>
      <c r="F316" s="27" t="s">
        <v>162</v>
      </c>
      <c r="G316" s="27" t="s">
        <v>158</v>
      </c>
      <c r="H316" s="35">
        <v>2441770</v>
      </c>
      <c r="I316" s="35">
        <v>89</v>
      </c>
      <c r="J316" s="9" t="s">
        <v>10</v>
      </c>
      <c r="K316" s="9" t="s">
        <v>159</v>
      </c>
      <c r="L316" s="8">
        <v>11</v>
      </c>
      <c r="M316" s="8">
        <v>0</v>
      </c>
      <c r="N316" s="9"/>
      <c r="O316" s="8">
        <v>0</v>
      </c>
      <c r="P316" s="9"/>
      <c r="Q316" s="8">
        <v>0</v>
      </c>
      <c r="R316" s="9"/>
      <c r="S316" s="8">
        <v>0</v>
      </c>
      <c r="T316" s="9"/>
      <c r="U316" s="8">
        <v>0</v>
      </c>
      <c r="V316" s="9"/>
      <c r="W316" s="33">
        <v>0</v>
      </c>
      <c r="X316" s="9"/>
      <c r="Y316" s="30">
        <v>0</v>
      </c>
      <c r="Z316" s="9"/>
      <c r="AA316" s="30">
        <v>0</v>
      </c>
      <c r="AB316" s="9"/>
      <c r="AC316" s="30">
        <v>0</v>
      </c>
      <c r="AD316" s="9"/>
      <c r="AE316" s="30">
        <v>0</v>
      </c>
      <c r="AF316" s="9"/>
      <c r="AG316" s="19">
        <v>0</v>
      </c>
      <c r="AI316" s="32">
        <v>0</v>
      </c>
      <c r="AK316" s="7" t="str">
        <f t="shared" si="4"/>
        <v>No</v>
      </c>
    </row>
    <row r="317" spans="1:37">
      <c r="A317" s="7" t="s">
        <v>760</v>
      </c>
      <c r="B317" s="7" t="s">
        <v>632</v>
      </c>
      <c r="C317" s="37" t="s">
        <v>63</v>
      </c>
      <c r="D317" s="296">
        <v>2196</v>
      </c>
      <c r="E317" s="297">
        <v>20196</v>
      </c>
      <c r="F317" s="27" t="s">
        <v>162</v>
      </c>
      <c r="G317" s="27" t="s">
        <v>158</v>
      </c>
      <c r="H317" s="35">
        <v>18351295</v>
      </c>
      <c r="I317" s="35">
        <v>88</v>
      </c>
      <c r="J317" s="9" t="s">
        <v>10</v>
      </c>
      <c r="K317" s="9" t="s">
        <v>159</v>
      </c>
      <c r="L317" s="8">
        <v>75</v>
      </c>
      <c r="M317" s="8">
        <v>0</v>
      </c>
      <c r="N317" s="9"/>
      <c r="O317" s="8">
        <v>0</v>
      </c>
      <c r="P317" s="9"/>
      <c r="Q317" s="8">
        <v>0</v>
      </c>
      <c r="R317" s="9"/>
      <c r="S317" s="8">
        <v>0</v>
      </c>
      <c r="T317" s="9"/>
      <c r="U317" s="8">
        <v>0</v>
      </c>
      <c r="V317" s="9"/>
      <c r="W317" s="33">
        <v>0</v>
      </c>
      <c r="X317" s="9"/>
      <c r="Y317" s="30">
        <v>0</v>
      </c>
      <c r="Z317" s="9"/>
      <c r="AA317" s="30">
        <v>0</v>
      </c>
      <c r="AB317" s="9"/>
      <c r="AC317" s="30">
        <v>0</v>
      </c>
      <c r="AD317" s="9"/>
      <c r="AE317" s="30">
        <v>0</v>
      </c>
      <c r="AF317" s="9"/>
      <c r="AG317" s="19">
        <v>0</v>
      </c>
      <c r="AI317" s="32">
        <v>0</v>
      </c>
      <c r="AK317" s="7" t="str">
        <f t="shared" si="4"/>
        <v>No</v>
      </c>
    </row>
    <row r="318" spans="1:37">
      <c r="A318" s="7" t="s">
        <v>635</v>
      </c>
      <c r="B318" s="7" t="s">
        <v>636</v>
      </c>
      <c r="C318" s="37" t="s">
        <v>17</v>
      </c>
      <c r="D318" s="296">
        <v>9079</v>
      </c>
      <c r="E318" s="297">
        <v>90079</v>
      </c>
      <c r="F318" s="27" t="s">
        <v>165</v>
      </c>
      <c r="G318" s="27" t="s">
        <v>158</v>
      </c>
      <c r="H318" s="35">
        <v>345580</v>
      </c>
      <c r="I318" s="35">
        <v>88</v>
      </c>
      <c r="J318" s="9" t="s">
        <v>7</v>
      </c>
      <c r="K318" s="9" t="s">
        <v>159</v>
      </c>
      <c r="L318" s="8">
        <v>57</v>
      </c>
      <c r="M318" s="8">
        <v>23247</v>
      </c>
      <c r="N318" s="9"/>
      <c r="O318" s="8">
        <v>0</v>
      </c>
      <c r="P318" s="9"/>
      <c r="Q318" s="8">
        <v>0</v>
      </c>
      <c r="R318" s="9"/>
      <c r="S318" s="8">
        <v>2769</v>
      </c>
      <c r="T318" s="9"/>
      <c r="U318" s="8">
        <v>0</v>
      </c>
      <c r="V318" s="9"/>
      <c r="W318" s="33">
        <v>26016</v>
      </c>
      <c r="X318" s="9"/>
      <c r="Y318" s="30">
        <v>16</v>
      </c>
      <c r="Z318" s="9"/>
      <c r="AA318" s="30">
        <v>0</v>
      </c>
      <c r="AB318" s="9"/>
      <c r="AC318" s="30">
        <v>0</v>
      </c>
      <c r="AD318" s="9"/>
      <c r="AE318" s="30">
        <v>6.27</v>
      </c>
      <c r="AF318" s="9"/>
      <c r="AG318" s="19">
        <v>0</v>
      </c>
      <c r="AI318" s="32">
        <v>22.27</v>
      </c>
      <c r="AK318" s="7" t="str">
        <f t="shared" si="4"/>
        <v>No</v>
      </c>
    </row>
    <row r="319" spans="1:37">
      <c r="A319" s="7" t="s">
        <v>635</v>
      </c>
      <c r="B319" s="7" t="s">
        <v>636</v>
      </c>
      <c r="C319" s="37" t="s">
        <v>17</v>
      </c>
      <c r="D319" s="296">
        <v>9079</v>
      </c>
      <c r="E319" s="297">
        <v>90079</v>
      </c>
      <c r="F319" s="27" t="s">
        <v>165</v>
      </c>
      <c r="G319" s="27" t="s">
        <v>158</v>
      </c>
      <c r="H319" s="35">
        <v>345580</v>
      </c>
      <c r="I319" s="35">
        <v>88</v>
      </c>
      <c r="J319" s="9" t="s">
        <v>10</v>
      </c>
      <c r="K319" s="9" t="s">
        <v>159</v>
      </c>
      <c r="L319" s="8">
        <v>31</v>
      </c>
      <c r="M319" s="8">
        <v>12875</v>
      </c>
      <c r="N319" s="9"/>
      <c r="O319" s="8">
        <v>0</v>
      </c>
      <c r="P319" s="9"/>
      <c r="Q319" s="8">
        <v>0</v>
      </c>
      <c r="R319" s="9"/>
      <c r="S319" s="8">
        <v>319</v>
      </c>
      <c r="T319" s="9"/>
      <c r="U319" s="8">
        <v>0</v>
      </c>
      <c r="V319" s="9"/>
      <c r="W319" s="33">
        <v>13194</v>
      </c>
      <c r="X319" s="9"/>
      <c r="Y319" s="30">
        <v>17</v>
      </c>
      <c r="Z319" s="9"/>
      <c r="AA319" s="30">
        <v>0</v>
      </c>
      <c r="AB319" s="9"/>
      <c r="AC319" s="30">
        <v>0</v>
      </c>
      <c r="AD319" s="9"/>
      <c r="AE319" s="30">
        <v>0.43</v>
      </c>
      <c r="AF319" s="9"/>
      <c r="AG319" s="19">
        <v>0</v>
      </c>
      <c r="AI319" s="32">
        <v>17.43</v>
      </c>
      <c r="AK319" s="7" t="str">
        <f t="shared" si="4"/>
        <v>No</v>
      </c>
    </row>
    <row r="320" spans="1:37">
      <c r="A320" s="7" t="s">
        <v>760</v>
      </c>
      <c r="B320" s="7" t="s">
        <v>632</v>
      </c>
      <c r="C320" s="37" t="s">
        <v>63</v>
      </c>
      <c r="D320" s="296">
        <v>2196</v>
      </c>
      <c r="E320" s="297">
        <v>20196</v>
      </c>
      <c r="F320" s="27" t="s">
        <v>162</v>
      </c>
      <c r="G320" s="27" t="s">
        <v>158</v>
      </c>
      <c r="H320" s="35">
        <v>18351295</v>
      </c>
      <c r="I320" s="35">
        <v>88</v>
      </c>
      <c r="J320" s="9" t="s">
        <v>7</v>
      </c>
      <c r="K320" s="9" t="s">
        <v>159</v>
      </c>
      <c r="L320" s="8">
        <v>13</v>
      </c>
      <c r="M320" s="8">
        <v>0</v>
      </c>
      <c r="N320" s="9"/>
      <c r="O320" s="8">
        <v>0</v>
      </c>
      <c r="P320" s="9"/>
      <c r="Q320" s="8">
        <v>0</v>
      </c>
      <c r="R320" s="9"/>
      <c r="S320" s="8">
        <v>0</v>
      </c>
      <c r="T320" s="9"/>
      <c r="U320" s="8">
        <v>0</v>
      </c>
      <c r="V320" s="9"/>
      <c r="W320" s="33">
        <v>0</v>
      </c>
      <c r="X320" s="9"/>
      <c r="Y320" s="30">
        <v>0</v>
      </c>
      <c r="Z320" s="9"/>
      <c r="AA320" s="30">
        <v>0</v>
      </c>
      <c r="AB320" s="9"/>
      <c r="AC320" s="30">
        <v>0</v>
      </c>
      <c r="AD320" s="9"/>
      <c r="AE320" s="30">
        <v>0</v>
      </c>
      <c r="AF320" s="9"/>
      <c r="AG320" s="19">
        <v>0</v>
      </c>
      <c r="AI320" s="32">
        <v>0</v>
      </c>
      <c r="AK320" s="7" t="str">
        <f t="shared" si="4"/>
        <v>No</v>
      </c>
    </row>
    <row r="321" spans="1:37">
      <c r="A321" s="7" t="s">
        <v>589</v>
      </c>
      <c r="B321" s="7" t="s">
        <v>590</v>
      </c>
      <c r="C321" s="37" t="s">
        <v>17</v>
      </c>
      <c r="D321" s="296">
        <v>9020</v>
      </c>
      <c r="E321" s="297">
        <v>90020</v>
      </c>
      <c r="F321" s="27" t="s">
        <v>165</v>
      </c>
      <c r="G321" s="27" t="s">
        <v>158</v>
      </c>
      <c r="H321" s="35">
        <v>195861</v>
      </c>
      <c r="I321" s="35">
        <v>87</v>
      </c>
      <c r="J321" s="9" t="s">
        <v>7</v>
      </c>
      <c r="K321" s="9" t="s">
        <v>159</v>
      </c>
      <c r="L321" s="8">
        <v>87</v>
      </c>
      <c r="M321" s="8">
        <v>0</v>
      </c>
      <c r="N321" s="9"/>
      <c r="O321" s="8">
        <v>12019</v>
      </c>
      <c r="P321" s="9"/>
      <c r="Q321" s="8">
        <v>0</v>
      </c>
      <c r="R321" s="9"/>
      <c r="S321" s="8">
        <v>90</v>
      </c>
      <c r="T321" s="9"/>
      <c r="U321" s="8">
        <v>0</v>
      </c>
      <c r="V321" s="9"/>
      <c r="W321" s="33">
        <v>12109</v>
      </c>
      <c r="X321" s="9"/>
      <c r="Y321" s="30">
        <v>0</v>
      </c>
      <c r="Z321" s="9"/>
      <c r="AA321" s="30">
        <v>8</v>
      </c>
      <c r="AB321" s="9"/>
      <c r="AC321" s="30">
        <v>0</v>
      </c>
      <c r="AD321" s="9"/>
      <c r="AE321" s="30">
        <v>0</v>
      </c>
      <c r="AF321" s="9"/>
      <c r="AG321" s="19">
        <v>0</v>
      </c>
      <c r="AI321" s="32">
        <v>8</v>
      </c>
      <c r="AK321" s="7" t="str">
        <f t="shared" si="4"/>
        <v>No</v>
      </c>
    </row>
    <row r="322" spans="1:37">
      <c r="A322" s="7" t="s">
        <v>750</v>
      </c>
      <c r="B322" s="7" t="s">
        <v>634</v>
      </c>
      <c r="C322" s="37" t="s">
        <v>69</v>
      </c>
      <c r="D322" s="296">
        <v>6111</v>
      </c>
      <c r="E322" s="297">
        <v>60111</v>
      </c>
      <c r="F322" s="27" t="s">
        <v>165</v>
      </c>
      <c r="G322" s="27" t="s">
        <v>158</v>
      </c>
      <c r="H322" s="35">
        <v>741318</v>
      </c>
      <c r="I322" s="35">
        <v>87</v>
      </c>
      <c r="J322" s="9" t="s">
        <v>10</v>
      </c>
      <c r="K322" s="9" t="s">
        <v>159</v>
      </c>
      <c r="L322" s="8">
        <v>22</v>
      </c>
      <c r="M322" s="8">
        <v>954</v>
      </c>
      <c r="N322" s="9"/>
      <c r="O322" s="8">
        <v>0</v>
      </c>
      <c r="P322" s="9"/>
      <c r="Q322" s="8">
        <v>0</v>
      </c>
      <c r="R322" s="9"/>
      <c r="S322" s="8">
        <v>1012</v>
      </c>
      <c r="T322" s="9"/>
      <c r="U322" s="8">
        <v>0</v>
      </c>
      <c r="V322" s="9"/>
      <c r="W322" s="33">
        <v>1966</v>
      </c>
      <c r="X322" s="9"/>
      <c r="Y322" s="30">
        <v>1</v>
      </c>
      <c r="Z322" s="9"/>
      <c r="AA322" s="30">
        <v>0</v>
      </c>
      <c r="AB322" s="9"/>
      <c r="AC322" s="30">
        <v>0</v>
      </c>
      <c r="AD322" s="9"/>
      <c r="AE322" s="30">
        <v>1</v>
      </c>
      <c r="AF322" s="9"/>
      <c r="AG322" s="19">
        <v>0</v>
      </c>
      <c r="AI322" s="32">
        <v>2</v>
      </c>
      <c r="AK322" s="7" t="str">
        <f t="shared" ref="AK322:AK385" si="5">IF(AJ322&amp;AH322&amp;AF322&amp;AD322&amp;AB322&amp;Z322&amp;X322&amp;V322&amp;T322&amp;R322&amp;P322&amp;N322&lt;&gt;"","Yes","No")</f>
        <v>No</v>
      </c>
    </row>
    <row r="323" spans="1:37">
      <c r="A323" s="7" t="s">
        <v>750</v>
      </c>
      <c r="B323" s="7" t="s">
        <v>634</v>
      </c>
      <c r="C323" s="37" t="s">
        <v>69</v>
      </c>
      <c r="D323" s="296">
        <v>6111</v>
      </c>
      <c r="E323" s="297">
        <v>60111</v>
      </c>
      <c r="F323" s="27" t="s">
        <v>165</v>
      </c>
      <c r="G323" s="27" t="s">
        <v>158</v>
      </c>
      <c r="H323" s="35">
        <v>741318</v>
      </c>
      <c r="I323" s="35">
        <v>87</v>
      </c>
      <c r="J323" s="9" t="s">
        <v>18</v>
      </c>
      <c r="K323" s="9" t="s">
        <v>159</v>
      </c>
      <c r="L323" s="8">
        <v>2</v>
      </c>
      <c r="M323" s="8">
        <v>0</v>
      </c>
      <c r="N323" s="9"/>
      <c r="O323" s="8">
        <v>0</v>
      </c>
      <c r="P323" s="9"/>
      <c r="Q323" s="8">
        <v>0</v>
      </c>
      <c r="R323" s="9"/>
      <c r="S323" s="8">
        <v>0</v>
      </c>
      <c r="T323" s="9"/>
      <c r="U323" s="8">
        <v>0</v>
      </c>
      <c r="V323" s="9"/>
      <c r="W323" s="33">
        <v>0</v>
      </c>
      <c r="X323" s="9"/>
      <c r="Y323" s="30">
        <v>0</v>
      </c>
      <c r="Z323" s="9"/>
      <c r="AA323" s="30">
        <v>0</v>
      </c>
      <c r="AB323" s="9"/>
      <c r="AC323" s="30">
        <v>0</v>
      </c>
      <c r="AD323" s="9"/>
      <c r="AE323" s="30">
        <v>0</v>
      </c>
      <c r="AF323" s="9"/>
      <c r="AG323" s="19">
        <v>0</v>
      </c>
      <c r="AI323" s="32">
        <v>0</v>
      </c>
      <c r="AK323" s="7" t="str">
        <f t="shared" si="5"/>
        <v>No</v>
      </c>
    </row>
    <row r="324" spans="1:37">
      <c r="A324" s="7" t="s">
        <v>750</v>
      </c>
      <c r="B324" s="7" t="s">
        <v>634</v>
      </c>
      <c r="C324" s="37" t="s">
        <v>69</v>
      </c>
      <c r="D324" s="296">
        <v>6111</v>
      </c>
      <c r="E324" s="297">
        <v>60111</v>
      </c>
      <c r="F324" s="27" t="s">
        <v>165</v>
      </c>
      <c r="G324" s="27" t="s">
        <v>158</v>
      </c>
      <c r="H324" s="35">
        <v>741318</v>
      </c>
      <c r="I324" s="35">
        <v>87</v>
      </c>
      <c r="J324" s="9" t="s">
        <v>7</v>
      </c>
      <c r="K324" s="9" t="s">
        <v>159</v>
      </c>
      <c r="L324" s="8">
        <v>2</v>
      </c>
      <c r="M324" s="8">
        <v>0</v>
      </c>
      <c r="N324" s="9"/>
      <c r="O324" s="8">
        <v>0</v>
      </c>
      <c r="P324" s="9"/>
      <c r="Q324" s="8">
        <v>0</v>
      </c>
      <c r="R324" s="9"/>
      <c r="S324" s="8">
        <v>0</v>
      </c>
      <c r="T324" s="9"/>
      <c r="U324" s="8">
        <v>0</v>
      </c>
      <c r="V324" s="9"/>
      <c r="W324" s="33">
        <v>0</v>
      </c>
      <c r="X324" s="9"/>
      <c r="Y324" s="30">
        <v>0</v>
      </c>
      <c r="Z324" s="9"/>
      <c r="AA324" s="30">
        <v>0</v>
      </c>
      <c r="AB324" s="9"/>
      <c r="AC324" s="30">
        <v>0</v>
      </c>
      <c r="AD324" s="9"/>
      <c r="AE324" s="30">
        <v>0</v>
      </c>
      <c r="AF324" s="9"/>
      <c r="AG324" s="19">
        <v>0</v>
      </c>
      <c r="AI324" s="32">
        <v>0</v>
      </c>
      <c r="AK324" s="7" t="str">
        <f t="shared" si="5"/>
        <v>No</v>
      </c>
    </row>
    <row r="325" spans="1:37">
      <c r="A325" s="7" t="s">
        <v>313</v>
      </c>
      <c r="B325" s="7" t="s">
        <v>314</v>
      </c>
      <c r="C325" s="37" t="s">
        <v>32</v>
      </c>
      <c r="D325" s="296">
        <v>4036</v>
      </c>
      <c r="E325" s="297">
        <v>40036</v>
      </c>
      <c r="F325" s="27" t="s">
        <v>162</v>
      </c>
      <c r="G325" s="27" t="s">
        <v>158</v>
      </c>
      <c r="H325" s="35">
        <v>240223</v>
      </c>
      <c r="I325" s="35">
        <v>86</v>
      </c>
      <c r="J325" s="9" t="s">
        <v>7</v>
      </c>
      <c r="K325" s="9" t="s">
        <v>159</v>
      </c>
      <c r="L325" s="8">
        <v>68</v>
      </c>
      <c r="M325" s="8">
        <v>39392</v>
      </c>
      <c r="N325" s="9"/>
      <c r="O325" s="8">
        <v>7426</v>
      </c>
      <c r="P325" s="9"/>
      <c r="Q325" s="8">
        <v>0</v>
      </c>
      <c r="R325" s="9"/>
      <c r="S325" s="8">
        <v>2958</v>
      </c>
      <c r="T325" s="9" t="s">
        <v>121</v>
      </c>
      <c r="U325" s="8">
        <v>0</v>
      </c>
      <c r="V325" s="9"/>
      <c r="W325" s="33">
        <v>49776</v>
      </c>
      <c r="X325" s="9" t="s">
        <v>121</v>
      </c>
      <c r="Y325" s="30">
        <v>33</v>
      </c>
      <c r="Z325" s="9"/>
      <c r="AA325" s="30">
        <v>5</v>
      </c>
      <c r="AB325" s="9"/>
      <c r="AC325" s="30">
        <v>0</v>
      </c>
      <c r="AD325" s="9"/>
      <c r="AE325" s="30">
        <v>9</v>
      </c>
      <c r="AF325" s="9"/>
      <c r="AG325" s="19">
        <v>0</v>
      </c>
      <c r="AI325" s="32">
        <v>47</v>
      </c>
      <c r="AK325" s="7" t="str">
        <f t="shared" si="5"/>
        <v>Yes</v>
      </c>
    </row>
    <row r="326" spans="1:37">
      <c r="A326" s="7" t="s">
        <v>313</v>
      </c>
      <c r="B326" s="7" t="s">
        <v>314</v>
      </c>
      <c r="C326" s="37" t="s">
        <v>32</v>
      </c>
      <c r="D326" s="296">
        <v>4036</v>
      </c>
      <c r="E326" s="297">
        <v>40036</v>
      </c>
      <c r="F326" s="27" t="s">
        <v>162</v>
      </c>
      <c r="G326" s="27" t="s">
        <v>158</v>
      </c>
      <c r="H326" s="35">
        <v>240223</v>
      </c>
      <c r="I326" s="35">
        <v>86</v>
      </c>
      <c r="J326" s="9" t="s">
        <v>10</v>
      </c>
      <c r="K326" s="9" t="s">
        <v>159</v>
      </c>
      <c r="L326" s="8">
        <v>18</v>
      </c>
      <c r="M326" s="8">
        <v>28196</v>
      </c>
      <c r="N326" s="9"/>
      <c r="O326" s="8">
        <v>1118</v>
      </c>
      <c r="P326" s="9" t="s">
        <v>121</v>
      </c>
      <c r="Q326" s="8">
        <v>1284</v>
      </c>
      <c r="R326" s="9" t="s">
        <v>121</v>
      </c>
      <c r="S326" s="8">
        <v>1854</v>
      </c>
      <c r="T326" s="9" t="s">
        <v>121</v>
      </c>
      <c r="U326" s="8">
        <v>0</v>
      </c>
      <c r="V326" s="9"/>
      <c r="W326" s="33">
        <v>32452</v>
      </c>
      <c r="X326" s="9" t="s">
        <v>121</v>
      </c>
      <c r="Y326" s="30">
        <v>18.5</v>
      </c>
      <c r="Z326" s="9"/>
      <c r="AA326" s="30">
        <v>1</v>
      </c>
      <c r="AB326" s="9"/>
      <c r="AC326" s="30">
        <v>1</v>
      </c>
      <c r="AD326" s="9"/>
      <c r="AE326" s="30">
        <v>9</v>
      </c>
      <c r="AF326" s="9"/>
      <c r="AG326" s="19">
        <v>0</v>
      </c>
      <c r="AI326" s="32">
        <v>29.5</v>
      </c>
      <c r="AK326" s="7" t="str">
        <f t="shared" si="5"/>
        <v>Yes</v>
      </c>
    </row>
    <row r="327" spans="1:37">
      <c r="A327" s="7" t="s">
        <v>39</v>
      </c>
      <c r="B327" s="7" t="s">
        <v>176</v>
      </c>
      <c r="C327" s="37" t="s">
        <v>38</v>
      </c>
      <c r="D327" s="296">
        <v>7041</v>
      </c>
      <c r="E327" s="297">
        <v>70041</v>
      </c>
      <c r="F327" s="27" t="s">
        <v>162</v>
      </c>
      <c r="G327" s="27" t="s">
        <v>158</v>
      </c>
      <c r="H327" s="35">
        <v>60438</v>
      </c>
      <c r="I327" s="35">
        <v>84</v>
      </c>
      <c r="J327" s="9" t="s">
        <v>7</v>
      </c>
      <c r="K327" s="9" t="s">
        <v>159</v>
      </c>
      <c r="L327" s="8">
        <v>77</v>
      </c>
      <c r="M327" s="8">
        <v>151665</v>
      </c>
      <c r="N327" s="9"/>
      <c r="O327" s="8">
        <v>3444</v>
      </c>
      <c r="P327" s="9"/>
      <c r="Q327" s="8">
        <v>515</v>
      </c>
      <c r="R327" s="9"/>
      <c r="S327" s="8">
        <v>919</v>
      </c>
      <c r="T327" s="9"/>
      <c r="U327" s="8">
        <v>0</v>
      </c>
      <c r="V327" s="9"/>
      <c r="W327" s="33">
        <v>156543</v>
      </c>
      <c r="X327" s="9"/>
      <c r="Y327" s="30">
        <v>176</v>
      </c>
      <c r="Z327" s="9"/>
      <c r="AA327" s="30">
        <v>10.7</v>
      </c>
      <c r="AB327" s="9"/>
      <c r="AC327" s="30">
        <v>1</v>
      </c>
      <c r="AD327" s="9"/>
      <c r="AE327" s="30">
        <v>1</v>
      </c>
      <c r="AF327" s="9"/>
      <c r="AG327" s="19">
        <v>0</v>
      </c>
      <c r="AI327" s="32">
        <v>188.7</v>
      </c>
      <c r="AK327" s="7" t="str">
        <f t="shared" si="5"/>
        <v>No</v>
      </c>
    </row>
    <row r="328" spans="1:37">
      <c r="A328" s="7" t="s">
        <v>315</v>
      </c>
      <c r="B328" s="7" t="s">
        <v>316</v>
      </c>
      <c r="C328" s="37" t="s">
        <v>17</v>
      </c>
      <c r="D328" s="296">
        <v>9010</v>
      </c>
      <c r="E328" s="297">
        <v>90010</v>
      </c>
      <c r="F328" s="27" t="s">
        <v>162</v>
      </c>
      <c r="G328" s="27" t="s">
        <v>158</v>
      </c>
      <c r="H328" s="35">
        <v>12150996</v>
      </c>
      <c r="I328" s="35">
        <v>84</v>
      </c>
      <c r="J328" s="9" t="s">
        <v>7</v>
      </c>
      <c r="K328" s="9" t="s">
        <v>159</v>
      </c>
      <c r="L328" s="8">
        <v>48</v>
      </c>
      <c r="M328" s="8">
        <v>50868</v>
      </c>
      <c r="N328" s="9"/>
      <c r="O328" s="8">
        <v>0</v>
      </c>
      <c r="P328" s="9"/>
      <c r="Q328" s="8">
        <v>0</v>
      </c>
      <c r="R328" s="9"/>
      <c r="S328" s="8">
        <v>6882</v>
      </c>
      <c r="T328" s="9"/>
      <c r="U328" s="8">
        <v>0</v>
      </c>
      <c r="V328" s="9"/>
      <c r="W328" s="33">
        <v>57750</v>
      </c>
      <c r="X328" s="9"/>
      <c r="Y328" s="30">
        <v>24.5</v>
      </c>
      <c r="Z328" s="9"/>
      <c r="AA328" s="30">
        <v>0</v>
      </c>
      <c r="AB328" s="9"/>
      <c r="AC328" s="30">
        <v>0</v>
      </c>
      <c r="AD328" s="9"/>
      <c r="AE328" s="30">
        <v>5</v>
      </c>
      <c r="AF328" s="9"/>
      <c r="AG328" s="19">
        <v>0</v>
      </c>
      <c r="AI328" s="32">
        <v>29.5</v>
      </c>
      <c r="AK328" s="7" t="str">
        <f t="shared" si="5"/>
        <v>No</v>
      </c>
    </row>
    <row r="329" spans="1:37">
      <c r="A329" s="7" t="s">
        <v>641</v>
      </c>
      <c r="B329" s="7" t="s">
        <v>642</v>
      </c>
      <c r="C329" s="37" t="s">
        <v>28</v>
      </c>
      <c r="D329" s="296">
        <v>1049</v>
      </c>
      <c r="E329" s="297">
        <v>10049</v>
      </c>
      <c r="F329" s="27" t="s">
        <v>165</v>
      </c>
      <c r="G329" s="27" t="s">
        <v>158</v>
      </c>
      <c r="H329" s="35">
        <v>562839</v>
      </c>
      <c r="I329" s="35">
        <v>82</v>
      </c>
      <c r="J329" s="9" t="s">
        <v>10</v>
      </c>
      <c r="K329" s="9" t="s">
        <v>159</v>
      </c>
      <c r="L329" s="8">
        <v>80</v>
      </c>
      <c r="M329" s="8">
        <v>36558</v>
      </c>
      <c r="N329" s="9"/>
      <c r="O329" s="8">
        <v>0</v>
      </c>
      <c r="P329" s="9"/>
      <c r="Q329" s="8">
        <v>0</v>
      </c>
      <c r="R329" s="9"/>
      <c r="S329" s="8">
        <v>0</v>
      </c>
      <c r="T329" s="9"/>
      <c r="U329" s="8">
        <v>0</v>
      </c>
      <c r="V329" s="9"/>
      <c r="W329" s="33">
        <v>36558</v>
      </c>
      <c r="X329" s="9"/>
      <c r="Y329" s="30">
        <v>39</v>
      </c>
      <c r="Z329" s="9"/>
      <c r="AA329" s="30">
        <v>0</v>
      </c>
      <c r="AB329" s="9"/>
      <c r="AC329" s="30">
        <v>0</v>
      </c>
      <c r="AD329" s="9"/>
      <c r="AE329" s="30">
        <v>0</v>
      </c>
      <c r="AF329" s="9"/>
      <c r="AG329" s="19">
        <v>0</v>
      </c>
      <c r="AI329" s="32">
        <v>39</v>
      </c>
      <c r="AK329" s="7" t="str">
        <f t="shared" si="5"/>
        <v>No</v>
      </c>
    </row>
    <row r="330" spans="1:37">
      <c r="A330" s="7" t="s">
        <v>383</v>
      </c>
      <c r="B330" s="7" t="s">
        <v>384</v>
      </c>
      <c r="C330" s="37" t="s">
        <v>17</v>
      </c>
      <c r="D330" s="296">
        <v>9004</v>
      </c>
      <c r="E330" s="297">
        <v>90004</v>
      </c>
      <c r="F330" s="27" t="s">
        <v>165</v>
      </c>
      <c r="G330" s="27" t="s">
        <v>158</v>
      </c>
      <c r="H330" s="35">
        <v>523994</v>
      </c>
      <c r="I330" s="35">
        <v>82</v>
      </c>
      <c r="J330" s="9" t="s">
        <v>7</v>
      </c>
      <c r="K330" s="9" t="s">
        <v>159</v>
      </c>
      <c r="L330" s="8">
        <v>66</v>
      </c>
      <c r="M330" s="8">
        <v>244322</v>
      </c>
      <c r="N330" s="9"/>
      <c r="O330" s="8">
        <v>0</v>
      </c>
      <c r="P330" s="9"/>
      <c r="Q330" s="8">
        <v>0</v>
      </c>
      <c r="R330" s="9"/>
      <c r="S330" s="8">
        <v>10518</v>
      </c>
      <c r="T330" s="9"/>
      <c r="U330" s="8">
        <v>0</v>
      </c>
      <c r="V330" s="9"/>
      <c r="W330" s="33">
        <v>254840</v>
      </c>
      <c r="X330" s="9"/>
      <c r="Y330" s="30">
        <v>142.09</v>
      </c>
      <c r="Z330" s="9"/>
      <c r="AA330" s="30">
        <v>0</v>
      </c>
      <c r="AB330" s="9"/>
      <c r="AC330" s="30">
        <v>0</v>
      </c>
      <c r="AD330" s="9"/>
      <c r="AE330" s="30">
        <v>6</v>
      </c>
      <c r="AF330" s="9"/>
      <c r="AG330" s="19">
        <v>0</v>
      </c>
      <c r="AI330" s="32">
        <v>148.09</v>
      </c>
      <c r="AK330" s="7" t="str">
        <f t="shared" si="5"/>
        <v>No</v>
      </c>
    </row>
    <row r="331" spans="1:37">
      <c r="A331" s="7" t="s">
        <v>396</v>
      </c>
      <c r="B331" s="7" t="s">
        <v>397</v>
      </c>
      <c r="C331" s="37" t="s">
        <v>40</v>
      </c>
      <c r="D331" s="296">
        <v>5056</v>
      </c>
      <c r="E331" s="297">
        <v>50056</v>
      </c>
      <c r="F331" s="27" t="s">
        <v>165</v>
      </c>
      <c r="G331" s="27" t="s">
        <v>158</v>
      </c>
      <c r="H331" s="35">
        <v>266921</v>
      </c>
      <c r="I331" s="35">
        <v>82</v>
      </c>
      <c r="J331" s="9" t="s">
        <v>7</v>
      </c>
      <c r="K331" s="9" t="s">
        <v>159</v>
      </c>
      <c r="L331" s="8">
        <v>45</v>
      </c>
      <c r="M331" s="8">
        <v>12537</v>
      </c>
      <c r="N331" s="9"/>
      <c r="O331" s="8">
        <v>0</v>
      </c>
      <c r="P331" s="9"/>
      <c r="Q331" s="8">
        <v>0</v>
      </c>
      <c r="R331" s="9"/>
      <c r="S331" s="8">
        <v>0</v>
      </c>
      <c r="T331" s="9"/>
      <c r="U331" s="8">
        <v>0</v>
      </c>
      <c r="V331" s="9"/>
      <c r="W331" s="33">
        <v>12537</v>
      </c>
      <c r="X331" s="9"/>
      <c r="Y331" s="30">
        <v>22</v>
      </c>
      <c r="Z331" s="9"/>
      <c r="AA331" s="30">
        <v>0</v>
      </c>
      <c r="AB331" s="9"/>
      <c r="AC331" s="30">
        <v>0</v>
      </c>
      <c r="AD331" s="9"/>
      <c r="AE331" s="30">
        <v>0</v>
      </c>
      <c r="AF331" s="9"/>
      <c r="AG331" s="19">
        <v>0</v>
      </c>
      <c r="AI331" s="32">
        <v>22</v>
      </c>
      <c r="AK331" s="7" t="str">
        <f t="shared" si="5"/>
        <v>No</v>
      </c>
    </row>
    <row r="332" spans="1:37">
      <c r="A332" s="7" t="s">
        <v>383</v>
      </c>
      <c r="B332" s="7" t="s">
        <v>384</v>
      </c>
      <c r="C332" s="37" t="s">
        <v>17</v>
      </c>
      <c r="D332" s="296">
        <v>9004</v>
      </c>
      <c r="E332" s="297">
        <v>90004</v>
      </c>
      <c r="F332" s="27" t="s">
        <v>165</v>
      </c>
      <c r="G332" s="27" t="s">
        <v>158</v>
      </c>
      <c r="H332" s="35">
        <v>523994</v>
      </c>
      <c r="I332" s="35">
        <v>82</v>
      </c>
      <c r="J332" s="9" t="s">
        <v>10</v>
      </c>
      <c r="K332" s="9" t="s">
        <v>159</v>
      </c>
      <c r="L332" s="8">
        <v>16</v>
      </c>
      <c r="M332" s="8">
        <v>45256</v>
      </c>
      <c r="N332" s="9"/>
      <c r="O332" s="8">
        <v>0</v>
      </c>
      <c r="P332" s="9"/>
      <c r="Q332" s="8">
        <v>0</v>
      </c>
      <c r="R332" s="9"/>
      <c r="S332" s="8">
        <v>0</v>
      </c>
      <c r="T332" s="9"/>
      <c r="U332" s="8">
        <v>0</v>
      </c>
      <c r="V332" s="9"/>
      <c r="W332" s="33">
        <v>45256</v>
      </c>
      <c r="X332" s="9"/>
      <c r="Y332" s="30">
        <v>23</v>
      </c>
      <c r="Z332" s="9"/>
      <c r="AA332" s="30">
        <v>0</v>
      </c>
      <c r="AB332" s="9"/>
      <c r="AC332" s="30">
        <v>0</v>
      </c>
      <c r="AD332" s="9"/>
      <c r="AE332" s="30">
        <v>0</v>
      </c>
      <c r="AF332" s="9"/>
      <c r="AG332" s="19">
        <v>0</v>
      </c>
      <c r="AI332" s="32">
        <v>23</v>
      </c>
      <c r="AK332" s="7" t="str">
        <f t="shared" si="5"/>
        <v>No</v>
      </c>
    </row>
    <row r="333" spans="1:37">
      <c r="A333" s="7" t="s">
        <v>641</v>
      </c>
      <c r="B333" s="7" t="s">
        <v>642</v>
      </c>
      <c r="C333" s="37" t="s">
        <v>28</v>
      </c>
      <c r="D333" s="296">
        <v>1049</v>
      </c>
      <c r="E333" s="297">
        <v>10049</v>
      </c>
      <c r="F333" s="27" t="s">
        <v>165</v>
      </c>
      <c r="G333" s="27" t="s">
        <v>158</v>
      </c>
      <c r="H333" s="35">
        <v>562839</v>
      </c>
      <c r="I333" s="35">
        <v>82</v>
      </c>
      <c r="J333" s="9" t="s">
        <v>7</v>
      </c>
      <c r="K333" s="9" t="s">
        <v>159</v>
      </c>
      <c r="L333" s="8">
        <v>2</v>
      </c>
      <c r="M333" s="8">
        <v>1352</v>
      </c>
      <c r="N333" s="9"/>
      <c r="O333" s="8">
        <v>0</v>
      </c>
      <c r="P333" s="9"/>
      <c r="Q333" s="8">
        <v>0</v>
      </c>
      <c r="R333" s="9"/>
      <c r="S333" s="8">
        <v>0</v>
      </c>
      <c r="T333" s="9"/>
      <c r="U333" s="8">
        <v>0</v>
      </c>
      <c r="V333" s="9"/>
      <c r="W333" s="33">
        <v>1352</v>
      </c>
      <c r="X333" s="9"/>
      <c r="Y333" s="30">
        <v>2</v>
      </c>
      <c r="Z333" s="9"/>
      <c r="AA333" s="30">
        <v>0</v>
      </c>
      <c r="AB333" s="9"/>
      <c r="AC333" s="30">
        <v>0</v>
      </c>
      <c r="AD333" s="9"/>
      <c r="AE333" s="30">
        <v>0</v>
      </c>
      <c r="AF333" s="9"/>
      <c r="AG333" s="19">
        <v>0</v>
      </c>
      <c r="AI333" s="32">
        <v>2</v>
      </c>
      <c r="AK333" s="7" t="str">
        <f t="shared" si="5"/>
        <v>No</v>
      </c>
    </row>
    <row r="334" spans="1:37">
      <c r="A334" s="7" t="s">
        <v>122</v>
      </c>
      <c r="B334" s="7" t="s">
        <v>781</v>
      </c>
      <c r="C334" s="37" t="s">
        <v>70</v>
      </c>
      <c r="D334" s="296">
        <v>2217</v>
      </c>
      <c r="E334" s="297">
        <v>20217</v>
      </c>
      <c r="F334" s="27" t="s">
        <v>173</v>
      </c>
      <c r="G334" s="27" t="s">
        <v>158</v>
      </c>
      <c r="H334" s="35">
        <v>18351295</v>
      </c>
      <c r="I334" s="35">
        <v>80</v>
      </c>
      <c r="J334" s="9" t="s">
        <v>18</v>
      </c>
      <c r="K334" s="9" t="s">
        <v>159</v>
      </c>
      <c r="L334" s="8">
        <v>80</v>
      </c>
      <c r="M334" s="8">
        <v>93197</v>
      </c>
      <c r="N334" s="9"/>
      <c r="O334" s="8">
        <v>4890</v>
      </c>
      <c r="P334" s="9"/>
      <c r="Q334" s="8">
        <v>0</v>
      </c>
      <c r="R334" s="9"/>
      <c r="S334" s="8">
        <v>841</v>
      </c>
      <c r="T334" s="9"/>
      <c r="U334" s="8">
        <v>0</v>
      </c>
      <c r="V334" s="9"/>
      <c r="W334" s="33">
        <v>98928</v>
      </c>
      <c r="X334" s="9"/>
      <c r="Y334" s="30">
        <v>200.9</v>
      </c>
      <c r="Z334" s="9"/>
      <c r="AA334" s="30">
        <v>6.9</v>
      </c>
      <c r="AB334" s="9"/>
      <c r="AC334" s="30">
        <v>0</v>
      </c>
      <c r="AD334" s="9"/>
      <c r="AE334" s="30">
        <v>2.2999999999999998</v>
      </c>
      <c r="AF334" s="9"/>
      <c r="AG334" s="19">
        <v>0</v>
      </c>
      <c r="AI334" s="32">
        <v>210.1</v>
      </c>
      <c r="AK334" s="7" t="str">
        <f t="shared" si="5"/>
        <v>No</v>
      </c>
    </row>
    <row r="335" spans="1:37">
      <c r="A335" s="7" t="s">
        <v>277</v>
      </c>
      <c r="B335" s="7" t="s">
        <v>278</v>
      </c>
      <c r="C335" s="37" t="s">
        <v>83</v>
      </c>
      <c r="D335" s="296">
        <v>4001</v>
      </c>
      <c r="E335" s="297">
        <v>40001</v>
      </c>
      <c r="F335" s="27" t="s">
        <v>162</v>
      </c>
      <c r="G335" s="27" t="s">
        <v>158</v>
      </c>
      <c r="H335" s="35">
        <v>381112</v>
      </c>
      <c r="I335" s="35">
        <v>80</v>
      </c>
      <c r="J335" s="9" t="s">
        <v>7</v>
      </c>
      <c r="K335" s="9" t="s">
        <v>159</v>
      </c>
      <c r="L335" s="8">
        <v>60</v>
      </c>
      <c r="M335" s="8">
        <v>1448</v>
      </c>
      <c r="N335" s="9"/>
      <c r="O335" s="8">
        <v>367</v>
      </c>
      <c r="P335" s="9"/>
      <c r="Q335" s="8">
        <v>1567</v>
      </c>
      <c r="R335" s="9"/>
      <c r="S335" s="8">
        <v>0</v>
      </c>
      <c r="T335" s="9"/>
      <c r="U335" s="8">
        <v>0</v>
      </c>
      <c r="V335" s="9"/>
      <c r="W335" s="33">
        <v>3382</v>
      </c>
      <c r="X335" s="9"/>
      <c r="Y335" s="30">
        <v>1</v>
      </c>
      <c r="Z335" s="9"/>
      <c r="AA335" s="30">
        <v>0.9</v>
      </c>
      <c r="AB335" s="9"/>
      <c r="AC335" s="30">
        <v>1</v>
      </c>
      <c r="AD335" s="9"/>
      <c r="AE335" s="30">
        <v>0</v>
      </c>
      <c r="AF335" s="9"/>
      <c r="AG335" s="19">
        <v>0</v>
      </c>
      <c r="AI335" s="32">
        <v>2.9</v>
      </c>
      <c r="AK335" s="7" t="str">
        <f t="shared" si="5"/>
        <v>No</v>
      </c>
    </row>
    <row r="336" spans="1:37">
      <c r="A336" s="7" t="s">
        <v>740</v>
      </c>
      <c r="B336" s="7" t="s">
        <v>741</v>
      </c>
      <c r="C336" s="37" t="s">
        <v>58</v>
      </c>
      <c r="D336" s="296">
        <v>4173</v>
      </c>
      <c r="E336" s="297">
        <v>40173</v>
      </c>
      <c r="F336" s="27" t="s">
        <v>165</v>
      </c>
      <c r="G336" s="27" t="s">
        <v>158</v>
      </c>
      <c r="H336" s="35">
        <v>311810</v>
      </c>
      <c r="I336" s="35">
        <v>80</v>
      </c>
      <c r="J336" s="9" t="s">
        <v>8</v>
      </c>
      <c r="K336" s="9" t="s">
        <v>159</v>
      </c>
      <c r="L336" s="8">
        <v>54</v>
      </c>
      <c r="M336" s="8">
        <v>0</v>
      </c>
      <c r="N336" s="9"/>
      <c r="O336" s="8">
        <v>0</v>
      </c>
      <c r="P336" s="9"/>
      <c r="Q336" s="8">
        <v>0</v>
      </c>
      <c r="R336" s="9"/>
      <c r="S336" s="8">
        <v>61</v>
      </c>
      <c r="T336" s="9"/>
      <c r="U336" s="8">
        <v>0</v>
      </c>
      <c r="V336" s="9"/>
      <c r="W336" s="33">
        <v>61</v>
      </c>
      <c r="X336" s="9"/>
      <c r="Y336" s="30">
        <v>0</v>
      </c>
      <c r="Z336" s="9"/>
      <c r="AA336" s="30">
        <v>0</v>
      </c>
      <c r="AB336" s="9"/>
      <c r="AC336" s="30">
        <v>0</v>
      </c>
      <c r="AD336" s="9"/>
      <c r="AE336" s="30">
        <v>1</v>
      </c>
      <c r="AF336" s="9"/>
      <c r="AG336" s="19">
        <v>0</v>
      </c>
      <c r="AI336" s="32">
        <v>1</v>
      </c>
      <c r="AK336" s="7" t="str">
        <f t="shared" si="5"/>
        <v>No</v>
      </c>
    </row>
    <row r="337" spans="1:37">
      <c r="A337" s="7" t="s">
        <v>275</v>
      </c>
      <c r="B337" s="7" t="s">
        <v>276</v>
      </c>
      <c r="C337" s="37" t="s">
        <v>36</v>
      </c>
      <c r="D337" s="296">
        <v>4025</v>
      </c>
      <c r="E337" s="297">
        <v>40025</v>
      </c>
      <c r="F337" s="27" t="s">
        <v>165</v>
      </c>
      <c r="G337" s="27" t="s">
        <v>158</v>
      </c>
      <c r="H337" s="35">
        <v>260677</v>
      </c>
      <c r="I337" s="35">
        <v>80</v>
      </c>
      <c r="J337" s="9" t="s">
        <v>7</v>
      </c>
      <c r="K337" s="9" t="s">
        <v>159</v>
      </c>
      <c r="L337" s="8">
        <v>52</v>
      </c>
      <c r="M337" s="8">
        <v>11710</v>
      </c>
      <c r="N337" s="9"/>
      <c r="O337" s="8">
        <v>0</v>
      </c>
      <c r="P337" s="9"/>
      <c r="Q337" s="8">
        <v>6557</v>
      </c>
      <c r="R337" s="9"/>
      <c r="S337" s="8">
        <v>4036</v>
      </c>
      <c r="T337" s="9"/>
      <c r="U337" s="8">
        <v>0</v>
      </c>
      <c r="V337" s="9"/>
      <c r="W337" s="33">
        <v>22303</v>
      </c>
      <c r="X337" s="9"/>
      <c r="Y337" s="30">
        <v>10</v>
      </c>
      <c r="Z337" s="9"/>
      <c r="AA337" s="30">
        <v>0</v>
      </c>
      <c r="AB337" s="9"/>
      <c r="AC337" s="30">
        <v>6</v>
      </c>
      <c r="AD337" s="9"/>
      <c r="AE337" s="30">
        <v>4</v>
      </c>
      <c r="AF337" s="9"/>
      <c r="AG337" s="19">
        <v>0</v>
      </c>
      <c r="AI337" s="32">
        <v>20</v>
      </c>
      <c r="AK337" s="7" t="str">
        <f t="shared" si="5"/>
        <v>No</v>
      </c>
    </row>
    <row r="338" spans="1:37">
      <c r="A338" s="7" t="s">
        <v>275</v>
      </c>
      <c r="B338" s="7" t="s">
        <v>276</v>
      </c>
      <c r="C338" s="37" t="s">
        <v>36</v>
      </c>
      <c r="D338" s="296">
        <v>4025</v>
      </c>
      <c r="E338" s="297">
        <v>40025</v>
      </c>
      <c r="F338" s="27" t="s">
        <v>165</v>
      </c>
      <c r="G338" s="27" t="s">
        <v>158</v>
      </c>
      <c r="H338" s="35">
        <v>260677</v>
      </c>
      <c r="I338" s="35">
        <v>80</v>
      </c>
      <c r="J338" s="9" t="s">
        <v>10</v>
      </c>
      <c r="K338" s="9" t="s">
        <v>159</v>
      </c>
      <c r="L338" s="8">
        <v>20</v>
      </c>
      <c r="M338" s="8">
        <v>2347</v>
      </c>
      <c r="N338" s="9"/>
      <c r="O338" s="8">
        <v>0</v>
      </c>
      <c r="P338" s="9"/>
      <c r="Q338" s="8">
        <v>0</v>
      </c>
      <c r="R338" s="9"/>
      <c r="S338" s="8">
        <v>0</v>
      </c>
      <c r="T338" s="9"/>
      <c r="U338" s="8">
        <v>0</v>
      </c>
      <c r="V338" s="9"/>
      <c r="W338" s="33">
        <v>2347</v>
      </c>
      <c r="X338" s="9"/>
      <c r="Y338" s="30">
        <v>3</v>
      </c>
      <c r="Z338" s="9"/>
      <c r="AA338" s="30">
        <v>0</v>
      </c>
      <c r="AB338" s="9"/>
      <c r="AC338" s="30">
        <v>0</v>
      </c>
      <c r="AD338" s="9"/>
      <c r="AE338" s="30">
        <v>0</v>
      </c>
      <c r="AF338" s="9"/>
      <c r="AG338" s="19">
        <v>0</v>
      </c>
      <c r="AI338" s="32">
        <v>3</v>
      </c>
      <c r="AK338" s="7" t="str">
        <f t="shared" si="5"/>
        <v>No</v>
      </c>
    </row>
    <row r="339" spans="1:37">
      <c r="A339" s="7" t="s">
        <v>277</v>
      </c>
      <c r="B339" s="7" t="s">
        <v>278</v>
      </c>
      <c r="C339" s="37" t="s">
        <v>83</v>
      </c>
      <c r="D339" s="296">
        <v>4001</v>
      </c>
      <c r="E339" s="297">
        <v>40001</v>
      </c>
      <c r="F339" s="27" t="s">
        <v>162</v>
      </c>
      <c r="G339" s="27" t="s">
        <v>158</v>
      </c>
      <c r="H339" s="35">
        <v>381112</v>
      </c>
      <c r="I339" s="35">
        <v>80</v>
      </c>
      <c r="J339" s="9" t="s">
        <v>10</v>
      </c>
      <c r="K339" s="9" t="s">
        <v>159</v>
      </c>
      <c r="L339" s="8">
        <v>15</v>
      </c>
      <c r="M339" s="8">
        <v>29752</v>
      </c>
      <c r="N339" s="9"/>
      <c r="O339" s="8">
        <v>41</v>
      </c>
      <c r="P339" s="9"/>
      <c r="Q339" s="8">
        <v>0</v>
      </c>
      <c r="R339" s="9"/>
      <c r="S339" s="8">
        <v>0</v>
      </c>
      <c r="T339" s="9"/>
      <c r="U339" s="8">
        <v>0</v>
      </c>
      <c r="V339" s="9"/>
      <c r="W339" s="33">
        <v>29793</v>
      </c>
      <c r="X339" s="9"/>
      <c r="Y339" s="30">
        <v>26</v>
      </c>
      <c r="Z339" s="9"/>
      <c r="AA339" s="30">
        <v>0.1</v>
      </c>
      <c r="AB339" s="9"/>
      <c r="AC339" s="30">
        <v>0</v>
      </c>
      <c r="AD339" s="9"/>
      <c r="AE339" s="30">
        <v>0</v>
      </c>
      <c r="AF339" s="9"/>
      <c r="AG339" s="19">
        <v>0</v>
      </c>
      <c r="AI339" s="32">
        <v>26.1</v>
      </c>
      <c r="AK339" s="7" t="str">
        <f t="shared" si="5"/>
        <v>No</v>
      </c>
    </row>
    <row r="340" spans="1:37">
      <c r="A340" s="7" t="s">
        <v>275</v>
      </c>
      <c r="B340" s="7" t="s">
        <v>276</v>
      </c>
      <c r="C340" s="37" t="s">
        <v>36</v>
      </c>
      <c r="D340" s="296">
        <v>4025</v>
      </c>
      <c r="E340" s="297">
        <v>40025</v>
      </c>
      <c r="F340" s="27" t="s">
        <v>165</v>
      </c>
      <c r="G340" s="27" t="s">
        <v>158</v>
      </c>
      <c r="H340" s="35">
        <v>260677</v>
      </c>
      <c r="I340" s="35">
        <v>80</v>
      </c>
      <c r="J340" s="9" t="s">
        <v>19</v>
      </c>
      <c r="K340" s="9" t="s">
        <v>159</v>
      </c>
      <c r="L340" s="8">
        <v>2</v>
      </c>
      <c r="M340" s="8">
        <v>1250</v>
      </c>
      <c r="N340" s="9"/>
      <c r="O340" s="8">
        <v>0</v>
      </c>
      <c r="P340" s="9"/>
      <c r="Q340" s="8">
        <v>970</v>
      </c>
      <c r="R340" s="9"/>
      <c r="S340" s="8">
        <v>0</v>
      </c>
      <c r="T340" s="9"/>
      <c r="U340" s="8">
        <v>0</v>
      </c>
      <c r="V340" s="9"/>
      <c r="W340" s="33">
        <v>2220</v>
      </c>
      <c r="X340" s="9"/>
      <c r="Y340" s="30">
        <v>3</v>
      </c>
      <c r="Z340" s="9"/>
      <c r="AA340" s="30">
        <v>0</v>
      </c>
      <c r="AB340" s="9"/>
      <c r="AC340" s="30">
        <v>1</v>
      </c>
      <c r="AD340" s="9"/>
      <c r="AE340" s="30">
        <v>0</v>
      </c>
      <c r="AF340" s="9"/>
      <c r="AG340" s="19">
        <v>0</v>
      </c>
      <c r="AI340" s="32">
        <v>4</v>
      </c>
      <c r="AK340" s="7" t="str">
        <f t="shared" si="5"/>
        <v>No</v>
      </c>
    </row>
    <row r="341" spans="1:37">
      <c r="A341" s="7" t="s">
        <v>277</v>
      </c>
      <c r="B341" s="7" t="s">
        <v>278</v>
      </c>
      <c r="C341" s="37" t="s">
        <v>83</v>
      </c>
      <c r="D341" s="296">
        <v>4001</v>
      </c>
      <c r="E341" s="297">
        <v>40001</v>
      </c>
      <c r="F341" s="27" t="s">
        <v>162</v>
      </c>
      <c r="G341" s="27" t="s">
        <v>158</v>
      </c>
      <c r="H341" s="35">
        <v>381112</v>
      </c>
      <c r="I341" s="35">
        <v>80</v>
      </c>
      <c r="J341" s="9" t="s">
        <v>78</v>
      </c>
      <c r="K341" s="9" t="s">
        <v>159</v>
      </c>
      <c r="L341" s="8">
        <v>2</v>
      </c>
      <c r="M341" s="8">
        <v>0</v>
      </c>
      <c r="N341" s="9"/>
      <c r="O341" s="8">
        <v>0</v>
      </c>
      <c r="P341" s="9"/>
      <c r="Q341" s="8">
        <v>1819</v>
      </c>
      <c r="R341" s="9"/>
      <c r="S341" s="8">
        <v>0</v>
      </c>
      <c r="T341" s="9"/>
      <c r="U341" s="8">
        <v>0</v>
      </c>
      <c r="V341" s="9"/>
      <c r="W341" s="33">
        <v>1819</v>
      </c>
      <c r="X341" s="9"/>
      <c r="Y341" s="30">
        <v>0</v>
      </c>
      <c r="Z341" s="9"/>
      <c r="AA341" s="30">
        <v>0</v>
      </c>
      <c r="AB341" s="9"/>
      <c r="AC341" s="30">
        <v>1</v>
      </c>
      <c r="AD341" s="9"/>
      <c r="AE341" s="30">
        <v>0</v>
      </c>
      <c r="AF341" s="9"/>
      <c r="AG341" s="19">
        <v>0</v>
      </c>
      <c r="AI341" s="32">
        <v>1</v>
      </c>
      <c r="AK341" s="7" t="str">
        <f t="shared" si="5"/>
        <v>No</v>
      </c>
    </row>
    <row r="342" spans="1:37">
      <c r="A342" s="7" t="s">
        <v>753</v>
      </c>
      <c r="B342" s="7" t="s">
        <v>662</v>
      </c>
      <c r="C342" s="37" t="s">
        <v>45</v>
      </c>
      <c r="D342" s="296">
        <v>4196</v>
      </c>
      <c r="E342" s="297">
        <v>40196</v>
      </c>
      <c r="F342" s="27" t="s">
        <v>195</v>
      </c>
      <c r="G342" s="27" t="s">
        <v>158</v>
      </c>
      <c r="H342" s="35">
        <v>972546</v>
      </c>
      <c r="I342" s="35">
        <v>79</v>
      </c>
      <c r="J342" s="9" t="s">
        <v>8</v>
      </c>
      <c r="K342" s="9" t="s">
        <v>159</v>
      </c>
      <c r="L342" s="8">
        <v>79</v>
      </c>
      <c r="M342" s="8">
        <v>0</v>
      </c>
      <c r="N342" s="9"/>
      <c r="O342" s="8">
        <v>0</v>
      </c>
      <c r="P342" s="9"/>
      <c r="Q342" s="8">
        <v>0</v>
      </c>
      <c r="R342" s="9"/>
      <c r="S342" s="8">
        <v>0</v>
      </c>
      <c r="T342" s="9"/>
      <c r="U342" s="8">
        <v>0</v>
      </c>
      <c r="V342" s="9"/>
      <c r="W342" s="33">
        <v>0</v>
      </c>
      <c r="X342" s="9"/>
      <c r="Y342" s="30">
        <v>0</v>
      </c>
      <c r="Z342" s="9"/>
      <c r="AA342" s="30">
        <v>0</v>
      </c>
      <c r="AB342" s="9"/>
      <c r="AC342" s="30">
        <v>0</v>
      </c>
      <c r="AD342" s="9"/>
      <c r="AE342" s="30">
        <v>0</v>
      </c>
      <c r="AF342" s="9"/>
      <c r="AG342" s="19">
        <v>0</v>
      </c>
      <c r="AI342" s="32">
        <v>0</v>
      </c>
      <c r="AK342" s="7" t="str">
        <f t="shared" si="5"/>
        <v>No</v>
      </c>
    </row>
    <row r="343" spans="1:37">
      <c r="A343" s="7" t="s">
        <v>552</v>
      </c>
      <c r="B343" s="7" t="s">
        <v>553</v>
      </c>
      <c r="C343" s="37" t="s">
        <v>63</v>
      </c>
      <c r="D343" s="296">
        <v>2075</v>
      </c>
      <c r="E343" s="297">
        <v>20075</v>
      </c>
      <c r="F343" s="27" t="s">
        <v>165</v>
      </c>
      <c r="G343" s="27" t="s">
        <v>158</v>
      </c>
      <c r="H343" s="35">
        <v>5441567</v>
      </c>
      <c r="I343" s="35">
        <v>78</v>
      </c>
      <c r="J343" s="9" t="s">
        <v>20</v>
      </c>
      <c r="K343" s="9" t="s">
        <v>159</v>
      </c>
      <c r="L343" s="8">
        <v>78</v>
      </c>
      <c r="M343" s="8">
        <v>1383</v>
      </c>
      <c r="N343" s="9"/>
      <c r="O343" s="8">
        <v>0</v>
      </c>
      <c r="P343" s="9"/>
      <c r="Q343" s="8">
        <v>2436</v>
      </c>
      <c r="R343" s="9"/>
      <c r="S343" s="8">
        <v>1907</v>
      </c>
      <c r="T343" s="9"/>
      <c r="U343" s="8">
        <v>0</v>
      </c>
      <c r="V343" s="9"/>
      <c r="W343" s="33">
        <v>5726</v>
      </c>
      <c r="X343" s="9"/>
      <c r="Y343" s="30">
        <v>2</v>
      </c>
      <c r="Z343" s="9"/>
      <c r="AA343" s="30">
        <v>0</v>
      </c>
      <c r="AB343" s="9"/>
      <c r="AC343" s="30">
        <v>4</v>
      </c>
      <c r="AD343" s="9"/>
      <c r="AE343" s="30">
        <v>2</v>
      </c>
      <c r="AF343" s="9"/>
      <c r="AG343" s="19">
        <v>0</v>
      </c>
      <c r="AI343" s="32">
        <v>8</v>
      </c>
      <c r="AK343" s="7" t="str">
        <f t="shared" si="5"/>
        <v>No</v>
      </c>
    </row>
    <row r="344" spans="1:37">
      <c r="A344" s="7" t="s">
        <v>1125</v>
      </c>
      <c r="B344" s="7" t="s">
        <v>1126</v>
      </c>
      <c r="C344" s="37" t="s">
        <v>45</v>
      </c>
      <c r="D344" s="296" t="s">
        <v>1127</v>
      </c>
      <c r="E344" s="297">
        <v>41105</v>
      </c>
      <c r="F344" s="27" t="s">
        <v>187</v>
      </c>
      <c r="G344" s="27" t="s">
        <v>158</v>
      </c>
      <c r="H344" s="35">
        <v>70543</v>
      </c>
      <c r="I344" s="35">
        <v>78</v>
      </c>
      <c r="J344" s="9" t="s">
        <v>10</v>
      </c>
      <c r="K344" s="9" t="s">
        <v>159</v>
      </c>
      <c r="L344" s="8">
        <v>78</v>
      </c>
      <c r="M344" s="8">
        <v>36696</v>
      </c>
      <c r="N344" s="9"/>
      <c r="O344" s="8">
        <v>0</v>
      </c>
      <c r="P344" s="9"/>
      <c r="Q344" s="8">
        <v>0</v>
      </c>
      <c r="R344" s="9"/>
      <c r="S344" s="8">
        <v>1186</v>
      </c>
      <c r="T344" s="9"/>
      <c r="U344" s="8">
        <v>0</v>
      </c>
      <c r="V344" s="9"/>
      <c r="W344" s="33">
        <v>37882</v>
      </c>
      <c r="X344" s="9"/>
      <c r="Y344" s="30">
        <v>55</v>
      </c>
      <c r="Z344" s="9"/>
      <c r="AA344" s="30">
        <v>0</v>
      </c>
      <c r="AB344" s="9"/>
      <c r="AC344" s="30">
        <v>0</v>
      </c>
      <c r="AD344" s="9"/>
      <c r="AE344" s="30">
        <v>3</v>
      </c>
      <c r="AF344" s="9"/>
      <c r="AG344" s="19">
        <v>0</v>
      </c>
      <c r="AI344" s="32">
        <v>58</v>
      </c>
      <c r="AK344" s="7" t="str">
        <f t="shared" si="5"/>
        <v>No</v>
      </c>
    </row>
    <row r="345" spans="1:37">
      <c r="A345" s="7" t="s">
        <v>251</v>
      </c>
      <c r="B345" s="7" t="s">
        <v>252</v>
      </c>
      <c r="C345" s="37" t="s">
        <v>46</v>
      </c>
      <c r="D345" s="296">
        <v>6022</v>
      </c>
      <c r="E345" s="297">
        <v>60022</v>
      </c>
      <c r="F345" s="27" t="s">
        <v>165</v>
      </c>
      <c r="G345" s="27" t="s">
        <v>158</v>
      </c>
      <c r="H345" s="35">
        <v>594309</v>
      </c>
      <c r="I345" s="35">
        <v>78</v>
      </c>
      <c r="J345" s="9" t="s">
        <v>7</v>
      </c>
      <c r="K345" s="9" t="s">
        <v>159</v>
      </c>
      <c r="L345" s="8">
        <v>60</v>
      </c>
      <c r="M345" s="8">
        <v>3127</v>
      </c>
      <c r="N345" s="9"/>
      <c r="O345" s="8">
        <v>0</v>
      </c>
      <c r="P345" s="9"/>
      <c r="Q345" s="8">
        <v>0</v>
      </c>
      <c r="R345" s="9"/>
      <c r="S345" s="8">
        <v>13789</v>
      </c>
      <c r="T345" s="9"/>
      <c r="U345" s="8">
        <v>0</v>
      </c>
      <c r="V345" s="9"/>
      <c r="W345" s="33">
        <v>16916</v>
      </c>
      <c r="X345" s="9"/>
      <c r="Y345" s="30">
        <v>4</v>
      </c>
      <c r="Z345" s="9"/>
      <c r="AA345" s="30">
        <v>0</v>
      </c>
      <c r="AB345" s="9"/>
      <c r="AC345" s="30">
        <v>0</v>
      </c>
      <c r="AD345" s="9"/>
      <c r="AE345" s="30">
        <v>31</v>
      </c>
      <c r="AF345" s="9"/>
      <c r="AG345" s="19">
        <v>0</v>
      </c>
      <c r="AI345" s="32">
        <v>35</v>
      </c>
      <c r="AK345" s="7" t="str">
        <f t="shared" si="5"/>
        <v>No</v>
      </c>
    </row>
    <row r="346" spans="1:37">
      <c r="A346" s="7" t="s">
        <v>437</v>
      </c>
      <c r="B346" s="7" t="s">
        <v>438</v>
      </c>
      <c r="C346" s="37" t="s">
        <v>83</v>
      </c>
      <c r="D346" s="296">
        <v>4002</v>
      </c>
      <c r="E346" s="297">
        <v>40002</v>
      </c>
      <c r="F346" s="27" t="s">
        <v>162</v>
      </c>
      <c r="G346" s="27" t="s">
        <v>158</v>
      </c>
      <c r="H346" s="35">
        <v>558696</v>
      </c>
      <c r="I346" s="35">
        <v>78</v>
      </c>
      <c r="J346" s="9" t="s">
        <v>7</v>
      </c>
      <c r="K346" s="9" t="s">
        <v>159</v>
      </c>
      <c r="L346" s="8">
        <v>59</v>
      </c>
      <c r="M346" s="8">
        <v>0</v>
      </c>
      <c r="N346" s="9"/>
      <c r="O346" s="8">
        <v>3442</v>
      </c>
      <c r="P346" s="9"/>
      <c r="Q346" s="8">
        <v>0</v>
      </c>
      <c r="R346" s="9"/>
      <c r="S346" s="8">
        <v>0</v>
      </c>
      <c r="T346" s="9"/>
      <c r="U346" s="8">
        <v>0</v>
      </c>
      <c r="V346" s="9"/>
      <c r="W346" s="33">
        <v>3442</v>
      </c>
      <c r="X346" s="9"/>
      <c r="Y346" s="30">
        <v>0</v>
      </c>
      <c r="Z346" s="9"/>
      <c r="AA346" s="30">
        <v>3.7</v>
      </c>
      <c r="AB346" s="9"/>
      <c r="AC346" s="30">
        <v>0</v>
      </c>
      <c r="AD346" s="9"/>
      <c r="AE346" s="30">
        <v>0</v>
      </c>
      <c r="AF346" s="9"/>
      <c r="AG346" s="19">
        <v>0</v>
      </c>
      <c r="AI346" s="32">
        <v>3.7</v>
      </c>
      <c r="AK346" s="7" t="str">
        <f t="shared" si="5"/>
        <v>No</v>
      </c>
    </row>
    <row r="347" spans="1:37">
      <c r="A347" s="7" t="s">
        <v>61</v>
      </c>
      <c r="B347" s="7" t="s">
        <v>625</v>
      </c>
      <c r="C347" s="37" t="s">
        <v>60</v>
      </c>
      <c r="D347" s="296">
        <v>7001</v>
      </c>
      <c r="E347" s="297">
        <v>70001</v>
      </c>
      <c r="F347" s="27" t="s">
        <v>162</v>
      </c>
      <c r="G347" s="27" t="s">
        <v>158</v>
      </c>
      <c r="H347" s="35">
        <v>258719</v>
      </c>
      <c r="I347" s="35">
        <v>78</v>
      </c>
      <c r="J347" s="9" t="s">
        <v>7</v>
      </c>
      <c r="K347" s="9" t="s">
        <v>159</v>
      </c>
      <c r="L347" s="8">
        <v>56</v>
      </c>
      <c r="M347" s="8">
        <v>0</v>
      </c>
      <c r="N347" s="9"/>
      <c r="O347" s="8">
        <v>0</v>
      </c>
      <c r="P347" s="9"/>
      <c r="Q347" s="8">
        <v>0</v>
      </c>
      <c r="R347" s="9"/>
      <c r="S347" s="8">
        <v>0</v>
      </c>
      <c r="T347" s="9"/>
      <c r="U347" s="8">
        <v>0</v>
      </c>
      <c r="V347" s="9"/>
      <c r="W347" s="33">
        <v>0</v>
      </c>
      <c r="X347" s="9"/>
      <c r="Y347" s="30">
        <v>0</v>
      </c>
      <c r="Z347" s="9"/>
      <c r="AA347" s="30">
        <v>0</v>
      </c>
      <c r="AB347" s="9"/>
      <c r="AC347" s="30">
        <v>0</v>
      </c>
      <c r="AD347" s="9"/>
      <c r="AE347" s="30">
        <v>0</v>
      </c>
      <c r="AF347" s="9"/>
      <c r="AG347" s="19">
        <v>0</v>
      </c>
      <c r="AI347" s="32">
        <v>0</v>
      </c>
      <c r="AK347" s="7" t="str">
        <f t="shared" si="5"/>
        <v>No</v>
      </c>
    </row>
    <row r="348" spans="1:37">
      <c r="A348" s="7" t="s">
        <v>437</v>
      </c>
      <c r="B348" s="7" t="s">
        <v>438</v>
      </c>
      <c r="C348" s="37" t="s">
        <v>83</v>
      </c>
      <c r="D348" s="296">
        <v>4002</v>
      </c>
      <c r="E348" s="297">
        <v>40002</v>
      </c>
      <c r="F348" s="27" t="s">
        <v>162</v>
      </c>
      <c r="G348" s="27" t="s">
        <v>158</v>
      </c>
      <c r="H348" s="35">
        <v>558696</v>
      </c>
      <c r="I348" s="35">
        <v>78</v>
      </c>
      <c r="J348" s="9" t="s">
        <v>10</v>
      </c>
      <c r="K348" s="9" t="s">
        <v>159</v>
      </c>
      <c r="L348" s="8">
        <v>19</v>
      </c>
      <c r="M348" s="8">
        <v>0</v>
      </c>
      <c r="N348" s="9"/>
      <c r="O348" s="8">
        <v>299</v>
      </c>
      <c r="P348" s="9"/>
      <c r="Q348" s="8">
        <v>0</v>
      </c>
      <c r="R348" s="9"/>
      <c r="S348" s="8">
        <v>0</v>
      </c>
      <c r="T348" s="9"/>
      <c r="U348" s="8">
        <v>0</v>
      </c>
      <c r="V348" s="9"/>
      <c r="W348" s="33">
        <v>299</v>
      </c>
      <c r="X348" s="9"/>
      <c r="Y348" s="30">
        <v>0</v>
      </c>
      <c r="Z348" s="9"/>
      <c r="AA348" s="30">
        <v>0.3</v>
      </c>
      <c r="AB348" s="9"/>
      <c r="AC348" s="30">
        <v>0</v>
      </c>
      <c r="AD348" s="9"/>
      <c r="AE348" s="30">
        <v>0</v>
      </c>
      <c r="AF348" s="9"/>
      <c r="AG348" s="19">
        <v>0</v>
      </c>
      <c r="AI348" s="32">
        <v>0.3</v>
      </c>
      <c r="AK348" s="7" t="str">
        <f t="shared" si="5"/>
        <v>No</v>
      </c>
    </row>
    <row r="349" spans="1:37">
      <c r="A349" s="7" t="s">
        <v>456</v>
      </c>
      <c r="B349" s="7" t="s">
        <v>457</v>
      </c>
      <c r="C349" s="37" t="s">
        <v>47</v>
      </c>
      <c r="D349" s="296">
        <v>1005</v>
      </c>
      <c r="E349" s="297">
        <v>10005</v>
      </c>
      <c r="F349" s="27" t="s">
        <v>165</v>
      </c>
      <c r="G349" s="27" t="s">
        <v>158</v>
      </c>
      <c r="H349" s="35">
        <v>4181019</v>
      </c>
      <c r="I349" s="35">
        <v>78</v>
      </c>
      <c r="J349" s="9" t="s">
        <v>10</v>
      </c>
      <c r="K349" s="9" t="s">
        <v>159</v>
      </c>
      <c r="L349" s="8">
        <v>18</v>
      </c>
      <c r="M349" s="8">
        <v>15675</v>
      </c>
      <c r="N349" s="9"/>
      <c r="O349" s="8">
        <v>0</v>
      </c>
      <c r="P349" s="9"/>
      <c r="Q349" s="8">
        <v>0</v>
      </c>
      <c r="R349" s="9"/>
      <c r="S349" s="8">
        <v>0</v>
      </c>
      <c r="T349" s="9"/>
      <c r="U349" s="8">
        <v>0</v>
      </c>
      <c r="V349" s="9"/>
      <c r="W349" s="33">
        <v>15675</v>
      </c>
      <c r="X349" s="9"/>
      <c r="Y349" s="30">
        <v>33</v>
      </c>
      <c r="Z349" s="9"/>
      <c r="AA349" s="30">
        <v>0</v>
      </c>
      <c r="AB349" s="9"/>
      <c r="AC349" s="30">
        <v>0</v>
      </c>
      <c r="AD349" s="9"/>
      <c r="AE349" s="30">
        <v>0</v>
      </c>
      <c r="AF349" s="9"/>
      <c r="AG349" s="19">
        <v>0</v>
      </c>
      <c r="AI349" s="32">
        <v>33</v>
      </c>
      <c r="AK349" s="7" t="str">
        <f t="shared" si="5"/>
        <v>No</v>
      </c>
    </row>
    <row r="350" spans="1:37">
      <c r="A350" s="7" t="s">
        <v>61</v>
      </c>
      <c r="B350" s="7" t="s">
        <v>625</v>
      </c>
      <c r="C350" s="37" t="s">
        <v>60</v>
      </c>
      <c r="D350" s="296">
        <v>7001</v>
      </c>
      <c r="E350" s="297">
        <v>70001</v>
      </c>
      <c r="F350" s="27" t="s">
        <v>162</v>
      </c>
      <c r="G350" s="27" t="s">
        <v>158</v>
      </c>
      <c r="H350" s="35">
        <v>258719</v>
      </c>
      <c r="I350" s="35">
        <v>78</v>
      </c>
      <c r="J350" s="9" t="s">
        <v>10</v>
      </c>
      <c r="K350" s="9" t="s">
        <v>159</v>
      </c>
      <c r="L350" s="8">
        <v>9</v>
      </c>
      <c r="M350" s="8">
        <v>0</v>
      </c>
      <c r="N350" s="9"/>
      <c r="O350" s="8">
        <v>0</v>
      </c>
      <c r="P350" s="9"/>
      <c r="Q350" s="8">
        <v>0</v>
      </c>
      <c r="R350" s="9"/>
      <c r="S350" s="8">
        <v>0</v>
      </c>
      <c r="T350" s="9"/>
      <c r="U350" s="8">
        <v>0</v>
      </c>
      <c r="V350" s="9"/>
      <c r="W350" s="33">
        <v>0</v>
      </c>
      <c r="X350" s="9"/>
      <c r="Y350" s="30">
        <v>0</v>
      </c>
      <c r="Z350" s="9"/>
      <c r="AA350" s="30">
        <v>0</v>
      </c>
      <c r="AB350" s="9"/>
      <c r="AC350" s="30">
        <v>0</v>
      </c>
      <c r="AD350" s="9"/>
      <c r="AE350" s="30">
        <v>0</v>
      </c>
      <c r="AF350" s="9"/>
      <c r="AG350" s="19">
        <v>0</v>
      </c>
      <c r="AI350" s="32">
        <v>0</v>
      </c>
      <c r="AK350" s="7" t="str">
        <f t="shared" si="5"/>
        <v>No</v>
      </c>
    </row>
    <row r="351" spans="1:37">
      <c r="A351" s="7" t="s">
        <v>263</v>
      </c>
      <c r="B351" s="7" t="s">
        <v>264</v>
      </c>
      <c r="C351" s="37" t="s">
        <v>75</v>
      </c>
      <c r="D351" s="296">
        <v>6017</v>
      </c>
      <c r="E351" s="297">
        <v>60017</v>
      </c>
      <c r="F351" s="27" t="s">
        <v>162</v>
      </c>
      <c r="G351" s="27" t="s">
        <v>158</v>
      </c>
      <c r="H351" s="35">
        <v>861505</v>
      </c>
      <c r="I351" s="35">
        <v>77</v>
      </c>
      <c r="J351" s="9" t="s">
        <v>7</v>
      </c>
      <c r="K351" s="9" t="s">
        <v>159</v>
      </c>
      <c r="L351" s="8">
        <v>48</v>
      </c>
      <c r="M351" s="8">
        <v>6000</v>
      </c>
      <c r="N351" s="9"/>
      <c r="O351" s="8">
        <v>0</v>
      </c>
      <c r="P351" s="9"/>
      <c r="Q351" s="8">
        <v>0</v>
      </c>
      <c r="R351" s="9"/>
      <c r="S351" s="8">
        <v>2624</v>
      </c>
      <c r="T351" s="9"/>
      <c r="U351" s="8">
        <v>0</v>
      </c>
      <c r="V351" s="9"/>
      <c r="W351" s="33">
        <v>8624</v>
      </c>
      <c r="X351" s="9"/>
      <c r="Y351" s="30">
        <v>4</v>
      </c>
      <c r="Z351" s="9"/>
      <c r="AA351" s="30">
        <v>0</v>
      </c>
      <c r="AB351" s="9"/>
      <c r="AC351" s="30">
        <v>0</v>
      </c>
      <c r="AD351" s="9"/>
      <c r="AE351" s="30">
        <v>3</v>
      </c>
      <c r="AF351" s="9"/>
      <c r="AG351" s="19">
        <v>0</v>
      </c>
      <c r="AI351" s="32">
        <v>7</v>
      </c>
      <c r="AK351" s="7" t="str">
        <f t="shared" si="5"/>
        <v>No</v>
      </c>
    </row>
    <row r="352" spans="1:37">
      <c r="A352" s="7" t="s">
        <v>458</v>
      </c>
      <c r="B352" s="7" t="s">
        <v>184</v>
      </c>
      <c r="C352" s="37" t="s">
        <v>77</v>
      </c>
      <c r="D352" s="296">
        <v>3015</v>
      </c>
      <c r="E352" s="297">
        <v>30015</v>
      </c>
      <c r="F352" s="27" t="s">
        <v>165</v>
      </c>
      <c r="G352" s="27" t="s">
        <v>158</v>
      </c>
      <c r="H352" s="35">
        <v>381502</v>
      </c>
      <c r="I352" s="35">
        <v>77</v>
      </c>
      <c r="J352" s="9" t="s">
        <v>10</v>
      </c>
      <c r="K352" s="9" t="s">
        <v>159</v>
      </c>
      <c r="L352" s="8">
        <v>45</v>
      </c>
      <c r="M352" s="8">
        <v>25654</v>
      </c>
      <c r="N352" s="9"/>
      <c r="O352" s="8">
        <v>0</v>
      </c>
      <c r="P352" s="9"/>
      <c r="Q352" s="8">
        <v>364</v>
      </c>
      <c r="R352" s="9"/>
      <c r="S352" s="8">
        <v>1361</v>
      </c>
      <c r="T352" s="9"/>
      <c r="U352" s="8">
        <v>0</v>
      </c>
      <c r="V352" s="9"/>
      <c r="W352" s="33">
        <v>27379</v>
      </c>
      <c r="X352" s="9"/>
      <c r="Y352" s="30">
        <v>20</v>
      </c>
      <c r="Z352" s="9"/>
      <c r="AA352" s="30">
        <v>0</v>
      </c>
      <c r="AB352" s="9"/>
      <c r="AC352" s="30">
        <v>0.25</v>
      </c>
      <c r="AD352" s="9"/>
      <c r="AE352" s="30">
        <v>6</v>
      </c>
      <c r="AF352" s="9"/>
      <c r="AG352" s="19">
        <v>0</v>
      </c>
      <c r="AI352" s="32">
        <v>26.25</v>
      </c>
      <c r="AK352" s="7" t="str">
        <f t="shared" si="5"/>
        <v>No</v>
      </c>
    </row>
    <row r="353" spans="1:37">
      <c r="A353" s="7" t="s">
        <v>458</v>
      </c>
      <c r="B353" s="7" t="s">
        <v>184</v>
      </c>
      <c r="C353" s="37" t="s">
        <v>77</v>
      </c>
      <c r="D353" s="296">
        <v>3015</v>
      </c>
      <c r="E353" s="297">
        <v>30015</v>
      </c>
      <c r="F353" s="27" t="s">
        <v>165</v>
      </c>
      <c r="G353" s="27" t="s">
        <v>158</v>
      </c>
      <c r="H353" s="35">
        <v>381502</v>
      </c>
      <c r="I353" s="35">
        <v>77</v>
      </c>
      <c r="J353" s="9" t="s">
        <v>7</v>
      </c>
      <c r="K353" s="9" t="s">
        <v>159</v>
      </c>
      <c r="L353" s="8">
        <v>32</v>
      </c>
      <c r="M353" s="8">
        <v>1736</v>
      </c>
      <c r="N353" s="9"/>
      <c r="O353" s="8">
        <v>3824</v>
      </c>
      <c r="P353" s="9"/>
      <c r="Q353" s="8">
        <v>817</v>
      </c>
      <c r="R353" s="9"/>
      <c r="S353" s="8">
        <v>3609</v>
      </c>
      <c r="T353" s="9"/>
      <c r="U353" s="8">
        <v>0</v>
      </c>
      <c r="V353" s="9"/>
      <c r="W353" s="33">
        <v>9986</v>
      </c>
      <c r="X353" s="9"/>
      <c r="Y353" s="30">
        <v>6</v>
      </c>
      <c r="Z353" s="9"/>
      <c r="AA353" s="30">
        <v>4</v>
      </c>
      <c r="AB353" s="9"/>
      <c r="AC353" s="30">
        <v>0.75</v>
      </c>
      <c r="AD353" s="9"/>
      <c r="AE353" s="30">
        <v>5</v>
      </c>
      <c r="AF353" s="9"/>
      <c r="AG353" s="19">
        <v>0</v>
      </c>
      <c r="AI353" s="32">
        <v>15.75</v>
      </c>
      <c r="AK353" s="7" t="str">
        <f t="shared" si="5"/>
        <v>No</v>
      </c>
    </row>
    <row r="354" spans="1:37">
      <c r="A354" s="7" t="s">
        <v>263</v>
      </c>
      <c r="B354" s="7" t="s">
        <v>264</v>
      </c>
      <c r="C354" s="37" t="s">
        <v>75</v>
      </c>
      <c r="D354" s="296">
        <v>6017</v>
      </c>
      <c r="E354" s="297">
        <v>60017</v>
      </c>
      <c r="F354" s="27" t="s">
        <v>162</v>
      </c>
      <c r="G354" s="27" t="s">
        <v>158</v>
      </c>
      <c r="H354" s="35">
        <v>861505</v>
      </c>
      <c r="I354" s="35">
        <v>77</v>
      </c>
      <c r="J354" s="9" t="s">
        <v>10</v>
      </c>
      <c r="K354" s="9" t="s">
        <v>159</v>
      </c>
      <c r="L354" s="8">
        <v>17</v>
      </c>
      <c r="M354" s="8">
        <v>0</v>
      </c>
      <c r="N354" s="9"/>
      <c r="O354" s="8">
        <v>0</v>
      </c>
      <c r="P354" s="9"/>
      <c r="Q354" s="8">
        <v>0</v>
      </c>
      <c r="R354" s="9"/>
      <c r="S354" s="8">
        <v>0</v>
      </c>
      <c r="T354" s="9"/>
      <c r="U354" s="8">
        <v>0</v>
      </c>
      <c r="V354" s="9"/>
      <c r="W354" s="33">
        <v>0</v>
      </c>
      <c r="X354" s="9"/>
      <c r="Y354" s="30">
        <v>0</v>
      </c>
      <c r="Z354" s="9"/>
      <c r="AA354" s="30">
        <v>0</v>
      </c>
      <c r="AB354" s="9"/>
      <c r="AC354" s="30">
        <v>0</v>
      </c>
      <c r="AD354" s="9"/>
      <c r="AE354" s="30">
        <v>0</v>
      </c>
      <c r="AF354" s="9"/>
      <c r="AG354" s="19">
        <v>0</v>
      </c>
      <c r="AI354" s="32">
        <v>0</v>
      </c>
      <c r="AK354" s="7" t="str">
        <f t="shared" si="5"/>
        <v>No</v>
      </c>
    </row>
    <row r="355" spans="1:37">
      <c r="A355" s="7" t="s">
        <v>68</v>
      </c>
      <c r="B355" s="7" t="s">
        <v>172</v>
      </c>
      <c r="C355" s="37" t="s">
        <v>63</v>
      </c>
      <c r="D355" s="296">
        <v>2149</v>
      </c>
      <c r="E355" s="297">
        <v>20149</v>
      </c>
      <c r="F355" s="27" t="s">
        <v>173</v>
      </c>
      <c r="G355" s="27" t="s">
        <v>158</v>
      </c>
      <c r="H355" s="35">
        <v>18351295</v>
      </c>
      <c r="I355" s="35">
        <v>75</v>
      </c>
      <c r="J355" s="9" t="s">
        <v>18</v>
      </c>
      <c r="K355" s="9" t="s">
        <v>159</v>
      </c>
      <c r="L355" s="8">
        <v>75</v>
      </c>
      <c r="M355" s="8">
        <v>8679</v>
      </c>
      <c r="N355" s="9"/>
      <c r="O355" s="8">
        <v>0</v>
      </c>
      <c r="P355" s="9"/>
      <c r="Q355" s="8">
        <v>0</v>
      </c>
      <c r="R355" s="9"/>
      <c r="S355" s="8">
        <v>0</v>
      </c>
      <c r="T355" s="9"/>
      <c r="U355" s="8">
        <v>0</v>
      </c>
      <c r="V355" s="9"/>
      <c r="W355" s="33">
        <v>8679</v>
      </c>
      <c r="X355" s="9"/>
      <c r="Y355" s="30">
        <v>4</v>
      </c>
      <c r="Z355" s="9"/>
      <c r="AA355" s="30">
        <v>0</v>
      </c>
      <c r="AB355" s="9"/>
      <c r="AC355" s="30">
        <v>0</v>
      </c>
      <c r="AD355" s="9"/>
      <c r="AE355" s="30">
        <v>0</v>
      </c>
      <c r="AF355" s="9"/>
      <c r="AG355" s="19">
        <v>0</v>
      </c>
      <c r="AI355" s="32">
        <v>4</v>
      </c>
      <c r="AK355" s="7" t="str">
        <f t="shared" si="5"/>
        <v>No</v>
      </c>
    </row>
    <row r="356" spans="1:37">
      <c r="A356" s="7" t="s">
        <v>231</v>
      </c>
      <c r="B356" s="7" t="s">
        <v>232</v>
      </c>
      <c r="C356" s="37" t="s">
        <v>84</v>
      </c>
      <c r="D356" s="296">
        <v>6059</v>
      </c>
      <c r="E356" s="297">
        <v>60059</v>
      </c>
      <c r="F356" s="27" t="s">
        <v>165</v>
      </c>
      <c r="G356" s="27" t="s">
        <v>158</v>
      </c>
      <c r="H356" s="35">
        <v>171345</v>
      </c>
      <c r="I356" s="35">
        <v>75</v>
      </c>
      <c r="J356" s="9" t="s">
        <v>10</v>
      </c>
      <c r="K356" s="9" t="s">
        <v>159</v>
      </c>
      <c r="L356" s="8">
        <v>48</v>
      </c>
      <c r="M356" s="8">
        <v>14535</v>
      </c>
      <c r="N356" s="9"/>
      <c r="O356" s="8">
        <v>0</v>
      </c>
      <c r="P356" s="9"/>
      <c r="Q356" s="8">
        <v>792</v>
      </c>
      <c r="R356" s="9"/>
      <c r="S356" s="8">
        <v>0</v>
      </c>
      <c r="T356" s="9"/>
      <c r="U356" s="8">
        <v>0</v>
      </c>
      <c r="V356" s="9"/>
      <c r="W356" s="33">
        <v>15327</v>
      </c>
      <c r="X356" s="9"/>
      <c r="Y356" s="30">
        <v>12</v>
      </c>
      <c r="Z356" s="9"/>
      <c r="AA356" s="30">
        <v>0</v>
      </c>
      <c r="AB356" s="9"/>
      <c r="AC356" s="30">
        <v>1</v>
      </c>
      <c r="AD356" s="9"/>
      <c r="AE356" s="30">
        <v>0</v>
      </c>
      <c r="AF356" s="9"/>
      <c r="AG356" s="19">
        <v>0</v>
      </c>
      <c r="AI356" s="32">
        <v>13</v>
      </c>
      <c r="AK356" s="7" t="str">
        <f t="shared" si="5"/>
        <v>No</v>
      </c>
    </row>
    <row r="357" spans="1:37">
      <c r="A357" s="7" t="s">
        <v>231</v>
      </c>
      <c r="B357" s="7" t="s">
        <v>232</v>
      </c>
      <c r="C357" s="37" t="s">
        <v>84</v>
      </c>
      <c r="D357" s="296">
        <v>6059</v>
      </c>
      <c r="E357" s="297">
        <v>60059</v>
      </c>
      <c r="F357" s="27" t="s">
        <v>165</v>
      </c>
      <c r="G357" s="27" t="s">
        <v>158</v>
      </c>
      <c r="H357" s="35">
        <v>171345</v>
      </c>
      <c r="I357" s="35">
        <v>75</v>
      </c>
      <c r="J357" s="9" t="s">
        <v>7</v>
      </c>
      <c r="K357" s="9" t="s">
        <v>159</v>
      </c>
      <c r="L357" s="8">
        <v>27</v>
      </c>
      <c r="M357" s="8">
        <v>7029</v>
      </c>
      <c r="N357" s="9"/>
      <c r="O357" s="8">
        <v>0</v>
      </c>
      <c r="P357" s="9"/>
      <c r="Q357" s="8">
        <v>1049</v>
      </c>
      <c r="R357" s="9"/>
      <c r="S357" s="8">
        <v>0</v>
      </c>
      <c r="T357" s="9"/>
      <c r="U357" s="8">
        <v>0</v>
      </c>
      <c r="V357" s="9"/>
      <c r="W357" s="33">
        <v>8078</v>
      </c>
      <c r="X357" s="9"/>
      <c r="Y357" s="30">
        <v>9</v>
      </c>
      <c r="Z357" s="9"/>
      <c r="AA357" s="30">
        <v>0</v>
      </c>
      <c r="AB357" s="9"/>
      <c r="AC357" s="30">
        <v>1</v>
      </c>
      <c r="AD357" s="9"/>
      <c r="AE357" s="30">
        <v>0</v>
      </c>
      <c r="AF357" s="9"/>
      <c r="AG357" s="19">
        <v>0</v>
      </c>
      <c r="AI357" s="32">
        <v>10</v>
      </c>
      <c r="AK357" s="7" t="str">
        <f t="shared" si="5"/>
        <v>No</v>
      </c>
    </row>
    <row r="358" spans="1:37">
      <c r="A358" s="7" t="s">
        <v>67</v>
      </c>
      <c r="B358" s="7" t="s">
        <v>731</v>
      </c>
      <c r="C358" s="37" t="s">
        <v>63</v>
      </c>
      <c r="D358" s="296">
        <v>2190</v>
      </c>
      <c r="E358" s="297">
        <v>20190</v>
      </c>
      <c r="F358" s="27" t="s">
        <v>173</v>
      </c>
      <c r="G358" s="27" t="s">
        <v>158</v>
      </c>
      <c r="H358" s="35">
        <v>18351295</v>
      </c>
      <c r="I358" s="35">
        <v>74</v>
      </c>
      <c r="J358" s="9" t="s">
        <v>7</v>
      </c>
      <c r="K358" s="9" t="s">
        <v>159</v>
      </c>
      <c r="L358" s="8">
        <v>62</v>
      </c>
      <c r="M358" s="8">
        <v>24760</v>
      </c>
      <c r="N358" s="9"/>
      <c r="O358" s="8">
        <v>0</v>
      </c>
      <c r="P358" s="9"/>
      <c r="Q358" s="8">
        <v>0</v>
      </c>
      <c r="R358" s="9"/>
      <c r="S358" s="8">
        <v>1040</v>
      </c>
      <c r="T358" s="9"/>
      <c r="U358" s="8">
        <v>0</v>
      </c>
      <c r="V358" s="9"/>
      <c r="W358" s="33">
        <v>25800</v>
      </c>
      <c r="X358" s="9"/>
      <c r="Y358" s="30">
        <v>17</v>
      </c>
      <c r="Z358" s="9"/>
      <c r="AA358" s="30">
        <v>0</v>
      </c>
      <c r="AB358" s="9"/>
      <c r="AC358" s="30">
        <v>0</v>
      </c>
      <c r="AD358" s="9"/>
      <c r="AE358" s="30">
        <v>1</v>
      </c>
      <c r="AF358" s="9"/>
      <c r="AG358" s="19">
        <v>0</v>
      </c>
      <c r="AI358" s="32">
        <v>18</v>
      </c>
      <c r="AK358" s="7" t="str">
        <f t="shared" si="5"/>
        <v>No</v>
      </c>
    </row>
    <row r="359" spans="1:37">
      <c r="A359" s="7" t="s">
        <v>281</v>
      </c>
      <c r="B359" s="7" t="s">
        <v>180</v>
      </c>
      <c r="C359" s="37" t="s">
        <v>88</v>
      </c>
      <c r="D359" s="296">
        <v>1066</v>
      </c>
      <c r="E359" s="297">
        <v>10066</v>
      </c>
      <c r="F359" s="27" t="s">
        <v>165</v>
      </c>
      <c r="G359" s="27" t="s">
        <v>158</v>
      </c>
      <c r="H359" s="35">
        <v>108740</v>
      </c>
      <c r="I359" s="35">
        <v>74</v>
      </c>
      <c r="J359" s="9" t="s">
        <v>7</v>
      </c>
      <c r="K359" s="9" t="s">
        <v>159</v>
      </c>
      <c r="L359" s="8">
        <v>40</v>
      </c>
      <c r="M359" s="8">
        <v>853</v>
      </c>
      <c r="N359" s="9"/>
      <c r="O359" s="8">
        <v>0</v>
      </c>
      <c r="P359" s="9"/>
      <c r="Q359" s="8">
        <v>0</v>
      </c>
      <c r="R359" s="9"/>
      <c r="S359" s="8">
        <v>823</v>
      </c>
      <c r="T359" s="9"/>
      <c r="U359" s="8">
        <v>0</v>
      </c>
      <c r="V359" s="9"/>
      <c r="W359" s="33">
        <v>1676</v>
      </c>
      <c r="X359" s="9"/>
      <c r="Y359" s="30">
        <v>1</v>
      </c>
      <c r="Z359" s="9"/>
      <c r="AA359" s="30">
        <v>0</v>
      </c>
      <c r="AB359" s="9"/>
      <c r="AC359" s="30">
        <v>0</v>
      </c>
      <c r="AD359" s="9"/>
      <c r="AE359" s="30">
        <v>1</v>
      </c>
      <c r="AF359" s="9"/>
      <c r="AG359" s="19">
        <v>0</v>
      </c>
      <c r="AI359" s="32">
        <v>2</v>
      </c>
      <c r="AK359" s="7" t="str">
        <f t="shared" si="5"/>
        <v>No</v>
      </c>
    </row>
    <row r="360" spans="1:37">
      <c r="A360" s="7" t="s">
        <v>125</v>
      </c>
      <c r="B360" s="7" t="s">
        <v>286</v>
      </c>
      <c r="C360" s="37" t="s">
        <v>93</v>
      </c>
      <c r="D360" s="296">
        <v>5001</v>
      </c>
      <c r="E360" s="297">
        <v>50001</v>
      </c>
      <c r="F360" s="27" t="s">
        <v>162</v>
      </c>
      <c r="G360" s="27" t="s">
        <v>158</v>
      </c>
      <c r="H360" s="35">
        <v>216154</v>
      </c>
      <c r="I360" s="35">
        <v>74</v>
      </c>
      <c r="J360" s="9" t="s">
        <v>7</v>
      </c>
      <c r="K360" s="9" t="s">
        <v>159</v>
      </c>
      <c r="L360" s="8">
        <v>21</v>
      </c>
      <c r="M360" s="8">
        <v>3308</v>
      </c>
      <c r="N360" s="9"/>
      <c r="O360" s="8">
        <v>3934</v>
      </c>
      <c r="P360" s="9"/>
      <c r="Q360" s="8">
        <v>0</v>
      </c>
      <c r="R360" s="9"/>
      <c r="S360" s="8">
        <v>0</v>
      </c>
      <c r="T360" s="9"/>
      <c r="U360" s="8">
        <v>0</v>
      </c>
      <c r="V360" s="9"/>
      <c r="W360" s="33">
        <v>7242</v>
      </c>
      <c r="X360" s="9"/>
      <c r="Y360" s="30">
        <v>6</v>
      </c>
      <c r="Z360" s="9"/>
      <c r="AA360" s="30">
        <v>6</v>
      </c>
      <c r="AB360" s="9"/>
      <c r="AC360" s="30">
        <v>0</v>
      </c>
      <c r="AD360" s="9"/>
      <c r="AE360" s="30">
        <v>0</v>
      </c>
      <c r="AF360" s="9"/>
      <c r="AG360" s="19">
        <v>0</v>
      </c>
      <c r="AI360" s="32">
        <v>12</v>
      </c>
      <c r="AK360" s="7" t="str">
        <f t="shared" si="5"/>
        <v>No</v>
      </c>
    </row>
    <row r="361" spans="1:37">
      <c r="A361" s="7" t="s">
        <v>281</v>
      </c>
      <c r="B361" s="7" t="s">
        <v>180</v>
      </c>
      <c r="C361" s="37" t="s">
        <v>88</v>
      </c>
      <c r="D361" s="296">
        <v>1066</v>
      </c>
      <c r="E361" s="297">
        <v>10066</v>
      </c>
      <c r="F361" s="27" t="s">
        <v>165</v>
      </c>
      <c r="G361" s="27" t="s">
        <v>158</v>
      </c>
      <c r="H361" s="35">
        <v>108740</v>
      </c>
      <c r="I361" s="35">
        <v>74</v>
      </c>
      <c r="J361" s="9" t="s">
        <v>18</v>
      </c>
      <c r="K361" s="9" t="s">
        <v>159</v>
      </c>
      <c r="L361" s="8">
        <v>14</v>
      </c>
      <c r="M361" s="8">
        <v>1838</v>
      </c>
      <c r="N361" s="9"/>
      <c r="O361" s="8">
        <v>299</v>
      </c>
      <c r="P361" s="9"/>
      <c r="Q361" s="8">
        <v>0</v>
      </c>
      <c r="R361" s="9"/>
      <c r="S361" s="8">
        <v>366</v>
      </c>
      <c r="T361" s="9"/>
      <c r="U361" s="8">
        <v>0</v>
      </c>
      <c r="V361" s="9"/>
      <c r="W361" s="33">
        <v>2503</v>
      </c>
      <c r="X361" s="9"/>
      <c r="Y361" s="30">
        <v>3</v>
      </c>
      <c r="Z361" s="9"/>
      <c r="AA361" s="30">
        <v>0.7</v>
      </c>
      <c r="AB361" s="9"/>
      <c r="AC361" s="30">
        <v>0</v>
      </c>
      <c r="AD361" s="9"/>
      <c r="AE361" s="30">
        <v>0.8</v>
      </c>
      <c r="AF361" s="9"/>
      <c r="AG361" s="19">
        <v>0</v>
      </c>
      <c r="AI361" s="32">
        <v>4.5</v>
      </c>
      <c r="AK361" s="7" t="str">
        <f t="shared" si="5"/>
        <v>No</v>
      </c>
    </row>
    <row r="362" spans="1:37">
      <c r="A362" s="7" t="s">
        <v>67</v>
      </c>
      <c r="B362" s="7" t="s">
        <v>731</v>
      </c>
      <c r="C362" s="37" t="s">
        <v>63</v>
      </c>
      <c r="D362" s="296">
        <v>2190</v>
      </c>
      <c r="E362" s="297">
        <v>20190</v>
      </c>
      <c r="F362" s="27" t="s">
        <v>173</v>
      </c>
      <c r="G362" s="27" t="s">
        <v>158</v>
      </c>
      <c r="H362" s="35">
        <v>18351295</v>
      </c>
      <c r="I362" s="35">
        <v>74</v>
      </c>
      <c r="J362" s="9" t="s">
        <v>19</v>
      </c>
      <c r="K362" s="9" t="s">
        <v>159</v>
      </c>
      <c r="L362" s="8">
        <v>12</v>
      </c>
      <c r="M362" s="8">
        <v>5300</v>
      </c>
      <c r="N362" s="9"/>
      <c r="O362" s="8">
        <v>0</v>
      </c>
      <c r="P362" s="9"/>
      <c r="Q362" s="8">
        <v>1100</v>
      </c>
      <c r="R362" s="9"/>
      <c r="S362" s="8">
        <v>5000</v>
      </c>
      <c r="T362" s="9"/>
      <c r="U362" s="8">
        <v>0</v>
      </c>
      <c r="V362" s="9"/>
      <c r="W362" s="33">
        <v>11400</v>
      </c>
      <c r="X362" s="9"/>
      <c r="Y362" s="30">
        <v>5</v>
      </c>
      <c r="Z362" s="9"/>
      <c r="AA362" s="30">
        <v>0</v>
      </c>
      <c r="AB362" s="9"/>
      <c r="AC362" s="30">
        <v>1</v>
      </c>
      <c r="AD362" s="9"/>
      <c r="AE362" s="30">
        <v>5</v>
      </c>
      <c r="AF362" s="9"/>
      <c r="AG362" s="19">
        <v>0</v>
      </c>
      <c r="AI362" s="32">
        <v>11</v>
      </c>
      <c r="AK362" s="7" t="str">
        <f t="shared" si="5"/>
        <v>No</v>
      </c>
    </row>
    <row r="363" spans="1:37">
      <c r="A363" s="7" t="s">
        <v>501</v>
      </c>
      <c r="B363" s="7" t="s">
        <v>502</v>
      </c>
      <c r="C363" s="37" t="s">
        <v>56</v>
      </c>
      <c r="D363" s="296">
        <v>4014</v>
      </c>
      <c r="E363" s="297">
        <v>40014</v>
      </c>
      <c r="F363" s="27" t="s">
        <v>165</v>
      </c>
      <c r="G363" s="27" t="s">
        <v>158</v>
      </c>
      <c r="H363" s="35">
        <v>208948</v>
      </c>
      <c r="I363" s="35">
        <v>72</v>
      </c>
      <c r="J363" s="9" t="s">
        <v>7</v>
      </c>
      <c r="K363" s="9" t="s">
        <v>159</v>
      </c>
      <c r="L363" s="8">
        <v>17</v>
      </c>
      <c r="M363" s="8">
        <v>5809</v>
      </c>
      <c r="N363" s="9"/>
      <c r="O363" s="8">
        <v>1779</v>
      </c>
      <c r="P363" s="9"/>
      <c r="Q363" s="8">
        <v>0</v>
      </c>
      <c r="R363" s="9"/>
      <c r="S363" s="8">
        <v>863</v>
      </c>
      <c r="T363" s="9"/>
      <c r="U363" s="8">
        <v>0</v>
      </c>
      <c r="V363" s="9"/>
      <c r="W363" s="33">
        <v>8451</v>
      </c>
      <c r="X363" s="9"/>
      <c r="Y363" s="30">
        <v>3</v>
      </c>
      <c r="Z363" s="9"/>
      <c r="AA363" s="30">
        <v>1.5</v>
      </c>
      <c r="AB363" s="9"/>
      <c r="AC363" s="30">
        <v>0</v>
      </c>
      <c r="AD363" s="9"/>
      <c r="AE363" s="30">
        <v>0</v>
      </c>
      <c r="AF363" s="9"/>
      <c r="AG363" s="19">
        <v>0</v>
      </c>
      <c r="AI363" s="32">
        <v>4.5</v>
      </c>
      <c r="AK363" s="7" t="str">
        <f t="shared" si="5"/>
        <v>No</v>
      </c>
    </row>
    <row r="364" spans="1:37">
      <c r="A364" s="7" t="s">
        <v>501</v>
      </c>
      <c r="B364" s="7" t="s">
        <v>502</v>
      </c>
      <c r="C364" s="37" t="s">
        <v>56</v>
      </c>
      <c r="D364" s="296">
        <v>4014</v>
      </c>
      <c r="E364" s="297">
        <v>40014</v>
      </c>
      <c r="F364" s="27" t="s">
        <v>165</v>
      </c>
      <c r="G364" s="27" t="s">
        <v>158</v>
      </c>
      <c r="H364" s="35">
        <v>208948</v>
      </c>
      <c r="I364" s="35">
        <v>72</v>
      </c>
      <c r="J364" s="9" t="s">
        <v>10</v>
      </c>
      <c r="K364" s="9" t="s">
        <v>159</v>
      </c>
      <c r="L364" s="8">
        <v>15</v>
      </c>
      <c r="M364" s="8">
        <v>1981</v>
      </c>
      <c r="N364" s="9"/>
      <c r="O364" s="8">
        <v>532</v>
      </c>
      <c r="P364" s="9"/>
      <c r="Q364" s="8">
        <v>0</v>
      </c>
      <c r="R364" s="9"/>
      <c r="S364" s="8">
        <v>0</v>
      </c>
      <c r="T364" s="9"/>
      <c r="U364" s="8">
        <v>0</v>
      </c>
      <c r="V364" s="9"/>
      <c r="W364" s="33">
        <v>2513</v>
      </c>
      <c r="X364" s="9"/>
      <c r="Y364" s="30">
        <v>2</v>
      </c>
      <c r="Z364" s="9"/>
      <c r="AA364" s="30">
        <v>0.46</v>
      </c>
      <c r="AB364" s="9"/>
      <c r="AC364" s="30">
        <v>0</v>
      </c>
      <c r="AD364" s="9"/>
      <c r="AE364" s="30">
        <v>0</v>
      </c>
      <c r="AF364" s="9"/>
      <c r="AG364" s="19">
        <v>0</v>
      </c>
      <c r="AI364" s="32">
        <v>2.46</v>
      </c>
      <c r="AK364" s="7" t="str">
        <f t="shared" si="5"/>
        <v>No</v>
      </c>
    </row>
    <row r="365" spans="1:37">
      <c r="A365" s="7" t="s">
        <v>751</v>
      </c>
      <c r="B365" s="7" t="s">
        <v>752</v>
      </c>
      <c r="C365" s="37" t="s">
        <v>84</v>
      </c>
      <c r="D365" s="296">
        <v>6114</v>
      </c>
      <c r="E365" s="297">
        <v>60114</v>
      </c>
      <c r="F365" s="27" t="s">
        <v>162</v>
      </c>
      <c r="G365" s="27" t="s">
        <v>158</v>
      </c>
      <c r="H365" s="35">
        <v>5121892</v>
      </c>
      <c r="I365" s="35">
        <v>71</v>
      </c>
      <c r="J365" s="9" t="s">
        <v>10</v>
      </c>
      <c r="K365" s="9" t="s">
        <v>159</v>
      </c>
      <c r="L365" s="8">
        <v>66</v>
      </c>
      <c r="M365" s="8">
        <v>3694</v>
      </c>
      <c r="N365" s="9"/>
      <c r="O365" s="8">
        <v>0</v>
      </c>
      <c r="P365" s="9"/>
      <c r="Q365" s="8">
        <v>1200</v>
      </c>
      <c r="R365" s="9"/>
      <c r="S365" s="8">
        <v>0</v>
      </c>
      <c r="T365" s="9"/>
      <c r="U365" s="8">
        <v>0</v>
      </c>
      <c r="V365" s="9"/>
      <c r="W365" s="33">
        <v>4894</v>
      </c>
      <c r="X365" s="9"/>
      <c r="Y365" s="30">
        <v>17.100000000000001</v>
      </c>
      <c r="Z365" s="9"/>
      <c r="AA365" s="30">
        <v>0</v>
      </c>
      <c r="AB365" s="9"/>
      <c r="AC365" s="30">
        <v>0.9</v>
      </c>
      <c r="AD365" s="9"/>
      <c r="AE365" s="30">
        <v>0</v>
      </c>
      <c r="AF365" s="9"/>
      <c r="AG365" s="19">
        <v>0</v>
      </c>
      <c r="AI365" s="32">
        <v>18</v>
      </c>
      <c r="AK365" s="7" t="str">
        <f t="shared" si="5"/>
        <v>No</v>
      </c>
    </row>
    <row r="366" spans="1:37">
      <c r="A366" s="7" t="s">
        <v>255</v>
      </c>
      <c r="B366" s="7" t="s">
        <v>256</v>
      </c>
      <c r="C366" s="37" t="s">
        <v>6</v>
      </c>
      <c r="D366" s="296">
        <v>6033</v>
      </c>
      <c r="E366" s="297">
        <v>60033</v>
      </c>
      <c r="F366" s="27" t="s">
        <v>165</v>
      </c>
      <c r="G366" s="27" t="s">
        <v>158</v>
      </c>
      <c r="H366" s="35">
        <v>431388</v>
      </c>
      <c r="I366" s="35">
        <v>71</v>
      </c>
      <c r="J366" s="9" t="s">
        <v>7</v>
      </c>
      <c r="K366" s="9" t="s">
        <v>159</v>
      </c>
      <c r="L366" s="8">
        <v>49</v>
      </c>
      <c r="M366" s="8">
        <v>0</v>
      </c>
      <c r="N366" s="9"/>
      <c r="O366" s="8">
        <v>0</v>
      </c>
      <c r="P366" s="9"/>
      <c r="Q366" s="8">
        <v>0</v>
      </c>
      <c r="R366" s="9"/>
      <c r="S366" s="8">
        <v>1356</v>
      </c>
      <c r="T366" s="9"/>
      <c r="U366" s="8">
        <v>0</v>
      </c>
      <c r="V366" s="9"/>
      <c r="W366" s="33">
        <v>1356</v>
      </c>
      <c r="X366" s="9"/>
      <c r="Y366" s="30">
        <v>0</v>
      </c>
      <c r="Z366" s="9"/>
      <c r="AA366" s="30">
        <v>0</v>
      </c>
      <c r="AB366" s="9"/>
      <c r="AC366" s="30">
        <v>0</v>
      </c>
      <c r="AD366" s="9"/>
      <c r="AE366" s="30">
        <v>2</v>
      </c>
      <c r="AF366" s="9"/>
      <c r="AG366" s="19">
        <v>0</v>
      </c>
      <c r="AI366" s="32">
        <v>2</v>
      </c>
      <c r="AK366" s="7" t="str">
        <f t="shared" si="5"/>
        <v>No</v>
      </c>
    </row>
    <row r="367" spans="1:37">
      <c r="A367" s="7" t="s">
        <v>255</v>
      </c>
      <c r="B367" s="7" t="s">
        <v>256</v>
      </c>
      <c r="C367" s="37" t="s">
        <v>6</v>
      </c>
      <c r="D367" s="296">
        <v>6033</v>
      </c>
      <c r="E367" s="297">
        <v>60033</v>
      </c>
      <c r="F367" s="27" t="s">
        <v>165</v>
      </c>
      <c r="G367" s="27" t="s">
        <v>158</v>
      </c>
      <c r="H367" s="35">
        <v>431388</v>
      </c>
      <c r="I367" s="35">
        <v>71</v>
      </c>
      <c r="J367" s="9" t="s">
        <v>10</v>
      </c>
      <c r="K367" s="9" t="s">
        <v>159</v>
      </c>
      <c r="L367" s="8">
        <v>19</v>
      </c>
      <c r="M367" s="8">
        <v>0</v>
      </c>
      <c r="N367" s="9"/>
      <c r="O367" s="8">
        <v>0</v>
      </c>
      <c r="P367" s="9"/>
      <c r="Q367" s="8">
        <v>0</v>
      </c>
      <c r="R367" s="9"/>
      <c r="S367" s="8">
        <v>0</v>
      </c>
      <c r="T367" s="9"/>
      <c r="U367" s="8">
        <v>0</v>
      </c>
      <c r="V367" s="9"/>
      <c r="W367" s="33">
        <v>0</v>
      </c>
      <c r="X367" s="9"/>
      <c r="Y367" s="30">
        <v>0</v>
      </c>
      <c r="Z367" s="9"/>
      <c r="AA367" s="30">
        <v>0</v>
      </c>
      <c r="AB367" s="9"/>
      <c r="AC367" s="30">
        <v>0</v>
      </c>
      <c r="AD367" s="9"/>
      <c r="AE367" s="30">
        <v>0</v>
      </c>
      <c r="AF367" s="9"/>
      <c r="AG367" s="19">
        <v>0</v>
      </c>
      <c r="AI367" s="32">
        <v>0</v>
      </c>
      <c r="AK367" s="7" t="str">
        <f t="shared" si="5"/>
        <v>No</v>
      </c>
    </row>
    <row r="368" spans="1:37">
      <c r="A368" s="7" t="s">
        <v>665</v>
      </c>
      <c r="B368" s="7" t="s">
        <v>666</v>
      </c>
      <c r="C368" s="37" t="s">
        <v>70</v>
      </c>
      <c r="D368" s="296">
        <v>2084</v>
      </c>
      <c r="E368" s="297">
        <v>20084</v>
      </c>
      <c r="F368" s="27" t="s">
        <v>162</v>
      </c>
      <c r="G368" s="27" t="s">
        <v>158</v>
      </c>
      <c r="H368" s="35">
        <v>18351295</v>
      </c>
      <c r="I368" s="35">
        <v>71</v>
      </c>
      <c r="J368" s="9" t="s">
        <v>10</v>
      </c>
      <c r="K368" s="9" t="s">
        <v>159</v>
      </c>
      <c r="L368" s="8">
        <v>19</v>
      </c>
      <c r="M368" s="8">
        <v>3104</v>
      </c>
      <c r="N368" s="9"/>
      <c r="O368" s="8">
        <v>0</v>
      </c>
      <c r="P368" s="9"/>
      <c r="Q368" s="8">
        <v>0</v>
      </c>
      <c r="R368" s="9"/>
      <c r="S368" s="8">
        <v>5309</v>
      </c>
      <c r="T368" s="9"/>
      <c r="U368" s="8">
        <v>0</v>
      </c>
      <c r="V368" s="9"/>
      <c r="W368" s="33">
        <v>8413</v>
      </c>
      <c r="X368" s="9"/>
      <c r="Y368" s="30">
        <v>6</v>
      </c>
      <c r="Z368" s="9"/>
      <c r="AA368" s="30">
        <v>0</v>
      </c>
      <c r="AB368" s="9"/>
      <c r="AC368" s="30">
        <v>0</v>
      </c>
      <c r="AD368" s="9"/>
      <c r="AE368" s="30">
        <v>12</v>
      </c>
      <c r="AF368" s="9"/>
      <c r="AG368" s="19">
        <v>0</v>
      </c>
      <c r="AI368" s="32">
        <v>18</v>
      </c>
      <c r="AK368" s="7" t="str">
        <f t="shared" si="5"/>
        <v>No</v>
      </c>
    </row>
    <row r="369" spans="1:37">
      <c r="A369" s="7" t="s">
        <v>751</v>
      </c>
      <c r="B369" s="7" t="s">
        <v>752</v>
      </c>
      <c r="C369" s="37" t="s">
        <v>84</v>
      </c>
      <c r="D369" s="296">
        <v>6114</v>
      </c>
      <c r="E369" s="297">
        <v>60114</v>
      </c>
      <c r="F369" s="27" t="s">
        <v>162</v>
      </c>
      <c r="G369" s="27" t="s">
        <v>158</v>
      </c>
      <c r="H369" s="35">
        <v>5121892</v>
      </c>
      <c r="I369" s="35">
        <v>71</v>
      </c>
      <c r="J369" s="9" t="s">
        <v>18</v>
      </c>
      <c r="K369" s="9" t="s">
        <v>159</v>
      </c>
      <c r="L369" s="8">
        <v>4</v>
      </c>
      <c r="M369" s="8">
        <v>287</v>
      </c>
      <c r="N369" s="9"/>
      <c r="O369" s="8">
        <v>0</v>
      </c>
      <c r="P369" s="9"/>
      <c r="Q369" s="8">
        <v>93</v>
      </c>
      <c r="R369" s="9"/>
      <c r="S369" s="8">
        <v>0</v>
      </c>
      <c r="T369" s="9"/>
      <c r="U369" s="8">
        <v>0</v>
      </c>
      <c r="V369" s="9"/>
      <c r="W369" s="33">
        <v>380</v>
      </c>
      <c r="X369" s="9"/>
      <c r="Y369" s="30">
        <v>1.33</v>
      </c>
      <c r="Z369" s="9"/>
      <c r="AA369" s="30">
        <v>0</v>
      </c>
      <c r="AB369" s="9"/>
      <c r="AC369" s="30">
        <v>7.0000000000000007E-2</v>
      </c>
      <c r="AD369" s="9"/>
      <c r="AE369" s="30">
        <v>0</v>
      </c>
      <c r="AF369" s="9"/>
      <c r="AG369" s="19">
        <v>0</v>
      </c>
      <c r="AI369" s="32">
        <v>1.4</v>
      </c>
      <c r="AK369" s="7" t="str">
        <f t="shared" si="5"/>
        <v>No</v>
      </c>
    </row>
    <row r="370" spans="1:37">
      <c r="A370" s="7" t="s">
        <v>255</v>
      </c>
      <c r="B370" s="7" t="s">
        <v>256</v>
      </c>
      <c r="C370" s="37" t="s">
        <v>6</v>
      </c>
      <c r="D370" s="296">
        <v>6033</v>
      </c>
      <c r="E370" s="297">
        <v>60033</v>
      </c>
      <c r="F370" s="27" t="s">
        <v>165</v>
      </c>
      <c r="G370" s="27" t="s">
        <v>158</v>
      </c>
      <c r="H370" s="35">
        <v>431388</v>
      </c>
      <c r="I370" s="35">
        <v>71</v>
      </c>
      <c r="J370" s="9" t="s">
        <v>12</v>
      </c>
      <c r="K370" s="9" t="s">
        <v>159</v>
      </c>
      <c r="L370" s="8">
        <v>3</v>
      </c>
      <c r="M370" s="8">
        <v>2244</v>
      </c>
      <c r="N370" s="9"/>
      <c r="O370" s="8">
        <v>0</v>
      </c>
      <c r="P370" s="9"/>
      <c r="Q370" s="8">
        <v>0</v>
      </c>
      <c r="R370" s="9"/>
      <c r="S370" s="8">
        <v>0</v>
      </c>
      <c r="T370" s="9"/>
      <c r="U370" s="8">
        <v>0</v>
      </c>
      <c r="V370" s="9"/>
      <c r="W370" s="33">
        <v>2244</v>
      </c>
      <c r="X370" s="9"/>
      <c r="Y370" s="30">
        <v>2</v>
      </c>
      <c r="Z370" s="9"/>
      <c r="AA370" s="30">
        <v>0</v>
      </c>
      <c r="AB370" s="9"/>
      <c r="AC370" s="30">
        <v>0</v>
      </c>
      <c r="AD370" s="9"/>
      <c r="AE370" s="30">
        <v>0</v>
      </c>
      <c r="AF370" s="9"/>
      <c r="AG370" s="19">
        <v>0</v>
      </c>
      <c r="AI370" s="32">
        <v>2</v>
      </c>
      <c r="AK370" s="7" t="str">
        <f t="shared" si="5"/>
        <v>No</v>
      </c>
    </row>
    <row r="371" spans="1:37">
      <c r="A371" s="7" t="s">
        <v>751</v>
      </c>
      <c r="B371" s="7" t="s">
        <v>752</v>
      </c>
      <c r="C371" s="37" t="s">
        <v>84</v>
      </c>
      <c r="D371" s="296">
        <v>6114</v>
      </c>
      <c r="E371" s="297">
        <v>60114</v>
      </c>
      <c r="F371" s="27" t="s">
        <v>162</v>
      </c>
      <c r="G371" s="27" t="s">
        <v>158</v>
      </c>
      <c r="H371" s="35">
        <v>5121892</v>
      </c>
      <c r="I371" s="35">
        <v>71</v>
      </c>
      <c r="J371" s="9" t="s">
        <v>7</v>
      </c>
      <c r="K371" s="9" t="s">
        <v>159</v>
      </c>
      <c r="L371" s="8">
        <v>1</v>
      </c>
      <c r="M371" s="8">
        <v>123</v>
      </c>
      <c r="N371" s="9"/>
      <c r="O371" s="8">
        <v>0</v>
      </c>
      <c r="P371" s="9"/>
      <c r="Q371" s="8">
        <v>40</v>
      </c>
      <c r="R371" s="9"/>
      <c r="S371" s="8">
        <v>0</v>
      </c>
      <c r="T371" s="9"/>
      <c r="U371" s="8">
        <v>0</v>
      </c>
      <c r="V371" s="9"/>
      <c r="W371" s="33">
        <v>163</v>
      </c>
      <c r="X371" s="9"/>
      <c r="Y371" s="30">
        <v>0.56999999999999995</v>
      </c>
      <c r="Z371" s="9"/>
      <c r="AA371" s="30">
        <v>0</v>
      </c>
      <c r="AB371" s="9"/>
      <c r="AC371" s="30">
        <v>0.03</v>
      </c>
      <c r="AD371" s="9"/>
      <c r="AE371" s="30">
        <v>0</v>
      </c>
      <c r="AF371" s="9"/>
      <c r="AG371" s="19">
        <v>0</v>
      </c>
      <c r="AI371" s="32">
        <v>0.6</v>
      </c>
      <c r="AK371" s="7" t="str">
        <f t="shared" si="5"/>
        <v>No</v>
      </c>
    </row>
    <row r="372" spans="1:37">
      <c r="A372" s="7" t="s">
        <v>523</v>
      </c>
      <c r="B372" s="7" t="s">
        <v>524</v>
      </c>
      <c r="C372" s="37" t="s">
        <v>42</v>
      </c>
      <c r="D372" s="296">
        <v>5104</v>
      </c>
      <c r="E372" s="297">
        <v>50104</v>
      </c>
      <c r="F372" s="27" t="s">
        <v>165</v>
      </c>
      <c r="G372" s="27" t="s">
        <v>158</v>
      </c>
      <c r="H372" s="35">
        <v>8608208</v>
      </c>
      <c r="I372" s="35">
        <v>70</v>
      </c>
      <c r="J372" s="9" t="s">
        <v>41</v>
      </c>
      <c r="K372" s="9" t="s">
        <v>159</v>
      </c>
      <c r="L372" s="8">
        <v>70</v>
      </c>
      <c r="M372" s="8">
        <v>1475</v>
      </c>
      <c r="N372" s="9"/>
      <c r="O372" s="8">
        <v>0</v>
      </c>
      <c r="P372" s="9"/>
      <c r="Q372" s="8">
        <v>0</v>
      </c>
      <c r="R372" s="9"/>
      <c r="S372" s="8">
        <v>608</v>
      </c>
      <c r="T372" s="9"/>
      <c r="U372" s="8">
        <v>0</v>
      </c>
      <c r="V372" s="9"/>
      <c r="W372" s="33">
        <v>2083</v>
      </c>
      <c r="X372" s="9"/>
      <c r="Y372" s="30">
        <v>6</v>
      </c>
      <c r="Z372" s="9"/>
      <c r="AA372" s="30">
        <v>0</v>
      </c>
      <c r="AB372" s="9"/>
      <c r="AC372" s="30">
        <v>0</v>
      </c>
      <c r="AD372" s="9"/>
      <c r="AE372" s="30">
        <v>1</v>
      </c>
      <c r="AF372" s="9"/>
      <c r="AG372" s="19">
        <v>0</v>
      </c>
      <c r="AI372" s="32">
        <v>7</v>
      </c>
      <c r="AK372" s="7" t="str">
        <f t="shared" si="5"/>
        <v>No</v>
      </c>
    </row>
    <row r="373" spans="1:37">
      <c r="A373" s="7" t="s">
        <v>1100</v>
      </c>
      <c r="B373" s="7" t="s">
        <v>1101</v>
      </c>
      <c r="C373" s="37" t="s">
        <v>63</v>
      </c>
      <c r="D373" s="296">
        <v>2209</v>
      </c>
      <c r="E373" s="297">
        <v>20209</v>
      </c>
      <c r="F373" s="27" t="s">
        <v>162</v>
      </c>
      <c r="G373" s="27" t="s">
        <v>158</v>
      </c>
      <c r="H373" s="35">
        <v>18351295</v>
      </c>
      <c r="I373" s="35">
        <v>70</v>
      </c>
      <c r="J373" s="9" t="s">
        <v>10</v>
      </c>
      <c r="K373" s="9" t="s">
        <v>159</v>
      </c>
      <c r="L373" s="8">
        <v>60</v>
      </c>
      <c r="M373" s="8">
        <v>0</v>
      </c>
      <c r="N373" s="9"/>
      <c r="O373" s="8">
        <v>0</v>
      </c>
      <c r="P373" s="9"/>
      <c r="Q373" s="8">
        <v>0</v>
      </c>
      <c r="R373" s="9"/>
      <c r="S373" s="8">
        <v>0</v>
      </c>
      <c r="T373" s="9"/>
      <c r="U373" s="8">
        <v>0</v>
      </c>
      <c r="V373" s="9"/>
      <c r="W373" s="33">
        <v>0</v>
      </c>
      <c r="X373" s="9"/>
      <c r="Y373" s="30">
        <v>0</v>
      </c>
      <c r="Z373" s="9"/>
      <c r="AA373" s="30">
        <v>0</v>
      </c>
      <c r="AB373" s="9"/>
      <c r="AC373" s="30">
        <v>0</v>
      </c>
      <c r="AD373" s="9"/>
      <c r="AE373" s="30">
        <v>0</v>
      </c>
      <c r="AF373" s="9"/>
      <c r="AG373" s="19">
        <v>0</v>
      </c>
      <c r="AI373" s="32">
        <v>0</v>
      </c>
      <c r="AK373" s="7" t="str">
        <f t="shared" si="5"/>
        <v>No</v>
      </c>
    </row>
    <row r="374" spans="1:37">
      <c r="A374" s="7" t="s">
        <v>1100</v>
      </c>
      <c r="B374" s="7" t="s">
        <v>1101</v>
      </c>
      <c r="C374" s="37" t="s">
        <v>63</v>
      </c>
      <c r="D374" s="296">
        <v>2209</v>
      </c>
      <c r="E374" s="297">
        <v>20209</v>
      </c>
      <c r="F374" s="27" t="s">
        <v>162</v>
      </c>
      <c r="G374" s="27" t="s">
        <v>158</v>
      </c>
      <c r="H374" s="35">
        <v>18351295</v>
      </c>
      <c r="I374" s="35">
        <v>70</v>
      </c>
      <c r="J374" s="9" t="s">
        <v>7</v>
      </c>
      <c r="K374" s="9" t="s">
        <v>159</v>
      </c>
      <c r="L374" s="8">
        <v>10</v>
      </c>
      <c r="M374" s="8">
        <v>0</v>
      </c>
      <c r="N374" s="9"/>
      <c r="O374" s="8">
        <v>0</v>
      </c>
      <c r="P374" s="9"/>
      <c r="Q374" s="8">
        <v>0</v>
      </c>
      <c r="R374" s="9"/>
      <c r="S374" s="8">
        <v>0</v>
      </c>
      <c r="T374" s="9"/>
      <c r="U374" s="8">
        <v>0</v>
      </c>
      <c r="V374" s="9"/>
      <c r="W374" s="33">
        <v>0</v>
      </c>
      <c r="X374" s="9"/>
      <c r="Y374" s="30">
        <v>0</v>
      </c>
      <c r="Z374" s="9"/>
      <c r="AA374" s="30">
        <v>0</v>
      </c>
      <c r="AB374" s="9"/>
      <c r="AC374" s="30">
        <v>0</v>
      </c>
      <c r="AD374" s="9"/>
      <c r="AE374" s="30">
        <v>0</v>
      </c>
      <c r="AF374" s="9"/>
      <c r="AG374" s="19">
        <v>0</v>
      </c>
      <c r="AI374" s="32">
        <v>0</v>
      </c>
      <c r="AK374" s="7" t="str">
        <f t="shared" si="5"/>
        <v>No</v>
      </c>
    </row>
    <row r="375" spans="1:37">
      <c r="A375" s="7" t="s">
        <v>756</v>
      </c>
      <c r="B375" s="7" t="s">
        <v>757</v>
      </c>
      <c r="C375" s="37" t="s">
        <v>63</v>
      </c>
      <c r="D375" s="296">
        <v>2192</v>
      </c>
      <c r="E375" s="297">
        <v>20192</v>
      </c>
      <c r="F375" s="27" t="s">
        <v>162</v>
      </c>
      <c r="G375" s="27" t="s">
        <v>158</v>
      </c>
      <c r="H375" s="35">
        <v>18351295</v>
      </c>
      <c r="I375" s="35">
        <v>69</v>
      </c>
      <c r="J375" s="9" t="s">
        <v>10</v>
      </c>
      <c r="K375" s="9" t="s">
        <v>159</v>
      </c>
      <c r="L375" s="8">
        <v>65</v>
      </c>
      <c r="M375" s="8">
        <v>2893</v>
      </c>
      <c r="N375" s="9"/>
      <c r="O375" s="8">
        <v>0</v>
      </c>
      <c r="P375" s="9"/>
      <c r="Q375" s="8">
        <v>0</v>
      </c>
      <c r="R375" s="9"/>
      <c r="S375" s="8">
        <v>0</v>
      </c>
      <c r="T375" s="9"/>
      <c r="U375" s="8">
        <v>0</v>
      </c>
      <c r="V375" s="9"/>
      <c r="W375" s="33">
        <v>2893</v>
      </c>
      <c r="X375" s="9"/>
      <c r="Y375" s="30">
        <v>3</v>
      </c>
      <c r="Z375" s="9"/>
      <c r="AA375" s="30">
        <v>0</v>
      </c>
      <c r="AB375" s="9"/>
      <c r="AC375" s="30">
        <v>0</v>
      </c>
      <c r="AD375" s="9"/>
      <c r="AE375" s="30">
        <v>0</v>
      </c>
      <c r="AF375" s="9"/>
      <c r="AG375" s="19">
        <v>0</v>
      </c>
      <c r="AI375" s="32">
        <v>3</v>
      </c>
      <c r="AK375" s="7" t="str">
        <f t="shared" si="5"/>
        <v>No</v>
      </c>
    </row>
    <row r="376" spans="1:37">
      <c r="A376" s="7" t="s">
        <v>428</v>
      </c>
      <c r="B376" s="7" t="s">
        <v>429</v>
      </c>
      <c r="C376" s="37" t="s">
        <v>52</v>
      </c>
      <c r="D376" s="296">
        <v>5035</v>
      </c>
      <c r="E376" s="297">
        <v>50035</v>
      </c>
      <c r="F376" s="27" t="s">
        <v>162</v>
      </c>
      <c r="G376" s="27" t="s">
        <v>158</v>
      </c>
      <c r="H376" s="35">
        <v>209703</v>
      </c>
      <c r="I376" s="35">
        <v>69</v>
      </c>
      <c r="J376" s="9" t="s">
        <v>7</v>
      </c>
      <c r="K376" s="9" t="s">
        <v>159</v>
      </c>
      <c r="L376" s="8">
        <v>28</v>
      </c>
      <c r="M376" s="8">
        <v>3622</v>
      </c>
      <c r="N376" s="9"/>
      <c r="O376" s="8">
        <v>0</v>
      </c>
      <c r="P376" s="9"/>
      <c r="Q376" s="8">
        <v>0</v>
      </c>
      <c r="R376" s="9"/>
      <c r="S376" s="8">
        <v>750</v>
      </c>
      <c r="T376" s="9"/>
      <c r="U376" s="8">
        <v>0</v>
      </c>
      <c r="V376" s="9"/>
      <c r="W376" s="33">
        <v>4372</v>
      </c>
      <c r="X376" s="9"/>
      <c r="Y376" s="30">
        <v>6</v>
      </c>
      <c r="Z376" s="9"/>
      <c r="AA376" s="30">
        <v>0</v>
      </c>
      <c r="AB376" s="9"/>
      <c r="AC376" s="30">
        <v>0</v>
      </c>
      <c r="AD376" s="9"/>
      <c r="AE376" s="30">
        <v>0.8</v>
      </c>
      <c r="AF376" s="9"/>
      <c r="AG376" s="19">
        <v>0</v>
      </c>
      <c r="AI376" s="32">
        <v>6.8</v>
      </c>
      <c r="AK376" s="7" t="str">
        <f t="shared" si="5"/>
        <v>No</v>
      </c>
    </row>
    <row r="377" spans="1:37">
      <c r="A377" s="7" t="s">
        <v>756</v>
      </c>
      <c r="B377" s="7" t="s">
        <v>757</v>
      </c>
      <c r="C377" s="37" t="s">
        <v>63</v>
      </c>
      <c r="D377" s="296">
        <v>2192</v>
      </c>
      <c r="E377" s="297">
        <v>20192</v>
      </c>
      <c r="F377" s="27" t="s">
        <v>162</v>
      </c>
      <c r="G377" s="27" t="s">
        <v>158</v>
      </c>
      <c r="H377" s="35">
        <v>18351295</v>
      </c>
      <c r="I377" s="35">
        <v>69</v>
      </c>
      <c r="J377" s="9" t="s">
        <v>7</v>
      </c>
      <c r="K377" s="9" t="s">
        <v>159</v>
      </c>
      <c r="L377" s="8">
        <v>4</v>
      </c>
      <c r="M377" s="8">
        <v>4218</v>
      </c>
      <c r="N377" s="9"/>
      <c r="O377" s="8">
        <v>0</v>
      </c>
      <c r="P377" s="9"/>
      <c r="Q377" s="8">
        <v>0</v>
      </c>
      <c r="R377" s="9"/>
      <c r="S377" s="8">
        <v>0</v>
      </c>
      <c r="T377" s="9"/>
      <c r="U377" s="8">
        <v>0</v>
      </c>
      <c r="V377" s="9"/>
      <c r="W377" s="33">
        <v>4218</v>
      </c>
      <c r="X377" s="9"/>
      <c r="Y377" s="30">
        <v>4</v>
      </c>
      <c r="Z377" s="9"/>
      <c r="AA377" s="30">
        <v>0</v>
      </c>
      <c r="AB377" s="9"/>
      <c r="AC377" s="30">
        <v>0</v>
      </c>
      <c r="AD377" s="9"/>
      <c r="AE377" s="30">
        <v>0</v>
      </c>
      <c r="AF377" s="9"/>
      <c r="AG377" s="19">
        <v>0</v>
      </c>
      <c r="AI377" s="32">
        <v>4</v>
      </c>
      <c r="AK377" s="7" t="str">
        <f t="shared" si="5"/>
        <v>No</v>
      </c>
    </row>
    <row r="378" spans="1:37">
      <c r="A378" s="7" t="s">
        <v>612</v>
      </c>
      <c r="B378" s="7" t="s">
        <v>613</v>
      </c>
      <c r="C378" s="37" t="s">
        <v>17</v>
      </c>
      <c r="D378" s="296">
        <v>9035</v>
      </c>
      <c r="E378" s="297">
        <v>90035</v>
      </c>
      <c r="F378" s="27" t="s">
        <v>165</v>
      </c>
      <c r="G378" s="27" t="s">
        <v>158</v>
      </c>
      <c r="H378" s="35">
        <v>367260</v>
      </c>
      <c r="I378" s="35">
        <v>67</v>
      </c>
      <c r="J378" s="9" t="s">
        <v>7</v>
      </c>
      <c r="K378" s="9" t="s">
        <v>159</v>
      </c>
      <c r="L378" s="8">
        <v>45</v>
      </c>
      <c r="M378" s="8">
        <v>21976</v>
      </c>
      <c r="N378" s="9"/>
      <c r="O378" s="8">
        <v>0</v>
      </c>
      <c r="P378" s="9"/>
      <c r="Q378" s="8">
        <v>0</v>
      </c>
      <c r="R378" s="9"/>
      <c r="S378" s="8">
        <v>207</v>
      </c>
      <c r="T378" s="9"/>
      <c r="U378" s="8">
        <v>551</v>
      </c>
      <c r="V378" s="9"/>
      <c r="W378" s="33">
        <v>22734</v>
      </c>
      <c r="X378" s="9"/>
      <c r="Y378" s="30">
        <v>18</v>
      </c>
      <c r="Z378" s="9"/>
      <c r="AA378" s="30">
        <v>0</v>
      </c>
      <c r="AB378" s="9"/>
      <c r="AC378" s="30">
        <v>0</v>
      </c>
      <c r="AD378" s="9"/>
      <c r="AE378" s="30">
        <v>1</v>
      </c>
      <c r="AF378" s="9"/>
      <c r="AG378" s="19">
        <v>1</v>
      </c>
      <c r="AI378" s="32">
        <v>20</v>
      </c>
      <c r="AK378" s="7" t="str">
        <f t="shared" si="5"/>
        <v>No</v>
      </c>
    </row>
    <row r="379" spans="1:37">
      <c r="A379" s="7" t="s">
        <v>747</v>
      </c>
      <c r="B379" s="7" t="s">
        <v>654</v>
      </c>
      <c r="C379" s="37" t="s">
        <v>26</v>
      </c>
      <c r="D379" s="296">
        <v>8106</v>
      </c>
      <c r="E379" s="297">
        <v>80106</v>
      </c>
      <c r="F379" s="27" t="s">
        <v>195</v>
      </c>
      <c r="G379" s="27" t="s">
        <v>158</v>
      </c>
      <c r="H379" s="35">
        <v>264465</v>
      </c>
      <c r="I379" s="35">
        <v>66</v>
      </c>
      <c r="J379" s="9" t="s">
        <v>8</v>
      </c>
      <c r="K379" s="9" t="s">
        <v>159</v>
      </c>
      <c r="L379" s="8">
        <v>66</v>
      </c>
      <c r="M379" s="8">
        <v>0</v>
      </c>
      <c r="N379" s="9"/>
      <c r="O379" s="8">
        <v>0</v>
      </c>
      <c r="P379" s="9"/>
      <c r="Q379" s="8">
        <v>0</v>
      </c>
      <c r="R379" s="9"/>
      <c r="S379" s="8">
        <v>3497</v>
      </c>
      <c r="T379" s="9"/>
      <c r="U379" s="8">
        <v>0</v>
      </c>
      <c r="V379" s="9"/>
      <c r="W379" s="33">
        <v>3497</v>
      </c>
      <c r="X379" s="9"/>
      <c r="Y379" s="30">
        <v>0</v>
      </c>
      <c r="Z379" s="9"/>
      <c r="AA379" s="30">
        <v>0</v>
      </c>
      <c r="AB379" s="9"/>
      <c r="AC379" s="30">
        <v>0</v>
      </c>
      <c r="AD379" s="9"/>
      <c r="AE379" s="30">
        <v>8</v>
      </c>
      <c r="AF379" s="9"/>
      <c r="AG379" s="19">
        <v>0</v>
      </c>
      <c r="AI379" s="32">
        <v>8</v>
      </c>
      <c r="AK379" s="7" t="str">
        <f t="shared" si="5"/>
        <v>No</v>
      </c>
    </row>
    <row r="380" spans="1:37">
      <c r="A380" s="7" t="s">
        <v>695</v>
      </c>
      <c r="B380" s="7" t="s">
        <v>696</v>
      </c>
      <c r="C380" s="37" t="s">
        <v>58</v>
      </c>
      <c r="D380" s="296">
        <v>4012</v>
      </c>
      <c r="E380" s="297">
        <v>40012</v>
      </c>
      <c r="F380" s="27" t="s">
        <v>165</v>
      </c>
      <c r="G380" s="27" t="s">
        <v>158</v>
      </c>
      <c r="H380" s="35">
        <v>391024</v>
      </c>
      <c r="I380" s="35">
        <v>66</v>
      </c>
      <c r="J380" s="9" t="s">
        <v>7</v>
      </c>
      <c r="K380" s="9" t="s">
        <v>159</v>
      </c>
      <c r="L380" s="8">
        <v>36</v>
      </c>
      <c r="M380" s="8">
        <v>3734</v>
      </c>
      <c r="N380" s="9"/>
      <c r="O380" s="8">
        <v>4800</v>
      </c>
      <c r="P380" s="9"/>
      <c r="Q380" s="8">
        <v>10102</v>
      </c>
      <c r="R380" s="9"/>
      <c r="S380" s="8">
        <v>2427</v>
      </c>
      <c r="T380" s="9"/>
      <c r="U380" s="8">
        <v>0</v>
      </c>
      <c r="V380" s="9"/>
      <c r="W380" s="33">
        <v>21063</v>
      </c>
      <c r="X380" s="9"/>
      <c r="Y380" s="30">
        <v>3</v>
      </c>
      <c r="Z380" s="9"/>
      <c r="AA380" s="30">
        <v>3</v>
      </c>
      <c r="AB380" s="9"/>
      <c r="AC380" s="30">
        <v>7</v>
      </c>
      <c r="AD380" s="9"/>
      <c r="AE380" s="30">
        <v>2</v>
      </c>
      <c r="AF380" s="9"/>
      <c r="AG380" s="19">
        <v>0</v>
      </c>
      <c r="AI380" s="32">
        <v>15</v>
      </c>
      <c r="AK380" s="7" t="str">
        <f t="shared" si="5"/>
        <v>No</v>
      </c>
    </row>
    <row r="381" spans="1:37">
      <c r="A381" s="7" t="s">
        <v>695</v>
      </c>
      <c r="B381" s="7" t="s">
        <v>696</v>
      </c>
      <c r="C381" s="37" t="s">
        <v>58</v>
      </c>
      <c r="D381" s="296">
        <v>4012</v>
      </c>
      <c r="E381" s="297">
        <v>40012</v>
      </c>
      <c r="F381" s="27" t="s">
        <v>165</v>
      </c>
      <c r="G381" s="27" t="s">
        <v>158</v>
      </c>
      <c r="H381" s="35">
        <v>391024</v>
      </c>
      <c r="I381" s="35">
        <v>66</v>
      </c>
      <c r="J381" s="9" t="s">
        <v>10</v>
      </c>
      <c r="K381" s="9" t="s">
        <v>159</v>
      </c>
      <c r="L381" s="8">
        <v>30</v>
      </c>
      <c r="M381" s="8">
        <v>19860</v>
      </c>
      <c r="N381" s="9"/>
      <c r="O381" s="8">
        <v>1600</v>
      </c>
      <c r="P381" s="9"/>
      <c r="Q381" s="8">
        <v>1400</v>
      </c>
      <c r="R381" s="9"/>
      <c r="S381" s="8">
        <v>2250</v>
      </c>
      <c r="T381" s="9"/>
      <c r="U381" s="8">
        <v>0</v>
      </c>
      <c r="V381" s="9"/>
      <c r="W381" s="33">
        <v>25110</v>
      </c>
      <c r="X381" s="9"/>
      <c r="Y381" s="30">
        <v>18</v>
      </c>
      <c r="Z381" s="9"/>
      <c r="AA381" s="30">
        <v>1</v>
      </c>
      <c r="AB381" s="9"/>
      <c r="AC381" s="30">
        <v>1</v>
      </c>
      <c r="AD381" s="9"/>
      <c r="AE381" s="30">
        <v>2</v>
      </c>
      <c r="AF381" s="9"/>
      <c r="AG381" s="19">
        <v>0</v>
      </c>
      <c r="AI381" s="32">
        <v>22</v>
      </c>
      <c r="AK381" s="7" t="str">
        <f t="shared" si="5"/>
        <v>No</v>
      </c>
    </row>
    <row r="382" spans="1:37">
      <c r="A382" s="7" t="s">
        <v>609</v>
      </c>
      <c r="B382" s="7" t="s">
        <v>312</v>
      </c>
      <c r="C382" s="37" t="s">
        <v>17</v>
      </c>
      <c r="D382" s="296">
        <v>9089</v>
      </c>
      <c r="E382" s="297">
        <v>90089</v>
      </c>
      <c r="F382" s="27" t="s">
        <v>162</v>
      </c>
      <c r="G382" s="27" t="s">
        <v>158</v>
      </c>
      <c r="H382" s="35">
        <v>308231</v>
      </c>
      <c r="I382" s="35">
        <v>66</v>
      </c>
      <c r="J382" s="9" t="s">
        <v>7</v>
      </c>
      <c r="K382" s="9" t="s">
        <v>159</v>
      </c>
      <c r="L382" s="8">
        <v>1</v>
      </c>
      <c r="M382" s="8">
        <v>0</v>
      </c>
      <c r="N382" s="9"/>
      <c r="O382" s="8">
        <v>0</v>
      </c>
      <c r="P382" s="9"/>
      <c r="Q382" s="8">
        <v>0</v>
      </c>
      <c r="R382" s="9"/>
      <c r="S382" s="8">
        <v>3</v>
      </c>
      <c r="T382" s="9"/>
      <c r="U382" s="8">
        <v>0</v>
      </c>
      <c r="V382" s="9"/>
      <c r="W382" s="33">
        <v>3</v>
      </c>
      <c r="X382" s="9"/>
      <c r="Y382" s="30">
        <v>0</v>
      </c>
      <c r="Z382" s="9"/>
      <c r="AA382" s="30">
        <v>0</v>
      </c>
      <c r="AB382" s="9"/>
      <c r="AC382" s="30">
        <v>0</v>
      </c>
      <c r="AD382" s="9"/>
      <c r="AE382" s="30">
        <v>0.01</v>
      </c>
      <c r="AF382" s="9"/>
      <c r="AG382" s="19">
        <v>0</v>
      </c>
      <c r="AI382" s="32">
        <v>0.01</v>
      </c>
      <c r="AK382" s="7" t="str">
        <f t="shared" si="5"/>
        <v>No</v>
      </c>
    </row>
    <row r="383" spans="1:37">
      <c r="A383" s="7" t="s">
        <v>391</v>
      </c>
      <c r="B383" s="7" t="s">
        <v>392</v>
      </c>
      <c r="C383" s="37" t="s">
        <v>28</v>
      </c>
      <c r="D383" s="296">
        <v>1050</v>
      </c>
      <c r="E383" s="297">
        <v>10050</v>
      </c>
      <c r="F383" s="27" t="s">
        <v>165</v>
      </c>
      <c r="G383" s="27" t="s">
        <v>158</v>
      </c>
      <c r="H383" s="35">
        <v>923311</v>
      </c>
      <c r="I383" s="35">
        <v>64</v>
      </c>
      <c r="J383" s="9" t="s">
        <v>7</v>
      </c>
      <c r="K383" s="9" t="s">
        <v>159</v>
      </c>
      <c r="L383" s="8">
        <v>43</v>
      </c>
      <c r="M383" s="8">
        <v>18761</v>
      </c>
      <c r="N383" s="9"/>
      <c r="O383" s="8">
        <v>2975</v>
      </c>
      <c r="P383" s="9"/>
      <c r="Q383" s="8">
        <v>0</v>
      </c>
      <c r="R383" s="9"/>
      <c r="S383" s="8">
        <v>2183</v>
      </c>
      <c r="T383" s="9"/>
      <c r="U383" s="8">
        <v>0</v>
      </c>
      <c r="V383" s="9"/>
      <c r="W383" s="33">
        <v>23919</v>
      </c>
      <c r="X383" s="9"/>
      <c r="Y383" s="30">
        <v>22</v>
      </c>
      <c r="Z383" s="9"/>
      <c r="AA383" s="30">
        <v>3</v>
      </c>
      <c r="AB383" s="9"/>
      <c r="AC383" s="30">
        <v>0</v>
      </c>
      <c r="AD383" s="9"/>
      <c r="AE383" s="30">
        <v>2</v>
      </c>
      <c r="AF383" s="9"/>
      <c r="AG383" s="19">
        <v>0</v>
      </c>
      <c r="AI383" s="32">
        <v>27</v>
      </c>
      <c r="AK383" s="7" t="str">
        <f t="shared" si="5"/>
        <v>No</v>
      </c>
    </row>
    <row r="384" spans="1:37">
      <c r="A384" s="7" t="s">
        <v>87</v>
      </c>
      <c r="B384" s="7" t="s">
        <v>736</v>
      </c>
      <c r="C384" s="37" t="s">
        <v>86</v>
      </c>
      <c r="D384" s="296">
        <v>3045</v>
      </c>
      <c r="E384" s="297">
        <v>30045</v>
      </c>
      <c r="F384" s="27" t="s">
        <v>401</v>
      </c>
      <c r="G384" s="27" t="s">
        <v>158</v>
      </c>
      <c r="H384" s="35">
        <v>92359</v>
      </c>
      <c r="I384" s="35">
        <v>63</v>
      </c>
      <c r="J384" s="9" t="s">
        <v>10</v>
      </c>
      <c r="K384" s="9" t="s">
        <v>159</v>
      </c>
      <c r="L384" s="8">
        <v>63</v>
      </c>
      <c r="M384" s="8">
        <v>47144</v>
      </c>
      <c r="N384" s="9"/>
      <c r="O384" s="8">
        <v>0</v>
      </c>
      <c r="P384" s="9"/>
      <c r="Q384" s="8">
        <v>0</v>
      </c>
      <c r="R384" s="9"/>
      <c r="S384" s="8">
        <v>0</v>
      </c>
      <c r="T384" s="9"/>
      <c r="U384" s="8">
        <v>0</v>
      </c>
      <c r="V384" s="9"/>
      <c r="W384" s="33">
        <v>47144</v>
      </c>
      <c r="X384" s="9"/>
      <c r="Y384" s="30">
        <v>37</v>
      </c>
      <c r="Z384" s="9"/>
      <c r="AA384" s="30">
        <v>0</v>
      </c>
      <c r="AB384" s="9"/>
      <c r="AC384" s="30">
        <v>0</v>
      </c>
      <c r="AD384" s="9"/>
      <c r="AE384" s="30">
        <v>0</v>
      </c>
      <c r="AF384" s="9"/>
      <c r="AG384" s="19">
        <v>0</v>
      </c>
      <c r="AI384" s="32">
        <v>37</v>
      </c>
      <c r="AK384" s="7" t="str">
        <f t="shared" si="5"/>
        <v>No</v>
      </c>
    </row>
    <row r="385" spans="1:37">
      <c r="A385" s="7" t="s">
        <v>626</v>
      </c>
      <c r="B385" s="7" t="s">
        <v>627</v>
      </c>
      <c r="C385" s="37" t="s">
        <v>73</v>
      </c>
      <c r="D385" s="296">
        <v>5011</v>
      </c>
      <c r="E385" s="297">
        <v>50011</v>
      </c>
      <c r="F385" s="27" t="s">
        <v>165</v>
      </c>
      <c r="G385" s="27" t="s">
        <v>158</v>
      </c>
      <c r="H385" s="35">
        <v>279245</v>
      </c>
      <c r="I385" s="35">
        <v>63</v>
      </c>
      <c r="J385" s="9" t="s">
        <v>7</v>
      </c>
      <c r="K385" s="9" t="s">
        <v>159</v>
      </c>
      <c r="L385" s="8">
        <v>33</v>
      </c>
      <c r="M385" s="8">
        <v>0</v>
      </c>
      <c r="N385" s="9"/>
      <c r="O385" s="8">
        <v>0</v>
      </c>
      <c r="P385" s="9"/>
      <c r="Q385" s="8">
        <v>0</v>
      </c>
      <c r="R385" s="9"/>
      <c r="S385" s="8">
        <v>0</v>
      </c>
      <c r="T385" s="9"/>
      <c r="U385" s="8">
        <v>0</v>
      </c>
      <c r="V385" s="9"/>
      <c r="W385" s="33">
        <v>0</v>
      </c>
      <c r="X385" s="9"/>
      <c r="Y385" s="30">
        <v>0</v>
      </c>
      <c r="Z385" s="9"/>
      <c r="AA385" s="30">
        <v>0</v>
      </c>
      <c r="AB385" s="9"/>
      <c r="AC385" s="30">
        <v>0</v>
      </c>
      <c r="AD385" s="9"/>
      <c r="AE385" s="30">
        <v>0</v>
      </c>
      <c r="AF385" s="9"/>
      <c r="AG385" s="19">
        <v>0</v>
      </c>
      <c r="AI385" s="32">
        <v>0</v>
      </c>
      <c r="AK385" s="7" t="str">
        <f t="shared" si="5"/>
        <v>No</v>
      </c>
    </row>
    <row r="386" spans="1:37">
      <c r="A386" s="7" t="s">
        <v>626</v>
      </c>
      <c r="B386" s="7" t="s">
        <v>627</v>
      </c>
      <c r="C386" s="37" t="s">
        <v>73</v>
      </c>
      <c r="D386" s="296">
        <v>5011</v>
      </c>
      <c r="E386" s="297">
        <v>50011</v>
      </c>
      <c r="F386" s="27" t="s">
        <v>165</v>
      </c>
      <c r="G386" s="27" t="s">
        <v>158</v>
      </c>
      <c r="H386" s="35">
        <v>279245</v>
      </c>
      <c r="I386" s="35">
        <v>63</v>
      </c>
      <c r="J386" s="9" t="s">
        <v>10</v>
      </c>
      <c r="K386" s="9" t="s">
        <v>159</v>
      </c>
      <c r="L386" s="8">
        <v>30</v>
      </c>
      <c r="M386" s="8">
        <v>0</v>
      </c>
      <c r="N386" s="9"/>
      <c r="O386" s="8">
        <v>0</v>
      </c>
      <c r="P386" s="9"/>
      <c r="Q386" s="8">
        <v>0</v>
      </c>
      <c r="R386" s="9"/>
      <c r="S386" s="8">
        <v>0</v>
      </c>
      <c r="T386" s="9"/>
      <c r="U386" s="8">
        <v>0</v>
      </c>
      <c r="V386" s="9"/>
      <c r="W386" s="33">
        <v>0</v>
      </c>
      <c r="X386" s="9"/>
      <c r="Y386" s="30">
        <v>0</v>
      </c>
      <c r="Z386" s="9"/>
      <c r="AA386" s="30">
        <v>0</v>
      </c>
      <c r="AB386" s="9"/>
      <c r="AC386" s="30">
        <v>0</v>
      </c>
      <c r="AD386" s="9"/>
      <c r="AE386" s="30">
        <v>0</v>
      </c>
      <c r="AF386" s="9"/>
      <c r="AG386" s="19">
        <v>0</v>
      </c>
      <c r="AI386" s="32">
        <v>0</v>
      </c>
      <c r="AK386" s="7" t="str">
        <f t="shared" ref="AK386:AK449" si="6">IF(AJ386&amp;AH386&amp;AF386&amp;AD386&amp;AB386&amp;Z386&amp;X386&amp;V386&amp;T386&amp;R386&amp;P386&amp;N386&lt;&gt;"","Yes","No")</f>
        <v>No</v>
      </c>
    </row>
    <row r="387" spans="1:37">
      <c r="A387" s="7" t="s">
        <v>701</v>
      </c>
      <c r="B387" s="7" t="s">
        <v>702</v>
      </c>
      <c r="C387" s="37" t="s">
        <v>89</v>
      </c>
      <c r="D387" s="296">
        <v>6</v>
      </c>
      <c r="E387" s="297">
        <v>6</v>
      </c>
      <c r="F387" s="27" t="s">
        <v>162</v>
      </c>
      <c r="G387" s="27" t="s">
        <v>158</v>
      </c>
      <c r="H387" s="35">
        <v>129534</v>
      </c>
      <c r="I387" s="35">
        <v>63</v>
      </c>
      <c r="J387" s="9" t="s">
        <v>7</v>
      </c>
      <c r="K387" s="9" t="s">
        <v>159</v>
      </c>
      <c r="L387" s="8">
        <v>19</v>
      </c>
      <c r="M387" s="8">
        <v>27919</v>
      </c>
      <c r="N387" s="9"/>
      <c r="O387" s="8">
        <v>5843</v>
      </c>
      <c r="P387" s="9"/>
      <c r="Q387" s="8">
        <v>0</v>
      </c>
      <c r="R387" s="9"/>
      <c r="S387" s="8">
        <v>0</v>
      </c>
      <c r="T387" s="9"/>
      <c r="U387" s="8">
        <v>0</v>
      </c>
      <c r="V387" s="9"/>
      <c r="W387" s="33">
        <v>33762</v>
      </c>
      <c r="X387" s="9"/>
      <c r="Y387" s="30">
        <v>29</v>
      </c>
      <c r="Z387" s="9"/>
      <c r="AA387" s="30">
        <v>7</v>
      </c>
      <c r="AB387" s="9"/>
      <c r="AC387" s="30">
        <v>0</v>
      </c>
      <c r="AD387" s="9"/>
      <c r="AE387" s="30">
        <v>0</v>
      </c>
      <c r="AF387" s="9"/>
      <c r="AG387" s="19">
        <v>0</v>
      </c>
      <c r="AI387" s="32">
        <v>36</v>
      </c>
      <c r="AK387" s="7" t="str">
        <f t="shared" si="6"/>
        <v>No</v>
      </c>
    </row>
    <row r="388" spans="1:37">
      <c r="A388" s="7" t="s">
        <v>701</v>
      </c>
      <c r="B388" s="7" t="s">
        <v>702</v>
      </c>
      <c r="C388" s="37" t="s">
        <v>89</v>
      </c>
      <c r="D388" s="296">
        <v>6</v>
      </c>
      <c r="E388" s="297">
        <v>6</v>
      </c>
      <c r="F388" s="27" t="s">
        <v>162</v>
      </c>
      <c r="G388" s="27" t="s">
        <v>158</v>
      </c>
      <c r="H388" s="35">
        <v>129534</v>
      </c>
      <c r="I388" s="35">
        <v>63</v>
      </c>
      <c r="J388" s="9" t="s">
        <v>8</v>
      </c>
      <c r="K388" s="9" t="s">
        <v>159</v>
      </c>
      <c r="L388" s="8">
        <v>16</v>
      </c>
      <c r="M388" s="8">
        <v>0</v>
      </c>
      <c r="N388" s="9"/>
      <c r="O388" s="8">
        <v>0</v>
      </c>
      <c r="P388" s="9"/>
      <c r="Q388" s="8">
        <v>0</v>
      </c>
      <c r="R388" s="9"/>
      <c r="S388" s="8">
        <v>0</v>
      </c>
      <c r="T388" s="9"/>
      <c r="U388" s="8">
        <v>0</v>
      </c>
      <c r="V388" s="9"/>
      <c r="W388" s="33">
        <v>0</v>
      </c>
      <c r="X388" s="9"/>
      <c r="Y388" s="30">
        <v>0</v>
      </c>
      <c r="Z388" s="9"/>
      <c r="AA388" s="30">
        <v>0</v>
      </c>
      <c r="AB388" s="9"/>
      <c r="AC388" s="30">
        <v>0</v>
      </c>
      <c r="AD388" s="9"/>
      <c r="AE388" s="30">
        <v>0</v>
      </c>
      <c r="AF388" s="9"/>
      <c r="AG388" s="19">
        <v>0</v>
      </c>
      <c r="AI388" s="32">
        <v>0</v>
      </c>
      <c r="AK388" s="7" t="str">
        <f t="shared" si="6"/>
        <v>No</v>
      </c>
    </row>
    <row r="389" spans="1:37">
      <c r="A389" s="7" t="s">
        <v>569</v>
      </c>
      <c r="B389" s="7" t="s">
        <v>570</v>
      </c>
      <c r="C389" s="37" t="s">
        <v>40</v>
      </c>
      <c r="D389" s="296">
        <v>5057</v>
      </c>
      <c r="E389" s="297">
        <v>50057</v>
      </c>
      <c r="F389" s="27" t="s">
        <v>165</v>
      </c>
      <c r="G389" s="27" t="s">
        <v>158</v>
      </c>
      <c r="H389" s="35">
        <v>280051</v>
      </c>
      <c r="I389" s="35">
        <v>62</v>
      </c>
      <c r="J389" s="9" t="s">
        <v>7</v>
      </c>
      <c r="K389" s="9" t="s">
        <v>159</v>
      </c>
      <c r="L389" s="8">
        <v>46</v>
      </c>
      <c r="M389" s="8">
        <v>13451</v>
      </c>
      <c r="N389" s="9"/>
      <c r="O389" s="8">
        <v>6933</v>
      </c>
      <c r="P389" s="9"/>
      <c r="Q389" s="8">
        <v>0</v>
      </c>
      <c r="R389" s="9"/>
      <c r="S389" s="8">
        <v>4736</v>
      </c>
      <c r="T389" s="9"/>
      <c r="U389" s="8">
        <v>0</v>
      </c>
      <c r="V389" s="9"/>
      <c r="W389" s="33">
        <v>25120</v>
      </c>
      <c r="X389" s="9"/>
      <c r="Y389" s="30">
        <v>13</v>
      </c>
      <c r="Z389" s="9"/>
      <c r="AA389" s="30">
        <v>5</v>
      </c>
      <c r="AB389" s="9"/>
      <c r="AC389" s="30">
        <v>0</v>
      </c>
      <c r="AD389" s="9"/>
      <c r="AE389" s="30">
        <v>9</v>
      </c>
      <c r="AF389" s="9"/>
      <c r="AG389" s="19">
        <v>0</v>
      </c>
      <c r="AI389" s="32">
        <v>27</v>
      </c>
      <c r="AK389" s="7" t="str">
        <f t="shared" si="6"/>
        <v>No</v>
      </c>
    </row>
    <row r="390" spans="1:37">
      <c r="A390" s="7" t="s">
        <v>649</v>
      </c>
      <c r="B390" s="7" t="s">
        <v>650</v>
      </c>
      <c r="C390" s="37" t="s">
        <v>70</v>
      </c>
      <c r="D390" s="296">
        <v>2145</v>
      </c>
      <c r="E390" s="297">
        <v>20145</v>
      </c>
      <c r="F390" s="27" t="s">
        <v>187</v>
      </c>
      <c r="G390" s="27" t="s">
        <v>158</v>
      </c>
      <c r="H390" s="35">
        <v>53661</v>
      </c>
      <c r="I390" s="35">
        <v>62</v>
      </c>
      <c r="J390" s="9" t="s">
        <v>7</v>
      </c>
      <c r="K390" s="9" t="s">
        <v>159</v>
      </c>
      <c r="L390" s="8">
        <v>40</v>
      </c>
      <c r="M390" s="8">
        <v>0</v>
      </c>
      <c r="N390" s="9"/>
      <c r="O390" s="8">
        <v>0</v>
      </c>
      <c r="P390" s="9"/>
      <c r="Q390" s="8">
        <v>0</v>
      </c>
      <c r="R390" s="9"/>
      <c r="S390" s="8">
        <v>0</v>
      </c>
      <c r="T390" s="9"/>
      <c r="U390" s="8">
        <v>0</v>
      </c>
      <c r="V390" s="9"/>
      <c r="W390" s="33">
        <v>0</v>
      </c>
      <c r="X390" s="9"/>
      <c r="Y390" s="30">
        <v>0</v>
      </c>
      <c r="Z390" s="9"/>
      <c r="AA390" s="30">
        <v>0</v>
      </c>
      <c r="AB390" s="9"/>
      <c r="AC390" s="30">
        <v>0</v>
      </c>
      <c r="AD390" s="9"/>
      <c r="AE390" s="30">
        <v>0</v>
      </c>
      <c r="AF390" s="9"/>
      <c r="AG390" s="19">
        <v>0</v>
      </c>
      <c r="AI390" s="32">
        <v>0</v>
      </c>
      <c r="AK390" s="7" t="str">
        <f t="shared" si="6"/>
        <v>No</v>
      </c>
    </row>
    <row r="391" spans="1:37">
      <c r="A391" s="7" t="s">
        <v>336</v>
      </c>
      <c r="B391" s="7" t="s">
        <v>337</v>
      </c>
      <c r="C391" s="37" t="s">
        <v>77</v>
      </c>
      <c r="D391" s="296">
        <v>3025</v>
      </c>
      <c r="E391" s="297">
        <v>30025</v>
      </c>
      <c r="F391" s="27" t="s">
        <v>165</v>
      </c>
      <c r="G391" s="27" t="s">
        <v>158</v>
      </c>
      <c r="H391" s="35">
        <v>381502</v>
      </c>
      <c r="I391" s="35">
        <v>62</v>
      </c>
      <c r="J391" s="9" t="s">
        <v>10</v>
      </c>
      <c r="K391" s="9" t="s">
        <v>159</v>
      </c>
      <c r="L391" s="8">
        <v>29</v>
      </c>
      <c r="M391" s="8">
        <v>4755</v>
      </c>
      <c r="N391" s="9"/>
      <c r="O391" s="8">
        <v>0</v>
      </c>
      <c r="P391" s="9"/>
      <c r="Q391" s="8">
        <v>1189</v>
      </c>
      <c r="R391" s="9"/>
      <c r="S391" s="8">
        <v>0</v>
      </c>
      <c r="T391" s="9"/>
      <c r="U391" s="8">
        <v>0</v>
      </c>
      <c r="V391" s="9"/>
      <c r="W391" s="33">
        <v>5944</v>
      </c>
      <c r="X391" s="9"/>
      <c r="Y391" s="30">
        <v>8</v>
      </c>
      <c r="Z391" s="9"/>
      <c r="AA391" s="30">
        <v>0</v>
      </c>
      <c r="AB391" s="9"/>
      <c r="AC391" s="30">
        <v>1</v>
      </c>
      <c r="AD391" s="9"/>
      <c r="AE391" s="30">
        <v>0</v>
      </c>
      <c r="AF391" s="9"/>
      <c r="AG391" s="19">
        <v>0</v>
      </c>
      <c r="AI391" s="32">
        <v>9</v>
      </c>
      <c r="AK391" s="7" t="str">
        <f t="shared" si="6"/>
        <v>No</v>
      </c>
    </row>
    <row r="392" spans="1:37">
      <c r="A392" s="7" t="s">
        <v>336</v>
      </c>
      <c r="B392" s="7" t="s">
        <v>337</v>
      </c>
      <c r="C392" s="37" t="s">
        <v>77</v>
      </c>
      <c r="D392" s="296">
        <v>3025</v>
      </c>
      <c r="E392" s="297">
        <v>30025</v>
      </c>
      <c r="F392" s="27" t="s">
        <v>165</v>
      </c>
      <c r="G392" s="27" t="s">
        <v>158</v>
      </c>
      <c r="H392" s="35">
        <v>381502</v>
      </c>
      <c r="I392" s="35">
        <v>62</v>
      </c>
      <c r="J392" s="9" t="s">
        <v>7</v>
      </c>
      <c r="K392" s="9" t="s">
        <v>159</v>
      </c>
      <c r="L392" s="8">
        <v>26</v>
      </c>
      <c r="M392" s="8">
        <v>4013</v>
      </c>
      <c r="N392" s="9"/>
      <c r="O392" s="8">
        <v>0</v>
      </c>
      <c r="P392" s="9"/>
      <c r="Q392" s="8">
        <v>1492</v>
      </c>
      <c r="R392" s="9"/>
      <c r="S392" s="8">
        <v>1676</v>
      </c>
      <c r="T392" s="9"/>
      <c r="U392" s="8">
        <v>0</v>
      </c>
      <c r="V392" s="9"/>
      <c r="W392" s="33">
        <v>7181</v>
      </c>
      <c r="X392" s="9"/>
      <c r="Y392" s="30">
        <v>7</v>
      </c>
      <c r="Z392" s="9"/>
      <c r="AA392" s="30">
        <v>0</v>
      </c>
      <c r="AB392" s="9"/>
      <c r="AC392" s="30">
        <v>2</v>
      </c>
      <c r="AD392" s="9"/>
      <c r="AE392" s="30">
        <v>5</v>
      </c>
      <c r="AF392" s="9"/>
      <c r="AG392" s="19">
        <v>0</v>
      </c>
      <c r="AI392" s="32">
        <v>14</v>
      </c>
      <c r="AK392" s="7" t="str">
        <f t="shared" si="6"/>
        <v>No</v>
      </c>
    </row>
    <row r="393" spans="1:37">
      <c r="A393" s="7" t="s">
        <v>569</v>
      </c>
      <c r="B393" s="7" t="s">
        <v>570</v>
      </c>
      <c r="C393" s="37" t="s">
        <v>40</v>
      </c>
      <c r="D393" s="296">
        <v>5057</v>
      </c>
      <c r="E393" s="297">
        <v>50057</v>
      </c>
      <c r="F393" s="27" t="s">
        <v>165</v>
      </c>
      <c r="G393" s="27" t="s">
        <v>158</v>
      </c>
      <c r="H393" s="35">
        <v>280051</v>
      </c>
      <c r="I393" s="35">
        <v>62</v>
      </c>
      <c r="J393" s="9" t="s">
        <v>10</v>
      </c>
      <c r="K393" s="9" t="s">
        <v>159</v>
      </c>
      <c r="L393" s="8">
        <v>9</v>
      </c>
      <c r="M393" s="8">
        <v>11309</v>
      </c>
      <c r="N393" s="9"/>
      <c r="O393" s="8">
        <v>0</v>
      </c>
      <c r="P393" s="9"/>
      <c r="Q393" s="8">
        <v>0</v>
      </c>
      <c r="R393" s="9"/>
      <c r="S393" s="8">
        <v>0</v>
      </c>
      <c r="T393" s="9"/>
      <c r="U393" s="8">
        <v>0</v>
      </c>
      <c r="V393" s="9"/>
      <c r="W393" s="33">
        <v>11309</v>
      </c>
      <c r="X393" s="9"/>
      <c r="Y393" s="30">
        <v>8</v>
      </c>
      <c r="Z393" s="9"/>
      <c r="AA393" s="30">
        <v>0</v>
      </c>
      <c r="AB393" s="9"/>
      <c r="AC393" s="30">
        <v>0</v>
      </c>
      <c r="AD393" s="9"/>
      <c r="AE393" s="30">
        <v>0</v>
      </c>
      <c r="AF393" s="9"/>
      <c r="AG393" s="19">
        <v>0</v>
      </c>
      <c r="AI393" s="32">
        <v>8</v>
      </c>
      <c r="AK393" s="7" t="str">
        <f t="shared" si="6"/>
        <v>No</v>
      </c>
    </row>
    <row r="394" spans="1:37">
      <c r="A394" s="7" t="s">
        <v>393</v>
      </c>
      <c r="B394" s="7" t="s">
        <v>304</v>
      </c>
      <c r="C394" s="37" t="s">
        <v>42</v>
      </c>
      <c r="D394" s="296">
        <v>5051</v>
      </c>
      <c r="E394" s="297">
        <v>50051</v>
      </c>
      <c r="F394" s="27" t="s">
        <v>165</v>
      </c>
      <c r="G394" s="27" t="s">
        <v>158</v>
      </c>
      <c r="H394" s="35">
        <v>147725</v>
      </c>
      <c r="I394" s="35">
        <v>61</v>
      </c>
      <c r="J394" s="9" t="s">
        <v>7</v>
      </c>
      <c r="K394" s="9" t="s">
        <v>159</v>
      </c>
      <c r="L394" s="8">
        <v>56</v>
      </c>
      <c r="M394" s="8">
        <v>16112</v>
      </c>
      <c r="N394" s="9"/>
      <c r="O394" s="8">
        <v>0</v>
      </c>
      <c r="P394" s="9"/>
      <c r="Q394" s="8">
        <v>0</v>
      </c>
      <c r="R394" s="9"/>
      <c r="S394" s="8">
        <v>1357</v>
      </c>
      <c r="T394" s="9"/>
      <c r="U394" s="8">
        <v>0</v>
      </c>
      <c r="V394" s="9"/>
      <c r="W394" s="33">
        <v>17469</v>
      </c>
      <c r="X394" s="9"/>
      <c r="Y394" s="30">
        <v>16</v>
      </c>
      <c r="Z394" s="9"/>
      <c r="AA394" s="30">
        <v>0</v>
      </c>
      <c r="AB394" s="9"/>
      <c r="AC394" s="30">
        <v>0</v>
      </c>
      <c r="AD394" s="9"/>
      <c r="AE394" s="30">
        <v>2</v>
      </c>
      <c r="AF394" s="9"/>
      <c r="AG394" s="19">
        <v>0</v>
      </c>
      <c r="AI394" s="32">
        <v>18</v>
      </c>
      <c r="AK394" s="7" t="str">
        <f t="shared" si="6"/>
        <v>No</v>
      </c>
    </row>
    <row r="395" spans="1:37">
      <c r="A395" s="7" t="s">
        <v>1128</v>
      </c>
      <c r="B395" s="7" t="s">
        <v>442</v>
      </c>
      <c r="C395" s="37" t="s">
        <v>32</v>
      </c>
      <c r="D395" s="296">
        <v>4031</v>
      </c>
      <c r="E395" s="297">
        <v>40031</v>
      </c>
      <c r="F395" s="27" t="s">
        <v>165</v>
      </c>
      <c r="G395" s="27" t="s">
        <v>158</v>
      </c>
      <c r="H395" s="35">
        <v>262596</v>
      </c>
      <c r="I395" s="35">
        <v>61</v>
      </c>
      <c r="J395" s="9" t="s">
        <v>10</v>
      </c>
      <c r="K395" s="9" t="s">
        <v>159</v>
      </c>
      <c r="L395" s="8">
        <v>31</v>
      </c>
      <c r="M395" s="8">
        <v>328</v>
      </c>
      <c r="N395" s="9"/>
      <c r="O395" s="8">
        <v>3715</v>
      </c>
      <c r="P395" s="9"/>
      <c r="Q395" s="8">
        <v>772</v>
      </c>
      <c r="R395" s="9"/>
      <c r="S395" s="8">
        <v>1145</v>
      </c>
      <c r="T395" s="9"/>
      <c r="U395" s="8">
        <v>0</v>
      </c>
      <c r="V395" s="9"/>
      <c r="W395" s="33">
        <v>5960</v>
      </c>
      <c r="X395" s="9"/>
      <c r="Y395" s="30">
        <v>2</v>
      </c>
      <c r="Z395" s="9"/>
      <c r="AA395" s="30">
        <v>4</v>
      </c>
      <c r="AB395" s="9"/>
      <c r="AC395" s="30">
        <v>1</v>
      </c>
      <c r="AD395" s="9"/>
      <c r="AE395" s="30">
        <v>2</v>
      </c>
      <c r="AF395" s="9"/>
      <c r="AG395" s="19">
        <v>0</v>
      </c>
      <c r="AI395" s="32">
        <v>9</v>
      </c>
      <c r="AK395" s="7" t="str">
        <f t="shared" si="6"/>
        <v>No</v>
      </c>
    </row>
    <row r="396" spans="1:37">
      <c r="A396" s="7" t="s">
        <v>1128</v>
      </c>
      <c r="B396" s="7" t="s">
        <v>442</v>
      </c>
      <c r="C396" s="37" t="s">
        <v>32</v>
      </c>
      <c r="D396" s="296">
        <v>4031</v>
      </c>
      <c r="E396" s="297">
        <v>40031</v>
      </c>
      <c r="F396" s="27" t="s">
        <v>165</v>
      </c>
      <c r="G396" s="27" t="s">
        <v>158</v>
      </c>
      <c r="H396" s="35">
        <v>262596</v>
      </c>
      <c r="I396" s="35">
        <v>61</v>
      </c>
      <c r="J396" s="9" t="s">
        <v>7</v>
      </c>
      <c r="K396" s="9" t="s">
        <v>159</v>
      </c>
      <c r="L396" s="8">
        <v>30</v>
      </c>
      <c r="M396" s="8">
        <v>2292</v>
      </c>
      <c r="N396" s="9"/>
      <c r="O396" s="8">
        <v>4515</v>
      </c>
      <c r="P396" s="9"/>
      <c r="Q396" s="8">
        <v>1248</v>
      </c>
      <c r="R396" s="9"/>
      <c r="S396" s="8">
        <v>1850</v>
      </c>
      <c r="T396" s="9"/>
      <c r="U396" s="8">
        <v>0</v>
      </c>
      <c r="V396" s="9"/>
      <c r="W396" s="33">
        <v>9905</v>
      </c>
      <c r="X396" s="9"/>
      <c r="Y396" s="30">
        <v>4</v>
      </c>
      <c r="Z396" s="9"/>
      <c r="AA396" s="30">
        <v>6</v>
      </c>
      <c r="AB396" s="9"/>
      <c r="AC396" s="30">
        <v>1</v>
      </c>
      <c r="AD396" s="9"/>
      <c r="AE396" s="30">
        <v>4</v>
      </c>
      <c r="AF396" s="9"/>
      <c r="AG396" s="19">
        <v>0</v>
      </c>
      <c r="AI396" s="32">
        <v>15</v>
      </c>
      <c r="AK396" s="7" t="str">
        <f t="shared" si="6"/>
        <v>No</v>
      </c>
    </row>
    <row r="397" spans="1:37">
      <c r="A397" s="7" t="s">
        <v>393</v>
      </c>
      <c r="B397" s="7" t="s">
        <v>304</v>
      </c>
      <c r="C397" s="37" t="s">
        <v>42</v>
      </c>
      <c r="D397" s="296">
        <v>5051</v>
      </c>
      <c r="E397" s="297">
        <v>50051</v>
      </c>
      <c r="F397" s="27" t="s">
        <v>165</v>
      </c>
      <c r="G397" s="27" t="s">
        <v>158</v>
      </c>
      <c r="H397" s="35">
        <v>147725</v>
      </c>
      <c r="I397" s="35">
        <v>61</v>
      </c>
      <c r="J397" s="9" t="s">
        <v>10</v>
      </c>
      <c r="K397" s="9" t="s">
        <v>159</v>
      </c>
      <c r="L397" s="8">
        <v>5</v>
      </c>
      <c r="M397" s="8">
        <v>0</v>
      </c>
      <c r="N397" s="9"/>
      <c r="O397" s="8">
        <v>0</v>
      </c>
      <c r="P397" s="9"/>
      <c r="Q397" s="8">
        <v>0</v>
      </c>
      <c r="R397" s="9"/>
      <c r="S397" s="8">
        <v>0</v>
      </c>
      <c r="T397" s="9"/>
      <c r="U397" s="8">
        <v>0</v>
      </c>
      <c r="V397" s="9"/>
      <c r="W397" s="33">
        <v>0</v>
      </c>
      <c r="X397" s="9"/>
      <c r="Y397" s="30">
        <v>0</v>
      </c>
      <c r="Z397" s="9"/>
      <c r="AA397" s="30">
        <v>0</v>
      </c>
      <c r="AB397" s="9"/>
      <c r="AC397" s="30">
        <v>0</v>
      </c>
      <c r="AD397" s="9"/>
      <c r="AE397" s="30">
        <v>0</v>
      </c>
      <c r="AF397" s="9"/>
      <c r="AG397" s="19">
        <v>0</v>
      </c>
      <c r="AI397" s="32">
        <v>0</v>
      </c>
      <c r="AK397" s="7" t="str">
        <f t="shared" si="6"/>
        <v>No</v>
      </c>
    </row>
    <row r="398" spans="1:37">
      <c r="A398" s="7" t="s">
        <v>622</v>
      </c>
      <c r="B398" s="7" t="s">
        <v>284</v>
      </c>
      <c r="C398" s="37" t="s">
        <v>40</v>
      </c>
      <c r="D398" s="296">
        <v>5059</v>
      </c>
      <c r="E398" s="297">
        <v>50059</v>
      </c>
      <c r="F398" s="27" t="s">
        <v>165</v>
      </c>
      <c r="G398" s="27" t="s">
        <v>158</v>
      </c>
      <c r="H398" s="35">
        <v>161316</v>
      </c>
      <c r="I398" s="35">
        <v>60</v>
      </c>
      <c r="J398" s="9" t="s">
        <v>7</v>
      </c>
      <c r="K398" s="9" t="s">
        <v>159</v>
      </c>
      <c r="L398" s="8">
        <v>48</v>
      </c>
      <c r="M398" s="8">
        <v>55692</v>
      </c>
      <c r="N398" s="9"/>
      <c r="O398" s="8">
        <v>0</v>
      </c>
      <c r="P398" s="9"/>
      <c r="Q398" s="8">
        <v>0</v>
      </c>
      <c r="R398" s="9"/>
      <c r="S398" s="8">
        <v>0</v>
      </c>
      <c r="T398" s="9"/>
      <c r="U398" s="8">
        <v>0</v>
      </c>
      <c r="V398" s="9"/>
      <c r="W398" s="33">
        <v>55692</v>
      </c>
      <c r="X398" s="9"/>
      <c r="Y398" s="30">
        <v>29</v>
      </c>
      <c r="Z398" s="9"/>
      <c r="AA398" s="30">
        <v>0</v>
      </c>
      <c r="AB398" s="9"/>
      <c r="AC398" s="30">
        <v>0</v>
      </c>
      <c r="AD398" s="9"/>
      <c r="AE398" s="30">
        <v>0</v>
      </c>
      <c r="AF398" s="9"/>
      <c r="AG398" s="19">
        <v>0</v>
      </c>
      <c r="AI398" s="32">
        <v>29</v>
      </c>
      <c r="AK398" s="7" t="str">
        <f t="shared" si="6"/>
        <v>No</v>
      </c>
    </row>
    <row r="399" spans="1:37">
      <c r="A399" s="7" t="s">
        <v>229</v>
      </c>
      <c r="B399" s="7" t="s">
        <v>230</v>
      </c>
      <c r="C399" s="37" t="s">
        <v>2</v>
      </c>
      <c r="D399" s="296">
        <v>11</v>
      </c>
      <c r="E399" s="297">
        <v>11</v>
      </c>
      <c r="F399" s="27" t="s">
        <v>165</v>
      </c>
      <c r="G399" s="27" t="s">
        <v>158</v>
      </c>
      <c r="H399" s="35">
        <v>349684</v>
      </c>
      <c r="I399" s="35">
        <v>60</v>
      </c>
      <c r="J399" s="9" t="s">
        <v>7</v>
      </c>
      <c r="K399" s="9" t="s">
        <v>159</v>
      </c>
      <c r="L399" s="8">
        <v>40</v>
      </c>
      <c r="M399" s="8">
        <v>10984</v>
      </c>
      <c r="N399" s="9"/>
      <c r="O399" s="8">
        <v>1912</v>
      </c>
      <c r="P399" s="9"/>
      <c r="Q399" s="8">
        <v>0</v>
      </c>
      <c r="R399" s="9"/>
      <c r="S399" s="8">
        <v>808</v>
      </c>
      <c r="T399" s="9"/>
      <c r="U399" s="8">
        <v>0</v>
      </c>
      <c r="V399" s="9"/>
      <c r="W399" s="33">
        <v>13704</v>
      </c>
      <c r="X399" s="9"/>
      <c r="Y399" s="30">
        <v>11.04</v>
      </c>
      <c r="Z399" s="9"/>
      <c r="AA399" s="30">
        <v>3</v>
      </c>
      <c r="AB399" s="9"/>
      <c r="AC399" s="30">
        <v>0</v>
      </c>
      <c r="AD399" s="9"/>
      <c r="AE399" s="30">
        <v>1.5</v>
      </c>
      <c r="AF399" s="9"/>
      <c r="AG399" s="19">
        <v>0</v>
      </c>
      <c r="AI399" s="32">
        <v>15.54</v>
      </c>
      <c r="AK399" s="7" t="str">
        <f t="shared" si="6"/>
        <v>No</v>
      </c>
    </row>
    <row r="400" spans="1:37">
      <c r="A400" s="7" t="s">
        <v>229</v>
      </c>
      <c r="B400" s="7" t="s">
        <v>230</v>
      </c>
      <c r="C400" s="37" t="s">
        <v>2</v>
      </c>
      <c r="D400" s="296">
        <v>11</v>
      </c>
      <c r="E400" s="297">
        <v>11</v>
      </c>
      <c r="F400" s="27" t="s">
        <v>165</v>
      </c>
      <c r="G400" s="27" t="s">
        <v>158</v>
      </c>
      <c r="H400" s="35">
        <v>349684</v>
      </c>
      <c r="I400" s="35">
        <v>60</v>
      </c>
      <c r="J400" s="9" t="s">
        <v>10</v>
      </c>
      <c r="K400" s="9" t="s">
        <v>159</v>
      </c>
      <c r="L400" s="8">
        <v>20</v>
      </c>
      <c r="M400" s="8">
        <v>88</v>
      </c>
      <c r="N400" s="9"/>
      <c r="O400" s="8">
        <v>0</v>
      </c>
      <c r="P400" s="9"/>
      <c r="Q400" s="8">
        <v>0</v>
      </c>
      <c r="R400" s="9"/>
      <c r="S400" s="8">
        <v>0</v>
      </c>
      <c r="T400" s="9"/>
      <c r="U400" s="8">
        <v>0</v>
      </c>
      <c r="V400" s="9"/>
      <c r="W400" s="33">
        <v>88</v>
      </c>
      <c r="X400" s="9"/>
      <c r="Y400" s="30">
        <v>0.09</v>
      </c>
      <c r="Z400" s="9"/>
      <c r="AA400" s="30">
        <v>0</v>
      </c>
      <c r="AB400" s="9"/>
      <c r="AC400" s="30">
        <v>0</v>
      </c>
      <c r="AD400" s="9"/>
      <c r="AE400" s="30">
        <v>0</v>
      </c>
      <c r="AF400" s="9"/>
      <c r="AG400" s="19">
        <v>0</v>
      </c>
      <c r="AI400" s="32">
        <v>0.09</v>
      </c>
      <c r="AK400" s="7" t="str">
        <f t="shared" si="6"/>
        <v>No</v>
      </c>
    </row>
    <row r="401" spans="1:37">
      <c r="A401" s="7" t="s">
        <v>622</v>
      </c>
      <c r="B401" s="7" t="s">
        <v>284</v>
      </c>
      <c r="C401" s="37" t="s">
        <v>40</v>
      </c>
      <c r="D401" s="296">
        <v>5059</v>
      </c>
      <c r="E401" s="297">
        <v>50059</v>
      </c>
      <c r="F401" s="27" t="s">
        <v>165</v>
      </c>
      <c r="G401" s="27" t="s">
        <v>158</v>
      </c>
      <c r="H401" s="35">
        <v>161316</v>
      </c>
      <c r="I401" s="35">
        <v>60</v>
      </c>
      <c r="J401" s="9" t="s">
        <v>10</v>
      </c>
      <c r="K401" s="9" t="s">
        <v>159</v>
      </c>
      <c r="L401" s="8">
        <v>12</v>
      </c>
      <c r="M401" s="8">
        <v>37322</v>
      </c>
      <c r="N401" s="9"/>
      <c r="O401" s="8">
        <v>0</v>
      </c>
      <c r="P401" s="9"/>
      <c r="Q401" s="8">
        <v>0</v>
      </c>
      <c r="R401" s="9"/>
      <c r="S401" s="8">
        <v>0</v>
      </c>
      <c r="T401" s="9"/>
      <c r="U401" s="8">
        <v>0</v>
      </c>
      <c r="V401" s="9"/>
      <c r="W401" s="33">
        <v>37322</v>
      </c>
      <c r="X401" s="9"/>
      <c r="Y401" s="30">
        <v>23</v>
      </c>
      <c r="Z401" s="9"/>
      <c r="AA401" s="30">
        <v>0</v>
      </c>
      <c r="AB401" s="9"/>
      <c r="AC401" s="30">
        <v>0</v>
      </c>
      <c r="AD401" s="9"/>
      <c r="AE401" s="30">
        <v>0</v>
      </c>
      <c r="AF401" s="9"/>
      <c r="AG401" s="19">
        <v>0</v>
      </c>
      <c r="AI401" s="32">
        <v>23</v>
      </c>
      <c r="AK401" s="7" t="str">
        <f t="shared" si="6"/>
        <v>No</v>
      </c>
    </row>
    <row r="402" spans="1:37">
      <c r="A402" s="7" t="s">
        <v>66</v>
      </c>
      <c r="B402" s="7" t="s">
        <v>350</v>
      </c>
      <c r="C402" s="37" t="s">
        <v>63</v>
      </c>
      <c r="D402" s="296">
        <v>2163</v>
      </c>
      <c r="E402" s="297">
        <v>20163</v>
      </c>
      <c r="F402" s="27" t="s">
        <v>173</v>
      </c>
      <c r="G402" s="27" t="s">
        <v>158</v>
      </c>
      <c r="H402" s="35">
        <v>18351295</v>
      </c>
      <c r="I402" s="35">
        <v>59</v>
      </c>
      <c r="J402" s="9" t="s">
        <v>18</v>
      </c>
      <c r="K402" s="9" t="s">
        <v>159</v>
      </c>
      <c r="L402" s="8">
        <v>59</v>
      </c>
      <c r="M402" s="8">
        <v>15058</v>
      </c>
      <c r="N402" s="9"/>
      <c r="O402" s="8">
        <v>7079</v>
      </c>
      <c r="P402" s="9"/>
      <c r="Q402" s="8">
        <v>19901</v>
      </c>
      <c r="R402" s="9"/>
      <c r="S402" s="8">
        <v>5250</v>
      </c>
      <c r="T402" s="9"/>
      <c r="U402" s="8">
        <v>0</v>
      </c>
      <c r="V402" s="9"/>
      <c r="W402" s="33">
        <v>47288</v>
      </c>
      <c r="X402" s="9"/>
      <c r="Y402" s="30">
        <v>12</v>
      </c>
      <c r="Z402" s="9"/>
      <c r="AA402" s="30">
        <v>5</v>
      </c>
      <c r="AB402" s="9"/>
      <c r="AC402" s="30">
        <v>22</v>
      </c>
      <c r="AD402" s="9"/>
      <c r="AE402" s="30">
        <v>8</v>
      </c>
      <c r="AF402" s="9"/>
      <c r="AG402" s="19">
        <v>0</v>
      </c>
      <c r="AI402" s="32">
        <v>47</v>
      </c>
      <c r="AK402" s="7" t="str">
        <f t="shared" si="6"/>
        <v>No</v>
      </c>
    </row>
    <row r="403" spans="1:37">
      <c r="A403" s="7" t="s">
        <v>754</v>
      </c>
      <c r="B403" s="7" t="s">
        <v>755</v>
      </c>
      <c r="C403" s="37" t="s">
        <v>45</v>
      </c>
      <c r="D403" s="296">
        <v>4191</v>
      </c>
      <c r="E403" s="297">
        <v>40191</v>
      </c>
      <c r="F403" s="27" t="s">
        <v>165</v>
      </c>
      <c r="G403" s="27" t="s">
        <v>158</v>
      </c>
      <c r="H403" s="35">
        <v>73467</v>
      </c>
      <c r="I403" s="35">
        <v>59</v>
      </c>
      <c r="J403" s="9" t="s">
        <v>10</v>
      </c>
      <c r="K403" s="9" t="s">
        <v>159</v>
      </c>
      <c r="L403" s="8">
        <v>36</v>
      </c>
      <c r="M403" s="8">
        <v>9387</v>
      </c>
      <c r="N403" s="9"/>
      <c r="O403" s="8">
        <v>0</v>
      </c>
      <c r="P403" s="9"/>
      <c r="Q403" s="8">
        <v>0</v>
      </c>
      <c r="R403" s="9"/>
      <c r="S403" s="8">
        <v>0</v>
      </c>
      <c r="T403" s="9"/>
      <c r="U403" s="8">
        <v>0</v>
      </c>
      <c r="V403" s="9"/>
      <c r="W403" s="33">
        <v>9387</v>
      </c>
      <c r="X403" s="9"/>
      <c r="Y403" s="30">
        <v>8</v>
      </c>
      <c r="Z403" s="9"/>
      <c r="AA403" s="30">
        <v>0</v>
      </c>
      <c r="AB403" s="9"/>
      <c r="AC403" s="30">
        <v>0</v>
      </c>
      <c r="AD403" s="9"/>
      <c r="AE403" s="30">
        <v>0</v>
      </c>
      <c r="AF403" s="9"/>
      <c r="AG403" s="19">
        <v>0</v>
      </c>
      <c r="AI403" s="32">
        <v>8</v>
      </c>
      <c r="AK403" s="7" t="str">
        <f t="shared" si="6"/>
        <v>No</v>
      </c>
    </row>
    <row r="404" spans="1:37">
      <c r="A404" s="7" t="s">
        <v>754</v>
      </c>
      <c r="B404" s="7" t="s">
        <v>755</v>
      </c>
      <c r="C404" s="37" t="s">
        <v>45</v>
      </c>
      <c r="D404" s="296">
        <v>4191</v>
      </c>
      <c r="E404" s="297">
        <v>40191</v>
      </c>
      <c r="F404" s="27" t="s">
        <v>165</v>
      </c>
      <c r="G404" s="27" t="s">
        <v>158</v>
      </c>
      <c r="H404" s="35">
        <v>73467</v>
      </c>
      <c r="I404" s="35">
        <v>59</v>
      </c>
      <c r="J404" s="9" t="s">
        <v>8</v>
      </c>
      <c r="K404" s="9" t="s">
        <v>159</v>
      </c>
      <c r="L404" s="8">
        <v>18</v>
      </c>
      <c r="M404" s="8">
        <v>0</v>
      </c>
      <c r="N404" s="9"/>
      <c r="O404" s="8">
        <v>0</v>
      </c>
      <c r="P404" s="9"/>
      <c r="Q404" s="8">
        <v>0</v>
      </c>
      <c r="R404" s="9"/>
      <c r="S404" s="8">
        <v>0</v>
      </c>
      <c r="T404" s="9"/>
      <c r="U404" s="8">
        <v>0</v>
      </c>
      <c r="V404" s="9"/>
      <c r="W404" s="33">
        <v>0</v>
      </c>
      <c r="X404" s="9"/>
      <c r="Y404" s="30">
        <v>0</v>
      </c>
      <c r="Z404" s="9"/>
      <c r="AA404" s="30">
        <v>0</v>
      </c>
      <c r="AB404" s="9"/>
      <c r="AC404" s="30">
        <v>0</v>
      </c>
      <c r="AD404" s="9"/>
      <c r="AE404" s="30">
        <v>0</v>
      </c>
      <c r="AF404" s="9"/>
      <c r="AG404" s="19">
        <v>0</v>
      </c>
      <c r="AI404" s="32">
        <v>0</v>
      </c>
      <c r="AK404" s="7" t="str">
        <f t="shared" si="6"/>
        <v>No</v>
      </c>
    </row>
    <row r="405" spans="1:37">
      <c r="A405" s="7" t="s">
        <v>754</v>
      </c>
      <c r="B405" s="7" t="s">
        <v>755</v>
      </c>
      <c r="C405" s="37" t="s">
        <v>45</v>
      </c>
      <c r="D405" s="296">
        <v>4191</v>
      </c>
      <c r="E405" s="297">
        <v>40191</v>
      </c>
      <c r="F405" s="27" t="s">
        <v>165</v>
      </c>
      <c r="G405" s="27" t="s">
        <v>158</v>
      </c>
      <c r="H405" s="35">
        <v>73467</v>
      </c>
      <c r="I405" s="35">
        <v>59</v>
      </c>
      <c r="J405" s="9" t="s">
        <v>7</v>
      </c>
      <c r="K405" s="9" t="s">
        <v>159</v>
      </c>
      <c r="L405" s="8">
        <v>5</v>
      </c>
      <c r="M405" s="8">
        <v>0</v>
      </c>
      <c r="N405" s="9"/>
      <c r="O405" s="8">
        <v>0</v>
      </c>
      <c r="P405" s="9"/>
      <c r="Q405" s="8">
        <v>0</v>
      </c>
      <c r="R405" s="9"/>
      <c r="S405" s="8">
        <v>3250</v>
      </c>
      <c r="T405" s="9"/>
      <c r="U405" s="8">
        <v>0</v>
      </c>
      <c r="V405" s="9"/>
      <c r="W405" s="33">
        <v>3250</v>
      </c>
      <c r="X405" s="9"/>
      <c r="Y405" s="30">
        <v>0</v>
      </c>
      <c r="Z405" s="9"/>
      <c r="AA405" s="30">
        <v>0</v>
      </c>
      <c r="AB405" s="9"/>
      <c r="AC405" s="30">
        <v>0</v>
      </c>
      <c r="AD405" s="9"/>
      <c r="AE405" s="30">
        <v>4.5</v>
      </c>
      <c r="AF405" s="9"/>
      <c r="AG405" s="19">
        <v>0</v>
      </c>
      <c r="AI405" s="32">
        <v>4.5</v>
      </c>
      <c r="AK405" s="7" t="str">
        <f t="shared" si="6"/>
        <v>No</v>
      </c>
    </row>
    <row r="406" spans="1:37">
      <c r="A406" s="7" t="s">
        <v>366</v>
      </c>
      <c r="B406" s="7" t="s">
        <v>367</v>
      </c>
      <c r="C406" s="37" t="s">
        <v>89</v>
      </c>
      <c r="D406" s="296">
        <v>5</v>
      </c>
      <c r="E406" s="297">
        <v>5</v>
      </c>
      <c r="F406" s="27" t="s">
        <v>162</v>
      </c>
      <c r="G406" s="27" t="s">
        <v>158</v>
      </c>
      <c r="H406" s="35">
        <v>3059393</v>
      </c>
      <c r="I406" s="35">
        <v>58</v>
      </c>
      <c r="J406" s="9" t="s">
        <v>7</v>
      </c>
      <c r="K406" s="9" t="s">
        <v>159</v>
      </c>
      <c r="L406" s="8">
        <v>34</v>
      </c>
      <c r="M406" s="8">
        <v>0</v>
      </c>
      <c r="N406" s="9"/>
      <c r="O406" s="8">
        <v>0</v>
      </c>
      <c r="P406" s="9"/>
      <c r="Q406" s="8">
        <v>0</v>
      </c>
      <c r="R406" s="9"/>
      <c r="S406" s="8">
        <v>0</v>
      </c>
      <c r="T406" s="9"/>
      <c r="U406" s="8">
        <v>0</v>
      </c>
      <c r="V406" s="9"/>
      <c r="W406" s="33">
        <v>0</v>
      </c>
      <c r="X406" s="9"/>
      <c r="Y406" s="30">
        <v>0</v>
      </c>
      <c r="Z406" s="9"/>
      <c r="AA406" s="30">
        <v>0</v>
      </c>
      <c r="AB406" s="9"/>
      <c r="AC406" s="30">
        <v>0</v>
      </c>
      <c r="AD406" s="9"/>
      <c r="AE406" s="30">
        <v>0</v>
      </c>
      <c r="AF406" s="9"/>
      <c r="AG406" s="19">
        <v>0</v>
      </c>
      <c r="AI406" s="32">
        <v>0</v>
      </c>
      <c r="AK406" s="7" t="str">
        <f t="shared" si="6"/>
        <v>No</v>
      </c>
    </row>
    <row r="407" spans="1:37">
      <c r="A407" s="7" t="s">
        <v>366</v>
      </c>
      <c r="B407" s="7" t="s">
        <v>367</v>
      </c>
      <c r="C407" s="37" t="s">
        <v>89</v>
      </c>
      <c r="D407" s="296">
        <v>5</v>
      </c>
      <c r="E407" s="297">
        <v>5</v>
      </c>
      <c r="F407" s="27" t="s">
        <v>162</v>
      </c>
      <c r="G407" s="27" t="s">
        <v>158</v>
      </c>
      <c r="H407" s="35">
        <v>3059393</v>
      </c>
      <c r="I407" s="35">
        <v>58</v>
      </c>
      <c r="J407" s="9" t="s">
        <v>10</v>
      </c>
      <c r="K407" s="9" t="s">
        <v>159</v>
      </c>
      <c r="L407" s="8">
        <v>24</v>
      </c>
      <c r="M407" s="8">
        <v>0</v>
      </c>
      <c r="N407" s="9"/>
      <c r="O407" s="8">
        <v>0</v>
      </c>
      <c r="P407" s="9"/>
      <c r="Q407" s="8">
        <v>0</v>
      </c>
      <c r="R407" s="9"/>
      <c r="S407" s="8">
        <v>0</v>
      </c>
      <c r="T407" s="9"/>
      <c r="U407" s="8">
        <v>0</v>
      </c>
      <c r="V407" s="9"/>
      <c r="W407" s="33">
        <v>0</v>
      </c>
      <c r="X407" s="9"/>
      <c r="Y407" s="30">
        <v>0</v>
      </c>
      <c r="Z407" s="9"/>
      <c r="AA407" s="30">
        <v>0</v>
      </c>
      <c r="AB407" s="9"/>
      <c r="AC407" s="30">
        <v>0</v>
      </c>
      <c r="AD407" s="9"/>
      <c r="AE407" s="30">
        <v>0</v>
      </c>
      <c r="AF407" s="9"/>
      <c r="AG407" s="19">
        <v>0</v>
      </c>
      <c r="AI407" s="32">
        <v>0</v>
      </c>
      <c r="AK407" s="7" t="str">
        <f t="shared" si="6"/>
        <v>No</v>
      </c>
    </row>
    <row r="408" spans="1:37">
      <c r="A408" s="7" t="s">
        <v>65</v>
      </c>
      <c r="B408" s="7" t="s">
        <v>346</v>
      </c>
      <c r="C408" s="37" t="s">
        <v>63</v>
      </c>
      <c r="D408" s="296">
        <v>2161</v>
      </c>
      <c r="E408" s="297">
        <v>20161</v>
      </c>
      <c r="F408" s="27" t="s">
        <v>173</v>
      </c>
      <c r="G408" s="27" t="s">
        <v>158</v>
      </c>
      <c r="H408" s="35">
        <v>18351295</v>
      </c>
      <c r="I408" s="35">
        <v>57</v>
      </c>
      <c r="J408" s="9" t="s">
        <v>18</v>
      </c>
      <c r="K408" s="9" t="s">
        <v>159</v>
      </c>
      <c r="L408" s="8">
        <v>57</v>
      </c>
      <c r="M408" s="8">
        <v>0</v>
      </c>
      <c r="N408" s="9"/>
      <c r="O408" s="8">
        <v>0</v>
      </c>
      <c r="P408" s="9"/>
      <c r="Q408" s="8">
        <v>0</v>
      </c>
      <c r="R408" s="9"/>
      <c r="S408" s="8">
        <v>0</v>
      </c>
      <c r="T408" s="9"/>
      <c r="U408" s="8">
        <v>0</v>
      </c>
      <c r="V408" s="9"/>
      <c r="W408" s="33">
        <v>0</v>
      </c>
      <c r="X408" s="9"/>
      <c r="Y408" s="30">
        <v>0</v>
      </c>
      <c r="Z408" s="9"/>
      <c r="AA408" s="30">
        <v>0</v>
      </c>
      <c r="AB408" s="9"/>
      <c r="AC408" s="30">
        <v>0</v>
      </c>
      <c r="AD408" s="9"/>
      <c r="AE408" s="30">
        <v>0</v>
      </c>
      <c r="AF408" s="9"/>
      <c r="AG408" s="19">
        <v>0</v>
      </c>
      <c r="AI408" s="32">
        <v>0</v>
      </c>
      <c r="AK408" s="7" t="str">
        <f t="shared" si="6"/>
        <v>No</v>
      </c>
    </row>
    <row r="409" spans="1:37">
      <c r="A409" s="7" t="s">
        <v>356</v>
      </c>
      <c r="B409" s="7" t="s">
        <v>357</v>
      </c>
      <c r="C409" s="37" t="s">
        <v>54</v>
      </c>
      <c r="D409" s="296">
        <v>5025</v>
      </c>
      <c r="E409" s="297">
        <v>50025</v>
      </c>
      <c r="F409" s="27" t="s">
        <v>165</v>
      </c>
      <c r="G409" s="27" t="s">
        <v>158</v>
      </c>
      <c r="H409" s="35">
        <v>120378</v>
      </c>
      <c r="I409" s="35">
        <v>57</v>
      </c>
      <c r="J409" s="9" t="s">
        <v>7</v>
      </c>
      <c r="K409" s="9" t="s">
        <v>159</v>
      </c>
      <c r="L409" s="8">
        <v>50</v>
      </c>
      <c r="M409" s="8">
        <v>8763</v>
      </c>
      <c r="N409" s="9"/>
      <c r="O409" s="8">
        <v>0</v>
      </c>
      <c r="P409" s="9"/>
      <c r="Q409" s="8">
        <v>0</v>
      </c>
      <c r="R409" s="9"/>
      <c r="S409" s="8">
        <v>3474</v>
      </c>
      <c r="T409" s="9"/>
      <c r="U409" s="8">
        <v>0</v>
      </c>
      <c r="V409" s="9"/>
      <c r="W409" s="33">
        <v>12237</v>
      </c>
      <c r="X409" s="9"/>
      <c r="Y409" s="30">
        <v>11</v>
      </c>
      <c r="Z409" s="9"/>
      <c r="AA409" s="30">
        <v>0</v>
      </c>
      <c r="AB409" s="9"/>
      <c r="AC409" s="30">
        <v>0</v>
      </c>
      <c r="AD409" s="9"/>
      <c r="AE409" s="30">
        <v>3</v>
      </c>
      <c r="AF409" s="9"/>
      <c r="AG409" s="19">
        <v>0</v>
      </c>
      <c r="AI409" s="32">
        <v>14</v>
      </c>
      <c r="AK409" s="7" t="str">
        <f t="shared" si="6"/>
        <v>No</v>
      </c>
    </row>
    <row r="410" spans="1:37">
      <c r="A410" s="7" t="s">
        <v>761</v>
      </c>
      <c r="B410" s="7" t="s">
        <v>762</v>
      </c>
      <c r="C410" s="37" t="s">
        <v>63</v>
      </c>
      <c r="D410" s="296">
        <v>2204</v>
      </c>
      <c r="E410" s="297">
        <v>20204</v>
      </c>
      <c r="F410" s="27" t="s">
        <v>187</v>
      </c>
      <c r="G410" s="27" t="s">
        <v>158</v>
      </c>
      <c r="H410" s="35">
        <v>5441567</v>
      </c>
      <c r="I410" s="35">
        <v>56</v>
      </c>
      <c r="J410" s="9" t="s">
        <v>10</v>
      </c>
      <c r="K410" s="9" t="s">
        <v>159</v>
      </c>
      <c r="L410" s="8">
        <v>56</v>
      </c>
      <c r="M410" s="8">
        <v>33286</v>
      </c>
      <c r="N410" s="9"/>
      <c r="O410" s="8">
        <v>0</v>
      </c>
      <c r="P410" s="9"/>
      <c r="Q410" s="8">
        <v>0</v>
      </c>
      <c r="R410" s="9"/>
      <c r="S410" s="8">
        <v>7884</v>
      </c>
      <c r="T410" s="9"/>
      <c r="U410" s="8">
        <v>0</v>
      </c>
      <c r="V410" s="9"/>
      <c r="W410" s="33">
        <v>41170</v>
      </c>
      <c r="X410" s="9"/>
      <c r="Y410" s="30">
        <v>33</v>
      </c>
      <c r="Z410" s="9"/>
      <c r="AA410" s="30">
        <v>0</v>
      </c>
      <c r="AB410" s="9"/>
      <c r="AC410" s="30">
        <v>0</v>
      </c>
      <c r="AD410" s="9"/>
      <c r="AE410" s="30">
        <v>10</v>
      </c>
      <c r="AF410" s="9"/>
      <c r="AG410" s="19">
        <v>0</v>
      </c>
      <c r="AI410" s="32">
        <v>43</v>
      </c>
      <c r="AK410" s="7" t="str">
        <f t="shared" si="6"/>
        <v>No</v>
      </c>
    </row>
    <row r="411" spans="1:37">
      <c r="A411" s="7" t="s">
        <v>430</v>
      </c>
      <c r="B411" s="7" t="s">
        <v>431</v>
      </c>
      <c r="C411" s="37" t="s">
        <v>96</v>
      </c>
      <c r="D411" s="296">
        <v>3001</v>
      </c>
      <c r="E411" s="297">
        <v>30001</v>
      </c>
      <c r="F411" s="27" t="s">
        <v>165</v>
      </c>
      <c r="G411" s="27" t="s">
        <v>158</v>
      </c>
      <c r="H411" s="35">
        <v>153199</v>
      </c>
      <c r="I411" s="35">
        <v>54</v>
      </c>
      <c r="J411" s="9" t="s">
        <v>7</v>
      </c>
      <c r="K411" s="9" t="s">
        <v>159</v>
      </c>
      <c r="L411" s="8">
        <v>42</v>
      </c>
      <c r="M411" s="8">
        <v>3141</v>
      </c>
      <c r="N411" s="9"/>
      <c r="O411" s="8">
        <v>0</v>
      </c>
      <c r="P411" s="9"/>
      <c r="Q411" s="8">
        <v>0</v>
      </c>
      <c r="R411" s="9"/>
      <c r="S411" s="8">
        <v>0</v>
      </c>
      <c r="T411" s="9"/>
      <c r="U411" s="8">
        <v>0</v>
      </c>
      <c r="V411" s="9"/>
      <c r="W411" s="33">
        <v>3141</v>
      </c>
      <c r="X411" s="9"/>
      <c r="Y411" s="30">
        <v>3</v>
      </c>
      <c r="Z411" s="9"/>
      <c r="AA411" s="30">
        <v>0</v>
      </c>
      <c r="AB411" s="9"/>
      <c r="AC411" s="30">
        <v>0</v>
      </c>
      <c r="AD411" s="9"/>
      <c r="AE411" s="30">
        <v>0</v>
      </c>
      <c r="AF411" s="9"/>
      <c r="AG411" s="19">
        <v>0</v>
      </c>
      <c r="AI411" s="32">
        <v>3</v>
      </c>
      <c r="AK411" s="7" t="str">
        <f t="shared" si="6"/>
        <v>No</v>
      </c>
    </row>
    <row r="412" spans="1:37">
      <c r="A412" s="7" t="s">
        <v>233</v>
      </c>
      <c r="B412" s="7" t="s">
        <v>234</v>
      </c>
      <c r="C412" s="37" t="s">
        <v>70</v>
      </c>
      <c r="D412" s="296">
        <v>2003</v>
      </c>
      <c r="E412" s="297">
        <v>20003</v>
      </c>
      <c r="F412" s="27" t="s">
        <v>162</v>
      </c>
      <c r="G412" s="27" t="s">
        <v>158</v>
      </c>
      <c r="H412" s="35">
        <v>158084</v>
      </c>
      <c r="I412" s="35">
        <v>54</v>
      </c>
      <c r="J412" s="9" t="s">
        <v>7</v>
      </c>
      <c r="K412" s="9" t="s">
        <v>159</v>
      </c>
      <c r="L412" s="8">
        <v>38</v>
      </c>
      <c r="M412" s="8">
        <v>20950</v>
      </c>
      <c r="N412" s="9"/>
      <c r="O412" s="8">
        <v>0</v>
      </c>
      <c r="P412" s="9"/>
      <c r="Q412" s="8">
        <v>1123</v>
      </c>
      <c r="R412" s="9"/>
      <c r="S412" s="8">
        <v>0</v>
      </c>
      <c r="T412" s="9"/>
      <c r="U412" s="8">
        <v>0</v>
      </c>
      <c r="V412" s="9"/>
      <c r="W412" s="33">
        <v>22073</v>
      </c>
      <c r="X412" s="9"/>
      <c r="Y412" s="30">
        <v>12</v>
      </c>
      <c r="Z412" s="9"/>
      <c r="AA412" s="30">
        <v>0</v>
      </c>
      <c r="AB412" s="9"/>
      <c r="AC412" s="30">
        <v>2</v>
      </c>
      <c r="AD412" s="9"/>
      <c r="AE412" s="30">
        <v>0</v>
      </c>
      <c r="AF412" s="9"/>
      <c r="AG412" s="19">
        <v>0</v>
      </c>
      <c r="AI412" s="32">
        <v>14</v>
      </c>
      <c r="AK412" s="7" t="str">
        <f t="shared" si="6"/>
        <v>No</v>
      </c>
    </row>
    <row r="413" spans="1:37">
      <c r="A413" s="7" t="s">
        <v>445</v>
      </c>
      <c r="B413" s="7" t="s">
        <v>446</v>
      </c>
      <c r="C413" s="37" t="s">
        <v>84</v>
      </c>
      <c r="D413" s="296">
        <v>6009</v>
      </c>
      <c r="E413" s="297">
        <v>60009</v>
      </c>
      <c r="F413" s="27" t="s">
        <v>162</v>
      </c>
      <c r="G413" s="27" t="s">
        <v>158</v>
      </c>
      <c r="H413" s="35">
        <v>235730</v>
      </c>
      <c r="I413" s="35">
        <v>54</v>
      </c>
      <c r="J413" s="9" t="s">
        <v>7</v>
      </c>
      <c r="K413" s="9" t="s">
        <v>159</v>
      </c>
      <c r="L413" s="8">
        <v>36</v>
      </c>
      <c r="M413" s="8">
        <v>22204</v>
      </c>
      <c r="N413" s="9"/>
      <c r="O413" s="8">
        <v>0</v>
      </c>
      <c r="P413" s="9"/>
      <c r="Q413" s="8">
        <v>0</v>
      </c>
      <c r="R413" s="9"/>
      <c r="S413" s="8">
        <v>0</v>
      </c>
      <c r="T413" s="9"/>
      <c r="U413" s="8">
        <v>0</v>
      </c>
      <c r="V413" s="9"/>
      <c r="W413" s="33">
        <v>22204</v>
      </c>
      <c r="X413" s="9"/>
      <c r="Y413" s="30">
        <v>17</v>
      </c>
      <c r="Z413" s="9"/>
      <c r="AA413" s="30">
        <v>0</v>
      </c>
      <c r="AB413" s="9"/>
      <c r="AC413" s="30">
        <v>0</v>
      </c>
      <c r="AD413" s="9"/>
      <c r="AE413" s="30">
        <v>0</v>
      </c>
      <c r="AF413" s="9"/>
      <c r="AG413" s="19">
        <v>0</v>
      </c>
      <c r="AI413" s="32">
        <v>17</v>
      </c>
      <c r="AK413" s="7" t="str">
        <f t="shared" si="6"/>
        <v>No</v>
      </c>
    </row>
    <row r="414" spans="1:37">
      <c r="A414" s="7" t="s">
        <v>1129</v>
      </c>
      <c r="B414" s="7" t="s">
        <v>654</v>
      </c>
      <c r="C414" s="37" t="s">
        <v>26</v>
      </c>
      <c r="D414" s="296">
        <v>8011</v>
      </c>
      <c r="E414" s="297">
        <v>80011</v>
      </c>
      <c r="F414" s="27" t="s">
        <v>162</v>
      </c>
      <c r="G414" s="27" t="s">
        <v>158</v>
      </c>
      <c r="H414" s="35">
        <v>264465</v>
      </c>
      <c r="I414" s="35">
        <v>54</v>
      </c>
      <c r="J414" s="9" t="s">
        <v>7</v>
      </c>
      <c r="K414" s="9" t="s">
        <v>159</v>
      </c>
      <c r="L414" s="8">
        <v>36</v>
      </c>
      <c r="M414" s="8">
        <v>79938</v>
      </c>
      <c r="N414" s="9"/>
      <c r="O414" s="8">
        <v>0</v>
      </c>
      <c r="P414" s="9"/>
      <c r="Q414" s="8">
        <v>0</v>
      </c>
      <c r="R414" s="9"/>
      <c r="S414" s="8">
        <v>2174</v>
      </c>
      <c r="T414" s="9"/>
      <c r="U414" s="8">
        <v>0</v>
      </c>
      <c r="V414" s="9"/>
      <c r="W414" s="33">
        <v>82112</v>
      </c>
      <c r="X414" s="9"/>
      <c r="Y414" s="30">
        <v>48.25</v>
      </c>
      <c r="Z414" s="9"/>
      <c r="AA414" s="30">
        <v>0</v>
      </c>
      <c r="AB414" s="9"/>
      <c r="AC414" s="30">
        <v>0</v>
      </c>
      <c r="AD414" s="9"/>
      <c r="AE414" s="30">
        <v>0.8</v>
      </c>
      <c r="AF414" s="9"/>
      <c r="AG414" s="19">
        <v>0</v>
      </c>
      <c r="AI414" s="32">
        <v>49.05</v>
      </c>
      <c r="AK414" s="7" t="str">
        <f t="shared" si="6"/>
        <v>No</v>
      </c>
    </row>
    <row r="415" spans="1:37">
      <c r="A415" s="7" t="s">
        <v>602</v>
      </c>
      <c r="B415" s="7" t="s">
        <v>603</v>
      </c>
      <c r="C415" s="37" t="s">
        <v>46</v>
      </c>
      <c r="D415" s="296">
        <v>6024</v>
      </c>
      <c r="E415" s="297">
        <v>60024</v>
      </c>
      <c r="F415" s="27" t="s">
        <v>162</v>
      </c>
      <c r="G415" s="27" t="s">
        <v>158</v>
      </c>
      <c r="H415" s="35">
        <v>298317</v>
      </c>
      <c r="I415" s="35">
        <v>54</v>
      </c>
      <c r="J415" s="9" t="s">
        <v>7</v>
      </c>
      <c r="K415" s="9" t="s">
        <v>159</v>
      </c>
      <c r="L415" s="8">
        <v>36</v>
      </c>
      <c r="M415" s="8">
        <v>0</v>
      </c>
      <c r="N415" s="9"/>
      <c r="O415" s="8">
        <v>0</v>
      </c>
      <c r="P415" s="9"/>
      <c r="Q415" s="8">
        <v>0</v>
      </c>
      <c r="R415" s="9"/>
      <c r="S415" s="8">
        <v>0</v>
      </c>
      <c r="T415" s="9"/>
      <c r="U415" s="8">
        <v>0</v>
      </c>
      <c r="V415" s="9"/>
      <c r="W415" s="33">
        <v>0</v>
      </c>
      <c r="X415" s="9"/>
      <c r="Y415" s="30">
        <v>0</v>
      </c>
      <c r="Z415" s="9"/>
      <c r="AA415" s="30">
        <v>0</v>
      </c>
      <c r="AB415" s="9"/>
      <c r="AC415" s="30">
        <v>0</v>
      </c>
      <c r="AD415" s="9"/>
      <c r="AE415" s="30">
        <v>0</v>
      </c>
      <c r="AF415" s="9"/>
      <c r="AG415" s="19">
        <v>0</v>
      </c>
      <c r="AI415" s="32">
        <v>0</v>
      </c>
      <c r="AK415" s="7" t="str">
        <f t="shared" si="6"/>
        <v>No</v>
      </c>
    </row>
    <row r="416" spans="1:37">
      <c r="A416" s="7" t="s">
        <v>244</v>
      </c>
      <c r="B416" s="7" t="s">
        <v>245</v>
      </c>
      <c r="C416" s="37" t="s">
        <v>77</v>
      </c>
      <c r="D416" s="296">
        <v>3012</v>
      </c>
      <c r="E416" s="297">
        <v>30012</v>
      </c>
      <c r="F416" s="27" t="s">
        <v>165</v>
      </c>
      <c r="G416" s="27" t="s">
        <v>158</v>
      </c>
      <c r="H416" s="35">
        <v>69014</v>
      </c>
      <c r="I416" s="35">
        <v>54</v>
      </c>
      <c r="J416" s="9" t="s">
        <v>7</v>
      </c>
      <c r="K416" s="9" t="s">
        <v>159</v>
      </c>
      <c r="L416" s="8">
        <v>32</v>
      </c>
      <c r="M416" s="8">
        <v>19054</v>
      </c>
      <c r="N416" s="9"/>
      <c r="O416" s="8">
        <v>0</v>
      </c>
      <c r="P416" s="9"/>
      <c r="Q416" s="8">
        <v>6557</v>
      </c>
      <c r="R416" s="9"/>
      <c r="S416" s="8">
        <v>0</v>
      </c>
      <c r="T416" s="9"/>
      <c r="U416" s="8">
        <v>0</v>
      </c>
      <c r="V416" s="9"/>
      <c r="W416" s="33">
        <v>25611</v>
      </c>
      <c r="X416" s="9"/>
      <c r="Y416" s="30">
        <v>15.14</v>
      </c>
      <c r="Z416" s="9"/>
      <c r="AA416" s="30">
        <v>0</v>
      </c>
      <c r="AB416" s="9"/>
      <c r="AC416" s="30">
        <v>4</v>
      </c>
      <c r="AD416" s="9"/>
      <c r="AE416" s="30">
        <v>0</v>
      </c>
      <c r="AF416" s="9"/>
      <c r="AG416" s="19">
        <v>0</v>
      </c>
      <c r="AI416" s="32">
        <v>19.14</v>
      </c>
      <c r="AK416" s="7" t="str">
        <f t="shared" si="6"/>
        <v>No</v>
      </c>
    </row>
    <row r="417" spans="1:37">
      <c r="A417" s="7" t="s">
        <v>244</v>
      </c>
      <c r="B417" s="7" t="s">
        <v>245</v>
      </c>
      <c r="C417" s="37" t="s">
        <v>77</v>
      </c>
      <c r="D417" s="296">
        <v>3012</v>
      </c>
      <c r="E417" s="297">
        <v>30012</v>
      </c>
      <c r="F417" s="27" t="s">
        <v>165</v>
      </c>
      <c r="G417" s="27" t="s">
        <v>158</v>
      </c>
      <c r="H417" s="35">
        <v>69014</v>
      </c>
      <c r="I417" s="35">
        <v>54</v>
      </c>
      <c r="J417" s="9" t="s">
        <v>10</v>
      </c>
      <c r="K417" s="9" t="s">
        <v>159</v>
      </c>
      <c r="L417" s="8">
        <v>20</v>
      </c>
      <c r="M417" s="8">
        <v>11363</v>
      </c>
      <c r="N417" s="9"/>
      <c r="O417" s="8">
        <v>0</v>
      </c>
      <c r="P417" s="9"/>
      <c r="Q417" s="8">
        <v>0</v>
      </c>
      <c r="R417" s="9"/>
      <c r="S417" s="8">
        <v>0</v>
      </c>
      <c r="T417" s="9"/>
      <c r="U417" s="8">
        <v>0</v>
      </c>
      <c r="V417" s="9"/>
      <c r="W417" s="33">
        <v>11363</v>
      </c>
      <c r="X417" s="9"/>
      <c r="Y417" s="30">
        <v>6.86</v>
      </c>
      <c r="Z417" s="9"/>
      <c r="AA417" s="30">
        <v>0</v>
      </c>
      <c r="AB417" s="9"/>
      <c r="AC417" s="30">
        <v>0</v>
      </c>
      <c r="AD417" s="9"/>
      <c r="AE417" s="30">
        <v>0</v>
      </c>
      <c r="AF417" s="9"/>
      <c r="AG417" s="19">
        <v>0</v>
      </c>
      <c r="AI417" s="32">
        <v>6.86</v>
      </c>
      <c r="AK417" s="7" t="str">
        <f t="shared" si="6"/>
        <v>No</v>
      </c>
    </row>
    <row r="418" spans="1:37">
      <c r="A418" s="7" t="s">
        <v>445</v>
      </c>
      <c r="B418" s="7" t="s">
        <v>446</v>
      </c>
      <c r="C418" s="37" t="s">
        <v>84</v>
      </c>
      <c r="D418" s="296">
        <v>6009</v>
      </c>
      <c r="E418" s="297">
        <v>60009</v>
      </c>
      <c r="F418" s="27" t="s">
        <v>162</v>
      </c>
      <c r="G418" s="27" t="s">
        <v>158</v>
      </c>
      <c r="H418" s="35">
        <v>235730</v>
      </c>
      <c r="I418" s="35">
        <v>54</v>
      </c>
      <c r="J418" s="9" t="s">
        <v>10</v>
      </c>
      <c r="K418" s="9" t="s">
        <v>159</v>
      </c>
      <c r="L418" s="8">
        <v>18</v>
      </c>
      <c r="M418" s="8">
        <v>0</v>
      </c>
      <c r="N418" s="9"/>
      <c r="O418" s="8">
        <v>0</v>
      </c>
      <c r="P418" s="9"/>
      <c r="Q418" s="8">
        <v>0</v>
      </c>
      <c r="R418" s="9"/>
      <c r="S418" s="8">
        <v>0</v>
      </c>
      <c r="T418" s="9"/>
      <c r="U418" s="8">
        <v>0</v>
      </c>
      <c r="V418" s="9"/>
      <c r="W418" s="33">
        <v>0</v>
      </c>
      <c r="X418" s="9"/>
      <c r="Y418" s="30">
        <v>0</v>
      </c>
      <c r="Z418" s="9"/>
      <c r="AA418" s="30">
        <v>0</v>
      </c>
      <c r="AB418" s="9"/>
      <c r="AC418" s="30">
        <v>0</v>
      </c>
      <c r="AD418" s="9"/>
      <c r="AE418" s="30">
        <v>0</v>
      </c>
      <c r="AF418" s="9"/>
      <c r="AG418" s="19">
        <v>0</v>
      </c>
      <c r="AI418" s="32">
        <v>0</v>
      </c>
      <c r="AK418" s="7" t="str">
        <f t="shared" si="6"/>
        <v>No</v>
      </c>
    </row>
    <row r="419" spans="1:37">
      <c r="A419" s="7" t="s">
        <v>602</v>
      </c>
      <c r="B419" s="7" t="s">
        <v>603</v>
      </c>
      <c r="C419" s="37" t="s">
        <v>46</v>
      </c>
      <c r="D419" s="296">
        <v>6024</v>
      </c>
      <c r="E419" s="297">
        <v>60024</v>
      </c>
      <c r="F419" s="27" t="s">
        <v>162</v>
      </c>
      <c r="G419" s="27" t="s">
        <v>158</v>
      </c>
      <c r="H419" s="35">
        <v>298317</v>
      </c>
      <c r="I419" s="35">
        <v>54</v>
      </c>
      <c r="J419" s="9" t="s">
        <v>10</v>
      </c>
      <c r="K419" s="9" t="s">
        <v>159</v>
      </c>
      <c r="L419" s="8">
        <v>18</v>
      </c>
      <c r="M419" s="8">
        <v>0</v>
      </c>
      <c r="N419" s="9"/>
      <c r="O419" s="8">
        <v>0</v>
      </c>
      <c r="P419" s="9"/>
      <c r="Q419" s="8">
        <v>0</v>
      </c>
      <c r="R419" s="9"/>
      <c r="S419" s="8">
        <v>0</v>
      </c>
      <c r="T419" s="9"/>
      <c r="U419" s="8">
        <v>0</v>
      </c>
      <c r="V419" s="9"/>
      <c r="W419" s="33">
        <v>0</v>
      </c>
      <c r="X419" s="9"/>
      <c r="Y419" s="30">
        <v>0</v>
      </c>
      <c r="Z419" s="9"/>
      <c r="AA419" s="30">
        <v>0</v>
      </c>
      <c r="AB419" s="9"/>
      <c r="AC419" s="30">
        <v>0</v>
      </c>
      <c r="AD419" s="9"/>
      <c r="AE419" s="30">
        <v>0</v>
      </c>
      <c r="AF419" s="9"/>
      <c r="AG419" s="19">
        <v>0</v>
      </c>
      <c r="AI419" s="32">
        <v>0</v>
      </c>
      <c r="AK419" s="7" t="str">
        <f t="shared" si="6"/>
        <v>No</v>
      </c>
    </row>
    <row r="420" spans="1:37">
      <c r="A420" s="7" t="s">
        <v>430</v>
      </c>
      <c r="B420" s="7" t="s">
        <v>431</v>
      </c>
      <c r="C420" s="37" t="s">
        <v>96</v>
      </c>
      <c r="D420" s="296">
        <v>3001</v>
      </c>
      <c r="E420" s="297">
        <v>30001</v>
      </c>
      <c r="F420" s="27" t="s">
        <v>165</v>
      </c>
      <c r="G420" s="27" t="s">
        <v>158</v>
      </c>
      <c r="H420" s="35">
        <v>153199</v>
      </c>
      <c r="I420" s="35">
        <v>54</v>
      </c>
      <c r="J420" s="9" t="s">
        <v>10</v>
      </c>
      <c r="K420" s="9" t="s">
        <v>159</v>
      </c>
      <c r="L420" s="8">
        <v>12</v>
      </c>
      <c r="M420" s="8">
        <v>0</v>
      </c>
      <c r="N420" s="9"/>
      <c r="O420" s="8">
        <v>0</v>
      </c>
      <c r="P420" s="9"/>
      <c r="Q420" s="8">
        <v>0</v>
      </c>
      <c r="R420" s="9"/>
      <c r="S420" s="8">
        <v>0</v>
      </c>
      <c r="T420" s="9"/>
      <c r="U420" s="8">
        <v>0</v>
      </c>
      <c r="V420" s="9"/>
      <c r="W420" s="33">
        <v>0</v>
      </c>
      <c r="X420" s="9"/>
      <c r="Y420" s="30">
        <v>0</v>
      </c>
      <c r="Z420" s="9"/>
      <c r="AA420" s="30">
        <v>0</v>
      </c>
      <c r="AB420" s="9"/>
      <c r="AC420" s="30">
        <v>0</v>
      </c>
      <c r="AD420" s="9"/>
      <c r="AE420" s="30">
        <v>0</v>
      </c>
      <c r="AF420" s="9"/>
      <c r="AG420" s="19">
        <v>0</v>
      </c>
      <c r="AI420" s="32">
        <v>0</v>
      </c>
      <c r="AK420" s="7" t="str">
        <f t="shared" si="6"/>
        <v>No</v>
      </c>
    </row>
    <row r="421" spans="1:37">
      <c r="A421" s="7" t="s">
        <v>233</v>
      </c>
      <c r="B421" s="7" t="s">
        <v>234</v>
      </c>
      <c r="C421" s="37" t="s">
        <v>70</v>
      </c>
      <c r="D421" s="296">
        <v>2003</v>
      </c>
      <c r="E421" s="297">
        <v>20003</v>
      </c>
      <c r="F421" s="27" t="s">
        <v>162</v>
      </c>
      <c r="G421" s="27" t="s">
        <v>158</v>
      </c>
      <c r="H421" s="35">
        <v>158084</v>
      </c>
      <c r="I421" s="35">
        <v>54</v>
      </c>
      <c r="J421" s="9" t="s">
        <v>10</v>
      </c>
      <c r="K421" s="9" t="s">
        <v>159</v>
      </c>
      <c r="L421" s="8">
        <v>6</v>
      </c>
      <c r="M421" s="8">
        <v>17846</v>
      </c>
      <c r="N421" s="9"/>
      <c r="O421" s="8">
        <v>0</v>
      </c>
      <c r="P421" s="9"/>
      <c r="Q421" s="8">
        <v>624</v>
      </c>
      <c r="R421" s="9"/>
      <c r="S421" s="8">
        <v>0</v>
      </c>
      <c r="T421" s="9"/>
      <c r="U421" s="8">
        <v>0</v>
      </c>
      <c r="V421" s="9"/>
      <c r="W421" s="33">
        <v>18470</v>
      </c>
      <c r="X421" s="9"/>
      <c r="Y421" s="30">
        <v>11.2</v>
      </c>
      <c r="Z421" s="9"/>
      <c r="AA421" s="30">
        <v>0</v>
      </c>
      <c r="AB421" s="9"/>
      <c r="AC421" s="30">
        <v>0.5</v>
      </c>
      <c r="AD421" s="9"/>
      <c r="AE421" s="30">
        <v>0</v>
      </c>
      <c r="AF421" s="9"/>
      <c r="AG421" s="19">
        <v>0</v>
      </c>
      <c r="AI421" s="32">
        <v>11.7</v>
      </c>
      <c r="AK421" s="7" t="str">
        <f t="shared" si="6"/>
        <v>No</v>
      </c>
    </row>
    <row r="422" spans="1:37">
      <c r="A422" s="7" t="s">
        <v>1129</v>
      </c>
      <c r="B422" s="7" t="s">
        <v>654</v>
      </c>
      <c r="C422" s="37" t="s">
        <v>26</v>
      </c>
      <c r="D422" s="296">
        <v>8011</v>
      </c>
      <c r="E422" s="297">
        <v>80011</v>
      </c>
      <c r="F422" s="27" t="s">
        <v>162</v>
      </c>
      <c r="G422" s="27" t="s">
        <v>158</v>
      </c>
      <c r="H422" s="35">
        <v>264465</v>
      </c>
      <c r="I422" s="35">
        <v>54</v>
      </c>
      <c r="J422" s="9" t="s">
        <v>22</v>
      </c>
      <c r="K422" s="9" t="s">
        <v>159</v>
      </c>
      <c r="L422" s="8">
        <v>6</v>
      </c>
      <c r="M422" s="8">
        <v>21134</v>
      </c>
      <c r="N422" s="9"/>
      <c r="O422" s="8">
        <v>0</v>
      </c>
      <c r="P422" s="9"/>
      <c r="Q422" s="8">
        <v>0</v>
      </c>
      <c r="R422" s="9"/>
      <c r="S422" s="8">
        <v>575</v>
      </c>
      <c r="T422" s="9"/>
      <c r="U422" s="8">
        <v>0</v>
      </c>
      <c r="V422" s="9"/>
      <c r="W422" s="33">
        <v>21709</v>
      </c>
      <c r="X422" s="9"/>
      <c r="Y422" s="30">
        <v>12.8</v>
      </c>
      <c r="Z422" s="9"/>
      <c r="AA422" s="30">
        <v>0</v>
      </c>
      <c r="AB422" s="9"/>
      <c r="AC422" s="30">
        <v>0</v>
      </c>
      <c r="AD422" s="9"/>
      <c r="AE422" s="30">
        <v>0.2</v>
      </c>
      <c r="AF422" s="9"/>
      <c r="AG422" s="19">
        <v>0</v>
      </c>
      <c r="AI422" s="32">
        <v>13</v>
      </c>
      <c r="AK422" s="7" t="str">
        <f t="shared" si="6"/>
        <v>No</v>
      </c>
    </row>
    <row r="423" spans="1:37">
      <c r="A423" s="7" t="s">
        <v>244</v>
      </c>
      <c r="B423" s="7" t="s">
        <v>245</v>
      </c>
      <c r="C423" s="37" t="s">
        <v>77</v>
      </c>
      <c r="D423" s="296">
        <v>3012</v>
      </c>
      <c r="E423" s="297">
        <v>30012</v>
      </c>
      <c r="F423" s="27" t="s">
        <v>165</v>
      </c>
      <c r="G423" s="27" t="s">
        <v>158</v>
      </c>
      <c r="H423" s="35">
        <v>69014</v>
      </c>
      <c r="I423" s="35">
        <v>54</v>
      </c>
      <c r="J423" s="9" t="s">
        <v>78</v>
      </c>
      <c r="K423" s="9" t="s">
        <v>159</v>
      </c>
      <c r="L423" s="8">
        <v>2</v>
      </c>
      <c r="M423" s="8">
        <v>2609</v>
      </c>
      <c r="N423" s="9"/>
      <c r="O423" s="8">
        <v>0</v>
      </c>
      <c r="P423" s="9"/>
      <c r="Q423" s="8">
        <v>0</v>
      </c>
      <c r="R423" s="9"/>
      <c r="S423" s="8">
        <v>5627</v>
      </c>
      <c r="T423" s="9"/>
      <c r="U423" s="8">
        <v>0</v>
      </c>
      <c r="V423" s="9"/>
      <c r="W423" s="33">
        <v>8236</v>
      </c>
      <c r="X423" s="9"/>
      <c r="Y423" s="30">
        <v>4</v>
      </c>
      <c r="Z423" s="9"/>
      <c r="AA423" s="30">
        <v>0</v>
      </c>
      <c r="AB423" s="9"/>
      <c r="AC423" s="30">
        <v>0</v>
      </c>
      <c r="AD423" s="9"/>
      <c r="AE423" s="30">
        <v>13</v>
      </c>
      <c r="AF423" s="9"/>
      <c r="AG423" s="19">
        <v>0</v>
      </c>
      <c r="AI423" s="32">
        <v>17</v>
      </c>
      <c r="AK423" s="7" t="str">
        <f t="shared" si="6"/>
        <v>No</v>
      </c>
    </row>
    <row r="424" spans="1:37">
      <c r="A424" s="7" t="s">
        <v>402</v>
      </c>
      <c r="B424" s="7" t="s">
        <v>403</v>
      </c>
      <c r="C424" s="37" t="s">
        <v>86</v>
      </c>
      <c r="D424" s="296">
        <v>3007</v>
      </c>
      <c r="E424" s="297">
        <v>30007</v>
      </c>
      <c r="F424" s="27" t="s">
        <v>401</v>
      </c>
      <c r="G424" s="27" t="s">
        <v>158</v>
      </c>
      <c r="H424" s="35">
        <v>210111</v>
      </c>
      <c r="I424" s="35">
        <v>53</v>
      </c>
      <c r="J424" s="9" t="s">
        <v>7</v>
      </c>
      <c r="K424" s="9" t="s">
        <v>159</v>
      </c>
      <c r="L424" s="8">
        <v>35</v>
      </c>
      <c r="M424" s="8">
        <v>2194</v>
      </c>
      <c r="N424" s="9"/>
      <c r="O424" s="8">
        <v>2096</v>
      </c>
      <c r="P424" s="9"/>
      <c r="Q424" s="8">
        <v>0</v>
      </c>
      <c r="R424" s="9"/>
      <c r="S424" s="8">
        <v>2724</v>
      </c>
      <c r="T424" s="9"/>
      <c r="U424" s="8">
        <v>0</v>
      </c>
      <c r="V424" s="9"/>
      <c r="W424" s="33">
        <v>7014</v>
      </c>
      <c r="X424" s="9"/>
      <c r="Y424" s="30">
        <v>2</v>
      </c>
      <c r="Z424" s="9"/>
      <c r="AA424" s="30">
        <v>2</v>
      </c>
      <c r="AB424" s="9"/>
      <c r="AC424" s="30">
        <v>0</v>
      </c>
      <c r="AD424" s="9"/>
      <c r="AE424" s="30">
        <v>3</v>
      </c>
      <c r="AF424" s="9"/>
      <c r="AG424" s="19">
        <v>0</v>
      </c>
      <c r="AI424" s="32">
        <v>7</v>
      </c>
      <c r="AK424" s="7" t="str">
        <f t="shared" si="6"/>
        <v>No</v>
      </c>
    </row>
    <row r="425" spans="1:37">
      <c r="A425" s="7" t="s">
        <v>402</v>
      </c>
      <c r="B425" s="7" t="s">
        <v>403</v>
      </c>
      <c r="C425" s="37" t="s">
        <v>86</v>
      </c>
      <c r="D425" s="296">
        <v>3007</v>
      </c>
      <c r="E425" s="297">
        <v>30007</v>
      </c>
      <c r="F425" s="27" t="s">
        <v>401</v>
      </c>
      <c r="G425" s="27" t="s">
        <v>158</v>
      </c>
      <c r="H425" s="35">
        <v>210111</v>
      </c>
      <c r="I425" s="35">
        <v>53</v>
      </c>
      <c r="J425" s="9" t="s">
        <v>18</v>
      </c>
      <c r="K425" s="9" t="s">
        <v>159</v>
      </c>
      <c r="L425" s="8">
        <v>1</v>
      </c>
      <c r="M425" s="8">
        <v>2081</v>
      </c>
      <c r="N425" s="9"/>
      <c r="O425" s="8">
        <v>0</v>
      </c>
      <c r="P425" s="9"/>
      <c r="Q425" s="8">
        <v>290</v>
      </c>
      <c r="R425" s="9"/>
      <c r="S425" s="8">
        <v>1092</v>
      </c>
      <c r="T425" s="9"/>
      <c r="U425" s="8">
        <v>0</v>
      </c>
      <c r="V425" s="9"/>
      <c r="W425" s="33">
        <v>3463</v>
      </c>
      <c r="X425" s="9"/>
      <c r="Y425" s="30">
        <v>2</v>
      </c>
      <c r="Z425" s="9"/>
      <c r="AA425" s="30">
        <v>0</v>
      </c>
      <c r="AB425" s="9"/>
      <c r="AC425" s="30">
        <v>0.5</v>
      </c>
      <c r="AD425" s="9"/>
      <c r="AE425" s="30">
        <v>1</v>
      </c>
      <c r="AF425" s="9"/>
      <c r="AG425" s="19">
        <v>0</v>
      </c>
      <c r="AI425" s="32">
        <v>3.5</v>
      </c>
      <c r="AK425" s="7" t="str">
        <f t="shared" si="6"/>
        <v>No</v>
      </c>
    </row>
    <row r="426" spans="1:37">
      <c r="A426" s="7" t="s">
        <v>354</v>
      </c>
      <c r="B426" s="7" t="s">
        <v>355</v>
      </c>
      <c r="C426" s="37" t="s">
        <v>36</v>
      </c>
      <c r="D426" s="296">
        <v>4082</v>
      </c>
      <c r="E426" s="297">
        <v>40082</v>
      </c>
      <c r="F426" s="27" t="s">
        <v>162</v>
      </c>
      <c r="G426" s="27" t="s">
        <v>158</v>
      </c>
      <c r="H426" s="35">
        <v>4515419</v>
      </c>
      <c r="I426" s="35">
        <v>52</v>
      </c>
      <c r="J426" s="9" t="s">
        <v>8</v>
      </c>
      <c r="K426" s="9" t="s">
        <v>159</v>
      </c>
      <c r="L426" s="8">
        <v>49</v>
      </c>
      <c r="M426" s="8">
        <v>0</v>
      </c>
      <c r="N426" s="9"/>
      <c r="O426" s="8">
        <v>0</v>
      </c>
      <c r="P426" s="9"/>
      <c r="Q426" s="8">
        <v>0</v>
      </c>
      <c r="R426" s="9"/>
      <c r="S426" s="8">
        <v>3276</v>
      </c>
      <c r="T426" s="9"/>
      <c r="U426" s="8">
        <v>0</v>
      </c>
      <c r="V426" s="9"/>
      <c r="W426" s="33">
        <v>3276</v>
      </c>
      <c r="X426" s="9"/>
      <c r="Y426" s="30">
        <v>0</v>
      </c>
      <c r="Z426" s="9"/>
      <c r="AA426" s="30">
        <v>0</v>
      </c>
      <c r="AB426" s="9"/>
      <c r="AC426" s="30">
        <v>0</v>
      </c>
      <c r="AD426" s="9"/>
      <c r="AE426" s="30">
        <v>3</v>
      </c>
      <c r="AF426" s="9"/>
      <c r="AG426" s="19">
        <v>0</v>
      </c>
      <c r="AI426" s="32">
        <v>3</v>
      </c>
      <c r="AK426" s="7" t="str">
        <f t="shared" si="6"/>
        <v>No</v>
      </c>
    </row>
    <row r="427" spans="1:37">
      <c r="A427" s="7" t="s">
        <v>207</v>
      </c>
      <c r="B427" s="7" t="s">
        <v>208</v>
      </c>
      <c r="C427" s="37" t="s">
        <v>52</v>
      </c>
      <c r="D427" s="296">
        <v>5029</v>
      </c>
      <c r="E427" s="297">
        <v>50029</v>
      </c>
      <c r="F427" s="27" t="s">
        <v>165</v>
      </c>
      <c r="G427" s="27" t="s">
        <v>158</v>
      </c>
      <c r="H427" s="35">
        <v>70585</v>
      </c>
      <c r="I427" s="35">
        <v>52</v>
      </c>
      <c r="J427" s="9" t="s">
        <v>7</v>
      </c>
      <c r="K427" s="9" t="s">
        <v>159</v>
      </c>
      <c r="L427" s="8">
        <v>38</v>
      </c>
      <c r="M427" s="8">
        <v>13641</v>
      </c>
      <c r="N427" s="9"/>
      <c r="O427" s="8">
        <v>0</v>
      </c>
      <c r="P427" s="9"/>
      <c r="Q427" s="8">
        <v>0</v>
      </c>
      <c r="R427" s="9"/>
      <c r="S427" s="8">
        <v>0</v>
      </c>
      <c r="T427" s="9"/>
      <c r="U427" s="8">
        <v>0</v>
      </c>
      <c r="V427" s="9"/>
      <c r="W427" s="33">
        <v>13641</v>
      </c>
      <c r="X427" s="9"/>
      <c r="Y427" s="30">
        <v>12</v>
      </c>
      <c r="Z427" s="9"/>
      <c r="AA427" s="30">
        <v>0</v>
      </c>
      <c r="AB427" s="9"/>
      <c r="AC427" s="30">
        <v>0</v>
      </c>
      <c r="AD427" s="9"/>
      <c r="AE427" s="30">
        <v>0</v>
      </c>
      <c r="AF427" s="9"/>
      <c r="AG427" s="19">
        <v>0</v>
      </c>
      <c r="AI427" s="32">
        <v>12</v>
      </c>
      <c r="AK427" s="7" t="str">
        <f t="shared" si="6"/>
        <v>No</v>
      </c>
    </row>
    <row r="428" spans="1:37">
      <c r="A428" s="7" t="s">
        <v>434</v>
      </c>
      <c r="B428" s="7" t="s">
        <v>435</v>
      </c>
      <c r="C428" s="37" t="s">
        <v>93</v>
      </c>
      <c r="D428" s="296">
        <v>5003</v>
      </c>
      <c r="E428" s="297">
        <v>50003</v>
      </c>
      <c r="F428" s="27" t="s">
        <v>162</v>
      </c>
      <c r="G428" s="27" t="s">
        <v>158</v>
      </c>
      <c r="H428" s="35">
        <v>124064</v>
      </c>
      <c r="I428" s="35">
        <v>52</v>
      </c>
      <c r="J428" s="9" t="s">
        <v>7</v>
      </c>
      <c r="K428" s="9" t="s">
        <v>159</v>
      </c>
      <c r="L428" s="8">
        <v>37</v>
      </c>
      <c r="M428" s="8">
        <v>23612</v>
      </c>
      <c r="N428" s="9"/>
      <c r="O428" s="8">
        <v>2005</v>
      </c>
      <c r="P428" s="9"/>
      <c r="Q428" s="8">
        <v>1200</v>
      </c>
      <c r="R428" s="9"/>
      <c r="S428" s="8">
        <v>1351</v>
      </c>
      <c r="T428" s="9"/>
      <c r="U428" s="8">
        <v>0</v>
      </c>
      <c r="V428" s="9"/>
      <c r="W428" s="33">
        <v>28168</v>
      </c>
      <c r="X428" s="9"/>
      <c r="Y428" s="30">
        <v>24</v>
      </c>
      <c r="Z428" s="9"/>
      <c r="AA428" s="30">
        <v>2</v>
      </c>
      <c r="AB428" s="9"/>
      <c r="AC428" s="30">
        <v>1.2</v>
      </c>
      <c r="AD428" s="9"/>
      <c r="AE428" s="30">
        <v>1.5</v>
      </c>
      <c r="AF428" s="9"/>
      <c r="AG428" s="19">
        <v>0</v>
      </c>
      <c r="AI428" s="32">
        <v>28.7</v>
      </c>
      <c r="AK428" s="7" t="str">
        <f t="shared" si="6"/>
        <v>No</v>
      </c>
    </row>
    <row r="429" spans="1:37">
      <c r="A429" s="7" t="s">
        <v>556</v>
      </c>
      <c r="B429" s="7" t="s">
        <v>557</v>
      </c>
      <c r="C429" s="37" t="s">
        <v>73</v>
      </c>
      <c r="D429" s="296">
        <v>5021</v>
      </c>
      <c r="E429" s="297">
        <v>50021</v>
      </c>
      <c r="F429" s="27" t="s">
        <v>165</v>
      </c>
      <c r="G429" s="27" t="s">
        <v>158</v>
      </c>
      <c r="H429" s="35">
        <v>569499</v>
      </c>
      <c r="I429" s="35">
        <v>52</v>
      </c>
      <c r="J429" s="9" t="s">
        <v>10</v>
      </c>
      <c r="K429" s="9" t="s">
        <v>159</v>
      </c>
      <c r="L429" s="8">
        <v>27</v>
      </c>
      <c r="M429" s="8">
        <v>21836</v>
      </c>
      <c r="N429" s="9"/>
      <c r="O429" s="8">
        <v>1277</v>
      </c>
      <c r="P429" s="9"/>
      <c r="Q429" s="8">
        <v>4275</v>
      </c>
      <c r="R429" s="9"/>
      <c r="S429" s="8">
        <v>830</v>
      </c>
      <c r="T429" s="9"/>
      <c r="U429" s="8">
        <v>0</v>
      </c>
      <c r="V429" s="9"/>
      <c r="W429" s="33">
        <v>28218</v>
      </c>
      <c r="X429" s="9"/>
      <c r="Y429" s="30">
        <v>20</v>
      </c>
      <c r="Z429" s="9"/>
      <c r="AA429" s="30">
        <v>2.9</v>
      </c>
      <c r="AB429" s="9"/>
      <c r="AC429" s="30">
        <v>0</v>
      </c>
      <c r="AD429" s="9"/>
      <c r="AE429" s="30">
        <v>0.5</v>
      </c>
      <c r="AF429" s="9"/>
      <c r="AG429" s="19">
        <v>0</v>
      </c>
      <c r="AI429" s="32">
        <v>23.4</v>
      </c>
      <c r="AK429" s="7" t="str">
        <f t="shared" si="6"/>
        <v>No</v>
      </c>
    </row>
    <row r="430" spans="1:37">
      <c r="A430" s="7" t="s">
        <v>623</v>
      </c>
      <c r="B430" s="7" t="s">
        <v>624</v>
      </c>
      <c r="C430" s="37" t="s">
        <v>54</v>
      </c>
      <c r="D430" s="296">
        <v>5028</v>
      </c>
      <c r="E430" s="297">
        <v>50028</v>
      </c>
      <c r="F430" s="27" t="s">
        <v>165</v>
      </c>
      <c r="G430" s="27" t="s">
        <v>158</v>
      </c>
      <c r="H430" s="35">
        <v>110621</v>
      </c>
      <c r="I430" s="35">
        <v>52</v>
      </c>
      <c r="J430" s="9" t="s">
        <v>7</v>
      </c>
      <c r="K430" s="9" t="s">
        <v>159</v>
      </c>
      <c r="L430" s="8">
        <v>27</v>
      </c>
      <c r="M430" s="8">
        <v>11646</v>
      </c>
      <c r="N430" s="9"/>
      <c r="O430" s="8">
        <v>2812</v>
      </c>
      <c r="P430" s="9"/>
      <c r="Q430" s="8">
        <v>1211</v>
      </c>
      <c r="R430" s="9"/>
      <c r="S430" s="8">
        <v>7140</v>
      </c>
      <c r="T430" s="9"/>
      <c r="U430" s="8">
        <v>0</v>
      </c>
      <c r="V430" s="9"/>
      <c r="W430" s="33">
        <v>22809</v>
      </c>
      <c r="X430" s="9"/>
      <c r="Y430" s="30">
        <v>11.67</v>
      </c>
      <c r="Z430" s="9"/>
      <c r="AA430" s="30">
        <v>3.3</v>
      </c>
      <c r="AB430" s="9"/>
      <c r="AC430" s="30">
        <v>1.61</v>
      </c>
      <c r="AD430" s="9"/>
      <c r="AE430" s="30">
        <v>5.8</v>
      </c>
      <c r="AF430" s="9"/>
      <c r="AG430" s="19">
        <v>0</v>
      </c>
      <c r="AI430" s="32">
        <v>22.38</v>
      </c>
      <c r="AK430" s="7" t="str">
        <f t="shared" si="6"/>
        <v>No</v>
      </c>
    </row>
    <row r="431" spans="1:37">
      <c r="A431" s="7" t="s">
        <v>556</v>
      </c>
      <c r="B431" s="7" t="s">
        <v>557</v>
      </c>
      <c r="C431" s="37" t="s">
        <v>73</v>
      </c>
      <c r="D431" s="296">
        <v>5021</v>
      </c>
      <c r="E431" s="297">
        <v>50021</v>
      </c>
      <c r="F431" s="27" t="s">
        <v>165</v>
      </c>
      <c r="G431" s="27" t="s">
        <v>158</v>
      </c>
      <c r="H431" s="35">
        <v>569499</v>
      </c>
      <c r="I431" s="35">
        <v>52</v>
      </c>
      <c r="J431" s="9" t="s">
        <v>7</v>
      </c>
      <c r="K431" s="9" t="s">
        <v>159</v>
      </c>
      <c r="L431" s="8">
        <v>25</v>
      </c>
      <c r="M431" s="8">
        <v>62040</v>
      </c>
      <c r="N431" s="9"/>
      <c r="O431" s="8">
        <v>1411</v>
      </c>
      <c r="P431" s="9"/>
      <c r="Q431" s="8">
        <v>4725</v>
      </c>
      <c r="R431" s="9"/>
      <c r="S431" s="8">
        <v>917</v>
      </c>
      <c r="T431" s="9"/>
      <c r="U431" s="8">
        <v>0</v>
      </c>
      <c r="V431" s="9"/>
      <c r="W431" s="33">
        <v>69093</v>
      </c>
      <c r="X431" s="9"/>
      <c r="Y431" s="30">
        <v>87.1</v>
      </c>
      <c r="Z431" s="9"/>
      <c r="AA431" s="30">
        <v>3.2</v>
      </c>
      <c r="AB431" s="9"/>
      <c r="AC431" s="30">
        <v>0</v>
      </c>
      <c r="AD431" s="9"/>
      <c r="AE431" s="30">
        <v>0.5</v>
      </c>
      <c r="AF431" s="9"/>
      <c r="AG431" s="19">
        <v>0</v>
      </c>
      <c r="AI431" s="32">
        <v>90.8</v>
      </c>
      <c r="AK431" s="7" t="str">
        <f t="shared" si="6"/>
        <v>No</v>
      </c>
    </row>
    <row r="432" spans="1:37">
      <c r="A432" s="7" t="s">
        <v>623</v>
      </c>
      <c r="B432" s="7" t="s">
        <v>624</v>
      </c>
      <c r="C432" s="37" t="s">
        <v>54</v>
      </c>
      <c r="D432" s="296">
        <v>5028</v>
      </c>
      <c r="E432" s="297">
        <v>50028</v>
      </c>
      <c r="F432" s="27" t="s">
        <v>165</v>
      </c>
      <c r="G432" s="27" t="s">
        <v>158</v>
      </c>
      <c r="H432" s="35">
        <v>110621</v>
      </c>
      <c r="I432" s="35">
        <v>52</v>
      </c>
      <c r="J432" s="9" t="s">
        <v>10</v>
      </c>
      <c r="K432" s="9" t="s">
        <v>159</v>
      </c>
      <c r="L432" s="8">
        <v>21</v>
      </c>
      <c r="M432" s="8">
        <v>8746</v>
      </c>
      <c r="N432" s="9"/>
      <c r="O432" s="8">
        <v>1274</v>
      </c>
      <c r="P432" s="9"/>
      <c r="Q432" s="8">
        <v>314</v>
      </c>
      <c r="R432" s="9"/>
      <c r="S432" s="8">
        <v>1320</v>
      </c>
      <c r="T432" s="9"/>
      <c r="U432" s="8">
        <v>0</v>
      </c>
      <c r="V432" s="9"/>
      <c r="W432" s="33">
        <v>11654</v>
      </c>
      <c r="X432" s="9"/>
      <c r="Y432" s="30">
        <v>8.5500000000000007</v>
      </c>
      <c r="Z432" s="9"/>
      <c r="AA432" s="30">
        <v>1.49</v>
      </c>
      <c r="AB432" s="9"/>
      <c r="AC432" s="30">
        <v>0.47</v>
      </c>
      <c r="AD432" s="9"/>
      <c r="AE432" s="30">
        <v>1.27</v>
      </c>
      <c r="AF432" s="9"/>
      <c r="AG432" s="19">
        <v>0</v>
      </c>
      <c r="AI432" s="32">
        <v>11.78</v>
      </c>
      <c r="AK432" s="7" t="str">
        <f t="shared" si="6"/>
        <v>No</v>
      </c>
    </row>
    <row r="433" spans="1:37">
      <c r="A433" s="7" t="s">
        <v>207</v>
      </c>
      <c r="B433" s="7" t="s">
        <v>208</v>
      </c>
      <c r="C433" s="37" t="s">
        <v>52</v>
      </c>
      <c r="D433" s="296">
        <v>5029</v>
      </c>
      <c r="E433" s="297">
        <v>50029</v>
      </c>
      <c r="F433" s="27" t="s">
        <v>165</v>
      </c>
      <c r="G433" s="27" t="s">
        <v>158</v>
      </c>
      <c r="H433" s="35">
        <v>70585</v>
      </c>
      <c r="I433" s="35">
        <v>52</v>
      </c>
      <c r="J433" s="9" t="s">
        <v>10</v>
      </c>
      <c r="K433" s="9" t="s">
        <v>159</v>
      </c>
      <c r="L433" s="8">
        <v>14</v>
      </c>
      <c r="M433" s="8">
        <v>0</v>
      </c>
      <c r="N433" s="9"/>
      <c r="O433" s="8">
        <v>0</v>
      </c>
      <c r="P433" s="9"/>
      <c r="Q433" s="8">
        <v>0</v>
      </c>
      <c r="R433" s="9"/>
      <c r="S433" s="8">
        <v>0</v>
      </c>
      <c r="T433" s="9"/>
      <c r="U433" s="8">
        <v>0</v>
      </c>
      <c r="V433" s="9"/>
      <c r="W433" s="33">
        <v>0</v>
      </c>
      <c r="X433" s="9"/>
      <c r="Y433" s="30">
        <v>0</v>
      </c>
      <c r="Z433" s="9"/>
      <c r="AA433" s="30">
        <v>0</v>
      </c>
      <c r="AB433" s="9"/>
      <c r="AC433" s="30">
        <v>0</v>
      </c>
      <c r="AD433" s="9"/>
      <c r="AE433" s="30">
        <v>0</v>
      </c>
      <c r="AF433" s="9"/>
      <c r="AG433" s="19">
        <v>0</v>
      </c>
      <c r="AI433" s="32">
        <v>0</v>
      </c>
      <c r="AK433" s="7" t="str">
        <f t="shared" si="6"/>
        <v>No</v>
      </c>
    </row>
    <row r="434" spans="1:37">
      <c r="A434" s="7" t="s">
        <v>623</v>
      </c>
      <c r="B434" s="7" t="s">
        <v>624</v>
      </c>
      <c r="C434" s="37" t="s">
        <v>54</v>
      </c>
      <c r="D434" s="296">
        <v>5028</v>
      </c>
      <c r="E434" s="297">
        <v>50028</v>
      </c>
      <c r="F434" s="27" t="s">
        <v>165</v>
      </c>
      <c r="G434" s="27" t="s">
        <v>158</v>
      </c>
      <c r="H434" s="35">
        <v>110621</v>
      </c>
      <c r="I434" s="35">
        <v>52</v>
      </c>
      <c r="J434" s="9" t="s">
        <v>18</v>
      </c>
      <c r="K434" s="9" t="s">
        <v>159</v>
      </c>
      <c r="L434" s="8">
        <v>4</v>
      </c>
      <c r="M434" s="8">
        <v>2403</v>
      </c>
      <c r="N434" s="9"/>
      <c r="O434" s="8">
        <v>308</v>
      </c>
      <c r="P434" s="9"/>
      <c r="Q434" s="8">
        <v>76</v>
      </c>
      <c r="R434" s="9"/>
      <c r="S434" s="8">
        <v>280</v>
      </c>
      <c r="T434" s="9"/>
      <c r="U434" s="8">
        <v>0</v>
      </c>
      <c r="V434" s="9"/>
      <c r="W434" s="33">
        <v>3067</v>
      </c>
      <c r="X434" s="9"/>
      <c r="Y434" s="30">
        <v>5.66</v>
      </c>
      <c r="Z434" s="9"/>
      <c r="AA434" s="30">
        <v>0.36</v>
      </c>
      <c r="AB434" s="9"/>
      <c r="AC434" s="30">
        <v>0.11</v>
      </c>
      <c r="AD434" s="9"/>
      <c r="AE434" s="30">
        <v>0.23</v>
      </c>
      <c r="AF434" s="9"/>
      <c r="AG434" s="19">
        <v>0</v>
      </c>
      <c r="AI434" s="32">
        <v>6.36</v>
      </c>
      <c r="AK434" s="7" t="str">
        <f t="shared" si="6"/>
        <v>No</v>
      </c>
    </row>
    <row r="435" spans="1:37">
      <c r="A435" s="7" t="s">
        <v>434</v>
      </c>
      <c r="B435" s="7" t="s">
        <v>435</v>
      </c>
      <c r="C435" s="37" t="s">
        <v>93</v>
      </c>
      <c r="D435" s="296">
        <v>5003</v>
      </c>
      <c r="E435" s="297">
        <v>50003</v>
      </c>
      <c r="F435" s="27" t="s">
        <v>162</v>
      </c>
      <c r="G435" s="27" t="s">
        <v>158</v>
      </c>
      <c r="H435" s="35">
        <v>124064</v>
      </c>
      <c r="I435" s="35">
        <v>52</v>
      </c>
      <c r="J435" s="9" t="s">
        <v>12</v>
      </c>
      <c r="K435" s="9" t="s">
        <v>159</v>
      </c>
      <c r="L435" s="8">
        <v>3</v>
      </c>
      <c r="M435" s="8">
        <v>350</v>
      </c>
      <c r="N435" s="9"/>
      <c r="O435" s="8">
        <v>0</v>
      </c>
      <c r="P435" s="9"/>
      <c r="Q435" s="8">
        <v>250</v>
      </c>
      <c r="R435" s="9"/>
      <c r="S435" s="8">
        <v>0</v>
      </c>
      <c r="T435" s="9"/>
      <c r="U435" s="8">
        <v>0</v>
      </c>
      <c r="V435" s="9"/>
      <c r="W435" s="33">
        <v>600</v>
      </c>
      <c r="X435" s="9"/>
      <c r="Y435" s="30">
        <v>0.5</v>
      </c>
      <c r="Z435" s="9"/>
      <c r="AA435" s="30">
        <v>0</v>
      </c>
      <c r="AB435" s="9"/>
      <c r="AC435" s="30">
        <v>0.2</v>
      </c>
      <c r="AD435" s="9"/>
      <c r="AE435" s="30">
        <v>0</v>
      </c>
      <c r="AF435" s="9"/>
      <c r="AG435" s="19">
        <v>0</v>
      </c>
      <c r="AI435" s="32">
        <v>0.7</v>
      </c>
      <c r="AK435" s="7" t="str">
        <f t="shared" si="6"/>
        <v>No</v>
      </c>
    </row>
    <row r="436" spans="1:37">
      <c r="A436" s="7" t="s">
        <v>354</v>
      </c>
      <c r="B436" s="7" t="s">
        <v>355</v>
      </c>
      <c r="C436" s="37" t="s">
        <v>36</v>
      </c>
      <c r="D436" s="296">
        <v>4082</v>
      </c>
      <c r="E436" s="297">
        <v>40082</v>
      </c>
      <c r="F436" s="27" t="s">
        <v>162</v>
      </c>
      <c r="G436" s="27" t="s">
        <v>158</v>
      </c>
      <c r="H436" s="35">
        <v>4515419</v>
      </c>
      <c r="I436" s="35">
        <v>52</v>
      </c>
      <c r="J436" s="9" t="s">
        <v>10</v>
      </c>
      <c r="K436" s="9" t="s">
        <v>159</v>
      </c>
      <c r="L436" s="8">
        <v>3</v>
      </c>
      <c r="M436" s="8">
        <v>1157</v>
      </c>
      <c r="N436" s="9"/>
      <c r="O436" s="8">
        <v>0</v>
      </c>
      <c r="P436" s="9"/>
      <c r="Q436" s="8">
        <v>0</v>
      </c>
      <c r="R436" s="9"/>
      <c r="S436" s="8">
        <v>800</v>
      </c>
      <c r="T436" s="9"/>
      <c r="U436" s="8">
        <v>0</v>
      </c>
      <c r="V436" s="9"/>
      <c r="W436" s="33">
        <v>1957</v>
      </c>
      <c r="X436" s="9"/>
      <c r="Y436" s="30">
        <v>2</v>
      </c>
      <c r="Z436" s="9"/>
      <c r="AA436" s="30">
        <v>0</v>
      </c>
      <c r="AB436" s="9"/>
      <c r="AC436" s="30">
        <v>0</v>
      </c>
      <c r="AD436" s="9"/>
      <c r="AE436" s="30">
        <v>0.5</v>
      </c>
      <c r="AF436" s="9"/>
      <c r="AG436" s="19">
        <v>0</v>
      </c>
      <c r="AI436" s="32">
        <v>2.5</v>
      </c>
      <c r="AK436" s="7" t="str">
        <f t="shared" si="6"/>
        <v>No</v>
      </c>
    </row>
    <row r="437" spans="1:37">
      <c r="A437" s="7" t="s">
        <v>748</v>
      </c>
      <c r="B437" s="7" t="s">
        <v>206</v>
      </c>
      <c r="C437" s="37" t="s">
        <v>36</v>
      </c>
      <c r="D437" s="296">
        <v>4180</v>
      </c>
      <c r="E437" s="297">
        <v>40180</v>
      </c>
      <c r="F437" s="27" t="s">
        <v>114</v>
      </c>
      <c r="G437" s="27" t="s">
        <v>158</v>
      </c>
      <c r="H437" s="35">
        <v>128754</v>
      </c>
      <c r="I437" s="35">
        <v>51</v>
      </c>
      <c r="J437" s="9" t="s">
        <v>7</v>
      </c>
      <c r="K437" s="9" t="s">
        <v>159</v>
      </c>
      <c r="L437" s="8">
        <v>45</v>
      </c>
      <c r="M437" s="8">
        <v>120799</v>
      </c>
      <c r="N437" s="9"/>
      <c r="O437" s="8">
        <v>0</v>
      </c>
      <c r="P437" s="9"/>
      <c r="Q437" s="8">
        <v>0</v>
      </c>
      <c r="R437" s="9"/>
      <c r="S437" s="8">
        <v>465</v>
      </c>
      <c r="T437" s="9"/>
      <c r="U437" s="8">
        <v>0</v>
      </c>
      <c r="V437" s="9"/>
      <c r="W437" s="33">
        <v>121264</v>
      </c>
      <c r="X437" s="9"/>
      <c r="Y437" s="30">
        <v>159.5</v>
      </c>
      <c r="Z437" s="9"/>
      <c r="AA437" s="30">
        <v>0</v>
      </c>
      <c r="AB437" s="9"/>
      <c r="AC437" s="30">
        <v>0</v>
      </c>
      <c r="AD437" s="9"/>
      <c r="AE437" s="30">
        <v>1.82</v>
      </c>
      <c r="AF437" s="9"/>
      <c r="AG437" s="19">
        <v>0</v>
      </c>
      <c r="AI437" s="32">
        <v>161.32</v>
      </c>
      <c r="AK437" s="7" t="str">
        <f t="shared" si="6"/>
        <v>No</v>
      </c>
    </row>
    <row r="438" spans="1:37">
      <c r="A438" s="7" t="s">
        <v>685</v>
      </c>
      <c r="B438" s="7" t="s">
        <v>686</v>
      </c>
      <c r="C438" s="37" t="s">
        <v>73</v>
      </c>
      <c r="D438" s="296">
        <v>5024</v>
      </c>
      <c r="E438" s="297">
        <v>50024</v>
      </c>
      <c r="F438" s="27" t="s">
        <v>165</v>
      </c>
      <c r="G438" s="27" t="s">
        <v>158</v>
      </c>
      <c r="H438" s="35">
        <v>387550</v>
      </c>
      <c r="I438" s="35">
        <v>51</v>
      </c>
      <c r="J438" s="9" t="s">
        <v>7</v>
      </c>
      <c r="K438" s="9" t="s">
        <v>159</v>
      </c>
      <c r="L438" s="8">
        <v>35</v>
      </c>
      <c r="M438" s="8">
        <v>0</v>
      </c>
      <c r="N438" s="9"/>
      <c r="O438" s="8">
        <v>0</v>
      </c>
      <c r="P438" s="9"/>
      <c r="Q438" s="8">
        <v>0</v>
      </c>
      <c r="R438" s="9"/>
      <c r="S438" s="8">
        <v>0</v>
      </c>
      <c r="T438" s="9"/>
      <c r="U438" s="8">
        <v>0</v>
      </c>
      <c r="V438" s="9"/>
      <c r="W438" s="33">
        <v>0</v>
      </c>
      <c r="X438" s="9"/>
      <c r="Y438" s="30">
        <v>0</v>
      </c>
      <c r="Z438" s="9"/>
      <c r="AA438" s="30">
        <v>0</v>
      </c>
      <c r="AB438" s="9"/>
      <c r="AC438" s="30">
        <v>0</v>
      </c>
      <c r="AD438" s="9"/>
      <c r="AE438" s="30">
        <v>0</v>
      </c>
      <c r="AF438" s="9"/>
      <c r="AG438" s="19">
        <v>0</v>
      </c>
      <c r="AI438" s="32">
        <v>0</v>
      </c>
      <c r="AK438" s="7" t="str">
        <f t="shared" si="6"/>
        <v>No</v>
      </c>
    </row>
    <row r="439" spans="1:37">
      <c r="A439" s="7" t="s">
        <v>571</v>
      </c>
      <c r="B439" s="7" t="s">
        <v>572</v>
      </c>
      <c r="C439" s="37" t="s">
        <v>40</v>
      </c>
      <c r="D439" s="296">
        <v>5058</v>
      </c>
      <c r="E439" s="297">
        <v>50058</v>
      </c>
      <c r="F439" s="27" t="s">
        <v>165</v>
      </c>
      <c r="G439" s="27" t="s">
        <v>158</v>
      </c>
      <c r="H439" s="35">
        <v>296863</v>
      </c>
      <c r="I439" s="35">
        <v>51</v>
      </c>
      <c r="J439" s="9" t="s">
        <v>10</v>
      </c>
      <c r="K439" s="9" t="s">
        <v>159</v>
      </c>
      <c r="L439" s="8">
        <v>26</v>
      </c>
      <c r="M439" s="8">
        <v>14130</v>
      </c>
      <c r="N439" s="9"/>
      <c r="O439" s="8">
        <v>1151</v>
      </c>
      <c r="P439" s="9"/>
      <c r="Q439" s="8">
        <v>0</v>
      </c>
      <c r="R439" s="9"/>
      <c r="S439" s="8">
        <v>0</v>
      </c>
      <c r="T439" s="9"/>
      <c r="U439" s="8">
        <v>0</v>
      </c>
      <c r="V439" s="9"/>
      <c r="W439" s="33">
        <v>15281</v>
      </c>
      <c r="X439" s="9"/>
      <c r="Y439" s="30">
        <v>7.2</v>
      </c>
      <c r="Z439" s="9"/>
      <c r="AA439" s="30">
        <v>0.8</v>
      </c>
      <c r="AB439" s="9"/>
      <c r="AC439" s="30">
        <v>0</v>
      </c>
      <c r="AD439" s="9"/>
      <c r="AE439" s="30">
        <v>0</v>
      </c>
      <c r="AF439" s="9"/>
      <c r="AG439" s="19">
        <v>0</v>
      </c>
      <c r="AI439" s="32">
        <v>8</v>
      </c>
      <c r="AK439" s="7" t="str">
        <f t="shared" si="6"/>
        <v>No</v>
      </c>
    </row>
    <row r="440" spans="1:37">
      <c r="A440" s="7" t="s">
        <v>571</v>
      </c>
      <c r="B440" s="7" t="s">
        <v>572</v>
      </c>
      <c r="C440" s="37" t="s">
        <v>40</v>
      </c>
      <c r="D440" s="296">
        <v>5058</v>
      </c>
      <c r="E440" s="297">
        <v>50058</v>
      </c>
      <c r="F440" s="27" t="s">
        <v>165</v>
      </c>
      <c r="G440" s="27" t="s">
        <v>158</v>
      </c>
      <c r="H440" s="35">
        <v>296863</v>
      </c>
      <c r="I440" s="35">
        <v>51</v>
      </c>
      <c r="J440" s="9" t="s">
        <v>7</v>
      </c>
      <c r="K440" s="9" t="s">
        <v>159</v>
      </c>
      <c r="L440" s="8">
        <v>25</v>
      </c>
      <c r="M440" s="8">
        <v>10954</v>
      </c>
      <c r="N440" s="9"/>
      <c r="O440" s="8">
        <v>1840</v>
      </c>
      <c r="P440" s="9"/>
      <c r="Q440" s="8">
        <v>0</v>
      </c>
      <c r="R440" s="9"/>
      <c r="S440" s="8">
        <v>0</v>
      </c>
      <c r="T440" s="9"/>
      <c r="U440" s="8">
        <v>0</v>
      </c>
      <c r="V440" s="9"/>
      <c r="W440" s="33">
        <v>12794</v>
      </c>
      <c r="X440" s="9"/>
      <c r="Y440" s="30">
        <v>6.4</v>
      </c>
      <c r="Z440" s="9"/>
      <c r="AA440" s="30">
        <v>1.2</v>
      </c>
      <c r="AB440" s="9"/>
      <c r="AC440" s="30">
        <v>0</v>
      </c>
      <c r="AD440" s="9"/>
      <c r="AE440" s="30">
        <v>0</v>
      </c>
      <c r="AF440" s="9"/>
      <c r="AG440" s="19">
        <v>0</v>
      </c>
      <c r="AI440" s="32">
        <v>7.6</v>
      </c>
      <c r="AK440" s="7" t="str">
        <f t="shared" si="6"/>
        <v>No</v>
      </c>
    </row>
    <row r="441" spans="1:37">
      <c r="A441" s="7" t="s">
        <v>685</v>
      </c>
      <c r="B441" s="7" t="s">
        <v>686</v>
      </c>
      <c r="C441" s="37" t="s">
        <v>73</v>
      </c>
      <c r="D441" s="296">
        <v>5024</v>
      </c>
      <c r="E441" s="297">
        <v>50024</v>
      </c>
      <c r="F441" s="27" t="s">
        <v>165</v>
      </c>
      <c r="G441" s="27" t="s">
        <v>158</v>
      </c>
      <c r="H441" s="35">
        <v>387550</v>
      </c>
      <c r="I441" s="35">
        <v>51</v>
      </c>
      <c r="J441" s="9" t="s">
        <v>10</v>
      </c>
      <c r="K441" s="9" t="s">
        <v>159</v>
      </c>
      <c r="L441" s="8">
        <v>16</v>
      </c>
      <c r="M441" s="8">
        <v>0</v>
      </c>
      <c r="N441" s="9"/>
      <c r="O441" s="8">
        <v>0</v>
      </c>
      <c r="P441" s="9"/>
      <c r="Q441" s="8">
        <v>0</v>
      </c>
      <c r="R441" s="9"/>
      <c r="S441" s="8">
        <v>0</v>
      </c>
      <c r="T441" s="9"/>
      <c r="U441" s="8">
        <v>0</v>
      </c>
      <c r="V441" s="9"/>
      <c r="W441" s="33">
        <v>0</v>
      </c>
      <c r="X441" s="9"/>
      <c r="Y441" s="30">
        <v>0</v>
      </c>
      <c r="Z441" s="9"/>
      <c r="AA441" s="30">
        <v>0</v>
      </c>
      <c r="AB441" s="9"/>
      <c r="AC441" s="30">
        <v>0</v>
      </c>
      <c r="AD441" s="9"/>
      <c r="AE441" s="30">
        <v>0</v>
      </c>
      <c r="AF441" s="9"/>
      <c r="AG441" s="19">
        <v>0</v>
      </c>
      <c r="AI441" s="32">
        <v>0</v>
      </c>
      <c r="AK441" s="7" t="str">
        <f t="shared" si="6"/>
        <v>No</v>
      </c>
    </row>
    <row r="442" spans="1:37">
      <c r="A442" s="7" t="s">
        <v>748</v>
      </c>
      <c r="B442" s="7" t="s">
        <v>206</v>
      </c>
      <c r="C442" s="37" t="s">
        <v>36</v>
      </c>
      <c r="D442" s="296">
        <v>4180</v>
      </c>
      <c r="E442" s="297">
        <v>40180</v>
      </c>
      <c r="F442" s="27" t="s">
        <v>114</v>
      </c>
      <c r="G442" s="27" t="s">
        <v>158</v>
      </c>
      <c r="H442" s="35">
        <v>128754</v>
      </c>
      <c r="I442" s="35">
        <v>51</v>
      </c>
      <c r="J442" s="9" t="s">
        <v>10</v>
      </c>
      <c r="K442" s="9" t="s">
        <v>159</v>
      </c>
      <c r="L442" s="8">
        <v>6</v>
      </c>
      <c r="M442" s="8">
        <v>10199</v>
      </c>
      <c r="N442" s="9"/>
      <c r="O442" s="8">
        <v>0</v>
      </c>
      <c r="P442" s="9"/>
      <c r="Q442" s="8">
        <v>0</v>
      </c>
      <c r="R442" s="9"/>
      <c r="S442" s="8">
        <v>45</v>
      </c>
      <c r="T442" s="9"/>
      <c r="U442" s="8">
        <v>0</v>
      </c>
      <c r="V442" s="9"/>
      <c r="W442" s="33">
        <v>10244</v>
      </c>
      <c r="X442" s="9"/>
      <c r="Y442" s="30">
        <v>31.5</v>
      </c>
      <c r="Z442" s="9"/>
      <c r="AA442" s="30">
        <v>0</v>
      </c>
      <c r="AB442" s="9"/>
      <c r="AC442" s="30">
        <v>0</v>
      </c>
      <c r="AD442" s="9"/>
      <c r="AE442" s="30">
        <v>0.18</v>
      </c>
      <c r="AF442" s="9"/>
      <c r="AG442" s="19">
        <v>0</v>
      </c>
      <c r="AI442" s="32">
        <v>31.68</v>
      </c>
      <c r="AK442" s="7" t="str">
        <f t="shared" si="6"/>
        <v>No</v>
      </c>
    </row>
    <row r="443" spans="1:37">
      <c r="A443" s="7" t="s">
        <v>1130</v>
      </c>
      <c r="B443" s="7" t="s">
        <v>653</v>
      </c>
      <c r="C443" s="37" t="s">
        <v>77</v>
      </c>
      <c r="D443" s="296">
        <v>2169</v>
      </c>
      <c r="E443" s="297">
        <v>20169</v>
      </c>
      <c r="F443" s="27" t="s">
        <v>173</v>
      </c>
      <c r="G443" s="27" t="s">
        <v>158</v>
      </c>
      <c r="H443" s="35">
        <v>18351295</v>
      </c>
      <c r="I443" s="35">
        <v>50</v>
      </c>
      <c r="J443" s="9" t="s">
        <v>18</v>
      </c>
      <c r="K443" s="9" t="s">
        <v>159</v>
      </c>
      <c r="L443" s="8">
        <v>50</v>
      </c>
      <c r="M443" s="8">
        <v>45194</v>
      </c>
      <c r="N443" s="9"/>
      <c r="O443" s="8">
        <v>2851</v>
      </c>
      <c r="P443" s="9"/>
      <c r="Q443" s="8">
        <v>772</v>
      </c>
      <c r="R443" s="9"/>
      <c r="S443" s="8">
        <v>19759</v>
      </c>
      <c r="T443" s="9"/>
      <c r="U443" s="8">
        <v>0</v>
      </c>
      <c r="V443" s="9"/>
      <c r="W443" s="33">
        <v>68576</v>
      </c>
      <c r="X443" s="9"/>
      <c r="Y443" s="30">
        <v>41</v>
      </c>
      <c r="Z443" s="9"/>
      <c r="AA443" s="30">
        <v>3</v>
      </c>
      <c r="AB443" s="9"/>
      <c r="AC443" s="30">
        <v>1</v>
      </c>
      <c r="AD443" s="9"/>
      <c r="AE443" s="30">
        <v>29</v>
      </c>
      <c r="AF443" s="9"/>
      <c r="AG443" s="19">
        <v>0</v>
      </c>
      <c r="AI443" s="32">
        <v>74</v>
      </c>
      <c r="AK443" s="7" t="str">
        <f t="shared" si="6"/>
        <v>No</v>
      </c>
    </row>
    <row r="444" spans="1:37">
      <c r="A444" s="7" t="s">
        <v>362</v>
      </c>
      <c r="B444" s="7" t="s">
        <v>363</v>
      </c>
      <c r="C444" s="37" t="s">
        <v>93</v>
      </c>
      <c r="D444" s="296">
        <v>5099</v>
      </c>
      <c r="E444" s="297">
        <v>50099</v>
      </c>
      <c r="F444" s="27" t="s">
        <v>162</v>
      </c>
      <c r="G444" s="27" t="s">
        <v>158</v>
      </c>
      <c r="H444" s="35">
        <v>102852</v>
      </c>
      <c r="I444" s="35">
        <v>50</v>
      </c>
      <c r="J444" s="9" t="s">
        <v>7</v>
      </c>
      <c r="K444" s="9" t="s">
        <v>159</v>
      </c>
      <c r="L444" s="8">
        <v>16</v>
      </c>
      <c r="M444" s="8">
        <v>5028</v>
      </c>
      <c r="N444" s="9"/>
      <c r="O444" s="8">
        <v>805</v>
      </c>
      <c r="P444" s="9"/>
      <c r="Q444" s="8">
        <v>0</v>
      </c>
      <c r="R444" s="9"/>
      <c r="S444" s="8">
        <v>279</v>
      </c>
      <c r="T444" s="9"/>
      <c r="U444" s="8">
        <v>0</v>
      </c>
      <c r="V444" s="9"/>
      <c r="W444" s="33">
        <v>6112</v>
      </c>
      <c r="X444" s="9"/>
      <c r="Y444" s="30">
        <v>6</v>
      </c>
      <c r="Z444" s="9"/>
      <c r="AA444" s="30">
        <v>1</v>
      </c>
      <c r="AB444" s="9"/>
      <c r="AC444" s="30">
        <v>0</v>
      </c>
      <c r="AD444" s="9"/>
      <c r="AE444" s="30">
        <v>1</v>
      </c>
      <c r="AF444" s="9"/>
      <c r="AG444" s="19">
        <v>0</v>
      </c>
      <c r="AI444" s="32">
        <v>8</v>
      </c>
      <c r="AK444" s="7" t="str">
        <f t="shared" si="6"/>
        <v>No</v>
      </c>
    </row>
    <row r="445" spans="1:37">
      <c r="A445" s="7" t="s">
        <v>538</v>
      </c>
      <c r="B445" s="7" t="s">
        <v>533</v>
      </c>
      <c r="C445" s="37" t="s">
        <v>63</v>
      </c>
      <c r="D445" s="296">
        <v>2166</v>
      </c>
      <c r="E445" s="297">
        <v>20166</v>
      </c>
      <c r="F445" s="27" t="s">
        <v>173</v>
      </c>
      <c r="G445" s="27" t="s">
        <v>158</v>
      </c>
      <c r="H445" s="35">
        <v>18351295</v>
      </c>
      <c r="I445" s="35">
        <v>49</v>
      </c>
      <c r="J445" s="9" t="s">
        <v>7</v>
      </c>
      <c r="K445" s="9" t="s">
        <v>159</v>
      </c>
      <c r="L445" s="8">
        <v>49</v>
      </c>
      <c r="M445" s="8">
        <v>4350</v>
      </c>
      <c r="N445" s="9"/>
      <c r="O445" s="8">
        <v>0</v>
      </c>
      <c r="P445" s="9"/>
      <c r="Q445" s="8">
        <v>0</v>
      </c>
      <c r="R445" s="9"/>
      <c r="S445" s="8">
        <v>0</v>
      </c>
      <c r="T445" s="9"/>
      <c r="U445" s="8">
        <v>0</v>
      </c>
      <c r="V445" s="9"/>
      <c r="W445" s="33">
        <v>4350</v>
      </c>
      <c r="X445" s="9"/>
      <c r="Y445" s="30">
        <v>10</v>
      </c>
      <c r="Z445" s="9"/>
      <c r="AA445" s="30">
        <v>0</v>
      </c>
      <c r="AB445" s="9"/>
      <c r="AC445" s="30">
        <v>0</v>
      </c>
      <c r="AD445" s="9"/>
      <c r="AE445" s="30">
        <v>0</v>
      </c>
      <c r="AF445" s="9"/>
      <c r="AG445" s="19">
        <v>0</v>
      </c>
      <c r="AI445" s="32">
        <v>10</v>
      </c>
      <c r="AK445" s="7" t="str">
        <f t="shared" si="6"/>
        <v>No</v>
      </c>
    </row>
    <row r="446" spans="1:37">
      <c r="A446" s="7" t="s">
        <v>295</v>
      </c>
      <c r="B446" s="7" t="s">
        <v>296</v>
      </c>
      <c r="C446" s="37" t="s">
        <v>17</v>
      </c>
      <c r="D446" s="296">
        <v>9042</v>
      </c>
      <c r="E446" s="297">
        <v>90042</v>
      </c>
      <c r="F446" s="27" t="s">
        <v>162</v>
      </c>
      <c r="G446" s="27" t="s">
        <v>158</v>
      </c>
      <c r="H446" s="35">
        <v>12150996</v>
      </c>
      <c r="I446" s="35">
        <v>49</v>
      </c>
      <c r="J446" s="9" t="s">
        <v>7</v>
      </c>
      <c r="K446" s="9" t="s">
        <v>159</v>
      </c>
      <c r="L446" s="8">
        <v>43</v>
      </c>
      <c r="M446" s="8">
        <v>65554</v>
      </c>
      <c r="N446" s="9"/>
      <c r="O446" s="8">
        <v>0</v>
      </c>
      <c r="P446" s="9"/>
      <c r="Q446" s="8">
        <v>0</v>
      </c>
      <c r="R446" s="9"/>
      <c r="S446" s="8">
        <v>5938</v>
      </c>
      <c r="T446" s="9"/>
      <c r="U446" s="8">
        <v>0</v>
      </c>
      <c r="V446" s="9"/>
      <c r="W446" s="33">
        <v>71492</v>
      </c>
      <c r="X446" s="9"/>
      <c r="Y446" s="30">
        <v>33</v>
      </c>
      <c r="Z446" s="9"/>
      <c r="AA446" s="30">
        <v>0</v>
      </c>
      <c r="AB446" s="9"/>
      <c r="AC446" s="30">
        <v>0</v>
      </c>
      <c r="AD446" s="9"/>
      <c r="AE446" s="30">
        <v>4.8</v>
      </c>
      <c r="AF446" s="9"/>
      <c r="AG446" s="19">
        <v>0</v>
      </c>
      <c r="AI446" s="32">
        <v>37.799999999999997</v>
      </c>
      <c r="AK446" s="7" t="str">
        <f t="shared" si="6"/>
        <v>No</v>
      </c>
    </row>
    <row r="447" spans="1:37">
      <c r="A447" s="7" t="s">
        <v>1131</v>
      </c>
      <c r="B447" s="7" t="s">
        <v>735</v>
      </c>
      <c r="C447" s="37" t="s">
        <v>58</v>
      </c>
      <c r="D447" s="296">
        <v>4172</v>
      </c>
      <c r="E447" s="297">
        <v>40172</v>
      </c>
      <c r="F447" s="27" t="s">
        <v>165</v>
      </c>
      <c r="G447" s="27" t="s">
        <v>158</v>
      </c>
      <c r="H447" s="35">
        <v>212195</v>
      </c>
      <c r="I447" s="35">
        <v>49</v>
      </c>
      <c r="J447" s="9" t="s">
        <v>10</v>
      </c>
      <c r="K447" s="9" t="s">
        <v>159</v>
      </c>
      <c r="L447" s="8">
        <v>43</v>
      </c>
      <c r="M447" s="8">
        <v>26165</v>
      </c>
      <c r="N447" s="9"/>
      <c r="O447" s="8">
        <v>0</v>
      </c>
      <c r="P447" s="9"/>
      <c r="Q447" s="8">
        <v>0</v>
      </c>
      <c r="R447" s="9"/>
      <c r="S447" s="8">
        <v>0</v>
      </c>
      <c r="T447" s="9"/>
      <c r="U447" s="8">
        <v>0</v>
      </c>
      <c r="V447" s="9"/>
      <c r="W447" s="33">
        <v>26165</v>
      </c>
      <c r="X447" s="9"/>
      <c r="Y447" s="30">
        <v>20</v>
      </c>
      <c r="Z447" s="9"/>
      <c r="AA447" s="30">
        <v>0</v>
      </c>
      <c r="AB447" s="9"/>
      <c r="AC447" s="30">
        <v>0</v>
      </c>
      <c r="AD447" s="9"/>
      <c r="AE447" s="30">
        <v>0</v>
      </c>
      <c r="AF447" s="9"/>
      <c r="AG447" s="19">
        <v>0</v>
      </c>
      <c r="AI447" s="32">
        <v>20</v>
      </c>
      <c r="AK447" s="7" t="str">
        <f t="shared" si="6"/>
        <v>No</v>
      </c>
    </row>
    <row r="448" spans="1:37">
      <c r="A448" s="7" t="s">
        <v>727</v>
      </c>
      <c r="B448" s="7" t="s">
        <v>728</v>
      </c>
      <c r="C448" s="37" t="s">
        <v>84</v>
      </c>
      <c r="D448" s="296">
        <v>6102</v>
      </c>
      <c r="E448" s="297">
        <v>60102</v>
      </c>
      <c r="F448" s="27" t="s">
        <v>165</v>
      </c>
      <c r="G448" s="27" t="s">
        <v>158</v>
      </c>
      <c r="H448" s="35">
        <v>92984</v>
      </c>
      <c r="I448" s="35">
        <v>49</v>
      </c>
      <c r="J448" s="9" t="s">
        <v>10</v>
      </c>
      <c r="K448" s="9" t="s">
        <v>159</v>
      </c>
      <c r="L448" s="8">
        <v>42</v>
      </c>
      <c r="M448" s="8">
        <v>4573</v>
      </c>
      <c r="N448" s="9"/>
      <c r="O448" s="8">
        <v>0</v>
      </c>
      <c r="P448" s="9"/>
      <c r="Q448" s="8">
        <v>716</v>
      </c>
      <c r="R448" s="9"/>
      <c r="S448" s="8">
        <v>507</v>
      </c>
      <c r="T448" s="9"/>
      <c r="U448" s="8">
        <v>0</v>
      </c>
      <c r="V448" s="9"/>
      <c r="W448" s="33">
        <v>5796</v>
      </c>
      <c r="X448" s="9"/>
      <c r="Y448" s="30">
        <v>5</v>
      </c>
      <c r="Z448" s="9"/>
      <c r="AA448" s="30">
        <v>0</v>
      </c>
      <c r="AB448" s="9"/>
      <c r="AC448" s="30">
        <v>1</v>
      </c>
      <c r="AD448" s="9"/>
      <c r="AE448" s="30">
        <v>1</v>
      </c>
      <c r="AF448" s="9"/>
      <c r="AG448" s="19">
        <v>0</v>
      </c>
      <c r="AI448" s="32">
        <v>7</v>
      </c>
      <c r="AK448" s="7" t="str">
        <f t="shared" si="6"/>
        <v>No</v>
      </c>
    </row>
    <row r="449" spans="1:37">
      <c r="A449" s="7" t="s">
        <v>727</v>
      </c>
      <c r="B449" s="7" t="s">
        <v>728</v>
      </c>
      <c r="C449" s="37" t="s">
        <v>84</v>
      </c>
      <c r="D449" s="296">
        <v>6102</v>
      </c>
      <c r="E449" s="297">
        <v>60102</v>
      </c>
      <c r="F449" s="27" t="s">
        <v>165</v>
      </c>
      <c r="G449" s="27" t="s">
        <v>158</v>
      </c>
      <c r="H449" s="35">
        <v>92984</v>
      </c>
      <c r="I449" s="35">
        <v>49</v>
      </c>
      <c r="J449" s="9" t="s">
        <v>7</v>
      </c>
      <c r="K449" s="9" t="s">
        <v>159</v>
      </c>
      <c r="L449" s="8">
        <v>7</v>
      </c>
      <c r="M449" s="8">
        <v>2425</v>
      </c>
      <c r="N449" s="9"/>
      <c r="O449" s="8">
        <v>0</v>
      </c>
      <c r="P449" s="9"/>
      <c r="Q449" s="8">
        <v>728</v>
      </c>
      <c r="R449" s="9"/>
      <c r="S449" s="8">
        <v>562</v>
      </c>
      <c r="T449" s="9"/>
      <c r="U449" s="8">
        <v>0</v>
      </c>
      <c r="V449" s="9"/>
      <c r="W449" s="33">
        <v>3715</v>
      </c>
      <c r="X449" s="9"/>
      <c r="Y449" s="30">
        <v>3</v>
      </c>
      <c r="Z449" s="9"/>
      <c r="AA449" s="30">
        <v>0</v>
      </c>
      <c r="AB449" s="9"/>
      <c r="AC449" s="30">
        <v>1</v>
      </c>
      <c r="AD449" s="9"/>
      <c r="AE449" s="30">
        <v>1</v>
      </c>
      <c r="AF449" s="9"/>
      <c r="AG449" s="19">
        <v>0</v>
      </c>
      <c r="AI449" s="32">
        <v>5</v>
      </c>
      <c r="AK449" s="7" t="str">
        <f t="shared" si="6"/>
        <v>No</v>
      </c>
    </row>
    <row r="450" spans="1:37">
      <c r="A450" s="7" t="s">
        <v>1131</v>
      </c>
      <c r="B450" s="7" t="s">
        <v>735</v>
      </c>
      <c r="C450" s="37" t="s">
        <v>58</v>
      </c>
      <c r="D450" s="296">
        <v>4172</v>
      </c>
      <c r="E450" s="297">
        <v>40172</v>
      </c>
      <c r="F450" s="27" t="s">
        <v>165</v>
      </c>
      <c r="G450" s="27" t="s">
        <v>158</v>
      </c>
      <c r="H450" s="35">
        <v>212195</v>
      </c>
      <c r="I450" s="35">
        <v>49</v>
      </c>
      <c r="J450" s="9" t="s">
        <v>7</v>
      </c>
      <c r="K450" s="9" t="s">
        <v>159</v>
      </c>
      <c r="L450" s="8">
        <v>6</v>
      </c>
      <c r="M450" s="8">
        <v>11807</v>
      </c>
      <c r="N450" s="9"/>
      <c r="O450" s="8">
        <v>0</v>
      </c>
      <c r="P450" s="9"/>
      <c r="Q450" s="8">
        <v>0</v>
      </c>
      <c r="R450" s="9"/>
      <c r="S450" s="8">
        <v>0</v>
      </c>
      <c r="T450" s="9"/>
      <c r="U450" s="8">
        <v>0</v>
      </c>
      <c r="V450" s="9"/>
      <c r="W450" s="33">
        <v>11807</v>
      </c>
      <c r="X450" s="9"/>
      <c r="Y450" s="30">
        <v>9</v>
      </c>
      <c r="Z450" s="9"/>
      <c r="AA450" s="30">
        <v>0</v>
      </c>
      <c r="AB450" s="9"/>
      <c r="AC450" s="30">
        <v>0</v>
      </c>
      <c r="AD450" s="9"/>
      <c r="AE450" s="30">
        <v>0</v>
      </c>
      <c r="AF450" s="9"/>
      <c r="AG450" s="19">
        <v>0</v>
      </c>
      <c r="AI450" s="32">
        <v>9</v>
      </c>
      <c r="AK450" s="7" t="str">
        <f t="shared" ref="AK450:AK513" si="7">IF(AJ450&amp;AH450&amp;AF450&amp;AD450&amp;AB450&amp;Z450&amp;X450&amp;V450&amp;T450&amp;R450&amp;P450&amp;N450&lt;&gt;"","Yes","No")</f>
        <v>No</v>
      </c>
    </row>
    <row r="451" spans="1:37">
      <c r="A451" s="7" t="s">
        <v>295</v>
      </c>
      <c r="B451" s="7" t="s">
        <v>296</v>
      </c>
      <c r="C451" s="37" t="s">
        <v>17</v>
      </c>
      <c r="D451" s="296">
        <v>9042</v>
      </c>
      <c r="E451" s="297">
        <v>90042</v>
      </c>
      <c r="F451" s="27" t="s">
        <v>162</v>
      </c>
      <c r="G451" s="27" t="s">
        <v>158</v>
      </c>
      <c r="H451" s="35">
        <v>12150996</v>
      </c>
      <c r="I451" s="35">
        <v>49</v>
      </c>
      <c r="J451" s="9" t="s">
        <v>10</v>
      </c>
      <c r="K451" s="9" t="s">
        <v>159</v>
      </c>
      <c r="L451" s="8">
        <v>6</v>
      </c>
      <c r="M451" s="8">
        <v>11028</v>
      </c>
      <c r="N451" s="9"/>
      <c r="O451" s="8">
        <v>0</v>
      </c>
      <c r="P451" s="9"/>
      <c r="Q451" s="8">
        <v>0</v>
      </c>
      <c r="R451" s="9"/>
      <c r="S451" s="8">
        <v>383</v>
      </c>
      <c r="T451" s="9"/>
      <c r="U451" s="8">
        <v>0</v>
      </c>
      <c r="V451" s="9"/>
      <c r="W451" s="33">
        <v>11411</v>
      </c>
      <c r="X451" s="9"/>
      <c r="Y451" s="30">
        <v>6</v>
      </c>
      <c r="Z451" s="9"/>
      <c r="AA451" s="30">
        <v>0</v>
      </c>
      <c r="AB451" s="9"/>
      <c r="AC451" s="30">
        <v>0</v>
      </c>
      <c r="AD451" s="9"/>
      <c r="AE451" s="30">
        <v>0.2</v>
      </c>
      <c r="AF451" s="9"/>
      <c r="AG451" s="19">
        <v>0</v>
      </c>
      <c r="AI451" s="32">
        <v>6.2</v>
      </c>
      <c r="AK451" s="7" t="str">
        <f t="shared" si="7"/>
        <v>No</v>
      </c>
    </row>
    <row r="452" spans="1:37">
      <c r="A452" s="7" t="s">
        <v>126</v>
      </c>
      <c r="B452" s="7" t="s">
        <v>772</v>
      </c>
      <c r="C452" s="37" t="s">
        <v>96</v>
      </c>
      <c r="D452" s="296">
        <v>3107</v>
      </c>
      <c r="E452" s="297">
        <v>30107</v>
      </c>
      <c r="F452" s="27" t="s">
        <v>114</v>
      </c>
      <c r="G452" s="27" t="s">
        <v>158</v>
      </c>
      <c r="H452" s="35">
        <v>70350</v>
      </c>
      <c r="I452" s="35">
        <v>48</v>
      </c>
      <c r="J452" s="9" t="s">
        <v>34</v>
      </c>
      <c r="K452" s="9" t="s">
        <v>159</v>
      </c>
      <c r="L452" s="8">
        <v>48</v>
      </c>
      <c r="M452" s="8">
        <v>0</v>
      </c>
      <c r="N452" s="9"/>
      <c r="O452" s="8">
        <v>1725</v>
      </c>
      <c r="P452" s="9"/>
      <c r="Q452" s="8">
        <v>0</v>
      </c>
      <c r="R452" s="9"/>
      <c r="S452" s="8">
        <v>810</v>
      </c>
      <c r="T452" s="9"/>
      <c r="U452" s="8">
        <v>0</v>
      </c>
      <c r="V452" s="9"/>
      <c r="W452" s="33">
        <v>2535</v>
      </c>
      <c r="X452" s="9"/>
      <c r="Y452" s="30">
        <v>0</v>
      </c>
      <c r="Z452" s="9"/>
      <c r="AA452" s="30">
        <v>2</v>
      </c>
      <c r="AB452" s="9"/>
      <c r="AC452" s="30">
        <v>0</v>
      </c>
      <c r="AD452" s="9"/>
      <c r="AE452" s="30">
        <v>1</v>
      </c>
      <c r="AF452" s="9"/>
      <c r="AG452" s="19">
        <v>0</v>
      </c>
      <c r="AI452" s="32">
        <v>3</v>
      </c>
      <c r="AK452" s="7" t="str">
        <f t="shared" si="7"/>
        <v>No</v>
      </c>
    </row>
    <row r="453" spans="1:37">
      <c r="A453" s="7" t="s">
        <v>1111</v>
      </c>
      <c r="B453" s="7" t="s">
        <v>1112</v>
      </c>
      <c r="C453" s="37" t="s">
        <v>84</v>
      </c>
      <c r="D453" s="296">
        <v>6090</v>
      </c>
      <c r="E453" s="297">
        <v>60090</v>
      </c>
      <c r="F453" s="27" t="s">
        <v>195</v>
      </c>
      <c r="G453" s="27" t="s">
        <v>158</v>
      </c>
      <c r="H453" s="35">
        <v>728825</v>
      </c>
      <c r="I453" s="35">
        <v>48</v>
      </c>
      <c r="J453" s="9" t="s">
        <v>18</v>
      </c>
      <c r="K453" s="9" t="s">
        <v>159</v>
      </c>
      <c r="L453" s="8">
        <v>26</v>
      </c>
      <c r="M453" s="8">
        <v>359</v>
      </c>
      <c r="N453" s="9"/>
      <c r="O453" s="8">
        <v>0</v>
      </c>
      <c r="P453" s="9"/>
      <c r="Q453" s="8">
        <v>0</v>
      </c>
      <c r="R453" s="9"/>
      <c r="S453" s="8">
        <v>0</v>
      </c>
      <c r="T453" s="9"/>
      <c r="U453" s="8">
        <v>0</v>
      </c>
      <c r="V453" s="9"/>
      <c r="W453" s="33">
        <v>359</v>
      </c>
      <c r="X453" s="9"/>
      <c r="Y453" s="30">
        <v>0.23</v>
      </c>
      <c r="Z453" s="9"/>
      <c r="AA453" s="30">
        <v>0</v>
      </c>
      <c r="AB453" s="9"/>
      <c r="AC453" s="30">
        <v>0</v>
      </c>
      <c r="AD453" s="9"/>
      <c r="AE453" s="30">
        <v>0</v>
      </c>
      <c r="AF453" s="9"/>
      <c r="AG453" s="19">
        <v>0</v>
      </c>
      <c r="AI453" s="32">
        <v>0.23</v>
      </c>
      <c r="AK453" s="7" t="str">
        <f t="shared" si="7"/>
        <v>No</v>
      </c>
    </row>
    <row r="454" spans="1:37">
      <c r="A454" s="7" t="s">
        <v>475</v>
      </c>
      <c r="B454" s="7" t="s">
        <v>476</v>
      </c>
      <c r="C454" s="37" t="s">
        <v>9</v>
      </c>
      <c r="D454" s="296">
        <v>4043</v>
      </c>
      <c r="E454" s="297">
        <v>40043</v>
      </c>
      <c r="F454" s="27" t="s">
        <v>162</v>
      </c>
      <c r="G454" s="27" t="s">
        <v>158</v>
      </c>
      <c r="H454" s="35">
        <v>326183</v>
      </c>
      <c r="I454" s="35">
        <v>48</v>
      </c>
      <c r="J454" s="9" t="s">
        <v>10</v>
      </c>
      <c r="K454" s="9" t="s">
        <v>159</v>
      </c>
      <c r="L454" s="8">
        <v>25</v>
      </c>
      <c r="M454" s="8">
        <v>0</v>
      </c>
      <c r="N454" s="9"/>
      <c r="O454" s="8">
        <v>0</v>
      </c>
      <c r="P454" s="9"/>
      <c r="Q454" s="8">
        <v>0</v>
      </c>
      <c r="R454" s="9"/>
      <c r="S454" s="8">
        <v>0</v>
      </c>
      <c r="T454" s="9"/>
      <c r="U454" s="8">
        <v>0</v>
      </c>
      <c r="V454" s="9"/>
      <c r="W454" s="33">
        <v>0</v>
      </c>
      <c r="X454" s="9"/>
      <c r="Y454" s="30">
        <v>0</v>
      </c>
      <c r="Z454" s="9"/>
      <c r="AA454" s="30">
        <v>0</v>
      </c>
      <c r="AB454" s="9"/>
      <c r="AC454" s="30">
        <v>0</v>
      </c>
      <c r="AD454" s="9"/>
      <c r="AE454" s="30">
        <v>0</v>
      </c>
      <c r="AF454" s="9"/>
      <c r="AG454" s="19">
        <v>0</v>
      </c>
      <c r="AI454" s="32">
        <v>0</v>
      </c>
      <c r="AK454" s="7" t="str">
        <f t="shared" si="7"/>
        <v>No</v>
      </c>
    </row>
    <row r="455" spans="1:37">
      <c r="A455" s="7" t="s">
        <v>475</v>
      </c>
      <c r="B455" s="7" t="s">
        <v>476</v>
      </c>
      <c r="C455" s="37" t="s">
        <v>9</v>
      </c>
      <c r="D455" s="296">
        <v>4043</v>
      </c>
      <c r="E455" s="297">
        <v>40043</v>
      </c>
      <c r="F455" s="27" t="s">
        <v>162</v>
      </c>
      <c r="G455" s="27" t="s">
        <v>158</v>
      </c>
      <c r="H455" s="35">
        <v>326183</v>
      </c>
      <c r="I455" s="35">
        <v>48</v>
      </c>
      <c r="J455" s="9" t="s">
        <v>7</v>
      </c>
      <c r="K455" s="9" t="s">
        <v>159</v>
      </c>
      <c r="L455" s="8">
        <v>23</v>
      </c>
      <c r="M455" s="8">
        <v>0</v>
      </c>
      <c r="N455" s="9"/>
      <c r="O455" s="8">
        <v>0</v>
      </c>
      <c r="P455" s="9"/>
      <c r="Q455" s="8">
        <v>0</v>
      </c>
      <c r="R455" s="9"/>
      <c r="S455" s="8">
        <v>0</v>
      </c>
      <c r="T455" s="9"/>
      <c r="U455" s="8">
        <v>0</v>
      </c>
      <c r="V455" s="9"/>
      <c r="W455" s="33">
        <v>0</v>
      </c>
      <c r="X455" s="9"/>
      <c r="Y455" s="30">
        <v>0</v>
      </c>
      <c r="Z455" s="9"/>
      <c r="AA455" s="30">
        <v>0</v>
      </c>
      <c r="AB455" s="9"/>
      <c r="AC455" s="30">
        <v>0</v>
      </c>
      <c r="AD455" s="9"/>
      <c r="AE455" s="30">
        <v>0</v>
      </c>
      <c r="AF455" s="9"/>
      <c r="AG455" s="19">
        <v>0</v>
      </c>
      <c r="AI455" s="32">
        <v>0</v>
      </c>
      <c r="AK455" s="7" t="str">
        <f t="shared" si="7"/>
        <v>No</v>
      </c>
    </row>
    <row r="456" spans="1:37">
      <c r="A456" s="7" t="s">
        <v>1111</v>
      </c>
      <c r="B456" s="7" t="s">
        <v>1112</v>
      </c>
      <c r="C456" s="37" t="s">
        <v>84</v>
      </c>
      <c r="D456" s="296">
        <v>6090</v>
      </c>
      <c r="E456" s="297">
        <v>60090</v>
      </c>
      <c r="F456" s="27" t="s">
        <v>195</v>
      </c>
      <c r="G456" s="27" t="s">
        <v>158</v>
      </c>
      <c r="H456" s="35">
        <v>728825</v>
      </c>
      <c r="I456" s="35">
        <v>48</v>
      </c>
      <c r="J456" s="9" t="s">
        <v>7</v>
      </c>
      <c r="K456" s="9" t="s">
        <v>159</v>
      </c>
      <c r="L456" s="8">
        <v>17</v>
      </c>
      <c r="M456" s="8">
        <v>2999</v>
      </c>
      <c r="N456" s="9"/>
      <c r="O456" s="8">
        <v>0</v>
      </c>
      <c r="P456" s="9"/>
      <c r="Q456" s="8">
        <v>0</v>
      </c>
      <c r="R456" s="9"/>
      <c r="S456" s="8">
        <v>0</v>
      </c>
      <c r="T456" s="9"/>
      <c r="U456" s="8">
        <v>0</v>
      </c>
      <c r="V456" s="9"/>
      <c r="W456" s="33">
        <v>2999</v>
      </c>
      <c r="X456" s="9"/>
      <c r="Y456" s="30">
        <v>1.88</v>
      </c>
      <c r="Z456" s="9"/>
      <c r="AA456" s="30">
        <v>0</v>
      </c>
      <c r="AB456" s="9"/>
      <c r="AC456" s="30">
        <v>0</v>
      </c>
      <c r="AD456" s="9"/>
      <c r="AE456" s="30">
        <v>0</v>
      </c>
      <c r="AF456" s="9"/>
      <c r="AG456" s="19">
        <v>0</v>
      </c>
      <c r="AI456" s="32">
        <v>1.88</v>
      </c>
      <c r="AK456" s="7" t="str">
        <f t="shared" si="7"/>
        <v>No</v>
      </c>
    </row>
    <row r="457" spans="1:37">
      <c r="A457" s="7" t="s">
        <v>1111</v>
      </c>
      <c r="B457" s="7" t="s">
        <v>1112</v>
      </c>
      <c r="C457" s="37" t="s">
        <v>84</v>
      </c>
      <c r="D457" s="296">
        <v>6090</v>
      </c>
      <c r="E457" s="297">
        <v>60090</v>
      </c>
      <c r="F457" s="27" t="s">
        <v>195</v>
      </c>
      <c r="G457" s="27" t="s">
        <v>158</v>
      </c>
      <c r="H457" s="35">
        <v>728825</v>
      </c>
      <c r="I457" s="35">
        <v>48</v>
      </c>
      <c r="J457" s="9" t="s">
        <v>10</v>
      </c>
      <c r="K457" s="9" t="s">
        <v>159</v>
      </c>
      <c r="L457" s="8">
        <v>5</v>
      </c>
      <c r="M457" s="8">
        <v>0</v>
      </c>
      <c r="N457" s="9"/>
      <c r="O457" s="8">
        <v>0</v>
      </c>
      <c r="P457" s="9"/>
      <c r="Q457" s="8">
        <v>0</v>
      </c>
      <c r="R457" s="9"/>
      <c r="S457" s="8">
        <v>0</v>
      </c>
      <c r="T457" s="9"/>
      <c r="U457" s="8">
        <v>0</v>
      </c>
      <c r="V457" s="9"/>
      <c r="W457" s="33">
        <v>0</v>
      </c>
      <c r="X457" s="9"/>
      <c r="Y457" s="30">
        <v>0</v>
      </c>
      <c r="Z457" s="9"/>
      <c r="AA457" s="30">
        <v>0</v>
      </c>
      <c r="AB457" s="9"/>
      <c r="AC457" s="30">
        <v>0</v>
      </c>
      <c r="AD457" s="9"/>
      <c r="AE457" s="30">
        <v>0</v>
      </c>
      <c r="AF457" s="9"/>
      <c r="AG457" s="19">
        <v>0</v>
      </c>
      <c r="AI457" s="32">
        <v>0</v>
      </c>
      <c r="AK457" s="7" t="str">
        <f t="shared" si="7"/>
        <v>No</v>
      </c>
    </row>
    <row r="458" spans="1:37">
      <c r="A458" s="7" t="s">
        <v>770</v>
      </c>
      <c r="B458" s="7" t="s">
        <v>771</v>
      </c>
      <c r="C458" s="37" t="s">
        <v>76</v>
      </c>
      <c r="D458" s="296">
        <v>57</v>
      </c>
      <c r="E458" s="297">
        <v>57</v>
      </c>
      <c r="F458" s="27" t="s">
        <v>195</v>
      </c>
      <c r="G458" s="27" t="s">
        <v>158</v>
      </c>
      <c r="H458" s="35">
        <v>83794</v>
      </c>
      <c r="I458" s="35">
        <v>47</v>
      </c>
      <c r="J458" s="9" t="s">
        <v>18</v>
      </c>
      <c r="K458" s="9" t="s">
        <v>159</v>
      </c>
      <c r="L458" s="8">
        <v>14</v>
      </c>
      <c r="M458" s="8">
        <v>7400</v>
      </c>
      <c r="N458" s="9"/>
      <c r="O458" s="8">
        <v>0</v>
      </c>
      <c r="P458" s="9"/>
      <c r="Q458" s="8">
        <v>0</v>
      </c>
      <c r="R458" s="9"/>
      <c r="S458" s="8">
        <v>928</v>
      </c>
      <c r="T458" s="9"/>
      <c r="U458" s="8">
        <v>0</v>
      </c>
      <c r="V458" s="9"/>
      <c r="W458" s="33">
        <v>8328</v>
      </c>
      <c r="X458" s="9"/>
      <c r="Y458" s="30">
        <v>9.1999999999999993</v>
      </c>
      <c r="Z458" s="9"/>
      <c r="AA458" s="30">
        <v>0</v>
      </c>
      <c r="AB458" s="9"/>
      <c r="AC458" s="30">
        <v>0</v>
      </c>
      <c r="AD458" s="9"/>
      <c r="AE458" s="30">
        <v>0.6</v>
      </c>
      <c r="AF458" s="9"/>
      <c r="AG458" s="19">
        <v>0</v>
      </c>
      <c r="AI458" s="32">
        <v>9.8000000000000007</v>
      </c>
      <c r="AK458" s="7" t="str">
        <f t="shared" si="7"/>
        <v>No</v>
      </c>
    </row>
    <row r="459" spans="1:37">
      <c r="A459" s="7" t="s">
        <v>770</v>
      </c>
      <c r="B459" s="7" t="s">
        <v>771</v>
      </c>
      <c r="C459" s="37" t="s">
        <v>76</v>
      </c>
      <c r="D459" s="296">
        <v>57</v>
      </c>
      <c r="E459" s="297">
        <v>57</v>
      </c>
      <c r="F459" s="27" t="s">
        <v>195</v>
      </c>
      <c r="G459" s="27" t="s">
        <v>158</v>
      </c>
      <c r="H459" s="35">
        <v>83794</v>
      </c>
      <c r="I459" s="35">
        <v>47</v>
      </c>
      <c r="J459" s="9" t="s">
        <v>10</v>
      </c>
      <c r="K459" s="9" t="s">
        <v>159</v>
      </c>
      <c r="L459" s="8">
        <v>11</v>
      </c>
      <c r="M459" s="8">
        <v>14164</v>
      </c>
      <c r="N459" s="9"/>
      <c r="O459" s="8">
        <v>0</v>
      </c>
      <c r="P459" s="9"/>
      <c r="Q459" s="8">
        <v>0</v>
      </c>
      <c r="R459" s="9"/>
      <c r="S459" s="8">
        <v>597</v>
      </c>
      <c r="T459" s="9"/>
      <c r="U459" s="8">
        <v>0</v>
      </c>
      <c r="V459" s="9"/>
      <c r="W459" s="33">
        <v>14761</v>
      </c>
      <c r="X459" s="9"/>
      <c r="Y459" s="30">
        <v>24.3</v>
      </c>
      <c r="Z459" s="9"/>
      <c r="AA459" s="30">
        <v>0</v>
      </c>
      <c r="AB459" s="9"/>
      <c r="AC459" s="30">
        <v>0</v>
      </c>
      <c r="AD459" s="9"/>
      <c r="AE459" s="30">
        <v>0.6</v>
      </c>
      <c r="AF459" s="9"/>
      <c r="AG459" s="19">
        <v>0</v>
      </c>
      <c r="AI459" s="32">
        <v>24.9</v>
      </c>
      <c r="AK459" s="7" t="str">
        <f t="shared" si="7"/>
        <v>No</v>
      </c>
    </row>
    <row r="460" spans="1:37">
      <c r="A460" s="7" t="s">
        <v>770</v>
      </c>
      <c r="B460" s="7" t="s">
        <v>771</v>
      </c>
      <c r="C460" s="37" t="s">
        <v>76</v>
      </c>
      <c r="D460" s="296">
        <v>57</v>
      </c>
      <c r="E460" s="297">
        <v>57</v>
      </c>
      <c r="F460" s="27" t="s">
        <v>195</v>
      </c>
      <c r="G460" s="27" t="s">
        <v>158</v>
      </c>
      <c r="H460" s="35">
        <v>83794</v>
      </c>
      <c r="I460" s="35">
        <v>47</v>
      </c>
      <c r="J460" s="9" t="s">
        <v>7</v>
      </c>
      <c r="K460" s="9" t="s">
        <v>159</v>
      </c>
      <c r="L460" s="8">
        <v>1</v>
      </c>
      <c r="M460" s="8">
        <v>0</v>
      </c>
      <c r="N460" s="9"/>
      <c r="O460" s="8">
        <v>0</v>
      </c>
      <c r="P460" s="9"/>
      <c r="Q460" s="8">
        <v>0</v>
      </c>
      <c r="R460" s="9"/>
      <c r="S460" s="8">
        <v>0</v>
      </c>
      <c r="T460" s="9"/>
      <c r="U460" s="8">
        <v>0</v>
      </c>
      <c r="V460" s="9"/>
      <c r="W460" s="33">
        <v>0</v>
      </c>
      <c r="X460" s="9"/>
      <c r="Y460" s="30">
        <v>0</v>
      </c>
      <c r="Z460" s="9"/>
      <c r="AA460" s="30">
        <v>0</v>
      </c>
      <c r="AB460" s="9"/>
      <c r="AC460" s="30">
        <v>0</v>
      </c>
      <c r="AD460" s="9"/>
      <c r="AE460" s="30">
        <v>0</v>
      </c>
      <c r="AF460" s="9"/>
      <c r="AG460" s="19">
        <v>0</v>
      </c>
      <c r="AI460" s="32">
        <v>0</v>
      </c>
      <c r="AK460" s="7" t="str">
        <f t="shared" si="7"/>
        <v>No</v>
      </c>
    </row>
    <row r="461" spans="1:37">
      <c r="A461" s="7" t="s">
        <v>340</v>
      </c>
      <c r="B461" s="7" t="s">
        <v>341</v>
      </c>
      <c r="C461" s="37" t="s">
        <v>17</v>
      </c>
      <c r="D461" s="296">
        <v>9039</v>
      </c>
      <c r="E461" s="297">
        <v>90039</v>
      </c>
      <c r="F461" s="27" t="s">
        <v>162</v>
      </c>
      <c r="G461" s="27" t="s">
        <v>158</v>
      </c>
      <c r="H461" s="35">
        <v>12150996</v>
      </c>
      <c r="I461" s="35">
        <v>46</v>
      </c>
      <c r="J461" s="9" t="s">
        <v>7</v>
      </c>
      <c r="K461" s="9" t="s">
        <v>159</v>
      </c>
      <c r="L461" s="8">
        <v>44</v>
      </c>
      <c r="M461" s="8">
        <v>55203</v>
      </c>
      <c r="N461" s="9"/>
      <c r="O461" s="8">
        <v>0</v>
      </c>
      <c r="P461" s="9"/>
      <c r="Q461" s="8">
        <v>0</v>
      </c>
      <c r="R461" s="9"/>
      <c r="S461" s="8">
        <v>2271</v>
      </c>
      <c r="T461" s="9"/>
      <c r="U461" s="8">
        <v>0</v>
      </c>
      <c r="V461" s="9"/>
      <c r="W461" s="33">
        <v>57474</v>
      </c>
      <c r="X461" s="9"/>
      <c r="Y461" s="30">
        <v>27.6</v>
      </c>
      <c r="Z461" s="9"/>
      <c r="AA461" s="30">
        <v>0</v>
      </c>
      <c r="AB461" s="9"/>
      <c r="AC461" s="30">
        <v>0</v>
      </c>
      <c r="AD461" s="9"/>
      <c r="AE461" s="30">
        <v>1.6</v>
      </c>
      <c r="AF461" s="9"/>
      <c r="AG461" s="19">
        <v>0</v>
      </c>
      <c r="AI461" s="32">
        <v>29.2</v>
      </c>
      <c r="AK461" s="7" t="str">
        <f t="shared" si="7"/>
        <v>No</v>
      </c>
    </row>
    <row r="462" spans="1:37">
      <c r="A462" s="7" t="s">
        <v>610</v>
      </c>
      <c r="B462" s="7" t="s">
        <v>611</v>
      </c>
      <c r="C462" s="37" t="s">
        <v>42</v>
      </c>
      <c r="D462" s="296">
        <v>5052</v>
      </c>
      <c r="E462" s="297">
        <v>50052</v>
      </c>
      <c r="F462" s="27" t="s">
        <v>165</v>
      </c>
      <c r="G462" s="27" t="s">
        <v>158</v>
      </c>
      <c r="H462" s="35">
        <v>278165</v>
      </c>
      <c r="I462" s="35">
        <v>46</v>
      </c>
      <c r="J462" s="9" t="s">
        <v>7</v>
      </c>
      <c r="K462" s="9" t="s">
        <v>159</v>
      </c>
      <c r="L462" s="8">
        <v>35</v>
      </c>
      <c r="M462" s="8">
        <v>10485</v>
      </c>
      <c r="N462" s="9"/>
      <c r="O462" s="8">
        <v>0</v>
      </c>
      <c r="P462" s="9"/>
      <c r="Q462" s="8">
        <v>857</v>
      </c>
      <c r="R462" s="9"/>
      <c r="S462" s="8">
        <v>317</v>
      </c>
      <c r="T462" s="9"/>
      <c r="U462" s="8">
        <v>0</v>
      </c>
      <c r="V462" s="9"/>
      <c r="W462" s="33">
        <v>11659</v>
      </c>
      <c r="X462" s="9"/>
      <c r="Y462" s="30">
        <v>7</v>
      </c>
      <c r="Z462" s="9"/>
      <c r="AA462" s="30">
        <v>0</v>
      </c>
      <c r="AB462" s="9"/>
      <c r="AC462" s="30">
        <v>0.8</v>
      </c>
      <c r="AD462" s="9"/>
      <c r="AE462" s="30">
        <v>0.8</v>
      </c>
      <c r="AF462" s="9"/>
      <c r="AG462" s="19">
        <v>0</v>
      </c>
      <c r="AI462" s="32">
        <v>8.6</v>
      </c>
      <c r="AK462" s="7" t="str">
        <f t="shared" si="7"/>
        <v>No</v>
      </c>
    </row>
    <row r="463" spans="1:37">
      <c r="A463" s="7" t="s">
        <v>610</v>
      </c>
      <c r="B463" s="7" t="s">
        <v>611</v>
      </c>
      <c r="C463" s="37" t="s">
        <v>42</v>
      </c>
      <c r="D463" s="296">
        <v>5052</v>
      </c>
      <c r="E463" s="297">
        <v>50052</v>
      </c>
      <c r="F463" s="27" t="s">
        <v>165</v>
      </c>
      <c r="G463" s="27" t="s">
        <v>158</v>
      </c>
      <c r="H463" s="35">
        <v>278165</v>
      </c>
      <c r="I463" s="35">
        <v>46</v>
      </c>
      <c r="J463" s="9" t="s">
        <v>10</v>
      </c>
      <c r="K463" s="9" t="s">
        <v>159</v>
      </c>
      <c r="L463" s="8">
        <v>11</v>
      </c>
      <c r="M463" s="8">
        <v>0</v>
      </c>
      <c r="N463" s="9"/>
      <c r="O463" s="8">
        <v>0</v>
      </c>
      <c r="P463" s="9"/>
      <c r="Q463" s="8">
        <v>219</v>
      </c>
      <c r="R463" s="9"/>
      <c r="S463" s="8">
        <v>0</v>
      </c>
      <c r="T463" s="9"/>
      <c r="U463" s="8">
        <v>0</v>
      </c>
      <c r="V463" s="9"/>
      <c r="W463" s="33">
        <v>219</v>
      </c>
      <c r="X463" s="9"/>
      <c r="Y463" s="30">
        <v>0</v>
      </c>
      <c r="Z463" s="9"/>
      <c r="AA463" s="30">
        <v>0</v>
      </c>
      <c r="AB463" s="9"/>
      <c r="AC463" s="30">
        <v>0.2</v>
      </c>
      <c r="AD463" s="9"/>
      <c r="AE463" s="30">
        <v>0</v>
      </c>
      <c r="AF463" s="9"/>
      <c r="AG463" s="19">
        <v>0</v>
      </c>
      <c r="AI463" s="32">
        <v>0.2</v>
      </c>
      <c r="AK463" s="7" t="str">
        <f t="shared" si="7"/>
        <v>No</v>
      </c>
    </row>
    <row r="464" spans="1:37">
      <c r="A464" s="7" t="s">
        <v>340</v>
      </c>
      <c r="B464" s="7" t="s">
        <v>341</v>
      </c>
      <c r="C464" s="37" t="s">
        <v>17</v>
      </c>
      <c r="D464" s="296">
        <v>9039</v>
      </c>
      <c r="E464" s="297">
        <v>90039</v>
      </c>
      <c r="F464" s="27" t="s">
        <v>162</v>
      </c>
      <c r="G464" s="27" t="s">
        <v>158</v>
      </c>
      <c r="H464" s="35">
        <v>12150996</v>
      </c>
      <c r="I464" s="35">
        <v>46</v>
      </c>
      <c r="J464" s="9" t="s">
        <v>10</v>
      </c>
      <c r="K464" s="9" t="s">
        <v>159</v>
      </c>
      <c r="L464" s="8">
        <v>2</v>
      </c>
      <c r="M464" s="8">
        <v>0</v>
      </c>
      <c r="N464" s="9"/>
      <c r="O464" s="8">
        <v>0</v>
      </c>
      <c r="P464" s="9"/>
      <c r="Q464" s="8">
        <v>0</v>
      </c>
      <c r="R464" s="9"/>
      <c r="S464" s="8">
        <v>0</v>
      </c>
      <c r="T464" s="9"/>
      <c r="U464" s="8">
        <v>0</v>
      </c>
      <c r="V464" s="9"/>
      <c r="W464" s="33">
        <v>0</v>
      </c>
      <c r="X464" s="9"/>
      <c r="Y464" s="30">
        <v>0</v>
      </c>
      <c r="Z464" s="9"/>
      <c r="AA464" s="30">
        <v>0</v>
      </c>
      <c r="AB464" s="9"/>
      <c r="AC464" s="30">
        <v>0</v>
      </c>
      <c r="AD464" s="9"/>
      <c r="AE464" s="30">
        <v>0</v>
      </c>
      <c r="AF464" s="9"/>
      <c r="AG464" s="19">
        <v>0</v>
      </c>
      <c r="AI464" s="32">
        <v>0</v>
      </c>
      <c r="AK464" s="7" t="str">
        <f t="shared" si="7"/>
        <v>No</v>
      </c>
    </row>
    <row r="465" spans="1:37">
      <c r="A465" s="7" t="s">
        <v>463</v>
      </c>
      <c r="B465" s="7" t="s">
        <v>464</v>
      </c>
      <c r="C465" s="37" t="s">
        <v>32</v>
      </c>
      <c r="D465" s="296">
        <v>4026</v>
      </c>
      <c r="E465" s="297">
        <v>40026</v>
      </c>
      <c r="F465" s="27" t="s">
        <v>162</v>
      </c>
      <c r="G465" s="27" t="s">
        <v>158</v>
      </c>
      <c r="H465" s="35">
        <v>643260</v>
      </c>
      <c r="I465" s="35">
        <v>45</v>
      </c>
      <c r="J465" s="9" t="s">
        <v>7</v>
      </c>
      <c r="K465" s="9" t="s">
        <v>159</v>
      </c>
      <c r="L465" s="8">
        <v>23</v>
      </c>
      <c r="M465" s="8">
        <v>3902</v>
      </c>
      <c r="N465" s="9"/>
      <c r="O465" s="8">
        <v>0</v>
      </c>
      <c r="P465" s="9"/>
      <c r="Q465" s="8">
        <v>0</v>
      </c>
      <c r="R465" s="9"/>
      <c r="S465" s="8">
        <v>0</v>
      </c>
      <c r="T465" s="9"/>
      <c r="U465" s="8">
        <v>0</v>
      </c>
      <c r="V465" s="9"/>
      <c r="W465" s="33">
        <v>3902</v>
      </c>
      <c r="X465" s="9"/>
      <c r="Y465" s="30">
        <v>4</v>
      </c>
      <c r="Z465" s="9"/>
      <c r="AA465" s="30">
        <v>0</v>
      </c>
      <c r="AB465" s="9"/>
      <c r="AC465" s="30">
        <v>0</v>
      </c>
      <c r="AD465" s="9"/>
      <c r="AE465" s="30">
        <v>0</v>
      </c>
      <c r="AF465" s="9"/>
      <c r="AG465" s="19">
        <v>0</v>
      </c>
      <c r="AI465" s="32">
        <v>4</v>
      </c>
      <c r="AK465" s="7" t="str">
        <f t="shared" si="7"/>
        <v>No</v>
      </c>
    </row>
    <row r="466" spans="1:37">
      <c r="A466" s="7" t="s">
        <v>463</v>
      </c>
      <c r="B466" s="7" t="s">
        <v>464</v>
      </c>
      <c r="C466" s="37" t="s">
        <v>32</v>
      </c>
      <c r="D466" s="296">
        <v>4026</v>
      </c>
      <c r="E466" s="297">
        <v>40026</v>
      </c>
      <c r="F466" s="27" t="s">
        <v>162</v>
      </c>
      <c r="G466" s="27" t="s">
        <v>158</v>
      </c>
      <c r="H466" s="35">
        <v>643260</v>
      </c>
      <c r="I466" s="35">
        <v>45</v>
      </c>
      <c r="J466" s="9" t="s">
        <v>10</v>
      </c>
      <c r="K466" s="9" t="s">
        <v>159</v>
      </c>
      <c r="L466" s="8">
        <v>22</v>
      </c>
      <c r="M466" s="8">
        <v>1833</v>
      </c>
      <c r="N466" s="9"/>
      <c r="O466" s="8">
        <v>0</v>
      </c>
      <c r="P466" s="9"/>
      <c r="Q466" s="8">
        <v>0</v>
      </c>
      <c r="R466" s="9"/>
      <c r="S466" s="8">
        <v>0</v>
      </c>
      <c r="T466" s="9"/>
      <c r="U466" s="8">
        <v>0</v>
      </c>
      <c r="V466" s="9"/>
      <c r="W466" s="33">
        <v>1833</v>
      </c>
      <c r="X466" s="9"/>
      <c r="Y466" s="30">
        <v>1</v>
      </c>
      <c r="Z466" s="9"/>
      <c r="AA466" s="30">
        <v>0</v>
      </c>
      <c r="AB466" s="9"/>
      <c r="AC466" s="30">
        <v>0</v>
      </c>
      <c r="AD466" s="9"/>
      <c r="AE466" s="30">
        <v>0</v>
      </c>
      <c r="AF466" s="9"/>
      <c r="AG466" s="19">
        <v>0</v>
      </c>
      <c r="AI466" s="32">
        <v>1</v>
      </c>
      <c r="AK466" s="7" t="str">
        <f t="shared" si="7"/>
        <v>No</v>
      </c>
    </row>
    <row r="467" spans="1:37">
      <c r="A467" s="7" t="s">
        <v>628</v>
      </c>
      <c r="B467" s="7" t="s">
        <v>629</v>
      </c>
      <c r="C467" s="37" t="s">
        <v>70</v>
      </c>
      <c r="D467" s="296">
        <v>2099</v>
      </c>
      <c r="E467" s="297">
        <v>20099</v>
      </c>
      <c r="F467" s="27" t="s">
        <v>165</v>
      </c>
      <c r="G467" s="27" t="s">
        <v>158</v>
      </c>
      <c r="H467" s="35">
        <v>18351295</v>
      </c>
      <c r="I467" s="35">
        <v>44</v>
      </c>
      <c r="J467" s="9" t="s">
        <v>20</v>
      </c>
      <c r="K467" s="9" t="s">
        <v>159</v>
      </c>
      <c r="L467" s="8">
        <v>44</v>
      </c>
      <c r="M467" s="8">
        <v>0</v>
      </c>
      <c r="N467" s="9"/>
      <c r="O467" s="8">
        <v>0</v>
      </c>
      <c r="P467" s="9"/>
      <c r="Q467" s="8">
        <v>0</v>
      </c>
      <c r="R467" s="9"/>
      <c r="S467" s="8">
        <v>0</v>
      </c>
      <c r="T467" s="9"/>
      <c r="U467" s="8">
        <v>0</v>
      </c>
      <c r="V467" s="9"/>
      <c r="W467" s="33">
        <v>0</v>
      </c>
      <c r="X467" s="9"/>
      <c r="Y467" s="30">
        <v>0</v>
      </c>
      <c r="Z467" s="9"/>
      <c r="AA467" s="30">
        <v>0</v>
      </c>
      <c r="AB467" s="9"/>
      <c r="AC467" s="30">
        <v>0</v>
      </c>
      <c r="AD467" s="9"/>
      <c r="AE467" s="30">
        <v>0</v>
      </c>
      <c r="AF467" s="9"/>
      <c r="AG467" s="19">
        <v>0</v>
      </c>
      <c r="AI467" s="32">
        <v>0</v>
      </c>
      <c r="AK467" s="7" t="str">
        <f t="shared" si="7"/>
        <v>No</v>
      </c>
    </row>
    <row r="468" spans="1:37">
      <c r="A468" s="7" t="s">
        <v>91</v>
      </c>
      <c r="B468" s="7" t="s">
        <v>179</v>
      </c>
      <c r="C468" s="37" t="s">
        <v>89</v>
      </c>
      <c r="D468" s="296">
        <v>43</v>
      </c>
      <c r="E468" s="297">
        <v>43</v>
      </c>
      <c r="F468" s="27" t="s">
        <v>165</v>
      </c>
      <c r="G468" s="27" t="s">
        <v>158</v>
      </c>
      <c r="H468" s="35">
        <v>67227</v>
      </c>
      <c r="I468" s="35">
        <v>44</v>
      </c>
      <c r="J468" s="9" t="s">
        <v>7</v>
      </c>
      <c r="K468" s="9" t="s">
        <v>159</v>
      </c>
      <c r="L468" s="8">
        <v>30</v>
      </c>
      <c r="M468" s="8">
        <v>1115</v>
      </c>
      <c r="N468" s="9"/>
      <c r="O468" s="8">
        <v>0</v>
      </c>
      <c r="P468" s="9"/>
      <c r="Q468" s="8">
        <v>2060</v>
      </c>
      <c r="R468" s="9"/>
      <c r="S468" s="8">
        <v>0</v>
      </c>
      <c r="T468" s="9"/>
      <c r="U468" s="8">
        <v>0</v>
      </c>
      <c r="V468" s="9"/>
      <c r="W468" s="33">
        <v>3175</v>
      </c>
      <c r="X468" s="9"/>
      <c r="Y468" s="30">
        <v>3.8</v>
      </c>
      <c r="Z468" s="9"/>
      <c r="AA468" s="30">
        <v>0</v>
      </c>
      <c r="AB468" s="9"/>
      <c r="AC468" s="30">
        <v>1.7</v>
      </c>
      <c r="AD468" s="9"/>
      <c r="AE468" s="30">
        <v>0</v>
      </c>
      <c r="AF468" s="9"/>
      <c r="AG468" s="19">
        <v>0</v>
      </c>
      <c r="AI468" s="32">
        <v>5.5</v>
      </c>
      <c r="AK468" s="7" t="str">
        <f t="shared" si="7"/>
        <v>No</v>
      </c>
    </row>
    <row r="469" spans="1:37">
      <c r="A469" s="7" t="s">
        <v>718</v>
      </c>
      <c r="B469" s="7" t="s">
        <v>719</v>
      </c>
      <c r="C469" s="37" t="s">
        <v>48</v>
      </c>
      <c r="D469" s="296">
        <v>3096</v>
      </c>
      <c r="E469" s="297">
        <v>30096</v>
      </c>
      <c r="F469" s="27" t="s">
        <v>165</v>
      </c>
      <c r="G469" s="27" t="s">
        <v>158</v>
      </c>
      <c r="H469" s="35">
        <v>98081</v>
      </c>
      <c r="I469" s="35">
        <v>44</v>
      </c>
      <c r="J469" s="9" t="s">
        <v>10</v>
      </c>
      <c r="K469" s="9" t="s">
        <v>159</v>
      </c>
      <c r="L469" s="8">
        <v>23</v>
      </c>
      <c r="M469" s="8">
        <v>0</v>
      </c>
      <c r="N469" s="9"/>
      <c r="O469" s="8">
        <v>0</v>
      </c>
      <c r="P469" s="9"/>
      <c r="Q469" s="8">
        <v>0</v>
      </c>
      <c r="R469" s="9"/>
      <c r="S469" s="8">
        <v>622</v>
      </c>
      <c r="T469" s="9"/>
      <c r="U469" s="8">
        <v>0</v>
      </c>
      <c r="V469" s="9"/>
      <c r="W469" s="33">
        <v>622</v>
      </c>
      <c r="X469" s="9"/>
      <c r="Y469" s="30">
        <v>0</v>
      </c>
      <c r="Z469" s="9"/>
      <c r="AA469" s="30">
        <v>0</v>
      </c>
      <c r="AB469" s="9"/>
      <c r="AC469" s="30">
        <v>0</v>
      </c>
      <c r="AD469" s="9"/>
      <c r="AE469" s="30">
        <v>0.5</v>
      </c>
      <c r="AF469" s="9"/>
      <c r="AG469" s="19">
        <v>0</v>
      </c>
      <c r="AI469" s="32">
        <v>0.5</v>
      </c>
      <c r="AK469" s="7" t="str">
        <f t="shared" si="7"/>
        <v>No</v>
      </c>
    </row>
    <row r="470" spans="1:37">
      <c r="A470" s="7" t="s">
        <v>718</v>
      </c>
      <c r="B470" s="7" t="s">
        <v>719</v>
      </c>
      <c r="C470" s="37" t="s">
        <v>48</v>
      </c>
      <c r="D470" s="296">
        <v>3096</v>
      </c>
      <c r="E470" s="297">
        <v>30096</v>
      </c>
      <c r="F470" s="27" t="s">
        <v>165</v>
      </c>
      <c r="G470" s="27" t="s">
        <v>158</v>
      </c>
      <c r="H470" s="35">
        <v>98081</v>
      </c>
      <c r="I470" s="35">
        <v>44</v>
      </c>
      <c r="J470" s="9" t="s">
        <v>7</v>
      </c>
      <c r="K470" s="9" t="s">
        <v>159</v>
      </c>
      <c r="L470" s="8">
        <v>15</v>
      </c>
      <c r="M470" s="8">
        <v>15085</v>
      </c>
      <c r="N470" s="9"/>
      <c r="O470" s="8">
        <v>0</v>
      </c>
      <c r="P470" s="9"/>
      <c r="Q470" s="8">
        <v>0</v>
      </c>
      <c r="R470" s="9"/>
      <c r="S470" s="8">
        <v>760</v>
      </c>
      <c r="T470" s="9"/>
      <c r="U470" s="8">
        <v>0</v>
      </c>
      <c r="V470" s="9"/>
      <c r="W470" s="33">
        <v>15845</v>
      </c>
      <c r="X470" s="9"/>
      <c r="Y470" s="30">
        <v>16</v>
      </c>
      <c r="Z470" s="9"/>
      <c r="AA470" s="30">
        <v>0</v>
      </c>
      <c r="AB470" s="9"/>
      <c r="AC470" s="30">
        <v>0</v>
      </c>
      <c r="AD470" s="9"/>
      <c r="AE470" s="30">
        <v>0.5</v>
      </c>
      <c r="AF470" s="9"/>
      <c r="AG470" s="19">
        <v>0</v>
      </c>
      <c r="AI470" s="32">
        <v>16.5</v>
      </c>
      <c r="AK470" s="7" t="str">
        <f t="shared" si="7"/>
        <v>No</v>
      </c>
    </row>
    <row r="471" spans="1:37">
      <c r="A471" s="7" t="s">
        <v>91</v>
      </c>
      <c r="B471" s="7" t="s">
        <v>179</v>
      </c>
      <c r="C471" s="37" t="s">
        <v>89</v>
      </c>
      <c r="D471" s="296">
        <v>43</v>
      </c>
      <c r="E471" s="297">
        <v>43</v>
      </c>
      <c r="F471" s="27" t="s">
        <v>165</v>
      </c>
      <c r="G471" s="27" t="s">
        <v>158</v>
      </c>
      <c r="H471" s="35">
        <v>67227</v>
      </c>
      <c r="I471" s="35">
        <v>44</v>
      </c>
      <c r="J471" s="9" t="s">
        <v>10</v>
      </c>
      <c r="K471" s="9" t="s">
        <v>159</v>
      </c>
      <c r="L471" s="8">
        <v>13</v>
      </c>
      <c r="M471" s="8">
        <v>234</v>
      </c>
      <c r="N471" s="9"/>
      <c r="O471" s="8">
        <v>0</v>
      </c>
      <c r="P471" s="9"/>
      <c r="Q471" s="8">
        <v>434</v>
      </c>
      <c r="R471" s="9"/>
      <c r="S471" s="8">
        <v>0</v>
      </c>
      <c r="T471" s="9"/>
      <c r="U471" s="8">
        <v>0</v>
      </c>
      <c r="V471" s="9"/>
      <c r="W471" s="33">
        <v>668</v>
      </c>
      <c r="X471" s="9"/>
      <c r="Y471" s="30">
        <v>0.2</v>
      </c>
      <c r="Z471" s="9"/>
      <c r="AA471" s="30">
        <v>0</v>
      </c>
      <c r="AB471" s="9"/>
      <c r="AC471" s="30">
        <v>0.3</v>
      </c>
      <c r="AD471" s="9"/>
      <c r="AE471" s="30">
        <v>0</v>
      </c>
      <c r="AF471" s="9"/>
      <c r="AG471" s="19">
        <v>0</v>
      </c>
      <c r="AI471" s="32">
        <v>0.5</v>
      </c>
      <c r="AK471" s="7" t="str">
        <f t="shared" si="7"/>
        <v>No</v>
      </c>
    </row>
    <row r="472" spans="1:37">
      <c r="A472" s="7" t="s">
        <v>1103</v>
      </c>
      <c r="B472" s="7" t="s">
        <v>794</v>
      </c>
      <c r="C472" s="37" t="s">
        <v>81</v>
      </c>
      <c r="D472" s="296"/>
      <c r="E472" s="297">
        <v>40244</v>
      </c>
      <c r="F472" s="27" t="s">
        <v>157</v>
      </c>
      <c r="G472" s="27" t="s">
        <v>158</v>
      </c>
      <c r="H472" s="35">
        <v>180786</v>
      </c>
      <c r="I472" s="35">
        <v>43</v>
      </c>
      <c r="J472" s="9" t="s">
        <v>10</v>
      </c>
      <c r="K472" s="9" t="s">
        <v>159</v>
      </c>
      <c r="L472" s="8">
        <v>43</v>
      </c>
      <c r="M472" s="8">
        <v>14334</v>
      </c>
      <c r="N472" s="9"/>
      <c r="O472" s="8">
        <v>0</v>
      </c>
      <c r="P472" s="9"/>
      <c r="Q472" s="8">
        <v>0</v>
      </c>
      <c r="R472" s="9"/>
      <c r="S472" s="8">
        <v>936</v>
      </c>
      <c r="T472" s="9"/>
      <c r="U472" s="8">
        <v>0</v>
      </c>
      <c r="V472" s="9"/>
      <c r="W472" s="33">
        <v>15270</v>
      </c>
      <c r="X472" s="9"/>
      <c r="Y472" s="30">
        <v>9</v>
      </c>
      <c r="Z472" s="9"/>
      <c r="AA472" s="30">
        <v>0</v>
      </c>
      <c r="AB472" s="9"/>
      <c r="AC472" s="30">
        <v>0</v>
      </c>
      <c r="AD472" s="9"/>
      <c r="AE472" s="30">
        <v>1</v>
      </c>
      <c r="AF472" s="9"/>
      <c r="AG472" s="19">
        <v>0</v>
      </c>
      <c r="AI472" s="32">
        <v>10</v>
      </c>
      <c r="AK472" s="7" t="str">
        <f t="shared" si="7"/>
        <v>No</v>
      </c>
    </row>
    <row r="473" spans="1:37">
      <c r="A473" s="7" t="s">
        <v>1104</v>
      </c>
      <c r="B473" s="7" t="s">
        <v>1105</v>
      </c>
      <c r="C473" s="37" t="s">
        <v>32</v>
      </c>
      <c r="D473" s="296"/>
      <c r="E473" s="297">
        <v>40245</v>
      </c>
      <c r="F473" s="27" t="s">
        <v>187</v>
      </c>
      <c r="G473" s="27" t="s">
        <v>158</v>
      </c>
      <c r="H473" s="35">
        <v>1065219</v>
      </c>
      <c r="I473" s="35">
        <v>43</v>
      </c>
      <c r="J473" s="9" t="s">
        <v>10</v>
      </c>
      <c r="K473" s="9" t="s">
        <v>159</v>
      </c>
      <c r="L473" s="8">
        <v>36</v>
      </c>
      <c r="M473" s="8">
        <v>13258</v>
      </c>
      <c r="N473" s="9"/>
      <c r="O473" s="8">
        <v>0</v>
      </c>
      <c r="P473" s="9"/>
      <c r="Q473" s="8">
        <v>0</v>
      </c>
      <c r="R473" s="9"/>
      <c r="S473" s="8">
        <v>2024</v>
      </c>
      <c r="T473" s="9"/>
      <c r="U473" s="8">
        <v>0</v>
      </c>
      <c r="V473" s="9"/>
      <c r="W473" s="33">
        <v>15282</v>
      </c>
      <c r="X473" s="9"/>
      <c r="Y473" s="30">
        <v>14</v>
      </c>
      <c r="Z473" s="9"/>
      <c r="AA473" s="30">
        <v>0</v>
      </c>
      <c r="AB473" s="9"/>
      <c r="AC473" s="30">
        <v>0</v>
      </c>
      <c r="AD473" s="9"/>
      <c r="AE473" s="30">
        <v>2</v>
      </c>
      <c r="AF473" s="9"/>
      <c r="AG473" s="19">
        <v>0</v>
      </c>
      <c r="AI473" s="32">
        <v>16</v>
      </c>
      <c r="AK473" s="7" t="str">
        <f t="shared" si="7"/>
        <v>No</v>
      </c>
    </row>
    <row r="474" spans="1:37">
      <c r="A474" s="7" t="s">
        <v>1132</v>
      </c>
      <c r="B474" s="7" t="s">
        <v>412</v>
      </c>
      <c r="C474" s="37" t="s">
        <v>28</v>
      </c>
      <c r="D474" s="296">
        <v>1051</v>
      </c>
      <c r="E474" s="297">
        <v>10051</v>
      </c>
      <c r="F474" s="27" t="s">
        <v>165</v>
      </c>
      <c r="G474" s="27" t="s">
        <v>158</v>
      </c>
      <c r="H474" s="35">
        <v>168136</v>
      </c>
      <c r="I474" s="35">
        <v>43</v>
      </c>
      <c r="J474" s="9" t="s">
        <v>7</v>
      </c>
      <c r="K474" s="9" t="s">
        <v>159</v>
      </c>
      <c r="L474" s="8">
        <v>28</v>
      </c>
      <c r="M474" s="8">
        <v>6072</v>
      </c>
      <c r="N474" s="9"/>
      <c r="O474" s="8">
        <v>1076</v>
      </c>
      <c r="P474" s="9"/>
      <c r="Q474" s="8">
        <v>0</v>
      </c>
      <c r="R474" s="9"/>
      <c r="S474" s="8">
        <v>0</v>
      </c>
      <c r="T474" s="9"/>
      <c r="U474" s="8">
        <v>0</v>
      </c>
      <c r="V474" s="9"/>
      <c r="W474" s="33">
        <v>7148</v>
      </c>
      <c r="X474" s="9"/>
      <c r="Y474" s="30">
        <v>7.3</v>
      </c>
      <c r="Z474" s="9"/>
      <c r="AA474" s="30">
        <v>1.2</v>
      </c>
      <c r="AB474" s="9"/>
      <c r="AC474" s="30">
        <v>0</v>
      </c>
      <c r="AD474" s="9"/>
      <c r="AE474" s="30">
        <v>0</v>
      </c>
      <c r="AF474" s="9"/>
      <c r="AG474" s="19">
        <v>0</v>
      </c>
      <c r="AI474" s="32">
        <v>8.5</v>
      </c>
      <c r="AK474" s="7" t="str">
        <f t="shared" si="7"/>
        <v>No</v>
      </c>
    </row>
    <row r="475" spans="1:37">
      <c r="A475" s="7" t="s">
        <v>595</v>
      </c>
      <c r="B475" s="7" t="s">
        <v>596</v>
      </c>
      <c r="C475" s="37" t="s">
        <v>81</v>
      </c>
      <c r="D475" s="296">
        <v>4100</v>
      </c>
      <c r="E475" s="297">
        <v>40100</v>
      </c>
      <c r="F475" s="27" t="s">
        <v>165</v>
      </c>
      <c r="G475" s="27" t="s">
        <v>158</v>
      </c>
      <c r="H475" s="35">
        <v>73107</v>
      </c>
      <c r="I475" s="35">
        <v>43</v>
      </c>
      <c r="J475" s="9" t="s">
        <v>10</v>
      </c>
      <c r="K475" s="9" t="s">
        <v>159</v>
      </c>
      <c r="L475" s="8">
        <v>25</v>
      </c>
      <c r="M475" s="8">
        <v>4424</v>
      </c>
      <c r="N475" s="9"/>
      <c r="O475" s="8">
        <v>955</v>
      </c>
      <c r="P475" s="9"/>
      <c r="Q475" s="8">
        <v>428</v>
      </c>
      <c r="R475" s="9"/>
      <c r="S475" s="8">
        <v>203</v>
      </c>
      <c r="T475" s="9"/>
      <c r="U475" s="8">
        <v>0</v>
      </c>
      <c r="V475" s="9"/>
      <c r="W475" s="33">
        <v>6010</v>
      </c>
      <c r="X475" s="9"/>
      <c r="Y475" s="30">
        <v>2.78</v>
      </c>
      <c r="Z475" s="9"/>
      <c r="AA475" s="30">
        <v>0.64</v>
      </c>
      <c r="AB475" s="9"/>
      <c r="AC475" s="30">
        <v>0.32</v>
      </c>
      <c r="AD475" s="9"/>
      <c r="AE475" s="30">
        <v>0.64</v>
      </c>
      <c r="AF475" s="9"/>
      <c r="AG475" s="19">
        <v>0</v>
      </c>
      <c r="AI475" s="32">
        <v>4.38</v>
      </c>
      <c r="AK475" s="7" t="str">
        <f t="shared" si="7"/>
        <v>No</v>
      </c>
    </row>
    <row r="476" spans="1:37">
      <c r="A476" s="7" t="s">
        <v>721</v>
      </c>
      <c r="B476" s="7" t="s">
        <v>722</v>
      </c>
      <c r="C476" s="37" t="s">
        <v>17</v>
      </c>
      <c r="D476" s="296">
        <v>9206</v>
      </c>
      <c r="E476" s="297">
        <v>90206</v>
      </c>
      <c r="F476" s="27" t="s">
        <v>165</v>
      </c>
      <c r="G476" s="27" t="s">
        <v>158</v>
      </c>
      <c r="H476" s="35">
        <v>59219</v>
      </c>
      <c r="I476" s="35">
        <v>43</v>
      </c>
      <c r="J476" s="9" t="s">
        <v>7</v>
      </c>
      <c r="K476" s="9" t="s">
        <v>159</v>
      </c>
      <c r="L476" s="8">
        <v>22</v>
      </c>
      <c r="M476" s="8">
        <v>26287</v>
      </c>
      <c r="N476" s="9"/>
      <c r="O476" s="8">
        <v>0</v>
      </c>
      <c r="P476" s="9"/>
      <c r="Q476" s="8">
        <v>0</v>
      </c>
      <c r="R476" s="9"/>
      <c r="S476" s="8">
        <v>0</v>
      </c>
      <c r="T476" s="9"/>
      <c r="U476" s="8">
        <v>0</v>
      </c>
      <c r="V476" s="9"/>
      <c r="W476" s="33">
        <v>26287</v>
      </c>
      <c r="X476" s="9"/>
      <c r="Y476" s="30">
        <v>25.28</v>
      </c>
      <c r="Z476" s="9"/>
      <c r="AA476" s="30">
        <v>0</v>
      </c>
      <c r="AB476" s="9"/>
      <c r="AC476" s="30">
        <v>0</v>
      </c>
      <c r="AD476" s="9"/>
      <c r="AE476" s="30">
        <v>0</v>
      </c>
      <c r="AF476" s="9"/>
      <c r="AG476" s="19">
        <v>0</v>
      </c>
      <c r="AI476" s="32">
        <v>25.28</v>
      </c>
      <c r="AK476" s="7" t="str">
        <f t="shared" si="7"/>
        <v>No</v>
      </c>
    </row>
    <row r="477" spans="1:37">
      <c r="A477" s="7" t="s">
        <v>721</v>
      </c>
      <c r="B477" s="7" t="s">
        <v>722</v>
      </c>
      <c r="C477" s="37" t="s">
        <v>17</v>
      </c>
      <c r="D477" s="296">
        <v>9206</v>
      </c>
      <c r="E477" s="297">
        <v>90206</v>
      </c>
      <c r="F477" s="27" t="s">
        <v>165</v>
      </c>
      <c r="G477" s="27" t="s">
        <v>158</v>
      </c>
      <c r="H477" s="35">
        <v>59219</v>
      </c>
      <c r="I477" s="35">
        <v>43</v>
      </c>
      <c r="J477" s="9" t="s">
        <v>10</v>
      </c>
      <c r="K477" s="9" t="s">
        <v>159</v>
      </c>
      <c r="L477" s="8">
        <v>21</v>
      </c>
      <c r="M477" s="8">
        <v>5001</v>
      </c>
      <c r="N477" s="9"/>
      <c r="O477" s="8">
        <v>0</v>
      </c>
      <c r="P477" s="9"/>
      <c r="Q477" s="8">
        <v>0</v>
      </c>
      <c r="R477" s="9"/>
      <c r="S477" s="8">
        <v>0</v>
      </c>
      <c r="T477" s="9"/>
      <c r="U477" s="8">
        <v>0</v>
      </c>
      <c r="V477" s="9"/>
      <c r="W477" s="33">
        <v>5001</v>
      </c>
      <c r="X477" s="9"/>
      <c r="Y477" s="30">
        <v>4.8099999999999996</v>
      </c>
      <c r="Z477" s="9"/>
      <c r="AA477" s="30">
        <v>0</v>
      </c>
      <c r="AB477" s="9"/>
      <c r="AC477" s="30">
        <v>0</v>
      </c>
      <c r="AD477" s="9"/>
      <c r="AE477" s="30">
        <v>0</v>
      </c>
      <c r="AF477" s="9"/>
      <c r="AG477" s="19">
        <v>0</v>
      </c>
      <c r="AI477" s="32">
        <v>4.8099999999999996</v>
      </c>
      <c r="AK477" s="7" t="str">
        <f t="shared" si="7"/>
        <v>No</v>
      </c>
    </row>
    <row r="478" spans="1:37">
      <c r="A478" s="7" t="s">
        <v>177</v>
      </c>
      <c r="B478" s="7" t="s">
        <v>178</v>
      </c>
      <c r="C478" s="37" t="s">
        <v>73</v>
      </c>
      <c r="D478" s="296">
        <v>5166</v>
      </c>
      <c r="E478" s="297">
        <v>50166</v>
      </c>
      <c r="F478" s="27" t="s">
        <v>162</v>
      </c>
      <c r="G478" s="27" t="s">
        <v>158</v>
      </c>
      <c r="H478" s="35">
        <v>1624827</v>
      </c>
      <c r="I478" s="35">
        <v>43</v>
      </c>
      <c r="J478" s="9" t="s">
        <v>10</v>
      </c>
      <c r="K478" s="9" t="s">
        <v>159</v>
      </c>
      <c r="L478" s="8">
        <v>16</v>
      </c>
      <c r="M478" s="8">
        <v>1298</v>
      </c>
      <c r="N478" s="9"/>
      <c r="O478" s="8">
        <v>0</v>
      </c>
      <c r="P478" s="9"/>
      <c r="Q478" s="8">
        <v>0</v>
      </c>
      <c r="R478" s="9"/>
      <c r="S478" s="8">
        <v>0</v>
      </c>
      <c r="T478" s="9"/>
      <c r="U478" s="8">
        <v>0</v>
      </c>
      <c r="V478" s="9"/>
      <c r="W478" s="33">
        <v>1298</v>
      </c>
      <c r="X478" s="9"/>
      <c r="Y478" s="30">
        <v>1</v>
      </c>
      <c r="Z478" s="9"/>
      <c r="AA478" s="30">
        <v>0</v>
      </c>
      <c r="AB478" s="9"/>
      <c r="AC478" s="30">
        <v>0</v>
      </c>
      <c r="AD478" s="9"/>
      <c r="AE478" s="30">
        <v>0</v>
      </c>
      <c r="AF478" s="9"/>
      <c r="AG478" s="19">
        <v>0</v>
      </c>
      <c r="AI478" s="32">
        <v>1</v>
      </c>
      <c r="AK478" s="7" t="str">
        <f t="shared" si="7"/>
        <v>No</v>
      </c>
    </row>
    <row r="479" spans="1:37">
      <c r="A479" s="7" t="s">
        <v>693</v>
      </c>
      <c r="B479" s="7" t="s">
        <v>694</v>
      </c>
      <c r="C479" s="37" t="s">
        <v>58</v>
      </c>
      <c r="D479" s="296">
        <v>4006</v>
      </c>
      <c r="E479" s="297">
        <v>40006</v>
      </c>
      <c r="F479" s="27" t="s">
        <v>165</v>
      </c>
      <c r="G479" s="27" t="s">
        <v>158</v>
      </c>
      <c r="H479" s="35">
        <v>219957</v>
      </c>
      <c r="I479" s="35">
        <v>43</v>
      </c>
      <c r="J479" s="9" t="s">
        <v>10</v>
      </c>
      <c r="K479" s="9" t="s">
        <v>159</v>
      </c>
      <c r="L479" s="8">
        <v>16</v>
      </c>
      <c r="M479" s="8">
        <v>18157</v>
      </c>
      <c r="N479" s="9"/>
      <c r="O479" s="8">
        <v>0</v>
      </c>
      <c r="P479" s="9"/>
      <c r="Q479" s="8">
        <v>0</v>
      </c>
      <c r="R479" s="9"/>
      <c r="S479" s="8">
        <v>0</v>
      </c>
      <c r="T479" s="9"/>
      <c r="U479" s="8">
        <v>0</v>
      </c>
      <c r="V479" s="9"/>
      <c r="W479" s="33">
        <v>18157</v>
      </c>
      <c r="X479" s="9"/>
      <c r="Y479" s="30">
        <v>17</v>
      </c>
      <c r="Z479" s="9"/>
      <c r="AA479" s="30">
        <v>0</v>
      </c>
      <c r="AB479" s="9"/>
      <c r="AC479" s="30">
        <v>0</v>
      </c>
      <c r="AD479" s="9"/>
      <c r="AE479" s="30">
        <v>0</v>
      </c>
      <c r="AF479" s="9"/>
      <c r="AG479" s="19">
        <v>0</v>
      </c>
      <c r="AI479" s="32">
        <v>17</v>
      </c>
      <c r="AK479" s="7" t="str">
        <f t="shared" si="7"/>
        <v>No</v>
      </c>
    </row>
    <row r="480" spans="1:37">
      <c r="A480" s="7" t="s">
        <v>1132</v>
      </c>
      <c r="B480" s="7" t="s">
        <v>412</v>
      </c>
      <c r="C480" s="37" t="s">
        <v>28</v>
      </c>
      <c r="D480" s="296">
        <v>1051</v>
      </c>
      <c r="E480" s="297">
        <v>10051</v>
      </c>
      <c r="F480" s="27" t="s">
        <v>165</v>
      </c>
      <c r="G480" s="27" t="s">
        <v>158</v>
      </c>
      <c r="H480" s="35">
        <v>168136</v>
      </c>
      <c r="I480" s="35">
        <v>43</v>
      </c>
      <c r="J480" s="9" t="s">
        <v>10</v>
      </c>
      <c r="K480" s="9" t="s">
        <v>159</v>
      </c>
      <c r="L480" s="8">
        <v>15</v>
      </c>
      <c r="M480" s="8">
        <v>0</v>
      </c>
      <c r="N480" s="9"/>
      <c r="O480" s="8">
        <v>367</v>
      </c>
      <c r="P480" s="9"/>
      <c r="Q480" s="8">
        <v>0</v>
      </c>
      <c r="R480" s="9"/>
      <c r="S480" s="8">
        <v>1094</v>
      </c>
      <c r="T480" s="9"/>
      <c r="U480" s="8">
        <v>0</v>
      </c>
      <c r="V480" s="9"/>
      <c r="W480" s="33">
        <v>1461</v>
      </c>
      <c r="X480" s="9"/>
      <c r="Y480" s="30">
        <v>0</v>
      </c>
      <c r="Z480" s="9"/>
      <c r="AA480" s="30">
        <v>0.8</v>
      </c>
      <c r="AB480" s="9"/>
      <c r="AC480" s="30">
        <v>0</v>
      </c>
      <c r="AD480" s="9"/>
      <c r="AE480" s="30">
        <v>1.5</v>
      </c>
      <c r="AF480" s="9"/>
      <c r="AG480" s="19">
        <v>0</v>
      </c>
      <c r="AI480" s="32">
        <v>2.2999999999999998</v>
      </c>
      <c r="AK480" s="7" t="str">
        <f t="shared" si="7"/>
        <v>No</v>
      </c>
    </row>
    <row r="481" spans="1:37">
      <c r="A481" s="7" t="s">
        <v>697</v>
      </c>
      <c r="B481" s="7" t="s">
        <v>698</v>
      </c>
      <c r="C481" s="37" t="s">
        <v>9</v>
      </c>
      <c r="D481" s="296">
        <v>4103</v>
      </c>
      <c r="E481" s="297">
        <v>40103</v>
      </c>
      <c r="F481" s="27" t="s">
        <v>195</v>
      </c>
      <c r="G481" s="27" t="s">
        <v>158</v>
      </c>
      <c r="H481" s="35">
        <v>68781</v>
      </c>
      <c r="I481" s="35">
        <v>43</v>
      </c>
      <c r="J481" s="9" t="s">
        <v>10</v>
      </c>
      <c r="K481" s="9" t="s">
        <v>159</v>
      </c>
      <c r="L481" s="8">
        <v>12</v>
      </c>
      <c r="M481" s="8">
        <v>6375</v>
      </c>
      <c r="N481" s="9"/>
      <c r="O481" s="8">
        <v>0</v>
      </c>
      <c r="P481" s="9"/>
      <c r="Q481" s="8">
        <v>338</v>
      </c>
      <c r="R481" s="9"/>
      <c r="S481" s="8">
        <v>0</v>
      </c>
      <c r="T481" s="9"/>
      <c r="U481" s="8">
        <v>0</v>
      </c>
      <c r="V481" s="9"/>
      <c r="W481" s="33">
        <v>6713</v>
      </c>
      <c r="X481" s="9"/>
      <c r="Y481" s="30">
        <v>14</v>
      </c>
      <c r="Z481" s="9"/>
      <c r="AA481" s="30">
        <v>0</v>
      </c>
      <c r="AB481" s="9"/>
      <c r="AC481" s="30">
        <v>1</v>
      </c>
      <c r="AD481" s="9"/>
      <c r="AE481" s="30">
        <v>0</v>
      </c>
      <c r="AF481" s="9"/>
      <c r="AG481" s="19">
        <v>0</v>
      </c>
      <c r="AI481" s="32">
        <v>15</v>
      </c>
      <c r="AK481" s="7" t="str">
        <f t="shared" si="7"/>
        <v>No</v>
      </c>
    </row>
    <row r="482" spans="1:37">
      <c r="A482" s="7" t="s">
        <v>595</v>
      </c>
      <c r="B482" s="7" t="s">
        <v>596</v>
      </c>
      <c r="C482" s="37" t="s">
        <v>81</v>
      </c>
      <c r="D482" s="296">
        <v>4100</v>
      </c>
      <c r="E482" s="297">
        <v>40100</v>
      </c>
      <c r="F482" s="27" t="s">
        <v>165</v>
      </c>
      <c r="G482" s="27" t="s">
        <v>158</v>
      </c>
      <c r="H482" s="35">
        <v>73107</v>
      </c>
      <c r="I482" s="35">
        <v>43</v>
      </c>
      <c r="J482" s="9" t="s">
        <v>7</v>
      </c>
      <c r="K482" s="9" t="s">
        <v>159</v>
      </c>
      <c r="L482" s="8">
        <v>11</v>
      </c>
      <c r="M482" s="8">
        <v>6745</v>
      </c>
      <c r="N482" s="9"/>
      <c r="O482" s="8">
        <v>1552</v>
      </c>
      <c r="P482" s="9"/>
      <c r="Q482" s="8">
        <v>695</v>
      </c>
      <c r="R482" s="9"/>
      <c r="S482" s="8">
        <v>330</v>
      </c>
      <c r="T482" s="9"/>
      <c r="U482" s="8">
        <v>0</v>
      </c>
      <c r="V482" s="9"/>
      <c r="W482" s="33">
        <v>9322</v>
      </c>
      <c r="X482" s="9"/>
      <c r="Y482" s="30">
        <v>4.25</v>
      </c>
      <c r="Z482" s="9"/>
      <c r="AA482" s="30">
        <v>1.04</v>
      </c>
      <c r="AB482" s="9"/>
      <c r="AC482" s="30">
        <v>0.52</v>
      </c>
      <c r="AD482" s="9"/>
      <c r="AE482" s="30">
        <v>1.04</v>
      </c>
      <c r="AF482" s="9"/>
      <c r="AG482" s="19">
        <v>0</v>
      </c>
      <c r="AI482" s="32">
        <v>6.85</v>
      </c>
      <c r="AK482" s="7" t="str">
        <f t="shared" si="7"/>
        <v>No</v>
      </c>
    </row>
    <row r="483" spans="1:37">
      <c r="A483" s="7" t="s">
        <v>177</v>
      </c>
      <c r="B483" s="7" t="s">
        <v>178</v>
      </c>
      <c r="C483" s="37" t="s">
        <v>73</v>
      </c>
      <c r="D483" s="296">
        <v>5166</v>
      </c>
      <c r="E483" s="297">
        <v>50166</v>
      </c>
      <c r="F483" s="27" t="s">
        <v>162</v>
      </c>
      <c r="G483" s="27" t="s">
        <v>158</v>
      </c>
      <c r="H483" s="35">
        <v>1624827</v>
      </c>
      <c r="I483" s="35">
        <v>43</v>
      </c>
      <c r="J483" s="9" t="s">
        <v>7</v>
      </c>
      <c r="K483" s="9" t="s">
        <v>159</v>
      </c>
      <c r="L483" s="8">
        <v>9</v>
      </c>
      <c r="M483" s="8">
        <v>0</v>
      </c>
      <c r="N483" s="9"/>
      <c r="O483" s="8">
        <v>0</v>
      </c>
      <c r="P483" s="9"/>
      <c r="Q483" s="8">
        <v>0</v>
      </c>
      <c r="R483" s="9"/>
      <c r="S483" s="8">
        <v>0</v>
      </c>
      <c r="T483" s="9"/>
      <c r="U483" s="8">
        <v>0</v>
      </c>
      <c r="V483" s="9"/>
      <c r="W483" s="33">
        <v>0</v>
      </c>
      <c r="X483" s="9"/>
      <c r="Y483" s="30">
        <v>0</v>
      </c>
      <c r="Z483" s="9"/>
      <c r="AA483" s="30">
        <v>0</v>
      </c>
      <c r="AB483" s="9"/>
      <c r="AC483" s="30">
        <v>0</v>
      </c>
      <c r="AD483" s="9"/>
      <c r="AE483" s="30">
        <v>0</v>
      </c>
      <c r="AF483" s="9"/>
      <c r="AG483" s="19">
        <v>0</v>
      </c>
      <c r="AI483" s="32">
        <v>0</v>
      </c>
      <c r="AK483" s="7" t="str">
        <f t="shared" si="7"/>
        <v>No</v>
      </c>
    </row>
    <row r="484" spans="1:37">
      <c r="A484" s="7" t="s">
        <v>1104</v>
      </c>
      <c r="B484" s="7" t="s">
        <v>1105</v>
      </c>
      <c r="C484" s="37" t="s">
        <v>32</v>
      </c>
      <c r="D484" s="296"/>
      <c r="E484" s="297">
        <v>40245</v>
      </c>
      <c r="F484" s="27" t="s">
        <v>187</v>
      </c>
      <c r="G484" s="27" t="s">
        <v>158</v>
      </c>
      <c r="H484" s="35">
        <v>1065219</v>
      </c>
      <c r="I484" s="35">
        <v>43</v>
      </c>
      <c r="J484" s="9" t="s">
        <v>7</v>
      </c>
      <c r="K484" s="9" t="s">
        <v>159</v>
      </c>
      <c r="L484" s="8">
        <v>7</v>
      </c>
      <c r="M484" s="8">
        <v>1290</v>
      </c>
      <c r="N484" s="9"/>
      <c r="O484" s="8">
        <v>0</v>
      </c>
      <c r="P484" s="9"/>
      <c r="Q484" s="8">
        <v>0</v>
      </c>
      <c r="R484" s="9"/>
      <c r="S484" s="8">
        <v>1951</v>
      </c>
      <c r="T484" s="9" t="s">
        <v>121</v>
      </c>
      <c r="U484" s="8">
        <v>0</v>
      </c>
      <c r="V484" s="9"/>
      <c r="W484" s="33">
        <v>3241</v>
      </c>
      <c r="X484" s="9" t="s">
        <v>121</v>
      </c>
      <c r="Y484" s="30">
        <v>2</v>
      </c>
      <c r="Z484" s="9"/>
      <c r="AA484" s="30">
        <v>0</v>
      </c>
      <c r="AB484" s="9"/>
      <c r="AC484" s="30">
        <v>0</v>
      </c>
      <c r="AD484" s="9"/>
      <c r="AE484" s="30">
        <v>2</v>
      </c>
      <c r="AF484" s="9"/>
      <c r="AG484" s="19">
        <v>0</v>
      </c>
      <c r="AI484" s="32">
        <v>4</v>
      </c>
      <c r="AK484" s="7" t="str">
        <f t="shared" si="7"/>
        <v>Yes</v>
      </c>
    </row>
    <row r="485" spans="1:37">
      <c r="A485" s="7" t="s">
        <v>595</v>
      </c>
      <c r="B485" s="7" t="s">
        <v>596</v>
      </c>
      <c r="C485" s="37" t="s">
        <v>81</v>
      </c>
      <c r="D485" s="296">
        <v>4100</v>
      </c>
      <c r="E485" s="297">
        <v>40100</v>
      </c>
      <c r="F485" s="27" t="s">
        <v>165</v>
      </c>
      <c r="G485" s="27" t="s">
        <v>158</v>
      </c>
      <c r="H485" s="35">
        <v>73107</v>
      </c>
      <c r="I485" s="35">
        <v>43</v>
      </c>
      <c r="J485" s="9" t="s">
        <v>18</v>
      </c>
      <c r="K485" s="9" t="s">
        <v>159</v>
      </c>
      <c r="L485" s="8">
        <v>7</v>
      </c>
      <c r="M485" s="8">
        <v>4133</v>
      </c>
      <c r="N485" s="9"/>
      <c r="O485" s="8">
        <v>477</v>
      </c>
      <c r="P485" s="9"/>
      <c r="Q485" s="8">
        <v>214</v>
      </c>
      <c r="R485" s="9"/>
      <c r="S485" s="8">
        <v>101</v>
      </c>
      <c r="T485" s="9"/>
      <c r="U485" s="8">
        <v>0</v>
      </c>
      <c r="V485" s="9"/>
      <c r="W485" s="33">
        <v>4925</v>
      </c>
      <c r="X485" s="9"/>
      <c r="Y485" s="30">
        <v>3.64</v>
      </c>
      <c r="Z485" s="9"/>
      <c r="AA485" s="30">
        <v>0.32</v>
      </c>
      <c r="AB485" s="9"/>
      <c r="AC485" s="30">
        <v>0.16</v>
      </c>
      <c r="AD485" s="9"/>
      <c r="AE485" s="30">
        <v>0.32</v>
      </c>
      <c r="AF485" s="9"/>
      <c r="AG485" s="19">
        <v>0</v>
      </c>
      <c r="AI485" s="32">
        <v>4.4400000000000004</v>
      </c>
      <c r="AK485" s="7" t="str">
        <f t="shared" si="7"/>
        <v>No</v>
      </c>
    </row>
    <row r="486" spans="1:37">
      <c r="A486" s="7" t="s">
        <v>693</v>
      </c>
      <c r="B486" s="7" t="s">
        <v>694</v>
      </c>
      <c r="C486" s="37" t="s">
        <v>58</v>
      </c>
      <c r="D486" s="296">
        <v>4006</v>
      </c>
      <c r="E486" s="297">
        <v>40006</v>
      </c>
      <c r="F486" s="27" t="s">
        <v>165</v>
      </c>
      <c r="G486" s="27" t="s">
        <v>158</v>
      </c>
      <c r="H486" s="35">
        <v>219957</v>
      </c>
      <c r="I486" s="35">
        <v>43</v>
      </c>
      <c r="J486" s="9" t="s">
        <v>8</v>
      </c>
      <c r="K486" s="9" t="s">
        <v>159</v>
      </c>
      <c r="L486" s="8">
        <v>2</v>
      </c>
      <c r="M486" s="8">
        <v>0</v>
      </c>
      <c r="N486" s="9"/>
      <c r="O486" s="8">
        <v>0</v>
      </c>
      <c r="P486" s="9"/>
      <c r="Q486" s="8">
        <v>0</v>
      </c>
      <c r="R486" s="9"/>
      <c r="S486" s="8">
        <v>0</v>
      </c>
      <c r="T486" s="9"/>
      <c r="U486" s="8">
        <v>0</v>
      </c>
      <c r="V486" s="9"/>
      <c r="W486" s="33">
        <v>0</v>
      </c>
      <c r="X486" s="9"/>
      <c r="Y486" s="30">
        <v>0</v>
      </c>
      <c r="Z486" s="9"/>
      <c r="AA486" s="30">
        <v>0</v>
      </c>
      <c r="AB486" s="9"/>
      <c r="AC486" s="30">
        <v>0</v>
      </c>
      <c r="AD486" s="9"/>
      <c r="AE486" s="30">
        <v>0</v>
      </c>
      <c r="AF486" s="9"/>
      <c r="AG486" s="19">
        <v>0</v>
      </c>
      <c r="AI486" s="32">
        <v>0</v>
      </c>
      <c r="AK486" s="7" t="str">
        <f t="shared" si="7"/>
        <v>No</v>
      </c>
    </row>
    <row r="487" spans="1:37">
      <c r="A487" s="7" t="s">
        <v>115</v>
      </c>
      <c r="B487" s="7" t="s">
        <v>481</v>
      </c>
      <c r="C487" s="37" t="s">
        <v>36</v>
      </c>
      <c r="D487" s="296">
        <v>4203</v>
      </c>
      <c r="E487" s="297">
        <v>40203</v>
      </c>
      <c r="F487" s="27" t="s">
        <v>173</v>
      </c>
      <c r="G487" s="27" t="s">
        <v>158</v>
      </c>
      <c r="H487" s="35">
        <v>4515419</v>
      </c>
      <c r="I487" s="35">
        <v>42</v>
      </c>
      <c r="J487" s="9" t="s">
        <v>8</v>
      </c>
      <c r="K487" s="9" t="s">
        <v>159</v>
      </c>
      <c r="L487" s="8">
        <v>42</v>
      </c>
      <c r="M487" s="8">
        <v>0</v>
      </c>
      <c r="N487" s="9"/>
      <c r="O487" s="8">
        <v>0</v>
      </c>
      <c r="P487" s="9"/>
      <c r="Q487" s="8">
        <v>0</v>
      </c>
      <c r="R487" s="9"/>
      <c r="S487" s="8">
        <v>0</v>
      </c>
      <c r="T487" s="9"/>
      <c r="U487" s="8">
        <v>0</v>
      </c>
      <c r="V487" s="9"/>
      <c r="W487" s="33">
        <v>0</v>
      </c>
      <c r="X487" s="9"/>
      <c r="Y487" s="30">
        <v>0</v>
      </c>
      <c r="Z487" s="9"/>
      <c r="AA487" s="30">
        <v>0</v>
      </c>
      <c r="AB487" s="9"/>
      <c r="AC487" s="30">
        <v>0</v>
      </c>
      <c r="AD487" s="9"/>
      <c r="AE487" s="30">
        <v>0</v>
      </c>
      <c r="AF487" s="9"/>
      <c r="AG487" s="19">
        <v>0</v>
      </c>
      <c r="AI487" s="32">
        <v>0</v>
      </c>
      <c r="AK487" s="7" t="str">
        <f t="shared" si="7"/>
        <v>No</v>
      </c>
    </row>
    <row r="488" spans="1:37">
      <c r="A488" s="7" t="s">
        <v>331</v>
      </c>
      <c r="B488" s="7" t="s">
        <v>329</v>
      </c>
      <c r="C488" s="37" t="s">
        <v>28</v>
      </c>
      <c r="D488" s="296">
        <v>1056</v>
      </c>
      <c r="E488" s="297">
        <v>10056</v>
      </c>
      <c r="F488" s="27" t="s">
        <v>157</v>
      </c>
      <c r="G488" s="27" t="s">
        <v>158</v>
      </c>
      <c r="H488" s="35">
        <v>923311</v>
      </c>
      <c r="I488" s="35">
        <v>42</v>
      </c>
      <c r="J488" s="9" t="s">
        <v>7</v>
      </c>
      <c r="K488" s="9" t="s">
        <v>159</v>
      </c>
      <c r="L488" s="8">
        <v>42</v>
      </c>
      <c r="M488" s="8">
        <v>5834</v>
      </c>
      <c r="N488" s="9"/>
      <c r="O488" s="8">
        <v>0</v>
      </c>
      <c r="P488" s="9"/>
      <c r="Q488" s="8">
        <v>0</v>
      </c>
      <c r="R488" s="9"/>
      <c r="S488" s="8">
        <v>6357</v>
      </c>
      <c r="T488" s="9"/>
      <c r="U488" s="8">
        <v>0</v>
      </c>
      <c r="V488" s="9"/>
      <c r="W488" s="33">
        <v>12191</v>
      </c>
      <c r="X488" s="9"/>
      <c r="Y488" s="30">
        <v>7</v>
      </c>
      <c r="Z488" s="9"/>
      <c r="AA488" s="30">
        <v>0</v>
      </c>
      <c r="AB488" s="9"/>
      <c r="AC488" s="30">
        <v>0</v>
      </c>
      <c r="AD488" s="9"/>
      <c r="AE488" s="30">
        <v>6</v>
      </c>
      <c r="AF488" s="9"/>
      <c r="AG488" s="19">
        <v>0</v>
      </c>
      <c r="AI488" s="32">
        <v>13</v>
      </c>
      <c r="AK488" s="7" t="str">
        <f t="shared" si="7"/>
        <v>No</v>
      </c>
    </row>
    <row r="489" spans="1:37">
      <c r="A489" s="7" t="s">
        <v>525</v>
      </c>
      <c r="B489" s="7" t="s">
        <v>526</v>
      </c>
      <c r="C489" s="37" t="s">
        <v>9</v>
      </c>
      <c r="D489" s="296">
        <v>4068</v>
      </c>
      <c r="E489" s="297">
        <v>40068</v>
      </c>
      <c r="F489" s="27" t="s">
        <v>195</v>
      </c>
      <c r="G489" s="27" t="s">
        <v>158</v>
      </c>
      <c r="H489" s="35">
        <v>77074</v>
      </c>
      <c r="I489" s="35">
        <v>42</v>
      </c>
      <c r="J489" s="9" t="s">
        <v>10</v>
      </c>
      <c r="K489" s="9" t="s">
        <v>159</v>
      </c>
      <c r="L489" s="8">
        <v>42</v>
      </c>
      <c r="M489" s="8">
        <v>32570</v>
      </c>
      <c r="N489" s="9"/>
      <c r="O489" s="8">
        <v>0</v>
      </c>
      <c r="P489" s="9"/>
      <c r="Q489" s="8">
        <v>0</v>
      </c>
      <c r="R489" s="9"/>
      <c r="S489" s="8">
        <v>600</v>
      </c>
      <c r="T489" s="9"/>
      <c r="U489" s="8">
        <v>0</v>
      </c>
      <c r="V489" s="9"/>
      <c r="W489" s="33">
        <v>33170</v>
      </c>
      <c r="X489" s="9"/>
      <c r="Y489" s="30">
        <v>32</v>
      </c>
      <c r="Z489" s="9"/>
      <c r="AA489" s="30">
        <v>0</v>
      </c>
      <c r="AB489" s="9"/>
      <c r="AC489" s="30">
        <v>0</v>
      </c>
      <c r="AD489" s="9"/>
      <c r="AE489" s="30">
        <v>1</v>
      </c>
      <c r="AF489" s="9"/>
      <c r="AG489" s="19">
        <v>0</v>
      </c>
      <c r="AI489" s="32">
        <v>33</v>
      </c>
      <c r="AK489" s="7" t="str">
        <f t="shared" si="7"/>
        <v>No</v>
      </c>
    </row>
    <row r="490" spans="1:37">
      <c r="A490" s="7" t="s">
        <v>193</v>
      </c>
      <c r="B490" s="7" t="s">
        <v>194</v>
      </c>
      <c r="C490" s="37" t="s">
        <v>86</v>
      </c>
      <c r="D490" s="296">
        <v>3091</v>
      </c>
      <c r="E490" s="297">
        <v>30091</v>
      </c>
      <c r="F490" s="27" t="s">
        <v>162</v>
      </c>
      <c r="G490" s="27" t="s">
        <v>158</v>
      </c>
      <c r="H490" s="35">
        <v>88542</v>
      </c>
      <c r="I490" s="35">
        <v>42</v>
      </c>
      <c r="J490" s="9" t="s">
        <v>7</v>
      </c>
      <c r="K490" s="9" t="s">
        <v>159</v>
      </c>
      <c r="L490" s="8">
        <v>34</v>
      </c>
      <c r="M490" s="8">
        <v>73692</v>
      </c>
      <c r="N490" s="9"/>
      <c r="O490" s="8">
        <v>813</v>
      </c>
      <c r="P490" s="9"/>
      <c r="Q490" s="8">
        <v>0</v>
      </c>
      <c r="R490" s="9"/>
      <c r="S490" s="8">
        <v>9631</v>
      </c>
      <c r="T490" s="9"/>
      <c r="U490" s="8">
        <v>0</v>
      </c>
      <c r="V490" s="9"/>
      <c r="W490" s="33">
        <v>84136</v>
      </c>
      <c r="X490" s="9"/>
      <c r="Y490" s="30">
        <v>157</v>
      </c>
      <c r="Z490" s="9"/>
      <c r="AA490" s="30">
        <v>2.67</v>
      </c>
      <c r="AB490" s="9"/>
      <c r="AC490" s="30">
        <v>0</v>
      </c>
      <c r="AD490" s="9"/>
      <c r="AE490" s="30">
        <v>7</v>
      </c>
      <c r="AF490" s="9"/>
      <c r="AG490" s="19">
        <v>0</v>
      </c>
      <c r="AI490" s="32">
        <v>166.67</v>
      </c>
      <c r="AK490" s="7" t="str">
        <f t="shared" si="7"/>
        <v>No</v>
      </c>
    </row>
    <row r="491" spans="1:37">
      <c r="A491" s="7" t="s">
        <v>372</v>
      </c>
      <c r="B491" s="7" t="s">
        <v>373</v>
      </c>
      <c r="C491" s="37" t="s">
        <v>42</v>
      </c>
      <c r="D491" s="296">
        <v>5044</v>
      </c>
      <c r="E491" s="297">
        <v>50044</v>
      </c>
      <c r="F491" s="27" t="s">
        <v>165</v>
      </c>
      <c r="G491" s="27" t="s">
        <v>158</v>
      </c>
      <c r="H491" s="35">
        <v>313492</v>
      </c>
      <c r="I491" s="35">
        <v>42</v>
      </c>
      <c r="J491" s="9" t="s">
        <v>7</v>
      </c>
      <c r="K491" s="9" t="s">
        <v>159</v>
      </c>
      <c r="L491" s="8">
        <v>30</v>
      </c>
      <c r="M491" s="8">
        <v>1904</v>
      </c>
      <c r="N491" s="9"/>
      <c r="O491" s="8">
        <v>3906</v>
      </c>
      <c r="P491" s="9"/>
      <c r="Q491" s="8">
        <v>608</v>
      </c>
      <c r="R491" s="9"/>
      <c r="S491" s="8">
        <v>0</v>
      </c>
      <c r="T491" s="9"/>
      <c r="U491" s="8">
        <v>0</v>
      </c>
      <c r="V491" s="9"/>
      <c r="W491" s="33">
        <v>6418</v>
      </c>
      <c r="X491" s="9"/>
      <c r="Y491" s="30">
        <v>1.6</v>
      </c>
      <c r="Z491" s="9"/>
      <c r="AA491" s="30">
        <v>3.7</v>
      </c>
      <c r="AB491" s="9"/>
      <c r="AC491" s="30">
        <v>0.3</v>
      </c>
      <c r="AD491" s="9"/>
      <c r="AE491" s="30">
        <v>0</v>
      </c>
      <c r="AF491" s="9"/>
      <c r="AG491" s="19">
        <v>0</v>
      </c>
      <c r="AI491" s="32">
        <v>5.6</v>
      </c>
      <c r="AK491" s="7" t="str">
        <f t="shared" si="7"/>
        <v>No</v>
      </c>
    </row>
    <row r="492" spans="1:37">
      <c r="A492" s="7" t="s">
        <v>1133</v>
      </c>
      <c r="B492" s="7" t="s">
        <v>782</v>
      </c>
      <c r="C492" s="37" t="s">
        <v>77</v>
      </c>
      <c r="D492" s="296" t="s">
        <v>783</v>
      </c>
      <c r="E492" s="297">
        <v>30137</v>
      </c>
      <c r="F492" s="27" t="s">
        <v>165</v>
      </c>
      <c r="G492" s="27" t="s">
        <v>158</v>
      </c>
      <c r="H492" s="35">
        <v>54316</v>
      </c>
      <c r="I492" s="35">
        <v>42</v>
      </c>
      <c r="J492" s="9" t="s">
        <v>10</v>
      </c>
      <c r="K492" s="9" t="s">
        <v>159</v>
      </c>
      <c r="L492" s="8">
        <v>27</v>
      </c>
      <c r="M492" s="8">
        <v>33607</v>
      </c>
      <c r="N492" s="9"/>
      <c r="O492" s="8">
        <v>0</v>
      </c>
      <c r="P492" s="9"/>
      <c r="Q492" s="8">
        <v>0</v>
      </c>
      <c r="R492" s="9"/>
      <c r="S492" s="8">
        <v>2122</v>
      </c>
      <c r="T492" s="9"/>
      <c r="U492" s="8">
        <v>0</v>
      </c>
      <c r="V492" s="9"/>
      <c r="W492" s="33">
        <v>35729</v>
      </c>
      <c r="X492" s="9"/>
      <c r="Y492" s="30">
        <v>38</v>
      </c>
      <c r="Z492" s="9"/>
      <c r="AA492" s="30">
        <v>0</v>
      </c>
      <c r="AB492" s="9"/>
      <c r="AC492" s="30">
        <v>0</v>
      </c>
      <c r="AD492" s="9"/>
      <c r="AE492" s="30">
        <v>6</v>
      </c>
      <c r="AF492" s="9"/>
      <c r="AG492" s="19">
        <v>0</v>
      </c>
      <c r="AI492" s="32">
        <v>44</v>
      </c>
      <c r="AK492" s="7" t="str">
        <f t="shared" si="7"/>
        <v>No</v>
      </c>
    </row>
    <row r="493" spans="1:37">
      <c r="A493" s="7" t="s">
        <v>606</v>
      </c>
      <c r="B493" s="7" t="s">
        <v>607</v>
      </c>
      <c r="C493" s="37" t="s">
        <v>82</v>
      </c>
      <c r="D493" s="296">
        <v>8002</v>
      </c>
      <c r="E493" s="297">
        <v>80002</v>
      </c>
      <c r="F493" s="27" t="s">
        <v>243</v>
      </c>
      <c r="G493" s="27" t="s">
        <v>158</v>
      </c>
      <c r="H493" s="35">
        <v>156777</v>
      </c>
      <c r="I493" s="35">
        <v>42</v>
      </c>
      <c r="J493" s="9" t="s">
        <v>7</v>
      </c>
      <c r="K493" s="9" t="s">
        <v>159</v>
      </c>
      <c r="L493" s="8">
        <v>22</v>
      </c>
      <c r="M493" s="8">
        <v>0</v>
      </c>
      <c r="N493" s="9"/>
      <c r="O493" s="8">
        <v>0</v>
      </c>
      <c r="P493" s="9"/>
      <c r="Q493" s="8">
        <v>0</v>
      </c>
      <c r="R493" s="9"/>
      <c r="S493" s="8">
        <v>0</v>
      </c>
      <c r="T493" s="9"/>
      <c r="U493" s="8">
        <v>0</v>
      </c>
      <c r="V493" s="9"/>
      <c r="W493" s="33">
        <v>0</v>
      </c>
      <c r="X493" s="9"/>
      <c r="Y493" s="30">
        <v>0</v>
      </c>
      <c r="Z493" s="9"/>
      <c r="AA493" s="30">
        <v>0</v>
      </c>
      <c r="AB493" s="9"/>
      <c r="AC493" s="30">
        <v>0</v>
      </c>
      <c r="AD493" s="9"/>
      <c r="AE493" s="30">
        <v>0</v>
      </c>
      <c r="AF493" s="9"/>
      <c r="AG493" s="19">
        <v>0</v>
      </c>
      <c r="AI493" s="32">
        <v>0</v>
      </c>
      <c r="AK493" s="7" t="str">
        <f t="shared" si="7"/>
        <v>No</v>
      </c>
    </row>
    <row r="494" spans="1:37">
      <c r="A494" s="7" t="s">
        <v>606</v>
      </c>
      <c r="B494" s="7" t="s">
        <v>607</v>
      </c>
      <c r="C494" s="37" t="s">
        <v>82</v>
      </c>
      <c r="D494" s="296">
        <v>8002</v>
      </c>
      <c r="E494" s="297">
        <v>80002</v>
      </c>
      <c r="F494" s="27" t="s">
        <v>243</v>
      </c>
      <c r="G494" s="27" t="s">
        <v>158</v>
      </c>
      <c r="H494" s="35">
        <v>156777</v>
      </c>
      <c r="I494" s="35">
        <v>42</v>
      </c>
      <c r="J494" s="9" t="s">
        <v>10</v>
      </c>
      <c r="K494" s="9" t="s">
        <v>159</v>
      </c>
      <c r="L494" s="8">
        <v>20</v>
      </c>
      <c r="M494" s="8">
        <v>0</v>
      </c>
      <c r="N494" s="9"/>
      <c r="O494" s="8">
        <v>0</v>
      </c>
      <c r="P494" s="9"/>
      <c r="Q494" s="8">
        <v>0</v>
      </c>
      <c r="R494" s="9"/>
      <c r="S494" s="8">
        <v>0</v>
      </c>
      <c r="T494" s="9"/>
      <c r="U494" s="8">
        <v>0</v>
      </c>
      <c r="V494" s="9"/>
      <c r="W494" s="33">
        <v>0</v>
      </c>
      <c r="X494" s="9"/>
      <c r="Y494" s="30">
        <v>0</v>
      </c>
      <c r="Z494" s="9"/>
      <c r="AA494" s="30">
        <v>0</v>
      </c>
      <c r="AB494" s="9"/>
      <c r="AC494" s="30">
        <v>0</v>
      </c>
      <c r="AD494" s="9"/>
      <c r="AE494" s="30">
        <v>0</v>
      </c>
      <c r="AF494" s="9"/>
      <c r="AG494" s="19">
        <v>0</v>
      </c>
      <c r="AI494" s="32">
        <v>0</v>
      </c>
      <c r="AK494" s="7" t="str">
        <f t="shared" si="7"/>
        <v>No</v>
      </c>
    </row>
    <row r="495" spans="1:37">
      <c r="A495" s="7" t="s">
        <v>372</v>
      </c>
      <c r="B495" s="7" t="s">
        <v>373</v>
      </c>
      <c r="C495" s="37" t="s">
        <v>42</v>
      </c>
      <c r="D495" s="296">
        <v>5044</v>
      </c>
      <c r="E495" s="297">
        <v>50044</v>
      </c>
      <c r="F495" s="27" t="s">
        <v>165</v>
      </c>
      <c r="G495" s="27" t="s">
        <v>158</v>
      </c>
      <c r="H495" s="35">
        <v>313492</v>
      </c>
      <c r="I495" s="35">
        <v>42</v>
      </c>
      <c r="J495" s="9" t="s">
        <v>10</v>
      </c>
      <c r="K495" s="9" t="s">
        <v>159</v>
      </c>
      <c r="L495" s="8">
        <v>12</v>
      </c>
      <c r="M495" s="8">
        <v>437</v>
      </c>
      <c r="N495" s="9"/>
      <c r="O495" s="8">
        <v>1102</v>
      </c>
      <c r="P495" s="9"/>
      <c r="Q495" s="8">
        <v>172</v>
      </c>
      <c r="R495" s="9"/>
      <c r="S495" s="8">
        <v>0</v>
      </c>
      <c r="T495" s="9"/>
      <c r="U495" s="8">
        <v>0</v>
      </c>
      <c r="V495" s="9"/>
      <c r="W495" s="33">
        <v>1711</v>
      </c>
      <c r="X495" s="9"/>
      <c r="Y495" s="30">
        <v>0.4</v>
      </c>
      <c r="Z495" s="9"/>
      <c r="AA495" s="30">
        <v>0.9</v>
      </c>
      <c r="AB495" s="9"/>
      <c r="AC495" s="30">
        <v>0.1</v>
      </c>
      <c r="AD495" s="9"/>
      <c r="AE495" s="30">
        <v>0</v>
      </c>
      <c r="AF495" s="9"/>
      <c r="AG495" s="19">
        <v>0</v>
      </c>
      <c r="AI495" s="32">
        <v>1.4</v>
      </c>
      <c r="AK495" s="7" t="str">
        <f t="shared" si="7"/>
        <v>No</v>
      </c>
    </row>
    <row r="496" spans="1:37">
      <c r="A496" s="7" t="s">
        <v>1133</v>
      </c>
      <c r="B496" s="7" t="s">
        <v>782</v>
      </c>
      <c r="C496" s="37" t="s">
        <v>77</v>
      </c>
      <c r="D496" s="296" t="s">
        <v>783</v>
      </c>
      <c r="E496" s="297">
        <v>30137</v>
      </c>
      <c r="F496" s="27" t="s">
        <v>165</v>
      </c>
      <c r="G496" s="27" t="s">
        <v>158</v>
      </c>
      <c r="H496" s="35">
        <v>54316</v>
      </c>
      <c r="I496" s="35">
        <v>42</v>
      </c>
      <c r="J496" s="9" t="s">
        <v>7</v>
      </c>
      <c r="K496" s="9" t="s">
        <v>159</v>
      </c>
      <c r="L496" s="8">
        <v>10</v>
      </c>
      <c r="M496" s="8">
        <v>6406</v>
      </c>
      <c r="N496" s="9"/>
      <c r="O496" s="8">
        <v>0</v>
      </c>
      <c r="P496" s="9"/>
      <c r="Q496" s="8">
        <v>0</v>
      </c>
      <c r="R496" s="9"/>
      <c r="S496" s="8">
        <v>2393</v>
      </c>
      <c r="T496" s="9"/>
      <c r="U496" s="8">
        <v>0</v>
      </c>
      <c r="V496" s="9"/>
      <c r="W496" s="33">
        <v>8799</v>
      </c>
      <c r="X496" s="9"/>
      <c r="Y496" s="30">
        <v>10</v>
      </c>
      <c r="Z496" s="9"/>
      <c r="AA496" s="30">
        <v>0</v>
      </c>
      <c r="AB496" s="9"/>
      <c r="AC496" s="30">
        <v>0</v>
      </c>
      <c r="AD496" s="9"/>
      <c r="AE496" s="30">
        <v>6</v>
      </c>
      <c r="AF496" s="9"/>
      <c r="AG496" s="19">
        <v>0</v>
      </c>
      <c r="AI496" s="32">
        <v>16</v>
      </c>
      <c r="AK496" s="7" t="str">
        <f t="shared" si="7"/>
        <v>No</v>
      </c>
    </row>
    <row r="497" spans="1:37">
      <c r="A497" s="7" t="s">
        <v>193</v>
      </c>
      <c r="B497" s="7" t="s">
        <v>194</v>
      </c>
      <c r="C497" s="37" t="s">
        <v>86</v>
      </c>
      <c r="D497" s="296">
        <v>3091</v>
      </c>
      <c r="E497" s="297">
        <v>30091</v>
      </c>
      <c r="F497" s="27" t="s">
        <v>162</v>
      </c>
      <c r="G497" s="27" t="s">
        <v>158</v>
      </c>
      <c r="H497" s="35">
        <v>88542</v>
      </c>
      <c r="I497" s="35">
        <v>42</v>
      </c>
      <c r="J497" s="9" t="s">
        <v>10</v>
      </c>
      <c r="K497" s="9" t="s">
        <v>159</v>
      </c>
      <c r="L497" s="8">
        <v>8</v>
      </c>
      <c r="M497" s="8">
        <v>19968</v>
      </c>
      <c r="N497" s="9"/>
      <c r="O497" s="8">
        <v>90</v>
      </c>
      <c r="P497" s="9"/>
      <c r="Q497" s="8">
        <v>0</v>
      </c>
      <c r="R497" s="9"/>
      <c r="S497" s="8">
        <v>1070</v>
      </c>
      <c r="T497" s="9"/>
      <c r="U497" s="8">
        <v>0</v>
      </c>
      <c r="V497" s="9"/>
      <c r="W497" s="33">
        <v>21128</v>
      </c>
      <c r="X497" s="9"/>
      <c r="Y497" s="30">
        <v>13</v>
      </c>
      <c r="Z497" s="9"/>
      <c r="AA497" s="30">
        <v>0.33</v>
      </c>
      <c r="AB497" s="9"/>
      <c r="AC497" s="30">
        <v>0</v>
      </c>
      <c r="AD497" s="9"/>
      <c r="AE497" s="30">
        <v>1.25</v>
      </c>
      <c r="AF497" s="9"/>
      <c r="AG497" s="19">
        <v>0</v>
      </c>
      <c r="AI497" s="32">
        <v>14.58</v>
      </c>
      <c r="AK497" s="7" t="str">
        <f t="shared" si="7"/>
        <v>No</v>
      </c>
    </row>
    <row r="498" spans="1:37">
      <c r="A498" s="7" t="s">
        <v>1134</v>
      </c>
      <c r="B498" s="7" t="s">
        <v>1135</v>
      </c>
      <c r="C498" s="37" t="s">
        <v>77</v>
      </c>
      <c r="D498" s="296">
        <v>3102</v>
      </c>
      <c r="E498" s="297">
        <v>30102</v>
      </c>
      <c r="F498" s="27" t="s">
        <v>173</v>
      </c>
      <c r="G498" s="27" t="s">
        <v>158</v>
      </c>
      <c r="H498" s="35">
        <v>18351295</v>
      </c>
      <c r="I498" s="35">
        <v>41</v>
      </c>
      <c r="J498" s="9" t="s">
        <v>18</v>
      </c>
      <c r="K498" s="9" t="s">
        <v>159</v>
      </c>
      <c r="L498" s="8">
        <v>41</v>
      </c>
      <c r="M498" s="8">
        <v>15510</v>
      </c>
      <c r="N498" s="9"/>
      <c r="O498" s="8">
        <v>846</v>
      </c>
      <c r="P498" s="9"/>
      <c r="Q498" s="8">
        <v>7267</v>
      </c>
      <c r="R498" s="9"/>
      <c r="S498" s="8">
        <v>12124</v>
      </c>
      <c r="T498" s="9"/>
      <c r="U498" s="8">
        <v>0</v>
      </c>
      <c r="V498" s="9"/>
      <c r="W498" s="33">
        <v>35747</v>
      </c>
      <c r="X498" s="9"/>
      <c r="Y498" s="30">
        <v>23</v>
      </c>
      <c r="Z498" s="9"/>
      <c r="AA498" s="30">
        <v>1</v>
      </c>
      <c r="AB498" s="9"/>
      <c r="AC498" s="30">
        <v>9</v>
      </c>
      <c r="AD498" s="9"/>
      <c r="AE498" s="30">
        <v>12</v>
      </c>
      <c r="AF498" s="9"/>
      <c r="AG498" s="19">
        <v>0</v>
      </c>
      <c r="AI498" s="32">
        <v>45</v>
      </c>
      <c r="AK498" s="7" t="str">
        <f t="shared" si="7"/>
        <v>No</v>
      </c>
    </row>
    <row r="499" spans="1:37">
      <c r="A499" s="7" t="s">
        <v>765</v>
      </c>
      <c r="B499" s="7" t="s">
        <v>766</v>
      </c>
      <c r="C499" s="37" t="s">
        <v>38</v>
      </c>
      <c r="D499" s="296">
        <v>7049</v>
      </c>
      <c r="E499" s="297">
        <v>70049</v>
      </c>
      <c r="F499" s="27" t="s">
        <v>187</v>
      </c>
      <c r="G499" s="27" t="s">
        <v>158</v>
      </c>
      <c r="H499" s="35">
        <v>280051</v>
      </c>
      <c r="I499" s="35">
        <v>41</v>
      </c>
      <c r="J499" s="9" t="s">
        <v>10</v>
      </c>
      <c r="K499" s="9" t="s">
        <v>159</v>
      </c>
      <c r="L499" s="8">
        <v>30</v>
      </c>
      <c r="M499" s="8">
        <v>46551</v>
      </c>
      <c r="N499" s="9"/>
      <c r="O499" s="8">
        <v>0</v>
      </c>
      <c r="P499" s="9"/>
      <c r="Q499" s="8">
        <v>0</v>
      </c>
      <c r="R499" s="9"/>
      <c r="S499" s="8">
        <v>593</v>
      </c>
      <c r="T499" s="9"/>
      <c r="U499" s="8">
        <v>0</v>
      </c>
      <c r="V499" s="9"/>
      <c r="W499" s="33">
        <v>47144</v>
      </c>
      <c r="X499" s="9"/>
      <c r="Y499" s="30">
        <v>42.09</v>
      </c>
      <c r="Z499" s="9"/>
      <c r="AA499" s="30">
        <v>0</v>
      </c>
      <c r="AB499" s="9"/>
      <c r="AC499" s="30">
        <v>0</v>
      </c>
      <c r="AD499" s="9"/>
      <c r="AE499" s="30">
        <v>0.61</v>
      </c>
      <c r="AF499" s="9"/>
      <c r="AG499" s="19">
        <v>0</v>
      </c>
      <c r="AI499" s="32">
        <v>42.7</v>
      </c>
      <c r="AK499" s="7" t="str">
        <f t="shared" si="7"/>
        <v>No</v>
      </c>
    </row>
    <row r="500" spans="1:37">
      <c r="A500" s="7" t="s">
        <v>358</v>
      </c>
      <c r="B500" s="7" t="s">
        <v>359</v>
      </c>
      <c r="C500" s="37" t="s">
        <v>70</v>
      </c>
      <c r="D500" s="296">
        <v>2010</v>
      </c>
      <c r="E500" s="297">
        <v>20010</v>
      </c>
      <c r="F500" s="27" t="s">
        <v>162</v>
      </c>
      <c r="G500" s="27" t="s">
        <v>158</v>
      </c>
      <c r="H500" s="35">
        <v>423566</v>
      </c>
      <c r="I500" s="35">
        <v>41</v>
      </c>
      <c r="J500" s="9" t="s">
        <v>7</v>
      </c>
      <c r="K500" s="9" t="s">
        <v>159</v>
      </c>
      <c r="L500" s="8">
        <v>26</v>
      </c>
      <c r="M500" s="8">
        <v>0</v>
      </c>
      <c r="N500" s="9"/>
      <c r="O500" s="8">
        <v>0</v>
      </c>
      <c r="P500" s="9"/>
      <c r="Q500" s="8">
        <v>0</v>
      </c>
      <c r="R500" s="9"/>
      <c r="S500" s="8">
        <v>0</v>
      </c>
      <c r="T500" s="9"/>
      <c r="U500" s="8">
        <v>0</v>
      </c>
      <c r="V500" s="9"/>
      <c r="W500" s="33">
        <v>0</v>
      </c>
      <c r="X500" s="9"/>
      <c r="Y500" s="30">
        <v>0</v>
      </c>
      <c r="Z500" s="9"/>
      <c r="AA500" s="30">
        <v>0</v>
      </c>
      <c r="AB500" s="9"/>
      <c r="AC500" s="30">
        <v>0</v>
      </c>
      <c r="AD500" s="9"/>
      <c r="AE500" s="30">
        <v>0</v>
      </c>
      <c r="AF500" s="9"/>
      <c r="AG500" s="19">
        <v>0</v>
      </c>
      <c r="AI500" s="32">
        <v>0</v>
      </c>
      <c r="AK500" s="7" t="str">
        <f t="shared" si="7"/>
        <v>No</v>
      </c>
    </row>
    <row r="501" spans="1:37">
      <c r="A501" s="7" t="s">
        <v>170</v>
      </c>
      <c r="B501" s="7" t="s">
        <v>171</v>
      </c>
      <c r="C501" s="37" t="s">
        <v>73</v>
      </c>
      <c r="D501" s="296">
        <v>5157</v>
      </c>
      <c r="E501" s="297">
        <v>50157</v>
      </c>
      <c r="F501" s="27" t="s">
        <v>165</v>
      </c>
      <c r="G501" s="27" t="s">
        <v>158</v>
      </c>
      <c r="H501" s="35">
        <v>1624827</v>
      </c>
      <c r="I501" s="35">
        <v>41</v>
      </c>
      <c r="J501" s="9" t="s">
        <v>10</v>
      </c>
      <c r="K501" s="9" t="s">
        <v>159</v>
      </c>
      <c r="L501" s="8">
        <v>24</v>
      </c>
      <c r="M501" s="8">
        <v>45680</v>
      </c>
      <c r="N501" s="9"/>
      <c r="O501" s="8">
        <v>2903</v>
      </c>
      <c r="P501" s="9"/>
      <c r="Q501" s="8">
        <v>284</v>
      </c>
      <c r="R501" s="9"/>
      <c r="S501" s="8">
        <v>3766</v>
      </c>
      <c r="T501" s="9"/>
      <c r="U501" s="8">
        <v>0</v>
      </c>
      <c r="V501" s="9"/>
      <c r="W501" s="33">
        <v>52633</v>
      </c>
      <c r="X501" s="9"/>
      <c r="Y501" s="30">
        <v>25.46</v>
      </c>
      <c r="Z501" s="9"/>
      <c r="AA501" s="30">
        <v>1.49</v>
      </c>
      <c r="AB501" s="9"/>
      <c r="AC501" s="30">
        <v>0.28000000000000003</v>
      </c>
      <c r="AD501" s="9"/>
      <c r="AE501" s="30">
        <v>2.48</v>
      </c>
      <c r="AF501" s="9"/>
      <c r="AG501" s="19">
        <v>0</v>
      </c>
      <c r="AI501" s="32">
        <v>29.71</v>
      </c>
      <c r="AK501" s="7" t="str">
        <f t="shared" si="7"/>
        <v>No</v>
      </c>
    </row>
    <row r="502" spans="1:37">
      <c r="A502" s="7" t="s">
        <v>683</v>
      </c>
      <c r="B502" s="7" t="s">
        <v>684</v>
      </c>
      <c r="C502" s="37" t="s">
        <v>93</v>
      </c>
      <c r="D502" s="296">
        <v>5096</v>
      </c>
      <c r="E502" s="297">
        <v>50096</v>
      </c>
      <c r="F502" s="27" t="s">
        <v>162</v>
      </c>
      <c r="G502" s="27" t="s">
        <v>158</v>
      </c>
      <c r="H502" s="35">
        <v>1376476</v>
      </c>
      <c r="I502" s="35">
        <v>41</v>
      </c>
      <c r="J502" s="9" t="s">
        <v>7</v>
      </c>
      <c r="K502" s="9" t="s">
        <v>159</v>
      </c>
      <c r="L502" s="8">
        <v>20</v>
      </c>
      <c r="M502" s="8">
        <v>13169</v>
      </c>
      <c r="N502" s="9"/>
      <c r="O502" s="8">
        <v>5028</v>
      </c>
      <c r="P502" s="9"/>
      <c r="Q502" s="8">
        <v>0</v>
      </c>
      <c r="R502" s="9"/>
      <c r="S502" s="8">
        <v>0</v>
      </c>
      <c r="T502" s="9"/>
      <c r="U502" s="8">
        <v>0</v>
      </c>
      <c r="V502" s="9"/>
      <c r="W502" s="33">
        <v>18197</v>
      </c>
      <c r="X502" s="9"/>
      <c r="Y502" s="30">
        <v>8.6</v>
      </c>
      <c r="Z502" s="9"/>
      <c r="AA502" s="30">
        <v>3.6</v>
      </c>
      <c r="AB502" s="9"/>
      <c r="AC502" s="30">
        <v>0</v>
      </c>
      <c r="AD502" s="9"/>
      <c r="AE502" s="30">
        <v>0</v>
      </c>
      <c r="AF502" s="9"/>
      <c r="AG502" s="19">
        <v>0</v>
      </c>
      <c r="AI502" s="32">
        <v>12.2</v>
      </c>
      <c r="AK502" s="7" t="str">
        <f t="shared" si="7"/>
        <v>No</v>
      </c>
    </row>
    <row r="503" spans="1:37">
      <c r="A503" s="7" t="s">
        <v>358</v>
      </c>
      <c r="B503" s="7" t="s">
        <v>359</v>
      </c>
      <c r="C503" s="37" t="s">
        <v>70</v>
      </c>
      <c r="D503" s="296">
        <v>2010</v>
      </c>
      <c r="E503" s="297">
        <v>20010</v>
      </c>
      <c r="F503" s="27" t="s">
        <v>162</v>
      </c>
      <c r="G503" s="27" t="s">
        <v>158</v>
      </c>
      <c r="H503" s="35">
        <v>423566</v>
      </c>
      <c r="I503" s="35">
        <v>41</v>
      </c>
      <c r="J503" s="9" t="s">
        <v>10</v>
      </c>
      <c r="K503" s="9" t="s">
        <v>159</v>
      </c>
      <c r="L503" s="8">
        <v>15</v>
      </c>
      <c r="M503" s="8">
        <v>0</v>
      </c>
      <c r="N503" s="9"/>
      <c r="O503" s="8">
        <v>0</v>
      </c>
      <c r="P503" s="9"/>
      <c r="Q503" s="8">
        <v>0</v>
      </c>
      <c r="R503" s="9"/>
      <c r="S503" s="8">
        <v>0</v>
      </c>
      <c r="T503" s="9"/>
      <c r="U503" s="8">
        <v>0</v>
      </c>
      <c r="V503" s="9"/>
      <c r="W503" s="33">
        <v>0</v>
      </c>
      <c r="X503" s="9"/>
      <c r="Y503" s="30">
        <v>0</v>
      </c>
      <c r="Z503" s="9"/>
      <c r="AA503" s="30">
        <v>0</v>
      </c>
      <c r="AB503" s="9"/>
      <c r="AC503" s="30">
        <v>0</v>
      </c>
      <c r="AD503" s="9"/>
      <c r="AE503" s="30">
        <v>0</v>
      </c>
      <c r="AF503" s="9"/>
      <c r="AG503" s="19">
        <v>0</v>
      </c>
      <c r="AI503" s="32">
        <v>0</v>
      </c>
      <c r="AK503" s="7" t="str">
        <f t="shared" si="7"/>
        <v>No</v>
      </c>
    </row>
    <row r="504" spans="1:37">
      <c r="A504" s="7" t="s">
        <v>170</v>
      </c>
      <c r="B504" s="7" t="s">
        <v>171</v>
      </c>
      <c r="C504" s="37" t="s">
        <v>73</v>
      </c>
      <c r="D504" s="296">
        <v>5157</v>
      </c>
      <c r="E504" s="297">
        <v>50157</v>
      </c>
      <c r="F504" s="27" t="s">
        <v>165</v>
      </c>
      <c r="G504" s="27" t="s">
        <v>158</v>
      </c>
      <c r="H504" s="35">
        <v>1624827</v>
      </c>
      <c r="I504" s="35">
        <v>41</v>
      </c>
      <c r="J504" s="9" t="s">
        <v>7</v>
      </c>
      <c r="K504" s="9" t="s">
        <v>159</v>
      </c>
      <c r="L504" s="8">
        <v>11</v>
      </c>
      <c r="M504" s="8">
        <v>47877</v>
      </c>
      <c r="N504" s="9"/>
      <c r="O504" s="8">
        <v>2194</v>
      </c>
      <c r="P504" s="9"/>
      <c r="Q504" s="8">
        <v>207</v>
      </c>
      <c r="R504" s="9"/>
      <c r="S504" s="8">
        <v>1451</v>
      </c>
      <c r="T504" s="9"/>
      <c r="U504" s="8">
        <v>0</v>
      </c>
      <c r="V504" s="9"/>
      <c r="W504" s="33">
        <v>51729</v>
      </c>
      <c r="X504" s="9"/>
      <c r="Y504" s="30">
        <v>26.69</v>
      </c>
      <c r="Z504" s="9"/>
      <c r="AA504" s="30">
        <v>1.1299999999999999</v>
      </c>
      <c r="AB504" s="9"/>
      <c r="AC504" s="30">
        <v>0.22</v>
      </c>
      <c r="AD504" s="9"/>
      <c r="AE504" s="30">
        <v>0.95</v>
      </c>
      <c r="AF504" s="9"/>
      <c r="AG504" s="19">
        <v>0</v>
      </c>
      <c r="AI504" s="32">
        <v>28.99</v>
      </c>
      <c r="AK504" s="7" t="str">
        <f t="shared" si="7"/>
        <v>No</v>
      </c>
    </row>
    <row r="505" spans="1:37">
      <c r="A505" s="7" t="s">
        <v>170</v>
      </c>
      <c r="B505" s="7" t="s">
        <v>171</v>
      </c>
      <c r="C505" s="37" t="s">
        <v>73</v>
      </c>
      <c r="D505" s="296">
        <v>5157</v>
      </c>
      <c r="E505" s="297">
        <v>50157</v>
      </c>
      <c r="F505" s="27" t="s">
        <v>165</v>
      </c>
      <c r="G505" s="27" t="s">
        <v>158</v>
      </c>
      <c r="H505" s="35">
        <v>1624827</v>
      </c>
      <c r="I505" s="35">
        <v>41</v>
      </c>
      <c r="J505" s="9" t="s">
        <v>18</v>
      </c>
      <c r="K505" s="9" t="s">
        <v>159</v>
      </c>
      <c r="L505" s="8">
        <v>6</v>
      </c>
      <c r="M505" s="8">
        <v>33813</v>
      </c>
      <c r="N505" s="9"/>
      <c r="O505" s="8">
        <v>3063</v>
      </c>
      <c r="P505" s="9"/>
      <c r="Q505" s="8">
        <v>297</v>
      </c>
      <c r="R505" s="9"/>
      <c r="S505" s="8">
        <v>862</v>
      </c>
      <c r="T505" s="9"/>
      <c r="U505" s="8">
        <v>0</v>
      </c>
      <c r="V505" s="9"/>
      <c r="W505" s="33">
        <v>38035</v>
      </c>
      <c r="X505" s="9"/>
      <c r="Y505" s="30">
        <v>18.850000000000001</v>
      </c>
      <c r="Z505" s="9"/>
      <c r="AA505" s="30">
        <v>1.58</v>
      </c>
      <c r="AB505" s="9"/>
      <c r="AC505" s="30">
        <v>0.3</v>
      </c>
      <c r="AD505" s="9"/>
      <c r="AE505" s="30">
        <v>0.56999999999999995</v>
      </c>
      <c r="AF505" s="9"/>
      <c r="AG505" s="19">
        <v>0</v>
      </c>
      <c r="AI505" s="32">
        <v>21.3</v>
      </c>
      <c r="AK505" s="7" t="str">
        <f t="shared" si="7"/>
        <v>No</v>
      </c>
    </row>
    <row r="506" spans="1:37">
      <c r="A506" s="7" t="s">
        <v>683</v>
      </c>
      <c r="B506" s="7" t="s">
        <v>684</v>
      </c>
      <c r="C506" s="37" t="s">
        <v>93</v>
      </c>
      <c r="D506" s="296">
        <v>5096</v>
      </c>
      <c r="E506" s="297">
        <v>50096</v>
      </c>
      <c r="F506" s="27" t="s">
        <v>162</v>
      </c>
      <c r="G506" s="27" t="s">
        <v>158</v>
      </c>
      <c r="H506" s="35">
        <v>1376476</v>
      </c>
      <c r="I506" s="35">
        <v>41</v>
      </c>
      <c r="J506" s="9" t="s">
        <v>10</v>
      </c>
      <c r="K506" s="9" t="s">
        <v>159</v>
      </c>
      <c r="L506" s="8">
        <v>5</v>
      </c>
      <c r="M506" s="8">
        <v>2144</v>
      </c>
      <c r="N506" s="9"/>
      <c r="O506" s="8">
        <v>559</v>
      </c>
      <c r="P506" s="9"/>
      <c r="Q506" s="8">
        <v>0</v>
      </c>
      <c r="R506" s="9"/>
      <c r="S506" s="8">
        <v>0</v>
      </c>
      <c r="T506" s="9"/>
      <c r="U506" s="8">
        <v>0</v>
      </c>
      <c r="V506" s="9"/>
      <c r="W506" s="33">
        <v>2703</v>
      </c>
      <c r="X506" s="9"/>
      <c r="Y506" s="30">
        <v>1.4</v>
      </c>
      <c r="Z506" s="9"/>
      <c r="AA506" s="30">
        <v>0.4</v>
      </c>
      <c r="AB506" s="9"/>
      <c r="AC506" s="30">
        <v>0</v>
      </c>
      <c r="AD506" s="9"/>
      <c r="AE506" s="30">
        <v>0</v>
      </c>
      <c r="AF506" s="9"/>
      <c r="AG506" s="19">
        <v>0</v>
      </c>
      <c r="AI506" s="32">
        <v>1.8</v>
      </c>
      <c r="AK506" s="7" t="str">
        <f t="shared" si="7"/>
        <v>No</v>
      </c>
    </row>
    <row r="507" spans="1:37">
      <c r="A507" s="7" t="s">
        <v>1136</v>
      </c>
      <c r="B507" s="7" t="s">
        <v>1137</v>
      </c>
      <c r="C507" s="37" t="s">
        <v>9</v>
      </c>
      <c r="D507" s="296" t="s">
        <v>1138</v>
      </c>
      <c r="E507" s="297">
        <v>40928</v>
      </c>
      <c r="F507" s="27" t="s">
        <v>162</v>
      </c>
      <c r="G507" s="27" t="s">
        <v>158</v>
      </c>
      <c r="H507" s="35">
        <v>57383</v>
      </c>
      <c r="I507" s="35">
        <v>40</v>
      </c>
      <c r="J507" s="9" t="s">
        <v>10</v>
      </c>
      <c r="K507" s="9" t="s">
        <v>159</v>
      </c>
      <c r="L507" s="8">
        <v>36</v>
      </c>
      <c r="M507" s="8">
        <v>12145</v>
      </c>
      <c r="N507" s="9"/>
      <c r="O507" s="8">
        <v>0</v>
      </c>
      <c r="P507" s="9"/>
      <c r="Q507" s="8">
        <v>0</v>
      </c>
      <c r="R507" s="9"/>
      <c r="S507" s="8">
        <v>0</v>
      </c>
      <c r="T507" s="9"/>
      <c r="U507" s="8">
        <v>0</v>
      </c>
      <c r="V507" s="9"/>
      <c r="W507" s="33">
        <v>12145</v>
      </c>
      <c r="X507" s="9"/>
      <c r="Y507" s="30">
        <v>14</v>
      </c>
      <c r="Z507" s="9"/>
      <c r="AA507" s="30">
        <v>0</v>
      </c>
      <c r="AB507" s="9"/>
      <c r="AC507" s="30">
        <v>0</v>
      </c>
      <c r="AD507" s="9"/>
      <c r="AE507" s="30">
        <v>0</v>
      </c>
      <c r="AF507" s="9"/>
      <c r="AG507" s="19">
        <v>0</v>
      </c>
      <c r="AI507" s="32">
        <v>14</v>
      </c>
      <c r="AK507" s="7" t="str">
        <f t="shared" si="7"/>
        <v>No</v>
      </c>
    </row>
    <row r="508" spans="1:37">
      <c r="A508" s="7" t="s">
        <v>368</v>
      </c>
      <c r="B508" s="7" t="s">
        <v>369</v>
      </c>
      <c r="C508" s="37" t="s">
        <v>58</v>
      </c>
      <c r="D508" s="296">
        <v>4009</v>
      </c>
      <c r="E508" s="297">
        <v>40009</v>
      </c>
      <c r="F508" s="27" t="s">
        <v>162</v>
      </c>
      <c r="G508" s="27" t="s">
        <v>158</v>
      </c>
      <c r="H508" s="35">
        <v>310282</v>
      </c>
      <c r="I508" s="35">
        <v>40</v>
      </c>
      <c r="J508" s="9" t="s">
        <v>7</v>
      </c>
      <c r="K508" s="9" t="s">
        <v>159</v>
      </c>
      <c r="L508" s="8">
        <v>23</v>
      </c>
      <c r="M508" s="8">
        <v>6723</v>
      </c>
      <c r="N508" s="9"/>
      <c r="O508" s="8">
        <v>0</v>
      </c>
      <c r="P508" s="9"/>
      <c r="Q508" s="8">
        <v>0</v>
      </c>
      <c r="R508" s="9"/>
      <c r="S508" s="8">
        <v>0</v>
      </c>
      <c r="T508" s="9"/>
      <c r="U508" s="8">
        <v>0</v>
      </c>
      <c r="V508" s="9"/>
      <c r="W508" s="33">
        <v>6723</v>
      </c>
      <c r="X508" s="9"/>
      <c r="Y508" s="30">
        <v>8.6999999999999993</v>
      </c>
      <c r="Z508" s="9"/>
      <c r="AA508" s="30">
        <v>0</v>
      </c>
      <c r="AB508" s="9"/>
      <c r="AC508" s="30">
        <v>0</v>
      </c>
      <c r="AD508" s="9"/>
      <c r="AE508" s="30">
        <v>0</v>
      </c>
      <c r="AF508" s="9"/>
      <c r="AG508" s="19">
        <v>0</v>
      </c>
      <c r="AI508" s="32">
        <v>8.6999999999999993</v>
      </c>
      <c r="AK508" s="7" t="str">
        <f t="shared" si="7"/>
        <v>No</v>
      </c>
    </row>
    <row r="509" spans="1:37">
      <c r="A509" s="7" t="s">
        <v>368</v>
      </c>
      <c r="B509" s="7" t="s">
        <v>369</v>
      </c>
      <c r="C509" s="37" t="s">
        <v>58</v>
      </c>
      <c r="D509" s="296">
        <v>4009</v>
      </c>
      <c r="E509" s="297">
        <v>40009</v>
      </c>
      <c r="F509" s="27" t="s">
        <v>162</v>
      </c>
      <c r="G509" s="27" t="s">
        <v>158</v>
      </c>
      <c r="H509" s="35">
        <v>310282</v>
      </c>
      <c r="I509" s="35">
        <v>40</v>
      </c>
      <c r="J509" s="9" t="s">
        <v>10</v>
      </c>
      <c r="K509" s="9" t="s">
        <v>159</v>
      </c>
      <c r="L509" s="8">
        <v>16</v>
      </c>
      <c r="M509" s="8">
        <v>2560</v>
      </c>
      <c r="N509" s="9"/>
      <c r="O509" s="8">
        <v>0</v>
      </c>
      <c r="P509" s="9"/>
      <c r="Q509" s="8">
        <v>0</v>
      </c>
      <c r="R509" s="9"/>
      <c r="S509" s="8">
        <v>0</v>
      </c>
      <c r="T509" s="9"/>
      <c r="U509" s="8">
        <v>0</v>
      </c>
      <c r="V509" s="9"/>
      <c r="W509" s="33">
        <v>2560</v>
      </c>
      <c r="X509" s="9"/>
      <c r="Y509" s="30">
        <v>3.3</v>
      </c>
      <c r="Z509" s="9"/>
      <c r="AA509" s="30">
        <v>0</v>
      </c>
      <c r="AB509" s="9"/>
      <c r="AC509" s="30">
        <v>0</v>
      </c>
      <c r="AD509" s="9"/>
      <c r="AE509" s="30">
        <v>0</v>
      </c>
      <c r="AF509" s="9"/>
      <c r="AG509" s="19">
        <v>0</v>
      </c>
      <c r="AI509" s="32">
        <v>3.3</v>
      </c>
      <c r="AK509" s="7" t="str">
        <f t="shared" si="7"/>
        <v>No</v>
      </c>
    </row>
    <row r="510" spans="1:37">
      <c r="A510" s="7" t="s">
        <v>1136</v>
      </c>
      <c r="B510" s="7" t="s">
        <v>1137</v>
      </c>
      <c r="C510" s="37" t="s">
        <v>9</v>
      </c>
      <c r="D510" s="296" t="s">
        <v>1138</v>
      </c>
      <c r="E510" s="297">
        <v>40928</v>
      </c>
      <c r="F510" s="27" t="s">
        <v>162</v>
      </c>
      <c r="G510" s="27" t="s">
        <v>158</v>
      </c>
      <c r="H510" s="35">
        <v>57383</v>
      </c>
      <c r="I510" s="35">
        <v>40</v>
      </c>
      <c r="J510" s="9" t="s">
        <v>18</v>
      </c>
      <c r="K510" s="9" t="s">
        <v>159</v>
      </c>
      <c r="L510" s="8">
        <v>4</v>
      </c>
      <c r="M510" s="8">
        <v>1349</v>
      </c>
      <c r="N510" s="9"/>
      <c r="O510" s="8">
        <v>0</v>
      </c>
      <c r="P510" s="9"/>
      <c r="Q510" s="8">
        <v>0</v>
      </c>
      <c r="R510" s="9"/>
      <c r="S510" s="8">
        <v>0</v>
      </c>
      <c r="T510" s="9"/>
      <c r="U510" s="8">
        <v>0</v>
      </c>
      <c r="V510" s="9"/>
      <c r="W510" s="33">
        <v>1349</v>
      </c>
      <c r="X510" s="9"/>
      <c r="Y510" s="30">
        <v>1</v>
      </c>
      <c r="Z510" s="9"/>
      <c r="AA510" s="30">
        <v>0</v>
      </c>
      <c r="AB510" s="9"/>
      <c r="AC510" s="30">
        <v>0</v>
      </c>
      <c r="AD510" s="9"/>
      <c r="AE510" s="30">
        <v>0</v>
      </c>
      <c r="AF510" s="9"/>
      <c r="AG510" s="19">
        <v>0</v>
      </c>
      <c r="AI510" s="32">
        <v>1</v>
      </c>
      <c r="AK510" s="7" t="str">
        <f t="shared" si="7"/>
        <v>No</v>
      </c>
    </row>
    <row r="511" spans="1:37">
      <c r="A511" s="7" t="s">
        <v>155</v>
      </c>
      <c r="B511" s="7" t="s">
        <v>156</v>
      </c>
      <c r="C511" s="37" t="s">
        <v>5</v>
      </c>
      <c r="D511" s="296">
        <v>41</v>
      </c>
      <c r="E511" s="297">
        <v>41</v>
      </c>
      <c r="F511" s="27" t="s">
        <v>157</v>
      </c>
      <c r="G511" s="27" t="s">
        <v>158</v>
      </c>
      <c r="H511" s="35">
        <v>251243</v>
      </c>
      <c r="I511" s="35">
        <v>39</v>
      </c>
      <c r="J511" s="9" t="s">
        <v>6</v>
      </c>
      <c r="K511" s="9" t="s">
        <v>159</v>
      </c>
      <c r="L511" s="8">
        <v>39</v>
      </c>
      <c r="M511" s="8">
        <v>0</v>
      </c>
      <c r="N511" s="9"/>
      <c r="O511" s="8">
        <v>0</v>
      </c>
      <c r="P511" s="9"/>
      <c r="Q511" s="8">
        <v>0</v>
      </c>
      <c r="R511" s="9"/>
      <c r="S511" s="8">
        <v>0</v>
      </c>
      <c r="T511" s="9"/>
      <c r="U511" s="8">
        <v>0</v>
      </c>
      <c r="V511" s="9"/>
      <c r="W511" s="33">
        <v>0</v>
      </c>
      <c r="X511" s="9"/>
      <c r="Y511" s="30">
        <v>0</v>
      </c>
      <c r="Z511" s="9"/>
      <c r="AA511" s="30">
        <v>0</v>
      </c>
      <c r="AB511" s="9"/>
      <c r="AC511" s="30">
        <v>0</v>
      </c>
      <c r="AD511" s="9"/>
      <c r="AE511" s="30">
        <v>0</v>
      </c>
      <c r="AF511" s="9"/>
      <c r="AG511" s="19">
        <v>0</v>
      </c>
      <c r="AI511" s="32">
        <v>0</v>
      </c>
      <c r="AK511" s="7" t="str">
        <f t="shared" si="7"/>
        <v>No</v>
      </c>
    </row>
    <row r="512" spans="1:37">
      <c r="A512" s="7" t="s">
        <v>763</v>
      </c>
      <c r="B512" s="7" t="s">
        <v>764</v>
      </c>
      <c r="C512" s="37" t="s">
        <v>63</v>
      </c>
      <c r="D512" s="296">
        <v>2199</v>
      </c>
      <c r="E512" s="297">
        <v>20199</v>
      </c>
      <c r="F512" s="27" t="s">
        <v>162</v>
      </c>
      <c r="G512" s="27" t="s">
        <v>158</v>
      </c>
      <c r="H512" s="35">
        <v>248402</v>
      </c>
      <c r="I512" s="35">
        <v>39</v>
      </c>
      <c r="J512" s="9" t="s">
        <v>10</v>
      </c>
      <c r="K512" s="9" t="s">
        <v>159</v>
      </c>
      <c r="L512" s="8">
        <v>39</v>
      </c>
      <c r="M512" s="8">
        <v>1342</v>
      </c>
      <c r="N512" s="9"/>
      <c r="O512" s="8">
        <v>0</v>
      </c>
      <c r="P512" s="9"/>
      <c r="Q512" s="8">
        <v>0</v>
      </c>
      <c r="R512" s="9"/>
      <c r="S512" s="8">
        <v>0</v>
      </c>
      <c r="T512" s="9"/>
      <c r="U512" s="8">
        <v>0</v>
      </c>
      <c r="V512" s="9"/>
      <c r="W512" s="33">
        <v>1342</v>
      </c>
      <c r="X512" s="9"/>
      <c r="Y512" s="30">
        <v>3</v>
      </c>
      <c r="Z512" s="9"/>
      <c r="AA512" s="30">
        <v>0</v>
      </c>
      <c r="AB512" s="9"/>
      <c r="AC512" s="30">
        <v>0</v>
      </c>
      <c r="AD512" s="9"/>
      <c r="AE512" s="30">
        <v>0</v>
      </c>
      <c r="AF512" s="9"/>
      <c r="AG512" s="19">
        <v>0</v>
      </c>
      <c r="AI512" s="32">
        <v>3</v>
      </c>
      <c r="AK512" s="7" t="str">
        <f t="shared" si="7"/>
        <v>No</v>
      </c>
    </row>
    <row r="513" spans="1:37">
      <c r="A513" s="7" t="s">
        <v>1139</v>
      </c>
      <c r="B513" s="7" t="s">
        <v>1140</v>
      </c>
      <c r="C513" s="37" t="s">
        <v>48</v>
      </c>
      <c r="D513" s="296" t="s">
        <v>1141</v>
      </c>
      <c r="E513" s="297">
        <v>30129</v>
      </c>
      <c r="F513" s="27" t="s">
        <v>162</v>
      </c>
      <c r="G513" s="27" t="s">
        <v>158</v>
      </c>
      <c r="H513" s="35">
        <v>2203663</v>
      </c>
      <c r="I513" s="35">
        <v>39</v>
      </c>
      <c r="J513" s="9" t="s">
        <v>10</v>
      </c>
      <c r="K513" s="9" t="s">
        <v>159</v>
      </c>
      <c r="L513" s="8">
        <v>34</v>
      </c>
      <c r="M513" s="8">
        <v>6343</v>
      </c>
      <c r="N513" s="9"/>
      <c r="O513" s="8">
        <v>0</v>
      </c>
      <c r="P513" s="9"/>
      <c r="Q513" s="8">
        <v>0</v>
      </c>
      <c r="R513" s="9"/>
      <c r="S513" s="8">
        <v>0</v>
      </c>
      <c r="T513" s="9"/>
      <c r="U513" s="8">
        <v>0</v>
      </c>
      <c r="V513" s="9"/>
      <c r="W513" s="33">
        <v>6343</v>
      </c>
      <c r="X513" s="9"/>
      <c r="Y513" s="30">
        <v>8</v>
      </c>
      <c r="Z513" s="9"/>
      <c r="AA513" s="30">
        <v>0</v>
      </c>
      <c r="AB513" s="9"/>
      <c r="AC513" s="30">
        <v>0</v>
      </c>
      <c r="AD513" s="9"/>
      <c r="AE513" s="30">
        <v>0</v>
      </c>
      <c r="AF513" s="9"/>
      <c r="AG513" s="19">
        <v>0</v>
      </c>
      <c r="AI513" s="32">
        <v>8</v>
      </c>
      <c r="AK513" s="7" t="str">
        <f t="shared" si="7"/>
        <v>No</v>
      </c>
    </row>
    <row r="514" spans="1:37">
      <c r="A514" s="7" t="s">
        <v>713</v>
      </c>
      <c r="B514" s="7" t="s">
        <v>714</v>
      </c>
      <c r="C514" s="37" t="s">
        <v>86</v>
      </c>
      <c r="D514" s="296">
        <v>3094</v>
      </c>
      <c r="E514" s="297">
        <v>30094</v>
      </c>
      <c r="F514" s="27" t="s">
        <v>162</v>
      </c>
      <c r="G514" s="27" t="s">
        <v>158</v>
      </c>
      <c r="H514" s="35">
        <v>66784</v>
      </c>
      <c r="I514" s="35">
        <v>39</v>
      </c>
      <c r="J514" s="9" t="s">
        <v>7</v>
      </c>
      <c r="K514" s="9" t="s">
        <v>159</v>
      </c>
      <c r="L514" s="8">
        <v>32</v>
      </c>
      <c r="M514" s="8">
        <v>56997</v>
      </c>
      <c r="N514" s="9"/>
      <c r="O514" s="8">
        <v>1889</v>
      </c>
      <c r="P514" s="9"/>
      <c r="Q514" s="8">
        <v>187</v>
      </c>
      <c r="R514" s="9"/>
      <c r="S514" s="8">
        <v>445</v>
      </c>
      <c r="T514" s="9"/>
      <c r="U514" s="8">
        <v>0</v>
      </c>
      <c r="V514" s="9"/>
      <c r="W514" s="33">
        <v>59518</v>
      </c>
      <c r="X514" s="9"/>
      <c r="Y514" s="30">
        <v>78.3</v>
      </c>
      <c r="Z514" s="9"/>
      <c r="AA514" s="30">
        <v>5.3</v>
      </c>
      <c r="AB514" s="9"/>
      <c r="AC514" s="30">
        <v>0.3</v>
      </c>
      <c r="AD514" s="9"/>
      <c r="AE514" s="30">
        <v>0.9</v>
      </c>
      <c r="AF514" s="9"/>
      <c r="AG514" s="19">
        <v>0</v>
      </c>
      <c r="AI514" s="32">
        <v>84.8</v>
      </c>
      <c r="AK514" s="7" t="str">
        <f t="shared" ref="AK514:AK577" si="8">IF(AJ514&amp;AH514&amp;AF514&amp;AD514&amp;AB514&amp;Z514&amp;X514&amp;V514&amp;T514&amp;R514&amp;P514&amp;N514&lt;&gt;"","Yes","No")</f>
        <v>No</v>
      </c>
    </row>
    <row r="515" spans="1:37">
      <c r="A515" s="7" t="s">
        <v>211</v>
      </c>
      <c r="B515" s="7" t="s">
        <v>212</v>
      </c>
      <c r="C515" s="37" t="s">
        <v>93</v>
      </c>
      <c r="D515" s="296">
        <v>5006</v>
      </c>
      <c r="E515" s="297">
        <v>50006</v>
      </c>
      <c r="F515" s="27" t="s">
        <v>162</v>
      </c>
      <c r="G515" s="27" t="s">
        <v>158</v>
      </c>
      <c r="H515" s="35">
        <v>133700</v>
      </c>
      <c r="I515" s="35">
        <v>39</v>
      </c>
      <c r="J515" s="9" t="s">
        <v>7</v>
      </c>
      <c r="K515" s="9" t="s">
        <v>159</v>
      </c>
      <c r="L515" s="8">
        <v>29</v>
      </c>
      <c r="M515" s="8">
        <v>21832</v>
      </c>
      <c r="N515" s="9"/>
      <c r="O515" s="8">
        <v>1413</v>
      </c>
      <c r="P515" s="9"/>
      <c r="Q515" s="8">
        <v>0</v>
      </c>
      <c r="R515" s="9"/>
      <c r="S515" s="8">
        <v>0</v>
      </c>
      <c r="T515" s="9"/>
      <c r="U515" s="8">
        <v>0</v>
      </c>
      <c r="V515" s="9"/>
      <c r="W515" s="33">
        <v>23245</v>
      </c>
      <c r="X515" s="9"/>
      <c r="Y515" s="30">
        <v>19</v>
      </c>
      <c r="Z515" s="9"/>
      <c r="AA515" s="30">
        <v>1</v>
      </c>
      <c r="AB515" s="9"/>
      <c r="AC515" s="30">
        <v>0</v>
      </c>
      <c r="AD515" s="9"/>
      <c r="AE515" s="30">
        <v>0</v>
      </c>
      <c r="AF515" s="9"/>
      <c r="AG515" s="19">
        <v>0</v>
      </c>
      <c r="AI515" s="32">
        <v>20</v>
      </c>
      <c r="AK515" s="7" t="str">
        <f t="shared" si="8"/>
        <v>No</v>
      </c>
    </row>
    <row r="516" spans="1:37">
      <c r="A516" s="7" t="s">
        <v>713</v>
      </c>
      <c r="B516" s="7" t="s">
        <v>714</v>
      </c>
      <c r="C516" s="37" t="s">
        <v>86</v>
      </c>
      <c r="D516" s="296">
        <v>3094</v>
      </c>
      <c r="E516" s="297">
        <v>30094</v>
      </c>
      <c r="F516" s="27" t="s">
        <v>162</v>
      </c>
      <c r="G516" s="27" t="s">
        <v>158</v>
      </c>
      <c r="H516" s="35">
        <v>66784</v>
      </c>
      <c r="I516" s="35">
        <v>39</v>
      </c>
      <c r="J516" s="9" t="s">
        <v>10</v>
      </c>
      <c r="K516" s="9" t="s">
        <v>159</v>
      </c>
      <c r="L516" s="8">
        <v>7</v>
      </c>
      <c r="M516" s="8">
        <v>4430</v>
      </c>
      <c r="N516" s="9"/>
      <c r="O516" s="8">
        <v>264</v>
      </c>
      <c r="P516" s="9"/>
      <c r="Q516" s="8">
        <v>0</v>
      </c>
      <c r="R516" s="9"/>
      <c r="S516" s="8">
        <v>72</v>
      </c>
      <c r="T516" s="9"/>
      <c r="U516" s="8">
        <v>0</v>
      </c>
      <c r="V516" s="9"/>
      <c r="W516" s="33">
        <v>4766</v>
      </c>
      <c r="X516" s="9"/>
      <c r="Y516" s="30">
        <v>21</v>
      </c>
      <c r="Z516" s="9"/>
      <c r="AA516" s="30">
        <v>0.9</v>
      </c>
      <c r="AB516" s="9"/>
      <c r="AC516" s="30">
        <v>0</v>
      </c>
      <c r="AD516" s="9"/>
      <c r="AE516" s="30">
        <v>0.1</v>
      </c>
      <c r="AF516" s="9"/>
      <c r="AG516" s="19">
        <v>0</v>
      </c>
      <c r="AI516" s="32">
        <v>22</v>
      </c>
      <c r="AK516" s="7" t="str">
        <f t="shared" si="8"/>
        <v>No</v>
      </c>
    </row>
    <row r="517" spans="1:37">
      <c r="A517" s="7" t="s">
        <v>211</v>
      </c>
      <c r="B517" s="7" t="s">
        <v>212</v>
      </c>
      <c r="C517" s="37" t="s">
        <v>93</v>
      </c>
      <c r="D517" s="296">
        <v>5006</v>
      </c>
      <c r="E517" s="297">
        <v>50006</v>
      </c>
      <c r="F517" s="27" t="s">
        <v>162</v>
      </c>
      <c r="G517" s="27" t="s">
        <v>158</v>
      </c>
      <c r="H517" s="35">
        <v>133700</v>
      </c>
      <c r="I517" s="35">
        <v>39</v>
      </c>
      <c r="J517" s="9" t="s">
        <v>10</v>
      </c>
      <c r="K517" s="9" t="s">
        <v>159</v>
      </c>
      <c r="L517" s="8">
        <v>7</v>
      </c>
      <c r="M517" s="8">
        <v>12162</v>
      </c>
      <c r="N517" s="9"/>
      <c r="O517" s="8">
        <v>1413</v>
      </c>
      <c r="P517" s="9"/>
      <c r="Q517" s="8">
        <v>0</v>
      </c>
      <c r="R517" s="9"/>
      <c r="S517" s="8">
        <v>0</v>
      </c>
      <c r="T517" s="9"/>
      <c r="U517" s="8">
        <v>0</v>
      </c>
      <c r="V517" s="9"/>
      <c r="W517" s="33">
        <v>13575</v>
      </c>
      <c r="X517" s="9"/>
      <c r="Y517" s="30">
        <v>9</v>
      </c>
      <c r="Z517" s="9"/>
      <c r="AA517" s="30">
        <v>1</v>
      </c>
      <c r="AB517" s="9"/>
      <c r="AC517" s="30">
        <v>0</v>
      </c>
      <c r="AD517" s="9"/>
      <c r="AE517" s="30">
        <v>0</v>
      </c>
      <c r="AF517" s="9"/>
      <c r="AG517" s="19">
        <v>0</v>
      </c>
      <c r="AI517" s="32">
        <v>10</v>
      </c>
      <c r="AK517" s="7" t="str">
        <f t="shared" si="8"/>
        <v>No</v>
      </c>
    </row>
    <row r="518" spans="1:37">
      <c r="A518" s="7" t="s">
        <v>708</v>
      </c>
      <c r="B518" s="7" t="s">
        <v>202</v>
      </c>
      <c r="C518" s="37" t="s">
        <v>52</v>
      </c>
      <c r="D518" s="296">
        <v>5158</v>
      </c>
      <c r="E518" s="297">
        <v>50158</v>
      </c>
      <c r="F518" s="27" t="s">
        <v>114</v>
      </c>
      <c r="G518" s="27" t="s">
        <v>158</v>
      </c>
      <c r="H518" s="35">
        <v>306022</v>
      </c>
      <c r="I518" s="35">
        <v>38</v>
      </c>
      <c r="J518" s="9" t="s">
        <v>7</v>
      </c>
      <c r="K518" s="9" t="s">
        <v>159</v>
      </c>
      <c r="L518" s="8">
        <v>38</v>
      </c>
      <c r="M518" s="8">
        <v>50176</v>
      </c>
      <c r="N518" s="9"/>
      <c r="O518" s="8">
        <v>0</v>
      </c>
      <c r="P518" s="9"/>
      <c r="Q518" s="8">
        <v>0</v>
      </c>
      <c r="R518" s="9"/>
      <c r="S518" s="8">
        <v>0</v>
      </c>
      <c r="T518" s="9"/>
      <c r="U518" s="8">
        <v>0</v>
      </c>
      <c r="V518" s="9"/>
      <c r="W518" s="33">
        <v>50176</v>
      </c>
      <c r="X518" s="9"/>
      <c r="Y518" s="30">
        <v>73</v>
      </c>
      <c r="Z518" s="9"/>
      <c r="AA518" s="30">
        <v>0</v>
      </c>
      <c r="AB518" s="9"/>
      <c r="AC518" s="30">
        <v>0</v>
      </c>
      <c r="AD518" s="9"/>
      <c r="AE518" s="30">
        <v>0</v>
      </c>
      <c r="AF518" s="9"/>
      <c r="AG518" s="19">
        <v>0</v>
      </c>
      <c r="AI518" s="32">
        <v>73</v>
      </c>
      <c r="AK518" s="7" t="str">
        <f t="shared" si="8"/>
        <v>No</v>
      </c>
    </row>
    <row r="519" spans="1:37">
      <c r="A519" s="7" t="s">
        <v>784</v>
      </c>
      <c r="B519" s="7" t="s">
        <v>785</v>
      </c>
      <c r="C519" s="37" t="s">
        <v>84</v>
      </c>
      <c r="D519" s="296">
        <v>6130</v>
      </c>
      <c r="E519" s="297">
        <v>60130</v>
      </c>
      <c r="F519" s="27" t="s">
        <v>195</v>
      </c>
      <c r="G519" s="27" t="s">
        <v>158</v>
      </c>
      <c r="H519" s="35">
        <v>1758210</v>
      </c>
      <c r="I519" s="35">
        <v>38</v>
      </c>
      <c r="J519" s="9" t="s">
        <v>10</v>
      </c>
      <c r="K519" s="9" t="s">
        <v>159</v>
      </c>
      <c r="L519" s="8">
        <v>38</v>
      </c>
      <c r="M519" s="8">
        <v>0</v>
      </c>
      <c r="N519" s="9"/>
      <c r="O519" s="8">
        <v>0</v>
      </c>
      <c r="P519" s="9"/>
      <c r="Q519" s="8">
        <v>0</v>
      </c>
      <c r="R519" s="9"/>
      <c r="S519" s="8">
        <v>0</v>
      </c>
      <c r="T519" s="9"/>
      <c r="U519" s="8">
        <v>0</v>
      </c>
      <c r="V519" s="9"/>
      <c r="W519" s="33">
        <v>0</v>
      </c>
      <c r="X519" s="9"/>
      <c r="Y519" s="30">
        <v>0</v>
      </c>
      <c r="Z519" s="9"/>
      <c r="AA519" s="30">
        <v>0</v>
      </c>
      <c r="AB519" s="9"/>
      <c r="AC519" s="30">
        <v>0</v>
      </c>
      <c r="AD519" s="9"/>
      <c r="AE519" s="30">
        <v>0</v>
      </c>
      <c r="AF519" s="9"/>
      <c r="AG519" s="19">
        <v>0</v>
      </c>
      <c r="AI519" s="32">
        <v>0</v>
      </c>
      <c r="AK519" s="7" t="str">
        <f t="shared" si="8"/>
        <v>No</v>
      </c>
    </row>
    <row r="520" spans="1:37">
      <c r="A520" s="7" t="s">
        <v>223</v>
      </c>
      <c r="B520" s="7" t="s">
        <v>224</v>
      </c>
      <c r="C520" s="37" t="s">
        <v>42</v>
      </c>
      <c r="D520" s="296">
        <v>5110</v>
      </c>
      <c r="E520" s="297">
        <v>50110</v>
      </c>
      <c r="F520" s="27" t="s">
        <v>165</v>
      </c>
      <c r="G520" s="27" t="s">
        <v>158</v>
      </c>
      <c r="H520" s="35">
        <v>108657</v>
      </c>
      <c r="I520" s="35">
        <v>38</v>
      </c>
      <c r="J520" s="9" t="s">
        <v>7</v>
      </c>
      <c r="K520" s="9" t="s">
        <v>159</v>
      </c>
      <c r="L520" s="8">
        <v>30</v>
      </c>
      <c r="M520" s="8">
        <v>43107</v>
      </c>
      <c r="N520" s="9"/>
      <c r="O520" s="8">
        <v>1182</v>
      </c>
      <c r="P520" s="9"/>
      <c r="Q520" s="8">
        <v>0</v>
      </c>
      <c r="R520" s="9"/>
      <c r="S520" s="8">
        <v>0</v>
      </c>
      <c r="T520" s="9"/>
      <c r="U520" s="8">
        <v>0</v>
      </c>
      <c r="V520" s="9"/>
      <c r="W520" s="33">
        <v>44289</v>
      </c>
      <c r="X520" s="9"/>
      <c r="Y520" s="30">
        <v>29</v>
      </c>
      <c r="Z520" s="9"/>
      <c r="AA520" s="30">
        <v>1</v>
      </c>
      <c r="AB520" s="9"/>
      <c r="AC520" s="30">
        <v>0</v>
      </c>
      <c r="AD520" s="9"/>
      <c r="AE520" s="30">
        <v>0</v>
      </c>
      <c r="AF520" s="9"/>
      <c r="AG520" s="19">
        <v>0</v>
      </c>
      <c r="AI520" s="32">
        <v>30</v>
      </c>
      <c r="AK520" s="7" t="str">
        <f t="shared" si="8"/>
        <v>No</v>
      </c>
    </row>
    <row r="521" spans="1:37">
      <c r="A521" s="7" t="s">
        <v>663</v>
      </c>
      <c r="B521" s="7" t="s">
        <v>664</v>
      </c>
      <c r="C521" s="37" t="s">
        <v>69</v>
      </c>
      <c r="D521" s="296">
        <v>6077</v>
      </c>
      <c r="E521" s="297">
        <v>60077</v>
      </c>
      <c r="F521" s="27" t="s">
        <v>162</v>
      </c>
      <c r="G521" s="27" t="s">
        <v>158</v>
      </c>
      <c r="H521" s="35">
        <v>89284</v>
      </c>
      <c r="I521" s="35">
        <v>38</v>
      </c>
      <c r="J521" s="9" t="s">
        <v>7</v>
      </c>
      <c r="K521" s="9" t="s">
        <v>159</v>
      </c>
      <c r="L521" s="8">
        <v>26</v>
      </c>
      <c r="M521" s="8">
        <v>0</v>
      </c>
      <c r="N521" s="9"/>
      <c r="O521" s="8">
        <v>0</v>
      </c>
      <c r="P521" s="9"/>
      <c r="Q521" s="8">
        <v>0</v>
      </c>
      <c r="R521" s="9"/>
      <c r="S521" s="8">
        <v>0</v>
      </c>
      <c r="T521" s="9"/>
      <c r="U521" s="8">
        <v>0</v>
      </c>
      <c r="V521" s="9"/>
      <c r="W521" s="33">
        <v>0</v>
      </c>
      <c r="X521" s="9"/>
      <c r="Y521" s="30">
        <v>0</v>
      </c>
      <c r="Z521" s="9"/>
      <c r="AA521" s="30">
        <v>0</v>
      </c>
      <c r="AB521" s="9"/>
      <c r="AC521" s="30">
        <v>0</v>
      </c>
      <c r="AD521" s="9"/>
      <c r="AE521" s="30">
        <v>0</v>
      </c>
      <c r="AF521" s="9"/>
      <c r="AG521" s="19">
        <v>0</v>
      </c>
      <c r="AI521" s="32">
        <v>0</v>
      </c>
      <c r="AK521" s="7" t="str">
        <f t="shared" si="8"/>
        <v>No</v>
      </c>
    </row>
    <row r="522" spans="1:37">
      <c r="A522" s="7" t="s">
        <v>404</v>
      </c>
      <c r="B522" s="7" t="s">
        <v>405</v>
      </c>
      <c r="C522" s="37" t="s">
        <v>93</v>
      </c>
      <c r="D522" s="296">
        <v>5002</v>
      </c>
      <c r="E522" s="297">
        <v>50002</v>
      </c>
      <c r="F522" s="27" t="s">
        <v>162</v>
      </c>
      <c r="G522" s="27" t="s">
        <v>158</v>
      </c>
      <c r="H522" s="35">
        <v>206520</v>
      </c>
      <c r="I522" s="35">
        <v>38</v>
      </c>
      <c r="J522" s="9" t="s">
        <v>7</v>
      </c>
      <c r="K522" s="9" t="s">
        <v>159</v>
      </c>
      <c r="L522" s="8">
        <v>25</v>
      </c>
      <c r="M522" s="8">
        <v>0</v>
      </c>
      <c r="N522" s="9"/>
      <c r="O522" s="8">
        <v>0</v>
      </c>
      <c r="P522" s="9"/>
      <c r="Q522" s="8">
        <v>1401</v>
      </c>
      <c r="R522" s="9"/>
      <c r="S522" s="8">
        <v>1453</v>
      </c>
      <c r="T522" s="9"/>
      <c r="U522" s="8">
        <v>0</v>
      </c>
      <c r="V522" s="9"/>
      <c r="W522" s="33">
        <v>2854</v>
      </c>
      <c r="X522" s="9"/>
      <c r="Y522" s="30">
        <v>0</v>
      </c>
      <c r="Z522" s="9"/>
      <c r="AA522" s="30">
        <v>0</v>
      </c>
      <c r="AB522" s="9"/>
      <c r="AC522" s="30">
        <v>1</v>
      </c>
      <c r="AD522" s="9"/>
      <c r="AE522" s="30">
        <v>2</v>
      </c>
      <c r="AF522" s="9"/>
      <c r="AG522" s="19">
        <v>0</v>
      </c>
      <c r="AI522" s="32">
        <v>3</v>
      </c>
      <c r="AK522" s="7" t="str">
        <f t="shared" si="8"/>
        <v>No</v>
      </c>
    </row>
    <row r="523" spans="1:37">
      <c r="A523" s="7" t="s">
        <v>209</v>
      </c>
      <c r="B523" s="7" t="s">
        <v>210</v>
      </c>
      <c r="C523" s="37" t="s">
        <v>77</v>
      </c>
      <c r="D523" s="296">
        <v>3023</v>
      </c>
      <c r="E523" s="297">
        <v>30023</v>
      </c>
      <c r="F523" s="27" t="s">
        <v>165</v>
      </c>
      <c r="G523" s="27" t="s">
        <v>158</v>
      </c>
      <c r="H523" s="35">
        <v>1733853</v>
      </c>
      <c r="I523" s="35">
        <v>38</v>
      </c>
      <c r="J523" s="9" t="s">
        <v>7</v>
      </c>
      <c r="K523" s="9" t="s">
        <v>159</v>
      </c>
      <c r="L523" s="8">
        <v>20</v>
      </c>
      <c r="M523" s="8">
        <v>0</v>
      </c>
      <c r="N523" s="9"/>
      <c r="O523" s="8">
        <v>0</v>
      </c>
      <c r="P523" s="9"/>
      <c r="Q523" s="8">
        <v>0</v>
      </c>
      <c r="R523" s="9"/>
      <c r="S523" s="8">
        <v>500</v>
      </c>
      <c r="T523" s="9"/>
      <c r="U523" s="8">
        <v>0</v>
      </c>
      <c r="V523" s="9"/>
      <c r="W523" s="33">
        <v>500</v>
      </c>
      <c r="X523" s="9"/>
      <c r="Y523" s="30">
        <v>0</v>
      </c>
      <c r="Z523" s="9"/>
      <c r="AA523" s="30">
        <v>0</v>
      </c>
      <c r="AB523" s="9"/>
      <c r="AC523" s="30">
        <v>0</v>
      </c>
      <c r="AD523" s="9"/>
      <c r="AE523" s="30">
        <v>1</v>
      </c>
      <c r="AF523" s="9"/>
      <c r="AG523" s="19">
        <v>0</v>
      </c>
      <c r="AI523" s="32">
        <v>1</v>
      </c>
      <c r="AK523" s="7" t="str">
        <f t="shared" si="8"/>
        <v>No</v>
      </c>
    </row>
    <row r="524" spans="1:37">
      <c r="A524" s="7" t="s">
        <v>209</v>
      </c>
      <c r="B524" s="7" t="s">
        <v>210</v>
      </c>
      <c r="C524" s="37" t="s">
        <v>77</v>
      </c>
      <c r="D524" s="296">
        <v>3023</v>
      </c>
      <c r="E524" s="297">
        <v>30023</v>
      </c>
      <c r="F524" s="27" t="s">
        <v>165</v>
      </c>
      <c r="G524" s="27" t="s">
        <v>158</v>
      </c>
      <c r="H524" s="35">
        <v>1733853</v>
      </c>
      <c r="I524" s="35">
        <v>38</v>
      </c>
      <c r="J524" s="9" t="s">
        <v>10</v>
      </c>
      <c r="K524" s="9" t="s">
        <v>159</v>
      </c>
      <c r="L524" s="8">
        <v>18</v>
      </c>
      <c r="M524" s="8">
        <v>0</v>
      </c>
      <c r="N524" s="9"/>
      <c r="O524" s="8">
        <v>0</v>
      </c>
      <c r="P524" s="9"/>
      <c r="Q524" s="8">
        <v>0</v>
      </c>
      <c r="R524" s="9"/>
      <c r="S524" s="8">
        <v>0</v>
      </c>
      <c r="T524" s="9"/>
      <c r="U524" s="8">
        <v>0</v>
      </c>
      <c r="V524" s="9"/>
      <c r="W524" s="33">
        <v>0</v>
      </c>
      <c r="X524" s="9"/>
      <c r="Y524" s="30">
        <v>0</v>
      </c>
      <c r="Z524" s="9"/>
      <c r="AA524" s="30">
        <v>0</v>
      </c>
      <c r="AB524" s="9"/>
      <c r="AC524" s="30">
        <v>0</v>
      </c>
      <c r="AD524" s="9"/>
      <c r="AE524" s="30">
        <v>0</v>
      </c>
      <c r="AF524" s="9"/>
      <c r="AG524" s="19">
        <v>0</v>
      </c>
      <c r="AI524" s="32">
        <v>0</v>
      </c>
      <c r="AK524" s="7" t="str">
        <f t="shared" si="8"/>
        <v>No</v>
      </c>
    </row>
    <row r="525" spans="1:37">
      <c r="A525" s="7" t="s">
        <v>573</v>
      </c>
      <c r="B525" s="7" t="s">
        <v>574</v>
      </c>
      <c r="C525" s="37" t="s">
        <v>76</v>
      </c>
      <c r="D525" s="296">
        <v>34</v>
      </c>
      <c r="E525" s="297">
        <v>34</v>
      </c>
      <c r="F525" s="27" t="s">
        <v>165</v>
      </c>
      <c r="G525" s="27" t="s">
        <v>158</v>
      </c>
      <c r="H525" s="35">
        <v>154081</v>
      </c>
      <c r="I525" s="35">
        <v>38</v>
      </c>
      <c r="J525" s="9" t="s">
        <v>7</v>
      </c>
      <c r="K525" s="9" t="s">
        <v>159</v>
      </c>
      <c r="L525" s="8">
        <v>18</v>
      </c>
      <c r="M525" s="8">
        <v>15320</v>
      </c>
      <c r="N525" s="9"/>
      <c r="O525" s="8">
        <v>791</v>
      </c>
      <c r="P525" s="9"/>
      <c r="Q525" s="8">
        <v>1663</v>
      </c>
      <c r="R525" s="9"/>
      <c r="S525" s="8">
        <v>0</v>
      </c>
      <c r="T525" s="9"/>
      <c r="U525" s="8">
        <v>0</v>
      </c>
      <c r="V525" s="9"/>
      <c r="W525" s="33">
        <v>17774</v>
      </c>
      <c r="X525" s="9"/>
      <c r="Y525" s="30">
        <v>12</v>
      </c>
      <c r="Z525" s="9"/>
      <c r="AA525" s="30">
        <v>1</v>
      </c>
      <c r="AB525" s="9"/>
      <c r="AC525" s="30">
        <v>3</v>
      </c>
      <c r="AD525" s="9"/>
      <c r="AE525" s="30">
        <v>0</v>
      </c>
      <c r="AF525" s="9"/>
      <c r="AG525" s="19">
        <v>0</v>
      </c>
      <c r="AI525" s="32">
        <v>16</v>
      </c>
      <c r="AK525" s="7" t="str">
        <f t="shared" si="8"/>
        <v>No</v>
      </c>
    </row>
    <row r="526" spans="1:37">
      <c r="A526" s="7" t="s">
        <v>1114</v>
      </c>
      <c r="B526" s="7" t="s">
        <v>717</v>
      </c>
      <c r="C526" s="37" t="s">
        <v>17</v>
      </c>
      <c r="D526" s="296">
        <v>9196</v>
      </c>
      <c r="E526" s="297">
        <v>90196</v>
      </c>
      <c r="F526" s="27" t="s">
        <v>162</v>
      </c>
      <c r="G526" s="27" t="s">
        <v>158</v>
      </c>
      <c r="H526" s="35">
        <v>1723634</v>
      </c>
      <c r="I526" s="35">
        <v>38</v>
      </c>
      <c r="J526" s="9" t="s">
        <v>7</v>
      </c>
      <c r="K526" s="9" t="s">
        <v>159</v>
      </c>
      <c r="L526" s="8">
        <v>15</v>
      </c>
      <c r="M526" s="8">
        <v>18785</v>
      </c>
      <c r="N526" s="9"/>
      <c r="O526" s="8">
        <v>0</v>
      </c>
      <c r="P526" s="9"/>
      <c r="Q526" s="8">
        <v>374</v>
      </c>
      <c r="R526" s="9"/>
      <c r="S526" s="8">
        <v>0</v>
      </c>
      <c r="T526" s="9"/>
      <c r="U526" s="8">
        <v>0</v>
      </c>
      <c r="V526" s="9"/>
      <c r="W526" s="33">
        <v>19159</v>
      </c>
      <c r="X526" s="9"/>
      <c r="Y526" s="30">
        <v>9.4</v>
      </c>
      <c r="Z526" s="9"/>
      <c r="AA526" s="30">
        <v>0</v>
      </c>
      <c r="AB526" s="9"/>
      <c r="AC526" s="30">
        <v>0.4</v>
      </c>
      <c r="AD526" s="9"/>
      <c r="AE526" s="30">
        <v>0</v>
      </c>
      <c r="AF526" s="9"/>
      <c r="AG526" s="19">
        <v>0</v>
      </c>
      <c r="AI526" s="32">
        <v>9.8000000000000007</v>
      </c>
      <c r="AK526" s="7" t="str">
        <f t="shared" si="8"/>
        <v>No</v>
      </c>
    </row>
    <row r="527" spans="1:37">
      <c r="A527" s="7" t="s">
        <v>663</v>
      </c>
      <c r="B527" s="7" t="s">
        <v>664</v>
      </c>
      <c r="C527" s="37" t="s">
        <v>69</v>
      </c>
      <c r="D527" s="296">
        <v>6077</v>
      </c>
      <c r="E527" s="297">
        <v>60077</v>
      </c>
      <c r="F527" s="27" t="s">
        <v>162</v>
      </c>
      <c r="G527" s="27" t="s">
        <v>158</v>
      </c>
      <c r="H527" s="35">
        <v>89284</v>
      </c>
      <c r="I527" s="35">
        <v>38</v>
      </c>
      <c r="J527" s="9" t="s">
        <v>10</v>
      </c>
      <c r="K527" s="9" t="s">
        <v>159</v>
      </c>
      <c r="L527" s="8">
        <v>12</v>
      </c>
      <c r="M527" s="8">
        <v>0</v>
      </c>
      <c r="N527" s="9"/>
      <c r="O527" s="8">
        <v>0</v>
      </c>
      <c r="P527" s="9"/>
      <c r="Q527" s="8">
        <v>0</v>
      </c>
      <c r="R527" s="9"/>
      <c r="S527" s="8">
        <v>0</v>
      </c>
      <c r="T527" s="9"/>
      <c r="U527" s="8">
        <v>0</v>
      </c>
      <c r="V527" s="9"/>
      <c r="W527" s="33">
        <v>0</v>
      </c>
      <c r="X527" s="9"/>
      <c r="Y527" s="30">
        <v>0</v>
      </c>
      <c r="Z527" s="9"/>
      <c r="AA527" s="30">
        <v>0</v>
      </c>
      <c r="AB527" s="9"/>
      <c r="AC527" s="30">
        <v>0</v>
      </c>
      <c r="AD527" s="9"/>
      <c r="AE527" s="30">
        <v>0</v>
      </c>
      <c r="AF527" s="9"/>
      <c r="AG527" s="19">
        <v>0</v>
      </c>
      <c r="AI527" s="32">
        <v>0</v>
      </c>
      <c r="AK527" s="7" t="str">
        <f t="shared" si="8"/>
        <v>No</v>
      </c>
    </row>
    <row r="528" spans="1:37">
      <c r="A528" s="7" t="s">
        <v>223</v>
      </c>
      <c r="B528" s="7" t="s">
        <v>224</v>
      </c>
      <c r="C528" s="37" t="s">
        <v>42</v>
      </c>
      <c r="D528" s="296">
        <v>5110</v>
      </c>
      <c r="E528" s="297">
        <v>50110</v>
      </c>
      <c r="F528" s="27" t="s">
        <v>165</v>
      </c>
      <c r="G528" s="27" t="s">
        <v>158</v>
      </c>
      <c r="H528" s="35">
        <v>108657</v>
      </c>
      <c r="I528" s="35">
        <v>38</v>
      </c>
      <c r="J528" s="9" t="s">
        <v>10</v>
      </c>
      <c r="K528" s="9" t="s">
        <v>159</v>
      </c>
      <c r="L528" s="8">
        <v>8</v>
      </c>
      <c r="M528" s="8">
        <v>8824</v>
      </c>
      <c r="N528" s="9"/>
      <c r="O528" s="8">
        <v>0</v>
      </c>
      <c r="P528" s="9"/>
      <c r="Q528" s="8">
        <v>0</v>
      </c>
      <c r="R528" s="9"/>
      <c r="S528" s="8">
        <v>0</v>
      </c>
      <c r="T528" s="9"/>
      <c r="U528" s="8">
        <v>0</v>
      </c>
      <c r="V528" s="9"/>
      <c r="W528" s="33">
        <v>8824</v>
      </c>
      <c r="X528" s="9"/>
      <c r="Y528" s="30">
        <v>6</v>
      </c>
      <c r="Z528" s="9"/>
      <c r="AA528" s="30">
        <v>0</v>
      </c>
      <c r="AB528" s="9"/>
      <c r="AC528" s="30">
        <v>0</v>
      </c>
      <c r="AD528" s="9"/>
      <c r="AE528" s="30">
        <v>0</v>
      </c>
      <c r="AF528" s="9"/>
      <c r="AG528" s="19">
        <v>0</v>
      </c>
      <c r="AI528" s="32">
        <v>6</v>
      </c>
      <c r="AK528" s="7" t="str">
        <f t="shared" si="8"/>
        <v>No</v>
      </c>
    </row>
    <row r="529" spans="1:37">
      <c r="A529" s="7" t="s">
        <v>732</v>
      </c>
      <c r="B529" s="7" t="s">
        <v>438</v>
      </c>
      <c r="C529" s="37" t="s">
        <v>83</v>
      </c>
      <c r="D529" s="296">
        <v>4171</v>
      </c>
      <c r="E529" s="297">
        <v>40171</v>
      </c>
      <c r="F529" s="27" t="s">
        <v>162</v>
      </c>
      <c r="G529" s="27" t="s">
        <v>158</v>
      </c>
      <c r="H529" s="35">
        <v>558696</v>
      </c>
      <c r="I529" s="35">
        <v>37</v>
      </c>
      <c r="J529" s="9" t="s">
        <v>10</v>
      </c>
      <c r="K529" s="9" t="s">
        <v>159</v>
      </c>
      <c r="L529" s="8">
        <v>37</v>
      </c>
      <c r="M529" s="8">
        <v>0</v>
      </c>
      <c r="N529" s="9"/>
      <c r="O529" s="8">
        <v>0</v>
      </c>
      <c r="P529" s="9"/>
      <c r="Q529" s="8">
        <v>0</v>
      </c>
      <c r="R529" s="9"/>
      <c r="S529" s="8">
        <v>0</v>
      </c>
      <c r="T529" s="9"/>
      <c r="U529" s="8">
        <v>0</v>
      </c>
      <c r="V529" s="9"/>
      <c r="W529" s="33">
        <v>0</v>
      </c>
      <c r="X529" s="9"/>
      <c r="Y529" s="30">
        <v>0</v>
      </c>
      <c r="Z529" s="9"/>
      <c r="AA529" s="30">
        <v>0</v>
      </c>
      <c r="AB529" s="9"/>
      <c r="AC529" s="30">
        <v>0</v>
      </c>
      <c r="AD529" s="9"/>
      <c r="AE529" s="30">
        <v>0</v>
      </c>
      <c r="AF529" s="9"/>
      <c r="AG529" s="19">
        <v>0</v>
      </c>
      <c r="AI529" s="32">
        <v>0</v>
      </c>
      <c r="AK529" s="7" t="str">
        <f t="shared" si="8"/>
        <v>No</v>
      </c>
    </row>
    <row r="530" spans="1:37">
      <c r="A530" s="7" t="s">
        <v>309</v>
      </c>
      <c r="B530" s="7" t="s">
        <v>310</v>
      </c>
      <c r="C530" s="37" t="s">
        <v>36</v>
      </c>
      <c r="D530" s="296">
        <v>4058</v>
      </c>
      <c r="E530" s="297">
        <v>40058</v>
      </c>
      <c r="F530" s="27" t="s">
        <v>162</v>
      </c>
      <c r="G530" s="27" t="s">
        <v>158</v>
      </c>
      <c r="H530" s="35">
        <v>60851</v>
      </c>
      <c r="I530" s="35">
        <v>37</v>
      </c>
      <c r="J530" s="9" t="s">
        <v>7</v>
      </c>
      <c r="K530" s="9" t="s">
        <v>159</v>
      </c>
      <c r="L530" s="8">
        <v>31</v>
      </c>
      <c r="M530" s="8">
        <v>3401</v>
      </c>
      <c r="N530" s="9"/>
      <c r="O530" s="8">
        <v>1298</v>
      </c>
      <c r="P530" s="9"/>
      <c r="Q530" s="8">
        <v>0</v>
      </c>
      <c r="R530" s="9"/>
      <c r="S530" s="8">
        <v>1421</v>
      </c>
      <c r="T530" s="9"/>
      <c r="U530" s="8">
        <v>0</v>
      </c>
      <c r="V530" s="9"/>
      <c r="W530" s="33">
        <v>6120</v>
      </c>
      <c r="X530" s="9"/>
      <c r="Y530" s="30">
        <v>3</v>
      </c>
      <c r="Z530" s="9"/>
      <c r="AA530" s="30">
        <v>3</v>
      </c>
      <c r="AB530" s="9"/>
      <c r="AC530" s="30">
        <v>0</v>
      </c>
      <c r="AD530" s="9"/>
      <c r="AE530" s="30">
        <v>1</v>
      </c>
      <c r="AF530" s="9"/>
      <c r="AG530" s="19">
        <v>0</v>
      </c>
      <c r="AI530" s="32">
        <v>7</v>
      </c>
      <c r="AK530" s="7" t="str">
        <f t="shared" si="8"/>
        <v>No</v>
      </c>
    </row>
    <row r="531" spans="1:37">
      <c r="A531" s="7" t="s">
        <v>322</v>
      </c>
      <c r="B531" s="7" t="s">
        <v>323</v>
      </c>
      <c r="C531" s="37" t="s">
        <v>55</v>
      </c>
      <c r="D531" s="296">
        <v>7016</v>
      </c>
      <c r="E531" s="297">
        <v>70016</v>
      </c>
      <c r="F531" s="27" t="s">
        <v>162</v>
      </c>
      <c r="G531" s="27" t="s">
        <v>158</v>
      </c>
      <c r="H531" s="35">
        <v>124748</v>
      </c>
      <c r="I531" s="35">
        <v>37</v>
      </c>
      <c r="J531" s="9" t="s">
        <v>7</v>
      </c>
      <c r="K531" s="9" t="s">
        <v>159</v>
      </c>
      <c r="L531" s="8">
        <v>28</v>
      </c>
      <c r="M531" s="8">
        <v>38654</v>
      </c>
      <c r="N531" s="9"/>
      <c r="O531" s="8">
        <v>621</v>
      </c>
      <c r="P531" s="9"/>
      <c r="Q531" s="8">
        <v>0</v>
      </c>
      <c r="R531" s="9"/>
      <c r="S531" s="8">
        <v>495</v>
      </c>
      <c r="T531" s="9"/>
      <c r="U531" s="8">
        <v>0</v>
      </c>
      <c r="V531" s="9"/>
      <c r="W531" s="33">
        <v>39770</v>
      </c>
      <c r="X531" s="9"/>
      <c r="Y531" s="30">
        <v>70</v>
      </c>
      <c r="Z531" s="9"/>
      <c r="AA531" s="30">
        <v>1</v>
      </c>
      <c r="AB531" s="9"/>
      <c r="AC531" s="30">
        <v>0</v>
      </c>
      <c r="AD531" s="9"/>
      <c r="AE531" s="30">
        <v>2</v>
      </c>
      <c r="AF531" s="9"/>
      <c r="AG531" s="19">
        <v>0</v>
      </c>
      <c r="AI531" s="32">
        <v>73</v>
      </c>
      <c r="AK531" s="7" t="str">
        <f t="shared" si="8"/>
        <v>No</v>
      </c>
    </row>
    <row r="532" spans="1:37">
      <c r="A532" s="7" t="s">
        <v>394</v>
      </c>
      <c r="B532" s="7" t="s">
        <v>395</v>
      </c>
      <c r="C532" s="37" t="s">
        <v>86</v>
      </c>
      <c r="D532" s="296">
        <v>3008</v>
      </c>
      <c r="E532" s="297">
        <v>30008</v>
      </c>
      <c r="F532" s="27" t="s">
        <v>165</v>
      </c>
      <c r="G532" s="27" t="s">
        <v>158</v>
      </c>
      <c r="H532" s="35">
        <v>116636</v>
      </c>
      <c r="I532" s="35">
        <v>37</v>
      </c>
      <c r="J532" s="9" t="s">
        <v>7</v>
      </c>
      <c r="K532" s="9" t="s">
        <v>159</v>
      </c>
      <c r="L532" s="8">
        <v>28</v>
      </c>
      <c r="M532" s="8">
        <v>2986</v>
      </c>
      <c r="N532" s="9"/>
      <c r="O532" s="8">
        <v>0</v>
      </c>
      <c r="P532" s="9"/>
      <c r="Q532" s="8">
        <v>3516</v>
      </c>
      <c r="R532" s="9"/>
      <c r="S532" s="8">
        <v>1896</v>
      </c>
      <c r="T532" s="9"/>
      <c r="U532" s="8">
        <v>0</v>
      </c>
      <c r="V532" s="9"/>
      <c r="W532" s="33">
        <v>8398</v>
      </c>
      <c r="X532" s="9"/>
      <c r="Y532" s="30">
        <v>4</v>
      </c>
      <c r="Z532" s="9"/>
      <c r="AA532" s="30">
        <v>0</v>
      </c>
      <c r="AB532" s="9"/>
      <c r="AC532" s="30">
        <v>2.4</v>
      </c>
      <c r="AD532" s="9"/>
      <c r="AE532" s="30">
        <v>2</v>
      </c>
      <c r="AF532" s="9"/>
      <c r="AG532" s="19">
        <v>0</v>
      </c>
      <c r="AI532" s="32">
        <v>8.4</v>
      </c>
      <c r="AK532" s="7" t="str">
        <f t="shared" si="8"/>
        <v>No</v>
      </c>
    </row>
    <row r="533" spans="1:37">
      <c r="A533" s="7" t="s">
        <v>645</v>
      </c>
      <c r="B533" s="7" t="s">
        <v>646</v>
      </c>
      <c r="C533" s="37" t="s">
        <v>96</v>
      </c>
      <c r="D533" s="296">
        <v>3002</v>
      </c>
      <c r="E533" s="297">
        <v>30002</v>
      </c>
      <c r="F533" s="27" t="s">
        <v>165</v>
      </c>
      <c r="G533" s="27" t="s">
        <v>158</v>
      </c>
      <c r="H533" s="35">
        <v>202637</v>
      </c>
      <c r="I533" s="35">
        <v>37</v>
      </c>
      <c r="J533" s="9" t="s">
        <v>7</v>
      </c>
      <c r="K533" s="9" t="s">
        <v>159</v>
      </c>
      <c r="L533" s="8">
        <v>27</v>
      </c>
      <c r="M533" s="8">
        <v>1272</v>
      </c>
      <c r="N533" s="9"/>
      <c r="O533" s="8">
        <v>0</v>
      </c>
      <c r="P533" s="9"/>
      <c r="Q533" s="8">
        <v>0</v>
      </c>
      <c r="R533" s="9"/>
      <c r="S533" s="8">
        <v>941</v>
      </c>
      <c r="T533" s="9"/>
      <c r="U533" s="8">
        <v>0</v>
      </c>
      <c r="V533" s="9"/>
      <c r="W533" s="33">
        <v>2213</v>
      </c>
      <c r="X533" s="9"/>
      <c r="Y533" s="30">
        <v>2</v>
      </c>
      <c r="Z533" s="9"/>
      <c r="AA533" s="30">
        <v>0</v>
      </c>
      <c r="AB533" s="9"/>
      <c r="AC533" s="30">
        <v>0</v>
      </c>
      <c r="AD533" s="9"/>
      <c r="AE533" s="30">
        <v>1</v>
      </c>
      <c r="AF533" s="9"/>
      <c r="AG533" s="19">
        <v>0</v>
      </c>
      <c r="AI533" s="32">
        <v>3</v>
      </c>
      <c r="AK533" s="7" t="str">
        <f t="shared" si="8"/>
        <v>No</v>
      </c>
    </row>
    <row r="534" spans="1:37">
      <c r="A534" s="7" t="s">
        <v>484</v>
      </c>
      <c r="B534" s="7" t="s">
        <v>485</v>
      </c>
      <c r="C534" s="37" t="s">
        <v>42</v>
      </c>
      <c r="D534" s="296">
        <v>5043</v>
      </c>
      <c r="E534" s="297">
        <v>50043</v>
      </c>
      <c r="F534" s="27" t="s">
        <v>162</v>
      </c>
      <c r="G534" s="27" t="s">
        <v>158</v>
      </c>
      <c r="H534" s="35">
        <v>229351</v>
      </c>
      <c r="I534" s="35">
        <v>37</v>
      </c>
      <c r="J534" s="9" t="s">
        <v>7</v>
      </c>
      <c r="K534" s="9" t="s">
        <v>159</v>
      </c>
      <c r="L534" s="8">
        <v>24</v>
      </c>
      <c r="M534" s="8">
        <v>10492</v>
      </c>
      <c r="N534" s="9"/>
      <c r="O534" s="8">
        <v>4697</v>
      </c>
      <c r="P534" s="9"/>
      <c r="Q534" s="8">
        <v>1529</v>
      </c>
      <c r="R534" s="9"/>
      <c r="S534" s="8">
        <v>0</v>
      </c>
      <c r="T534" s="9"/>
      <c r="U534" s="8">
        <v>0</v>
      </c>
      <c r="V534" s="9"/>
      <c r="W534" s="33">
        <v>16718</v>
      </c>
      <c r="X534" s="9"/>
      <c r="Y534" s="30">
        <v>7</v>
      </c>
      <c r="Z534" s="9"/>
      <c r="AA534" s="30">
        <v>5.6</v>
      </c>
      <c r="AB534" s="9"/>
      <c r="AC534" s="30">
        <v>2.1</v>
      </c>
      <c r="AD534" s="9"/>
      <c r="AE534" s="30">
        <v>0</v>
      </c>
      <c r="AF534" s="9"/>
      <c r="AG534" s="19">
        <v>0</v>
      </c>
      <c r="AI534" s="32">
        <v>14.7</v>
      </c>
      <c r="AK534" s="7" t="str">
        <f t="shared" si="8"/>
        <v>No</v>
      </c>
    </row>
    <row r="535" spans="1:37">
      <c r="A535" s="7" t="s">
        <v>651</v>
      </c>
      <c r="B535" s="7" t="s">
        <v>652</v>
      </c>
      <c r="C535" s="37" t="s">
        <v>44</v>
      </c>
      <c r="D535" s="296">
        <v>7014</v>
      </c>
      <c r="E535" s="297">
        <v>70014</v>
      </c>
      <c r="F535" s="27" t="s">
        <v>165</v>
      </c>
      <c r="G535" s="27" t="s">
        <v>158</v>
      </c>
      <c r="H535" s="35">
        <v>150003</v>
      </c>
      <c r="I535" s="35">
        <v>37</v>
      </c>
      <c r="J535" s="9" t="s">
        <v>7</v>
      </c>
      <c r="K535" s="9" t="s">
        <v>159</v>
      </c>
      <c r="L535" s="8">
        <v>22</v>
      </c>
      <c r="M535" s="8">
        <v>5528</v>
      </c>
      <c r="N535" s="9"/>
      <c r="O535" s="8">
        <v>0</v>
      </c>
      <c r="P535" s="9"/>
      <c r="Q535" s="8">
        <v>0</v>
      </c>
      <c r="R535" s="9"/>
      <c r="S535" s="8">
        <v>967</v>
      </c>
      <c r="T535" s="9"/>
      <c r="U535" s="8">
        <v>0</v>
      </c>
      <c r="V535" s="9"/>
      <c r="W535" s="33">
        <v>6495</v>
      </c>
      <c r="X535" s="9"/>
      <c r="Y535" s="30">
        <v>6.1</v>
      </c>
      <c r="Z535" s="9"/>
      <c r="AA535" s="30">
        <v>0</v>
      </c>
      <c r="AB535" s="9"/>
      <c r="AC535" s="30">
        <v>0</v>
      </c>
      <c r="AD535" s="9"/>
      <c r="AE535" s="30">
        <v>1.5</v>
      </c>
      <c r="AF535" s="9"/>
      <c r="AG535" s="19">
        <v>0</v>
      </c>
      <c r="AI535" s="32">
        <v>7.6</v>
      </c>
      <c r="AK535" s="7" t="str">
        <f t="shared" si="8"/>
        <v>No</v>
      </c>
    </row>
    <row r="536" spans="1:37">
      <c r="A536" s="7" t="s">
        <v>426</v>
      </c>
      <c r="B536" s="7" t="s">
        <v>427</v>
      </c>
      <c r="C536" s="37" t="s">
        <v>86</v>
      </c>
      <c r="D536" s="296">
        <v>3076</v>
      </c>
      <c r="E536" s="297">
        <v>30076</v>
      </c>
      <c r="F536" s="27" t="s">
        <v>165</v>
      </c>
      <c r="G536" s="27" t="s">
        <v>158</v>
      </c>
      <c r="H536" s="35">
        <v>75689</v>
      </c>
      <c r="I536" s="35">
        <v>37</v>
      </c>
      <c r="J536" s="9" t="s">
        <v>7</v>
      </c>
      <c r="K536" s="9" t="s">
        <v>159</v>
      </c>
      <c r="L536" s="8">
        <v>20</v>
      </c>
      <c r="M536" s="8">
        <v>20232</v>
      </c>
      <c r="N536" s="9"/>
      <c r="O536" s="8">
        <v>0</v>
      </c>
      <c r="P536" s="9"/>
      <c r="Q536" s="8">
        <v>0</v>
      </c>
      <c r="R536" s="9"/>
      <c r="S536" s="8">
        <v>1515</v>
      </c>
      <c r="T536" s="9"/>
      <c r="U536" s="8">
        <v>0</v>
      </c>
      <c r="V536" s="9"/>
      <c r="W536" s="33">
        <v>21747</v>
      </c>
      <c r="X536" s="9"/>
      <c r="Y536" s="30">
        <v>37</v>
      </c>
      <c r="Z536" s="9"/>
      <c r="AA536" s="30">
        <v>0</v>
      </c>
      <c r="AB536" s="9"/>
      <c r="AC536" s="30">
        <v>0</v>
      </c>
      <c r="AD536" s="9"/>
      <c r="AE536" s="30">
        <v>2</v>
      </c>
      <c r="AF536" s="9"/>
      <c r="AG536" s="19">
        <v>0</v>
      </c>
      <c r="AI536" s="32">
        <v>39</v>
      </c>
      <c r="AK536" s="7" t="str">
        <f t="shared" si="8"/>
        <v>No</v>
      </c>
    </row>
    <row r="537" spans="1:37">
      <c r="A537" s="7" t="s">
        <v>484</v>
      </c>
      <c r="B537" s="7" t="s">
        <v>485</v>
      </c>
      <c r="C537" s="37" t="s">
        <v>42</v>
      </c>
      <c r="D537" s="296">
        <v>5043</v>
      </c>
      <c r="E537" s="297">
        <v>50043</v>
      </c>
      <c r="F537" s="27" t="s">
        <v>162</v>
      </c>
      <c r="G537" s="27" t="s">
        <v>158</v>
      </c>
      <c r="H537" s="35">
        <v>229351</v>
      </c>
      <c r="I537" s="35">
        <v>37</v>
      </c>
      <c r="J537" s="9" t="s">
        <v>10</v>
      </c>
      <c r="K537" s="9" t="s">
        <v>159</v>
      </c>
      <c r="L537" s="8">
        <v>13</v>
      </c>
      <c r="M537" s="8">
        <v>18576</v>
      </c>
      <c r="N537" s="9"/>
      <c r="O537" s="8">
        <v>2013</v>
      </c>
      <c r="P537" s="9"/>
      <c r="Q537" s="8">
        <v>655</v>
      </c>
      <c r="R537" s="9"/>
      <c r="S537" s="8">
        <v>0</v>
      </c>
      <c r="T537" s="9"/>
      <c r="U537" s="8">
        <v>0</v>
      </c>
      <c r="V537" s="9"/>
      <c r="W537" s="33">
        <v>21244</v>
      </c>
      <c r="X537" s="9"/>
      <c r="Y537" s="30">
        <v>11</v>
      </c>
      <c r="Z537" s="9"/>
      <c r="AA537" s="30">
        <v>2.4</v>
      </c>
      <c r="AB537" s="9"/>
      <c r="AC537" s="30">
        <v>0.9</v>
      </c>
      <c r="AD537" s="9"/>
      <c r="AE537" s="30">
        <v>0</v>
      </c>
      <c r="AF537" s="9"/>
      <c r="AG537" s="19">
        <v>0</v>
      </c>
      <c r="AI537" s="32">
        <v>14.3</v>
      </c>
      <c r="AK537" s="7" t="str">
        <f t="shared" si="8"/>
        <v>No</v>
      </c>
    </row>
    <row r="538" spans="1:37">
      <c r="A538" s="7" t="s">
        <v>645</v>
      </c>
      <c r="B538" s="7" t="s">
        <v>646</v>
      </c>
      <c r="C538" s="37" t="s">
        <v>96</v>
      </c>
      <c r="D538" s="296">
        <v>3002</v>
      </c>
      <c r="E538" s="297">
        <v>30002</v>
      </c>
      <c r="F538" s="27" t="s">
        <v>165</v>
      </c>
      <c r="G538" s="27" t="s">
        <v>158</v>
      </c>
      <c r="H538" s="35">
        <v>202637</v>
      </c>
      <c r="I538" s="35">
        <v>37</v>
      </c>
      <c r="J538" s="9" t="s">
        <v>10</v>
      </c>
      <c r="K538" s="9" t="s">
        <v>159</v>
      </c>
      <c r="L538" s="8">
        <v>10</v>
      </c>
      <c r="M538" s="8">
        <v>0</v>
      </c>
      <c r="N538" s="9"/>
      <c r="O538" s="8">
        <v>0</v>
      </c>
      <c r="P538" s="9"/>
      <c r="Q538" s="8">
        <v>0</v>
      </c>
      <c r="R538" s="9"/>
      <c r="S538" s="8">
        <v>0</v>
      </c>
      <c r="T538" s="9"/>
      <c r="U538" s="8">
        <v>0</v>
      </c>
      <c r="V538" s="9"/>
      <c r="W538" s="33">
        <v>0</v>
      </c>
      <c r="X538" s="9"/>
      <c r="Y538" s="30">
        <v>0</v>
      </c>
      <c r="Z538" s="9"/>
      <c r="AA538" s="30">
        <v>0</v>
      </c>
      <c r="AB538" s="9"/>
      <c r="AC538" s="30">
        <v>0</v>
      </c>
      <c r="AD538" s="9"/>
      <c r="AE538" s="30">
        <v>0</v>
      </c>
      <c r="AF538" s="9"/>
      <c r="AG538" s="19">
        <v>0</v>
      </c>
      <c r="AI538" s="32">
        <v>0</v>
      </c>
      <c r="AK538" s="7" t="str">
        <f t="shared" si="8"/>
        <v>No</v>
      </c>
    </row>
    <row r="539" spans="1:37">
      <c r="A539" s="7" t="s">
        <v>394</v>
      </c>
      <c r="B539" s="7" t="s">
        <v>395</v>
      </c>
      <c r="C539" s="37" t="s">
        <v>86</v>
      </c>
      <c r="D539" s="296">
        <v>3008</v>
      </c>
      <c r="E539" s="297">
        <v>30008</v>
      </c>
      <c r="F539" s="27" t="s">
        <v>165</v>
      </c>
      <c r="G539" s="27" t="s">
        <v>158</v>
      </c>
      <c r="H539" s="35">
        <v>116636</v>
      </c>
      <c r="I539" s="35">
        <v>37</v>
      </c>
      <c r="J539" s="9" t="s">
        <v>10</v>
      </c>
      <c r="K539" s="9" t="s">
        <v>159</v>
      </c>
      <c r="L539" s="8">
        <v>9</v>
      </c>
      <c r="M539" s="8">
        <v>13351</v>
      </c>
      <c r="N539" s="9"/>
      <c r="O539" s="8">
        <v>0</v>
      </c>
      <c r="P539" s="9"/>
      <c r="Q539" s="8">
        <v>879</v>
      </c>
      <c r="R539" s="9"/>
      <c r="S539" s="8">
        <v>1781</v>
      </c>
      <c r="T539" s="9"/>
      <c r="U539" s="8">
        <v>0</v>
      </c>
      <c r="V539" s="9"/>
      <c r="W539" s="33">
        <v>16011</v>
      </c>
      <c r="X539" s="9"/>
      <c r="Y539" s="30">
        <v>16</v>
      </c>
      <c r="Z539" s="9"/>
      <c r="AA539" s="30">
        <v>0</v>
      </c>
      <c r="AB539" s="9"/>
      <c r="AC539" s="30">
        <v>0.6</v>
      </c>
      <c r="AD539" s="9"/>
      <c r="AE539" s="30">
        <v>3</v>
      </c>
      <c r="AF539" s="9"/>
      <c r="AG539" s="19">
        <v>0</v>
      </c>
      <c r="AI539" s="32">
        <v>19.600000000000001</v>
      </c>
      <c r="AK539" s="7" t="str">
        <f t="shared" si="8"/>
        <v>No</v>
      </c>
    </row>
    <row r="540" spans="1:37">
      <c r="A540" s="7" t="s">
        <v>322</v>
      </c>
      <c r="B540" s="7" t="s">
        <v>323</v>
      </c>
      <c r="C540" s="37" t="s">
        <v>55</v>
      </c>
      <c r="D540" s="296">
        <v>7016</v>
      </c>
      <c r="E540" s="297">
        <v>70016</v>
      </c>
      <c r="F540" s="27" t="s">
        <v>162</v>
      </c>
      <c r="G540" s="27" t="s">
        <v>158</v>
      </c>
      <c r="H540" s="35">
        <v>124748</v>
      </c>
      <c r="I540" s="35">
        <v>37</v>
      </c>
      <c r="J540" s="9" t="s">
        <v>10</v>
      </c>
      <c r="K540" s="9" t="s">
        <v>159</v>
      </c>
      <c r="L540" s="8">
        <v>9</v>
      </c>
      <c r="M540" s="8">
        <v>5506</v>
      </c>
      <c r="N540" s="9"/>
      <c r="O540" s="8">
        <v>0</v>
      </c>
      <c r="P540" s="9"/>
      <c r="Q540" s="8">
        <v>0</v>
      </c>
      <c r="R540" s="9"/>
      <c r="S540" s="8">
        <v>0</v>
      </c>
      <c r="T540" s="9"/>
      <c r="U540" s="8">
        <v>0</v>
      </c>
      <c r="V540" s="9"/>
      <c r="W540" s="33">
        <v>5506</v>
      </c>
      <c r="X540" s="9"/>
      <c r="Y540" s="30">
        <v>5</v>
      </c>
      <c r="Z540" s="9"/>
      <c r="AA540" s="30">
        <v>0</v>
      </c>
      <c r="AB540" s="9"/>
      <c r="AC540" s="30">
        <v>0</v>
      </c>
      <c r="AD540" s="9"/>
      <c r="AE540" s="30">
        <v>0</v>
      </c>
      <c r="AF540" s="9"/>
      <c r="AG540" s="19">
        <v>0</v>
      </c>
      <c r="AI540" s="32">
        <v>5</v>
      </c>
      <c r="AK540" s="7" t="str">
        <f t="shared" si="8"/>
        <v>No</v>
      </c>
    </row>
    <row r="541" spans="1:37">
      <c r="A541" s="7" t="s">
        <v>651</v>
      </c>
      <c r="B541" s="7" t="s">
        <v>652</v>
      </c>
      <c r="C541" s="37" t="s">
        <v>44</v>
      </c>
      <c r="D541" s="296">
        <v>7014</v>
      </c>
      <c r="E541" s="297">
        <v>70014</v>
      </c>
      <c r="F541" s="27" t="s">
        <v>165</v>
      </c>
      <c r="G541" s="27" t="s">
        <v>158</v>
      </c>
      <c r="H541" s="35">
        <v>150003</v>
      </c>
      <c r="I541" s="35">
        <v>37</v>
      </c>
      <c r="J541" s="9" t="s">
        <v>10</v>
      </c>
      <c r="K541" s="9" t="s">
        <v>159</v>
      </c>
      <c r="L541" s="8">
        <v>8</v>
      </c>
      <c r="M541" s="8">
        <v>2047</v>
      </c>
      <c r="N541" s="9"/>
      <c r="O541" s="8">
        <v>0</v>
      </c>
      <c r="P541" s="9"/>
      <c r="Q541" s="8">
        <v>0</v>
      </c>
      <c r="R541" s="9"/>
      <c r="S541" s="8">
        <v>260</v>
      </c>
      <c r="T541" s="9"/>
      <c r="U541" s="8">
        <v>0</v>
      </c>
      <c r="V541" s="9"/>
      <c r="W541" s="33">
        <v>2307</v>
      </c>
      <c r="X541" s="9"/>
      <c r="Y541" s="30">
        <v>2.1</v>
      </c>
      <c r="Z541" s="9"/>
      <c r="AA541" s="30">
        <v>0</v>
      </c>
      <c r="AB541" s="9"/>
      <c r="AC541" s="30">
        <v>0</v>
      </c>
      <c r="AD541" s="9"/>
      <c r="AE541" s="30">
        <v>0.2</v>
      </c>
      <c r="AF541" s="9"/>
      <c r="AG541" s="19">
        <v>0</v>
      </c>
      <c r="AI541" s="32">
        <v>2.2999999999999998</v>
      </c>
      <c r="AK541" s="7" t="str">
        <f t="shared" si="8"/>
        <v>No</v>
      </c>
    </row>
    <row r="542" spans="1:37">
      <c r="A542" s="7" t="s">
        <v>309</v>
      </c>
      <c r="B542" s="7" t="s">
        <v>310</v>
      </c>
      <c r="C542" s="37" t="s">
        <v>36</v>
      </c>
      <c r="D542" s="296">
        <v>4058</v>
      </c>
      <c r="E542" s="297">
        <v>40058</v>
      </c>
      <c r="F542" s="27" t="s">
        <v>162</v>
      </c>
      <c r="G542" s="27" t="s">
        <v>158</v>
      </c>
      <c r="H542" s="35">
        <v>60851</v>
      </c>
      <c r="I542" s="35">
        <v>37</v>
      </c>
      <c r="J542" s="9" t="s">
        <v>10</v>
      </c>
      <c r="K542" s="9" t="s">
        <v>159</v>
      </c>
      <c r="L542" s="8">
        <v>6</v>
      </c>
      <c r="M542" s="8">
        <v>2107</v>
      </c>
      <c r="N542" s="9"/>
      <c r="O542" s="8">
        <v>0</v>
      </c>
      <c r="P542" s="9"/>
      <c r="Q542" s="8">
        <v>217</v>
      </c>
      <c r="R542" s="9"/>
      <c r="S542" s="8">
        <v>264</v>
      </c>
      <c r="T542" s="9"/>
      <c r="U542" s="8">
        <v>0</v>
      </c>
      <c r="V542" s="9"/>
      <c r="W542" s="33">
        <v>2588</v>
      </c>
      <c r="X542" s="9"/>
      <c r="Y542" s="30">
        <v>2</v>
      </c>
      <c r="Z542" s="9"/>
      <c r="AA542" s="30">
        <v>0</v>
      </c>
      <c r="AB542" s="9"/>
      <c r="AC542" s="30">
        <v>1</v>
      </c>
      <c r="AD542" s="9"/>
      <c r="AE542" s="30">
        <v>1</v>
      </c>
      <c r="AF542" s="9"/>
      <c r="AG542" s="19">
        <v>0</v>
      </c>
      <c r="AI542" s="32">
        <v>4</v>
      </c>
      <c r="AK542" s="7" t="str">
        <f t="shared" si="8"/>
        <v>No</v>
      </c>
    </row>
    <row r="543" spans="1:37">
      <c r="A543" s="7" t="s">
        <v>426</v>
      </c>
      <c r="B543" s="7" t="s">
        <v>427</v>
      </c>
      <c r="C543" s="37" t="s">
        <v>86</v>
      </c>
      <c r="D543" s="296">
        <v>3076</v>
      </c>
      <c r="E543" s="297">
        <v>30076</v>
      </c>
      <c r="F543" s="27" t="s">
        <v>165</v>
      </c>
      <c r="G543" s="27" t="s">
        <v>158</v>
      </c>
      <c r="H543" s="35">
        <v>75689</v>
      </c>
      <c r="I543" s="35">
        <v>37</v>
      </c>
      <c r="J543" s="9" t="s">
        <v>10</v>
      </c>
      <c r="K543" s="9" t="s">
        <v>159</v>
      </c>
      <c r="L543" s="8">
        <v>4</v>
      </c>
      <c r="M543" s="8">
        <v>1759</v>
      </c>
      <c r="N543" s="9"/>
      <c r="O543" s="8">
        <v>0</v>
      </c>
      <c r="P543" s="9"/>
      <c r="Q543" s="8">
        <v>0</v>
      </c>
      <c r="R543" s="9"/>
      <c r="S543" s="8">
        <v>0</v>
      </c>
      <c r="T543" s="9"/>
      <c r="U543" s="8">
        <v>0</v>
      </c>
      <c r="V543" s="9"/>
      <c r="W543" s="33">
        <v>1759</v>
      </c>
      <c r="X543" s="9"/>
      <c r="Y543" s="30">
        <v>1</v>
      </c>
      <c r="Z543" s="9"/>
      <c r="AA543" s="30">
        <v>0</v>
      </c>
      <c r="AB543" s="9"/>
      <c r="AC543" s="30">
        <v>0</v>
      </c>
      <c r="AD543" s="9"/>
      <c r="AE543" s="30">
        <v>0</v>
      </c>
      <c r="AF543" s="9"/>
      <c r="AG543" s="19">
        <v>0</v>
      </c>
      <c r="AI543" s="32">
        <v>1</v>
      </c>
      <c r="AK543" s="7" t="str">
        <f t="shared" si="8"/>
        <v>No</v>
      </c>
    </row>
    <row r="544" spans="1:37">
      <c r="A544" s="7" t="s">
        <v>668</v>
      </c>
      <c r="B544" s="7" t="s">
        <v>669</v>
      </c>
      <c r="C544" s="37" t="s">
        <v>17</v>
      </c>
      <c r="D544" s="296">
        <v>9142</v>
      </c>
      <c r="E544" s="297">
        <v>90142</v>
      </c>
      <c r="F544" s="27" t="s">
        <v>114</v>
      </c>
      <c r="G544" s="27" t="s">
        <v>158</v>
      </c>
      <c r="H544" s="35">
        <v>72794</v>
      </c>
      <c r="I544" s="35">
        <v>36</v>
      </c>
      <c r="J544" s="9" t="s">
        <v>7</v>
      </c>
      <c r="K544" s="9" t="s">
        <v>159</v>
      </c>
      <c r="L544" s="8">
        <v>36</v>
      </c>
      <c r="M544" s="8">
        <v>156837</v>
      </c>
      <c r="N544" s="9"/>
      <c r="O544" s="8">
        <v>19863</v>
      </c>
      <c r="P544" s="9"/>
      <c r="Q544" s="8">
        <v>1247</v>
      </c>
      <c r="R544" s="9"/>
      <c r="S544" s="8">
        <v>11505</v>
      </c>
      <c r="T544" s="9"/>
      <c r="U544" s="8">
        <v>0</v>
      </c>
      <c r="V544" s="9"/>
      <c r="W544" s="33">
        <v>189452</v>
      </c>
      <c r="X544" s="9"/>
      <c r="Y544" s="30">
        <v>240</v>
      </c>
      <c r="Z544" s="9"/>
      <c r="AA544" s="30">
        <v>31</v>
      </c>
      <c r="AB544" s="9"/>
      <c r="AC544" s="30">
        <v>1</v>
      </c>
      <c r="AD544" s="9"/>
      <c r="AE544" s="30">
        <v>20</v>
      </c>
      <c r="AF544" s="9"/>
      <c r="AG544" s="19">
        <v>0</v>
      </c>
      <c r="AI544" s="32">
        <v>292</v>
      </c>
      <c r="AK544" s="7" t="str">
        <f t="shared" si="8"/>
        <v>No</v>
      </c>
    </row>
    <row r="545" spans="1:37">
      <c r="A545" s="7" t="s">
        <v>512</v>
      </c>
      <c r="B545" s="7" t="s">
        <v>513</v>
      </c>
      <c r="C545" s="37" t="s">
        <v>42</v>
      </c>
      <c r="D545" s="296">
        <v>5054</v>
      </c>
      <c r="E545" s="297">
        <v>50054</v>
      </c>
      <c r="F545" s="27" t="s">
        <v>162</v>
      </c>
      <c r="G545" s="27" t="s">
        <v>158</v>
      </c>
      <c r="H545" s="35">
        <v>90580</v>
      </c>
      <c r="I545" s="35">
        <v>36</v>
      </c>
      <c r="J545" s="9" t="s">
        <v>7</v>
      </c>
      <c r="K545" s="9" t="s">
        <v>159</v>
      </c>
      <c r="L545" s="8">
        <v>26</v>
      </c>
      <c r="M545" s="8">
        <v>7868</v>
      </c>
      <c r="N545" s="9"/>
      <c r="O545" s="8">
        <v>0</v>
      </c>
      <c r="P545" s="9"/>
      <c r="Q545" s="8">
        <v>0</v>
      </c>
      <c r="R545" s="9"/>
      <c r="S545" s="8">
        <v>0</v>
      </c>
      <c r="T545" s="9"/>
      <c r="U545" s="8">
        <v>0</v>
      </c>
      <c r="V545" s="9"/>
      <c r="W545" s="33">
        <v>7868</v>
      </c>
      <c r="X545" s="9"/>
      <c r="Y545" s="30">
        <v>7</v>
      </c>
      <c r="Z545" s="9"/>
      <c r="AA545" s="30">
        <v>0</v>
      </c>
      <c r="AB545" s="9"/>
      <c r="AC545" s="30">
        <v>0</v>
      </c>
      <c r="AD545" s="9"/>
      <c r="AE545" s="30">
        <v>0</v>
      </c>
      <c r="AF545" s="9"/>
      <c r="AG545" s="19">
        <v>0</v>
      </c>
      <c r="AI545" s="32">
        <v>7</v>
      </c>
      <c r="AK545" s="7" t="str">
        <f t="shared" si="8"/>
        <v>No</v>
      </c>
    </row>
    <row r="546" spans="1:37">
      <c r="A546" s="7" t="s">
        <v>225</v>
      </c>
      <c r="B546" s="7" t="s">
        <v>226</v>
      </c>
      <c r="C546" s="37" t="s">
        <v>40</v>
      </c>
      <c r="D546" s="296">
        <v>5047</v>
      </c>
      <c r="E546" s="297">
        <v>50047</v>
      </c>
      <c r="F546" s="27" t="s">
        <v>165</v>
      </c>
      <c r="G546" s="27" t="s">
        <v>158</v>
      </c>
      <c r="H546" s="35">
        <v>132600</v>
      </c>
      <c r="I546" s="35">
        <v>36</v>
      </c>
      <c r="J546" s="9" t="s">
        <v>7</v>
      </c>
      <c r="K546" s="9" t="s">
        <v>159</v>
      </c>
      <c r="L546" s="8">
        <v>23</v>
      </c>
      <c r="M546" s="8">
        <v>1757</v>
      </c>
      <c r="N546" s="9"/>
      <c r="O546" s="8">
        <v>0</v>
      </c>
      <c r="P546" s="9"/>
      <c r="Q546" s="8">
        <v>0</v>
      </c>
      <c r="R546" s="9"/>
      <c r="S546" s="8">
        <v>0</v>
      </c>
      <c r="T546" s="9"/>
      <c r="U546" s="8">
        <v>0</v>
      </c>
      <c r="V546" s="9"/>
      <c r="W546" s="33">
        <v>1757</v>
      </c>
      <c r="X546" s="9"/>
      <c r="Y546" s="30">
        <v>1.56</v>
      </c>
      <c r="Z546" s="9"/>
      <c r="AA546" s="30">
        <v>0</v>
      </c>
      <c r="AB546" s="9"/>
      <c r="AC546" s="30">
        <v>0</v>
      </c>
      <c r="AD546" s="9"/>
      <c r="AE546" s="30">
        <v>0</v>
      </c>
      <c r="AF546" s="9"/>
      <c r="AG546" s="19">
        <v>0</v>
      </c>
      <c r="AI546" s="32">
        <v>1.56</v>
      </c>
      <c r="AK546" s="7" t="str">
        <f t="shared" si="8"/>
        <v>No</v>
      </c>
    </row>
    <row r="547" spans="1:37">
      <c r="A547" s="7" t="s">
        <v>50</v>
      </c>
      <c r="B547" s="7" t="s">
        <v>376</v>
      </c>
      <c r="C547" s="37" t="s">
        <v>48</v>
      </c>
      <c r="D547" s="296">
        <v>3072</v>
      </c>
      <c r="E547" s="297">
        <v>30072</v>
      </c>
      <c r="F547" s="27" t="s">
        <v>162</v>
      </c>
      <c r="G547" s="27" t="s">
        <v>158</v>
      </c>
      <c r="H547" s="35">
        <v>141576</v>
      </c>
      <c r="I547" s="35">
        <v>36</v>
      </c>
      <c r="J547" s="9" t="s">
        <v>7</v>
      </c>
      <c r="K547" s="9" t="s">
        <v>159</v>
      </c>
      <c r="L547" s="8">
        <v>18</v>
      </c>
      <c r="M547" s="8">
        <v>13644</v>
      </c>
      <c r="N547" s="9"/>
      <c r="O547" s="8">
        <v>0</v>
      </c>
      <c r="P547" s="9"/>
      <c r="Q547" s="8">
        <v>0</v>
      </c>
      <c r="R547" s="9"/>
      <c r="S547" s="8">
        <v>311</v>
      </c>
      <c r="T547" s="9"/>
      <c r="U547" s="8">
        <v>0</v>
      </c>
      <c r="V547" s="9"/>
      <c r="W547" s="33">
        <v>13955</v>
      </c>
      <c r="X547" s="9"/>
      <c r="Y547" s="30">
        <v>16.5</v>
      </c>
      <c r="Z547" s="9"/>
      <c r="AA547" s="30">
        <v>0</v>
      </c>
      <c r="AB547" s="9"/>
      <c r="AC547" s="30">
        <v>0</v>
      </c>
      <c r="AD547" s="9"/>
      <c r="AE547" s="30">
        <v>0.33</v>
      </c>
      <c r="AF547" s="9"/>
      <c r="AG547" s="19">
        <v>0</v>
      </c>
      <c r="AI547" s="32">
        <v>16.829999999999998</v>
      </c>
      <c r="AK547" s="7" t="str">
        <f t="shared" si="8"/>
        <v>No</v>
      </c>
    </row>
    <row r="548" spans="1:37">
      <c r="A548" s="7" t="s">
        <v>50</v>
      </c>
      <c r="B548" s="7" t="s">
        <v>376</v>
      </c>
      <c r="C548" s="37" t="s">
        <v>48</v>
      </c>
      <c r="D548" s="296">
        <v>3072</v>
      </c>
      <c r="E548" s="297">
        <v>30072</v>
      </c>
      <c r="F548" s="27" t="s">
        <v>162</v>
      </c>
      <c r="G548" s="27" t="s">
        <v>158</v>
      </c>
      <c r="H548" s="35">
        <v>141576</v>
      </c>
      <c r="I548" s="35">
        <v>36</v>
      </c>
      <c r="J548" s="9" t="s">
        <v>10</v>
      </c>
      <c r="K548" s="9" t="s">
        <v>159</v>
      </c>
      <c r="L548" s="8">
        <v>18</v>
      </c>
      <c r="M548" s="8">
        <v>6397</v>
      </c>
      <c r="N548" s="9"/>
      <c r="O548" s="8">
        <v>0</v>
      </c>
      <c r="P548" s="9"/>
      <c r="Q548" s="8">
        <v>0</v>
      </c>
      <c r="R548" s="9"/>
      <c r="S548" s="8">
        <v>632</v>
      </c>
      <c r="T548" s="9"/>
      <c r="U548" s="8">
        <v>0</v>
      </c>
      <c r="V548" s="9"/>
      <c r="W548" s="33">
        <v>7029</v>
      </c>
      <c r="X548" s="9"/>
      <c r="Y548" s="30">
        <v>8.25</v>
      </c>
      <c r="Z548" s="9"/>
      <c r="AA548" s="30">
        <v>0</v>
      </c>
      <c r="AB548" s="9"/>
      <c r="AC548" s="30">
        <v>0</v>
      </c>
      <c r="AD548" s="9"/>
      <c r="AE548" s="30">
        <v>0.66</v>
      </c>
      <c r="AF548" s="9"/>
      <c r="AG548" s="19">
        <v>0</v>
      </c>
      <c r="AI548" s="32">
        <v>8.91</v>
      </c>
      <c r="AK548" s="7" t="str">
        <f t="shared" si="8"/>
        <v>No</v>
      </c>
    </row>
    <row r="549" spans="1:37">
      <c r="A549" s="7" t="s">
        <v>225</v>
      </c>
      <c r="B549" s="7" t="s">
        <v>226</v>
      </c>
      <c r="C549" s="37" t="s">
        <v>40</v>
      </c>
      <c r="D549" s="296">
        <v>5047</v>
      </c>
      <c r="E549" s="297">
        <v>50047</v>
      </c>
      <c r="F549" s="27" t="s">
        <v>165</v>
      </c>
      <c r="G549" s="27" t="s">
        <v>158</v>
      </c>
      <c r="H549" s="35">
        <v>132600</v>
      </c>
      <c r="I549" s="35">
        <v>36</v>
      </c>
      <c r="J549" s="9" t="s">
        <v>10</v>
      </c>
      <c r="K549" s="9" t="s">
        <v>159</v>
      </c>
      <c r="L549" s="8">
        <v>13</v>
      </c>
      <c r="M549" s="8">
        <v>495</v>
      </c>
      <c r="N549" s="9"/>
      <c r="O549" s="8">
        <v>0</v>
      </c>
      <c r="P549" s="9"/>
      <c r="Q549" s="8">
        <v>0</v>
      </c>
      <c r="R549" s="9"/>
      <c r="S549" s="8">
        <v>0</v>
      </c>
      <c r="T549" s="9"/>
      <c r="U549" s="8">
        <v>0</v>
      </c>
      <c r="V549" s="9"/>
      <c r="W549" s="33">
        <v>495</v>
      </c>
      <c r="X549" s="9"/>
      <c r="Y549" s="30">
        <v>0.44</v>
      </c>
      <c r="Z549" s="9"/>
      <c r="AA549" s="30">
        <v>0</v>
      </c>
      <c r="AB549" s="9"/>
      <c r="AC549" s="30">
        <v>0</v>
      </c>
      <c r="AD549" s="9"/>
      <c r="AE549" s="30">
        <v>0</v>
      </c>
      <c r="AF549" s="9"/>
      <c r="AG549" s="19">
        <v>0</v>
      </c>
      <c r="AI549" s="32">
        <v>0.44</v>
      </c>
      <c r="AK549" s="7" t="str">
        <f t="shared" si="8"/>
        <v>No</v>
      </c>
    </row>
    <row r="550" spans="1:37">
      <c r="A550" s="7" t="s">
        <v>512</v>
      </c>
      <c r="B550" s="7" t="s">
        <v>513</v>
      </c>
      <c r="C550" s="37" t="s">
        <v>42</v>
      </c>
      <c r="D550" s="296">
        <v>5054</v>
      </c>
      <c r="E550" s="297">
        <v>50054</v>
      </c>
      <c r="F550" s="27" t="s">
        <v>162</v>
      </c>
      <c r="G550" s="27" t="s">
        <v>158</v>
      </c>
      <c r="H550" s="35">
        <v>90580</v>
      </c>
      <c r="I550" s="35">
        <v>36</v>
      </c>
      <c r="J550" s="9" t="s">
        <v>10</v>
      </c>
      <c r="K550" s="9" t="s">
        <v>159</v>
      </c>
      <c r="L550" s="8">
        <v>10</v>
      </c>
      <c r="M550" s="8">
        <v>5911</v>
      </c>
      <c r="N550" s="9"/>
      <c r="O550" s="8">
        <v>0</v>
      </c>
      <c r="P550" s="9"/>
      <c r="Q550" s="8">
        <v>1082</v>
      </c>
      <c r="R550" s="9"/>
      <c r="S550" s="8">
        <v>0</v>
      </c>
      <c r="T550" s="9"/>
      <c r="U550" s="8">
        <v>0</v>
      </c>
      <c r="V550" s="9"/>
      <c r="W550" s="33">
        <v>6993</v>
      </c>
      <c r="X550" s="9"/>
      <c r="Y550" s="30">
        <v>4</v>
      </c>
      <c r="Z550" s="9"/>
      <c r="AA550" s="30">
        <v>0</v>
      </c>
      <c r="AB550" s="9"/>
      <c r="AC550" s="30">
        <v>1</v>
      </c>
      <c r="AD550" s="9"/>
      <c r="AE550" s="30">
        <v>0</v>
      </c>
      <c r="AF550" s="9"/>
      <c r="AG550" s="19">
        <v>0</v>
      </c>
      <c r="AI550" s="32">
        <v>5</v>
      </c>
      <c r="AK550" s="7" t="str">
        <f t="shared" si="8"/>
        <v>No</v>
      </c>
    </row>
    <row r="551" spans="1:37">
      <c r="A551" s="7" t="s">
        <v>1098</v>
      </c>
      <c r="B551" s="7" t="s">
        <v>1099</v>
      </c>
      <c r="C551" s="37" t="s">
        <v>47</v>
      </c>
      <c r="D551" s="296"/>
      <c r="E551" s="297">
        <v>10183</v>
      </c>
      <c r="F551" s="27" t="s">
        <v>165</v>
      </c>
      <c r="G551" s="27" t="s">
        <v>158</v>
      </c>
      <c r="H551" s="35">
        <v>246695</v>
      </c>
      <c r="I551" s="35">
        <v>34</v>
      </c>
      <c r="J551" s="9" t="s">
        <v>7</v>
      </c>
      <c r="K551" s="9" t="s">
        <v>159</v>
      </c>
      <c r="L551" s="8">
        <v>24</v>
      </c>
      <c r="M551" s="8">
        <v>34320</v>
      </c>
      <c r="N551" s="9"/>
      <c r="O551" s="8">
        <v>260</v>
      </c>
      <c r="P551" s="9"/>
      <c r="Q551" s="8">
        <v>0</v>
      </c>
      <c r="R551" s="9"/>
      <c r="S551" s="8">
        <v>898</v>
      </c>
      <c r="T551" s="9"/>
      <c r="U551" s="8">
        <v>0</v>
      </c>
      <c r="V551" s="9"/>
      <c r="W551" s="33">
        <v>35478</v>
      </c>
      <c r="X551" s="9"/>
      <c r="Y551" s="30">
        <v>50</v>
      </c>
      <c r="Z551" s="9"/>
      <c r="AA551" s="30">
        <v>1</v>
      </c>
      <c r="AB551" s="9"/>
      <c r="AC551" s="30">
        <v>0</v>
      </c>
      <c r="AD551" s="9"/>
      <c r="AE551" s="30">
        <v>2</v>
      </c>
      <c r="AF551" s="9"/>
      <c r="AG551" s="19">
        <v>0</v>
      </c>
      <c r="AI551" s="32">
        <v>53</v>
      </c>
      <c r="AK551" s="7" t="str">
        <f t="shared" si="8"/>
        <v>No</v>
      </c>
    </row>
    <row r="552" spans="1:37">
      <c r="A552" s="7" t="s">
        <v>311</v>
      </c>
      <c r="B552" s="7" t="s">
        <v>312</v>
      </c>
      <c r="C552" s="37" t="s">
        <v>17</v>
      </c>
      <c r="D552" s="296">
        <v>9017</v>
      </c>
      <c r="E552" s="297">
        <v>90017</v>
      </c>
      <c r="F552" s="27" t="s">
        <v>162</v>
      </c>
      <c r="G552" s="27" t="s">
        <v>158</v>
      </c>
      <c r="H552" s="35">
        <v>308231</v>
      </c>
      <c r="I552" s="35">
        <v>34</v>
      </c>
      <c r="J552" s="9" t="s">
        <v>7</v>
      </c>
      <c r="K552" s="9" t="s">
        <v>159</v>
      </c>
      <c r="L552" s="8">
        <v>23</v>
      </c>
      <c r="M552" s="8">
        <v>18031</v>
      </c>
      <c r="N552" s="9"/>
      <c r="O552" s="8">
        <v>0</v>
      </c>
      <c r="P552" s="9"/>
      <c r="Q552" s="8">
        <v>0</v>
      </c>
      <c r="R552" s="9"/>
      <c r="S552" s="8">
        <v>0</v>
      </c>
      <c r="T552" s="9"/>
      <c r="U552" s="8">
        <v>0</v>
      </c>
      <c r="V552" s="9"/>
      <c r="W552" s="33">
        <v>18031</v>
      </c>
      <c r="X552" s="9"/>
      <c r="Y552" s="30">
        <v>15</v>
      </c>
      <c r="Z552" s="9"/>
      <c r="AA552" s="30">
        <v>0</v>
      </c>
      <c r="AB552" s="9"/>
      <c r="AC552" s="30">
        <v>0</v>
      </c>
      <c r="AD552" s="9"/>
      <c r="AE552" s="30">
        <v>0</v>
      </c>
      <c r="AF552" s="9"/>
      <c r="AG552" s="19">
        <v>0</v>
      </c>
      <c r="AI552" s="32">
        <v>15</v>
      </c>
      <c r="AK552" s="7" t="str">
        <f t="shared" si="8"/>
        <v>No</v>
      </c>
    </row>
    <row r="553" spans="1:37">
      <c r="A553" s="7" t="s">
        <v>123</v>
      </c>
      <c r="B553" s="7" t="s">
        <v>200</v>
      </c>
      <c r="C553" s="37" t="s">
        <v>77</v>
      </c>
      <c r="D553" s="296">
        <v>3011</v>
      </c>
      <c r="E553" s="297">
        <v>30011</v>
      </c>
      <c r="F553" s="27" t="s">
        <v>165</v>
      </c>
      <c r="G553" s="27" t="s">
        <v>158</v>
      </c>
      <c r="H553" s="35">
        <v>79930</v>
      </c>
      <c r="I553" s="35">
        <v>34</v>
      </c>
      <c r="J553" s="9" t="s">
        <v>7</v>
      </c>
      <c r="K553" s="9" t="s">
        <v>159</v>
      </c>
      <c r="L553" s="8">
        <v>21</v>
      </c>
      <c r="M553" s="8">
        <v>9404</v>
      </c>
      <c r="N553" s="9"/>
      <c r="O553" s="8">
        <v>0</v>
      </c>
      <c r="P553" s="9"/>
      <c r="Q553" s="8">
        <v>0</v>
      </c>
      <c r="R553" s="9"/>
      <c r="S553" s="8">
        <v>0</v>
      </c>
      <c r="T553" s="9"/>
      <c r="U553" s="8">
        <v>0</v>
      </c>
      <c r="V553" s="9"/>
      <c r="W553" s="33">
        <v>9404</v>
      </c>
      <c r="X553" s="9"/>
      <c r="Y553" s="30">
        <v>7.5</v>
      </c>
      <c r="Z553" s="9"/>
      <c r="AA553" s="30">
        <v>0</v>
      </c>
      <c r="AB553" s="9"/>
      <c r="AC553" s="30">
        <v>0</v>
      </c>
      <c r="AD553" s="9"/>
      <c r="AE553" s="30">
        <v>0</v>
      </c>
      <c r="AF553" s="9"/>
      <c r="AG553" s="19">
        <v>0</v>
      </c>
      <c r="AI553" s="32">
        <v>7.5</v>
      </c>
      <c r="AK553" s="7" t="str">
        <f t="shared" si="8"/>
        <v>No</v>
      </c>
    </row>
    <row r="554" spans="1:37">
      <c r="A554" s="7" t="s">
        <v>1098</v>
      </c>
      <c r="B554" s="7" t="s">
        <v>1099</v>
      </c>
      <c r="C554" s="37" t="s">
        <v>47</v>
      </c>
      <c r="D554" s="296"/>
      <c r="E554" s="297">
        <v>10183</v>
      </c>
      <c r="F554" s="27" t="s">
        <v>165</v>
      </c>
      <c r="G554" s="27" t="s">
        <v>158</v>
      </c>
      <c r="H554" s="35">
        <v>246695</v>
      </c>
      <c r="I554" s="35">
        <v>34</v>
      </c>
      <c r="J554" s="9" t="s">
        <v>19</v>
      </c>
      <c r="K554" s="9" t="s">
        <v>159</v>
      </c>
      <c r="L554" s="8">
        <v>10</v>
      </c>
      <c r="M554" s="8">
        <v>112136</v>
      </c>
      <c r="N554" s="9"/>
      <c r="O554" s="8">
        <v>2329</v>
      </c>
      <c r="P554" s="9"/>
      <c r="Q554" s="8">
        <v>0</v>
      </c>
      <c r="R554" s="9"/>
      <c r="S554" s="8">
        <v>8080</v>
      </c>
      <c r="T554" s="9"/>
      <c r="U554" s="8">
        <v>0</v>
      </c>
      <c r="V554" s="9"/>
      <c r="W554" s="33">
        <v>122545</v>
      </c>
      <c r="X554" s="9"/>
      <c r="Y554" s="30">
        <v>170</v>
      </c>
      <c r="Z554" s="9"/>
      <c r="AA554" s="30">
        <v>2</v>
      </c>
      <c r="AB554" s="9"/>
      <c r="AC554" s="30">
        <v>0</v>
      </c>
      <c r="AD554" s="9"/>
      <c r="AE554" s="30">
        <v>12</v>
      </c>
      <c r="AF554" s="9"/>
      <c r="AG554" s="19">
        <v>0</v>
      </c>
      <c r="AI554" s="32">
        <v>184</v>
      </c>
      <c r="AK554" s="7" t="str">
        <f t="shared" si="8"/>
        <v>No</v>
      </c>
    </row>
    <row r="555" spans="1:37">
      <c r="A555" s="7" t="s">
        <v>123</v>
      </c>
      <c r="B555" s="7" t="s">
        <v>200</v>
      </c>
      <c r="C555" s="37" t="s">
        <v>77</v>
      </c>
      <c r="D555" s="296">
        <v>3011</v>
      </c>
      <c r="E555" s="297">
        <v>30011</v>
      </c>
      <c r="F555" s="27" t="s">
        <v>165</v>
      </c>
      <c r="G555" s="27" t="s">
        <v>158</v>
      </c>
      <c r="H555" s="35">
        <v>79930</v>
      </c>
      <c r="I555" s="35">
        <v>34</v>
      </c>
      <c r="J555" s="9" t="s">
        <v>10</v>
      </c>
      <c r="K555" s="9" t="s">
        <v>159</v>
      </c>
      <c r="L555" s="8">
        <v>1</v>
      </c>
      <c r="M555" s="8">
        <v>263</v>
      </c>
      <c r="N555" s="9"/>
      <c r="O555" s="8">
        <v>0</v>
      </c>
      <c r="P555" s="9"/>
      <c r="Q555" s="8">
        <v>0</v>
      </c>
      <c r="R555" s="9"/>
      <c r="S555" s="8">
        <v>0</v>
      </c>
      <c r="T555" s="9"/>
      <c r="U555" s="8">
        <v>0</v>
      </c>
      <c r="V555" s="9"/>
      <c r="W555" s="33">
        <v>263</v>
      </c>
      <c r="X555" s="9"/>
      <c r="Y555" s="30">
        <v>0.5</v>
      </c>
      <c r="Z555" s="9"/>
      <c r="AA555" s="30">
        <v>0</v>
      </c>
      <c r="AB555" s="9"/>
      <c r="AC555" s="30">
        <v>0</v>
      </c>
      <c r="AD555" s="9"/>
      <c r="AE555" s="30">
        <v>0</v>
      </c>
      <c r="AF555" s="9"/>
      <c r="AG555" s="19">
        <v>0</v>
      </c>
      <c r="AI555" s="32">
        <v>0.5</v>
      </c>
      <c r="AK555" s="7" t="str">
        <f t="shared" si="8"/>
        <v>No</v>
      </c>
    </row>
    <row r="556" spans="1:37">
      <c r="A556" s="7" t="s">
        <v>241</v>
      </c>
      <c r="B556" s="7" t="s">
        <v>242</v>
      </c>
      <c r="C556" s="37" t="s">
        <v>32</v>
      </c>
      <c r="D556" s="296">
        <v>4097</v>
      </c>
      <c r="E556" s="297">
        <v>40097</v>
      </c>
      <c r="F556" s="27" t="s">
        <v>243</v>
      </c>
      <c r="G556" s="27" t="s">
        <v>158</v>
      </c>
      <c r="H556" s="35">
        <v>376047</v>
      </c>
      <c r="I556" s="35">
        <v>33</v>
      </c>
      <c r="J556" s="9" t="s">
        <v>10</v>
      </c>
      <c r="K556" s="9" t="s">
        <v>159</v>
      </c>
      <c r="L556" s="8">
        <v>24</v>
      </c>
      <c r="M556" s="8">
        <v>0</v>
      </c>
      <c r="N556" s="9"/>
      <c r="O556" s="8">
        <v>0</v>
      </c>
      <c r="P556" s="9"/>
      <c r="Q556" s="8">
        <v>0</v>
      </c>
      <c r="R556" s="9"/>
      <c r="S556" s="8">
        <v>0</v>
      </c>
      <c r="T556" s="9"/>
      <c r="U556" s="8">
        <v>0</v>
      </c>
      <c r="V556" s="9"/>
      <c r="W556" s="33">
        <v>0</v>
      </c>
      <c r="X556" s="9"/>
      <c r="Y556" s="30">
        <v>0</v>
      </c>
      <c r="Z556" s="9"/>
      <c r="AA556" s="30">
        <v>0</v>
      </c>
      <c r="AB556" s="9"/>
      <c r="AC556" s="30">
        <v>0</v>
      </c>
      <c r="AD556" s="9"/>
      <c r="AE556" s="30">
        <v>0</v>
      </c>
      <c r="AF556" s="9"/>
      <c r="AG556" s="19">
        <v>0</v>
      </c>
      <c r="AI556" s="32">
        <v>0</v>
      </c>
      <c r="AK556" s="7" t="str">
        <f t="shared" si="8"/>
        <v>No</v>
      </c>
    </row>
    <row r="557" spans="1:37">
      <c r="A557" s="7" t="s">
        <v>503</v>
      </c>
      <c r="B557" s="7" t="s">
        <v>504</v>
      </c>
      <c r="C557" s="37" t="s">
        <v>57</v>
      </c>
      <c r="D557" s="296">
        <v>8009</v>
      </c>
      <c r="E557" s="297">
        <v>80009</v>
      </c>
      <c r="F557" s="27" t="s">
        <v>165</v>
      </c>
      <c r="G557" s="27" t="s">
        <v>158</v>
      </c>
      <c r="H557" s="35">
        <v>82157</v>
      </c>
      <c r="I557" s="35">
        <v>33</v>
      </c>
      <c r="J557" s="9" t="s">
        <v>7</v>
      </c>
      <c r="K557" s="9" t="s">
        <v>159</v>
      </c>
      <c r="L557" s="8">
        <v>24</v>
      </c>
      <c r="M557" s="8">
        <v>10886</v>
      </c>
      <c r="N557" s="9"/>
      <c r="O557" s="8">
        <v>61</v>
      </c>
      <c r="P557" s="9"/>
      <c r="Q557" s="8">
        <v>0</v>
      </c>
      <c r="R557" s="9"/>
      <c r="S557" s="8">
        <v>0</v>
      </c>
      <c r="T557" s="9"/>
      <c r="U557" s="8">
        <v>0</v>
      </c>
      <c r="V557" s="9"/>
      <c r="W557" s="33">
        <v>10947</v>
      </c>
      <c r="X557" s="9"/>
      <c r="Y557" s="30">
        <v>7.33</v>
      </c>
      <c r="Z557" s="9"/>
      <c r="AA557" s="30">
        <v>0.21</v>
      </c>
      <c r="AB557" s="9"/>
      <c r="AC557" s="30">
        <v>0</v>
      </c>
      <c r="AD557" s="9"/>
      <c r="AE557" s="30">
        <v>0</v>
      </c>
      <c r="AF557" s="9"/>
      <c r="AG557" s="19">
        <v>0</v>
      </c>
      <c r="AI557" s="32">
        <v>7.54</v>
      </c>
      <c r="AK557" s="7" t="str">
        <f t="shared" si="8"/>
        <v>No</v>
      </c>
    </row>
    <row r="558" spans="1:37">
      <c r="A558" s="7" t="s">
        <v>287</v>
      </c>
      <c r="B558" s="7" t="s">
        <v>288</v>
      </c>
      <c r="C558" s="37" t="s">
        <v>84</v>
      </c>
      <c r="D558" s="296">
        <v>6014</v>
      </c>
      <c r="E558" s="297">
        <v>60014</v>
      </c>
      <c r="F558" s="27" t="s">
        <v>162</v>
      </c>
      <c r="G558" s="27" t="s">
        <v>158</v>
      </c>
      <c r="H558" s="35">
        <v>217585</v>
      </c>
      <c r="I558" s="35">
        <v>33</v>
      </c>
      <c r="J558" s="9" t="s">
        <v>7</v>
      </c>
      <c r="K558" s="9" t="s">
        <v>159</v>
      </c>
      <c r="L558" s="8">
        <v>19</v>
      </c>
      <c r="M558" s="8">
        <v>616</v>
      </c>
      <c r="N558" s="9"/>
      <c r="O558" s="8">
        <v>2677</v>
      </c>
      <c r="P558" s="9"/>
      <c r="Q558" s="8">
        <v>0</v>
      </c>
      <c r="R558" s="9"/>
      <c r="S558" s="8">
        <v>0</v>
      </c>
      <c r="T558" s="9"/>
      <c r="U558" s="8">
        <v>0</v>
      </c>
      <c r="V558" s="9"/>
      <c r="W558" s="33">
        <v>3293</v>
      </c>
      <c r="X558" s="9"/>
      <c r="Y558" s="30">
        <v>1</v>
      </c>
      <c r="Z558" s="9"/>
      <c r="AA558" s="30">
        <v>2.52</v>
      </c>
      <c r="AB558" s="9"/>
      <c r="AC558" s="30">
        <v>0</v>
      </c>
      <c r="AD558" s="9"/>
      <c r="AE558" s="30">
        <v>0</v>
      </c>
      <c r="AF558" s="9"/>
      <c r="AG558" s="19">
        <v>0</v>
      </c>
      <c r="AI558" s="32">
        <v>3.52</v>
      </c>
      <c r="AK558" s="7" t="str">
        <f t="shared" si="8"/>
        <v>No</v>
      </c>
    </row>
    <row r="559" spans="1:37">
      <c r="A559" s="7" t="s">
        <v>503</v>
      </c>
      <c r="B559" s="7" t="s">
        <v>504</v>
      </c>
      <c r="C559" s="37" t="s">
        <v>57</v>
      </c>
      <c r="D559" s="296">
        <v>8009</v>
      </c>
      <c r="E559" s="297">
        <v>80009</v>
      </c>
      <c r="F559" s="27" t="s">
        <v>165</v>
      </c>
      <c r="G559" s="27" t="s">
        <v>158</v>
      </c>
      <c r="H559" s="35">
        <v>82157</v>
      </c>
      <c r="I559" s="35">
        <v>33</v>
      </c>
      <c r="J559" s="9" t="s">
        <v>10</v>
      </c>
      <c r="K559" s="9" t="s">
        <v>159</v>
      </c>
      <c r="L559" s="8">
        <v>9</v>
      </c>
      <c r="M559" s="8">
        <v>2047</v>
      </c>
      <c r="N559" s="9"/>
      <c r="O559" s="8">
        <v>2</v>
      </c>
      <c r="P559" s="9"/>
      <c r="Q559" s="8">
        <v>0</v>
      </c>
      <c r="R559" s="9"/>
      <c r="S559" s="8">
        <v>0</v>
      </c>
      <c r="T559" s="9"/>
      <c r="U559" s="8">
        <v>0</v>
      </c>
      <c r="V559" s="9"/>
      <c r="W559" s="33">
        <v>2049</v>
      </c>
      <c r="X559" s="9"/>
      <c r="Y559" s="30">
        <v>1.43</v>
      </c>
      <c r="Z559" s="9"/>
      <c r="AA559" s="30">
        <v>0</v>
      </c>
      <c r="AB559" s="9"/>
      <c r="AC559" s="30">
        <v>0</v>
      </c>
      <c r="AD559" s="9"/>
      <c r="AE559" s="30">
        <v>0</v>
      </c>
      <c r="AF559" s="9"/>
      <c r="AG559" s="19">
        <v>0</v>
      </c>
      <c r="AI559" s="32">
        <v>1.43</v>
      </c>
      <c r="AK559" s="7" t="str">
        <f t="shared" si="8"/>
        <v>No</v>
      </c>
    </row>
    <row r="560" spans="1:37">
      <c r="A560" s="7" t="s">
        <v>241</v>
      </c>
      <c r="B560" s="7" t="s">
        <v>242</v>
      </c>
      <c r="C560" s="37" t="s">
        <v>32</v>
      </c>
      <c r="D560" s="296">
        <v>4097</v>
      </c>
      <c r="E560" s="297">
        <v>40097</v>
      </c>
      <c r="F560" s="27" t="s">
        <v>243</v>
      </c>
      <c r="G560" s="27" t="s">
        <v>158</v>
      </c>
      <c r="H560" s="35">
        <v>376047</v>
      </c>
      <c r="I560" s="35">
        <v>33</v>
      </c>
      <c r="J560" s="9" t="s">
        <v>7</v>
      </c>
      <c r="K560" s="9" t="s">
        <v>159</v>
      </c>
      <c r="L560" s="8">
        <v>9</v>
      </c>
      <c r="M560" s="8">
        <v>4117</v>
      </c>
      <c r="N560" s="9"/>
      <c r="O560" s="8">
        <v>0</v>
      </c>
      <c r="P560" s="9"/>
      <c r="Q560" s="8">
        <v>0</v>
      </c>
      <c r="R560" s="9"/>
      <c r="S560" s="8">
        <v>0</v>
      </c>
      <c r="T560" s="9"/>
      <c r="U560" s="8">
        <v>0</v>
      </c>
      <c r="V560" s="9"/>
      <c r="W560" s="33">
        <v>4117</v>
      </c>
      <c r="X560" s="9"/>
      <c r="Y560" s="30">
        <v>6</v>
      </c>
      <c r="Z560" s="9"/>
      <c r="AA560" s="30">
        <v>0</v>
      </c>
      <c r="AB560" s="9"/>
      <c r="AC560" s="30">
        <v>0</v>
      </c>
      <c r="AD560" s="9"/>
      <c r="AE560" s="30">
        <v>0</v>
      </c>
      <c r="AF560" s="9"/>
      <c r="AG560" s="19">
        <v>0</v>
      </c>
      <c r="AI560" s="32">
        <v>6</v>
      </c>
      <c r="AK560" s="7" t="str">
        <f t="shared" si="8"/>
        <v>No</v>
      </c>
    </row>
    <row r="561" spans="1:37">
      <c r="A561" s="7" t="s">
        <v>287</v>
      </c>
      <c r="B561" s="7" t="s">
        <v>288</v>
      </c>
      <c r="C561" s="37" t="s">
        <v>84</v>
      </c>
      <c r="D561" s="296">
        <v>6014</v>
      </c>
      <c r="E561" s="297">
        <v>60014</v>
      </c>
      <c r="F561" s="27" t="s">
        <v>162</v>
      </c>
      <c r="G561" s="27" t="s">
        <v>158</v>
      </c>
      <c r="H561" s="35">
        <v>217585</v>
      </c>
      <c r="I561" s="35">
        <v>33</v>
      </c>
      <c r="J561" s="9" t="s">
        <v>10</v>
      </c>
      <c r="K561" s="9" t="s">
        <v>159</v>
      </c>
      <c r="L561" s="8">
        <v>8</v>
      </c>
      <c r="M561" s="8">
        <v>0</v>
      </c>
      <c r="N561" s="9"/>
      <c r="O561" s="8">
        <v>482</v>
      </c>
      <c r="P561" s="9"/>
      <c r="Q561" s="8">
        <v>0</v>
      </c>
      <c r="R561" s="9"/>
      <c r="S561" s="8">
        <v>0</v>
      </c>
      <c r="T561" s="9"/>
      <c r="U561" s="8">
        <v>0</v>
      </c>
      <c r="V561" s="9"/>
      <c r="W561" s="33">
        <v>482</v>
      </c>
      <c r="X561" s="9"/>
      <c r="Y561" s="30">
        <v>0</v>
      </c>
      <c r="Z561" s="9"/>
      <c r="AA561" s="30">
        <v>0.48</v>
      </c>
      <c r="AB561" s="9"/>
      <c r="AC561" s="30">
        <v>0</v>
      </c>
      <c r="AD561" s="9"/>
      <c r="AE561" s="30">
        <v>0</v>
      </c>
      <c r="AF561" s="9"/>
      <c r="AG561" s="19">
        <v>0</v>
      </c>
      <c r="AI561" s="32">
        <v>0.48</v>
      </c>
      <c r="AK561" s="7" t="str">
        <f t="shared" si="8"/>
        <v>No</v>
      </c>
    </row>
    <row r="562" spans="1:37">
      <c r="A562" s="7" t="s">
        <v>72</v>
      </c>
      <c r="B562" s="7" t="s">
        <v>505</v>
      </c>
      <c r="C562" s="37" t="s">
        <v>70</v>
      </c>
      <c r="D562" s="296">
        <v>2135</v>
      </c>
      <c r="E562" s="297">
        <v>20135</v>
      </c>
      <c r="F562" s="27" t="s">
        <v>173</v>
      </c>
      <c r="G562" s="27" t="s">
        <v>158</v>
      </c>
      <c r="H562" s="35">
        <v>18351295</v>
      </c>
      <c r="I562" s="35">
        <v>32</v>
      </c>
      <c r="J562" s="9" t="s">
        <v>18</v>
      </c>
      <c r="K562" s="9" t="s">
        <v>159</v>
      </c>
      <c r="L562" s="8">
        <v>32</v>
      </c>
      <c r="M562" s="8">
        <v>0</v>
      </c>
      <c r="N562" s="9"/>
      <c r="O562" s="8">
        <v>0</v>
      </c>
      <c r="P562" s="9"/>
      <c r="Q562" s="8">
        <v>0</v>
      </c>
      <c r="R562" s="9"/>
      <c r="S562" s="8">
        <v>0</v>
      </c>
      <c r="T562" s="9"/>
      <c r="U562" s="8">
        <v>0</v>
      </c>
      <c r="V562" s="9"/>
      <c r="W562" s="33">
        <v>0</v>
      </c>
      <c r="X562" s="9"/>
      <c r="Y562" s="30">
        <v>0</v>
      </c>
      <c r="Z562" s="9"/>
      <c r="AA562" s="30">
        <v>0</v>
      </c>
      <c r="AB562" s="9"/>
      <c r="AC562" s="30">
        <v>0</v>
      </c>
      <c r="AD562" s="9"/>
      <c r="AE562" s="30">
        <v>0</v>
      </c>
      <c r="AF562" s="9"/>
      <c r="AG562" s="19">
        <v>0</v>
      </c>
      <c r="AI562" s="32">
        <v>0</v>
      </c>
      <c r="AK562" s="7" t="str">
        <f t="shared" si="8"/>
        <v>No</v>
      </c>
    </row>
    <row r="563" spans="1:37">
      <c r="A563" s="7" t="s">
        <v>579</v>
      </c>
      <c r="B563" s="7" t="s">
        <v>580</v>
      </c>
      <c r="C563" s="37" t="s">
        <v>52</v>
      </c>
      <c r="D563" s="296">
        <v>5039</v>
      </c>
      <c r="E563" s="297">
        <v>50039</v>
      </c>
      <c r="F563" s="27" t="s">
        <v>165</v>
      </c>
      <c r="G563" s="27" t="s">
        <v>158</v>
      </c>
      <c r="H563" s="35">
        <v>126265</v>
      </c>
      <c r="I563" s="35">
        <v>32</v>
      </c>
      <c r="J563" s="9" t="s">
        <v>7</v>
      </c>
      <c r="K563" s="9" t="s">
        <v>159</v>
      </c>
      <c r="L563" s="8">
        <v>28</v>
      </c>
      <c r="M563" s="8">
        <v>0</v>
      </c>
      <c r="N563" s="9"/>
      <c r="O563" s="8">
        <v>0</v>
      </c>
      <c r="P563" s="9"/>
      <c r="Q563" s="8">
        <v>0</v>
      </c>
      <c r="R563" s="9"/>
      <c r="S563" s="8">
        <v>0</v>
      </c>
      <c r="T563" s="9"/>
      <c r="U563" s="8">
        <v>0</v>
      </c>
      <c r="V563" s="9"/>
      <c r="W563" s="33">
        <v>0</v>
      </c>
      <c r="X563" s="9"/>
      <c r="Y563" s="30">
        <v>0</v>
      </c>
      <c r="Z563" s="9"/>
      <c r="AA563" s="30">
        <v>0</v>
      </c>
      <c r="AB563" s="9"/>
      <c r="AC563" s="30">
        <v>0</v>
      </c>
      <c r="AD563" s="9"/>
      <c r="AE563" s="30">
        <v>0</v>
      </c>
      <c r="AF563" s="9"/>
      <c r="AG563" s="19">
        <v>0</v>
      </c>
      <c r="AI563" s="32">
        <v>0</v>
      </c>
      <c r="AK563" s="7" t="str">
        <f t="shared" si="8"/>
        <v>No</v>
      </c>
    </row>
    <row r="564" spans="1:37">
      <c r="A564" s="7" t="s">
        <v>1144</v>
      </c>
      <c r="B564" s="7" t="s">
        <v>717</v>
      </c>
      <c r="C564" s="37" t="s">
        <v>51</v>
      </c>
      <c r="D564" s="296">
        <v>1098</v>
      </c>
      <c r="E564" s="297">
        <v>10098</v>
      </c>
      <c r="F564" s="27" t="s">
        <v>187</v>
      </c>
      <c r="G564" s="27" t="s">
        <v>158</v>
      </c>
      <c r="H564" s="35">
        <v>59397</v>
      </c>
      <c r="I564" s="35">
        <v>32</v>
      </c>
      <c r="J564" s="9" t="s">
        <v>10</v>
      </c>
      <c r="K564" s="9" t="s">
        <v>159</v>
      </c>
      <c r="L564" s="8">
        <v>20</v>
      </c>
      <c r="M564" s="8">
        <v>7230</v>
      </c>
      <c r="N564" s="9"/>
      <c r="O564" s="8">
        <v>0</v>
      </c>
      <c r="P564" s="9"/>
      <c r="Q564" s="8">
        <v>0</v>
      </c>
      <c r="R564" s="9"/>
      <c r="S564" s="8">
        <v>0</v>
      </c>
      <c r="T564" s="9"/>
      <c r="U564" s="8">
        <v>0</v>
      </c>
      <c r="V564" s="9"/>
      <c r="W564" s="33">
        <v>7230</v>
      </c>
      <c r="X564" s="9"/>
      <c r="Y564" s="30">
        <v>5</v>
      </c>
      <c r="Z564" s="9"/>
      <c r="AA564" s="30">
        <v>0</v>
      </c>
      <c r="AB564" s="9"/>
      <c r="AC564" s="30">
        <v>0</v>
      </c>
      <c r="AD564" s="9"/>
      <c r="AE564" s="30">
        <v>0</v>
      </c>
      <c r="AF564" s="9"/>
      <c r="AG564" s="19">
        <v>0</v>
      </c>
      <c r="AI564" s="32">
        <v>5</v>
      </c>
      <c r="AK564" s="7" t="str">
        <f t="shared" si="8"/>
        <v>No</v>
      </c>
    </row>
    <row r="565" spans="1:37">
      <c r="A565" s="7" t="s">
        <v>188</v>
      </c>
      <c r="B565" s="7" t="s">
        <v>189</v>
      </c>
      <c r="C565" s="37" t="s">
        <v>77</v>
      </c>
      <c r="D565" s="296">
        <v>3087</v>
      </c>
      <c r="E565" s="297">
        <v>30087</v>
      </c>
      <c r="F565" s="27" t="s">
        <v>162</v>
      </c>
      <c r="G565" s="27" t="s">
        <v>158</v>
      </c>
      <c r="H565" s="35">
        <v>51370</v>
      </c>
      <c r="I565" s="35">
        <v>32</v>
      </c>
      <c r="J565" s="9" t="s">
        <v>10</v>
      </c>
      <c r="K565" s="9" t="s">
        <v>159</v>
      </c>
      <c r="L565" s="8">
        <v>20</v>
      </c>
      <c r="M565" s="8">
        <v>3000</v>
      </c>
      <c r="N565" s="9"/>
      <c r="O565" s="8">
        <v>0</v>
      </c>
      <c r="P565" s="9"/>
      <c r="Q565" s="8">
        <v>0</v>
      </c>
      <c r="R565" s="9"/>
      <c r="S565" s="8">
        <v>0</v>
      </c>
      <c r="T565" s="9"/>
      <c r="U565" s="8">
        <v>0</v>
      </c>
      <c r="V565" s="9"/>
      <c r="W565" s="33">
        <v>3000</v>
      </c>
      <c r="X565" s="9"/>
      <c r="Y565" s="30">
        <v>3</v>
      </c>
      <c r="Z565" s="9"/>
      <c r="AA565" s="30">
        <v>0</v>
      </c>
      <c r="AB565" s="9"/>
      <c r="AC565" s="30">
        <v>0</v>
      </c>
      <c r="AD565" s="9"/>
      <c r="AE565" s="30">
        <v>0</v>
      </c>
      <c r="AF565" s="9"/>
      <c r="AG565" s="19">
        <v>0</v>
      </c>
      <c r="AI565" s="32">
        <v>3</v>
      </c>
      <c r="AK565" s="7" t="str">
        <f t="shared" si="8"/>
        <v>No</v>
      </c>
    </row>
    <row r="566" spans="1:37">
      <c r="A566" s="7" t="s">
        <v>11</v>
      </c>
      <c r="B566" s="7" t="s">
        <v>298</v>
      </c>
      <c r="C566" s="37" t="s">
        <v>9</v>
      </c>
      <c r="D566" s="296">
        <v>4071</v>
      </c>
      <c r="E566" s="297">
        <v>40071</v>
      </c>
      <c r="F566" s="27" t="s">
        <v>162</v>
      </c>
      <c r="G566" s="27" t="s">
        <v>158</v>
      </c>
      <c r="H566" s="35">
        <v>286692</v>
      </c>
      <c r="I566" s="35">
        <v>32</v>
      </c>
      <c r="J566" s="9" t="s">
        <v>10</v>
      </c>
      <c r="K566" s="9" t="s">
        <v>159</v>
      </c>
      <c r="L566" s="8">
        <v>19</v>
      </c>
      <c r="M566" s="8">
        <v>14119</v>
      </c>
      <c r="N566" s="9"/>
      <c r="O566" s="8">
        <v>45</v>
      </c>
      <c r="P566" s="9"/>
      <c r="Q566" s="8">
        <v>0</v>
      </c>
      <c r="R566" s="9"/>
      <c r="S566" s="8">
        <v>239</v>
      </c>
      <c r="T566" s="9"/>
      <c r="U566" s="8">
        <v>0</v>
      </c>
      <c r="V566" s="9"/>
      <c r="W566" s="33">
        <v>14403</v>
      </c>
      <c r="X566" s="9"/>
      <c r="Y566" s="30">
        <v>10.3</v>
      </c>
      <c r="Z566" s="9"/>
      <c r="AA566" s="30">
        <v>1.8</v>
      </c>
      <c r="AB566" s="9"/>
      <c r="AC566" s="30">
        <v>0</v>
      </c>
      <c r="AD566" s="9"/>
      <c r="AE566" s="30">
        <v>0.2</v>
      </c>
      <c r="AF566" s="9"/>
      <c r="AG566" s="19">
        <v>0</v>
      </c>
      <c r="AI566" s="32">
        <v>12.3</v>
      </c>
      <c r="AK566" s="7" t="str">
        <f t="shared" si="8"/>
        <v>No</v>
      </c>
    </row>
    <row r="567" spans="1:37">
      <c r="A567" s="7" t="s">
        <v>738</v>
      </c>
      <c r="B567" s="7" t="s">
        <v>739</v>
      </c>
      <c r="C567" s="37" t="s">
        <v>13</v>
      </c>
      <c r="D567" s="296">
        <v>9219</v>
      </c>
      <c r="E567" s="297">
        <v>90219</v>
      </c>
      <c r="F567" s="27" t="s">
        <v>165</v>
      </c>
      <c r="G567" s="27" t="s">
        <v>158</v>
      </c>
      <c r="H567" s="35">
        <v>71957</v>
      </c>
      <c r="I567" s="35">
        <v>32</v>
      </c>
      <c r="J567" s="9" t="s">
        <v>7</v>
      </c>
      <c r="K567" s="9" t="s">
        <v>159</v>
      </c>
      <c r="L567" s="8">
        <v>18</v>
      </c>
      <c r="M567" s="8">
        <v>22381</v>
      </c>
      <c r="N567" s="9"/>
      <c r="O567" s="8">
        <v>0</v>
      </c>
      <c r="P567" s="9"/>
      <c r="Q567" s="8">
        <v>0</v>
      </c>
      <c r="R567" s="9"/>
      <c r="S567" s="8">
        <v>0</v>
      </c>
      <c r="T567" s="9"/>
      <c r="U567" s="8">
        <v>0</v>
      </c>
      <c r="V567" s="9"/>
      <c r="W567" s="33">
        <v>22381</v>
      </c>
      <c r="X567" s="9"/>
      <c r="Y567" s="30">
        <v>8</v>
      </c>
      <c r="Z567" s="9"/>
      <c r="AA567" s="30">
        <v>0</v>
      </c>
      <c r="AB567" s="9"/>
      <c r="AC567" s="30">
        <v>0</v>
      </c>
      <c r="AD567" s="9"/>
      <c r="AE567" s="30">
        <v>0</v>
      </c>
      <c r="AF567" s="9"/>
      <c r="AG567" s="19">
        <v>0</v>
      </c>
      <c r="AI567" s="32">
        <v>8</v>
      </c>
      <c r="AK567" s="7" t="str">
        <f t="shared" si="8"/>
        <v>No</v>
      </c>
    </row>
    <row r="568" spans="1:37">
      <c r="A568" s="7" t="s">
        <v>1142</v>
      </c>
      <c r="B568" s="7" t="s">
        <v>1143</v>
      </c>
      <c r="C568" s="37" t="s">
        <v>17</v>
      </c>
      <c r="D568" s="296">
        <v>9229</v>
      </c>
      <c r="E568" s="297">
        <v>90229</v>
      </c>
      <c r="F568" s="27" t="s">
        <v>165</v>
      </c>
      <c r="G568" s="27" t="s">
        <v>158</v>
      </c>
      <c r="H568" s="35">
        <v>1723634</v>
      </c>
      <c r="I568" s="35">
        <v>32</v>
      </c>
      <c r="J568" s="9" t="s">
        <v>10</v>
      </c>
      <c r="K568" s="9" t="s">
        <v>159</v>
      </c>
      <c r="L568" s="8">
        <v>15</v>
      </c>
      <c r="M568" s="8">
        <v>20273</v>
      </c>
      <c r="N568" s="9"/>
      <c r="O568" s="8">
        <v>0</v>
      </c>
      <c r="P568" s="9"/>
      <c r="Q568" s="8">
        <v>0</v>
      </c>
      <c r="R568" s="9"/>
      <c r="S568" s="8">
        <v>0</v>
      </c>
      <c r="T568" s="9"/>
      <c r="U568" s="8">
        <v>0</v>
      </c>
      <c r="V568" s="9"/>
      <c r="W568" s="33">
        <v>20273</v>
      </c>
      <c r="X568" s="9"/>
      <c r="Y568" s="30">
        <v>14.4</v>
      </c>
      <c r="Z568" s="9"/>
      <c r="AA568" s="30">
        <v>0</v>
      </c>
      <c r="AB568" s="9"/>
      <c r="AC568" s="30">
        <v>0</v>
      </c>
      <c r="AD568" s="9"/>
      <c r="AE568" s="30">
        <v>0</v>
      </c>
      <c r="AF568" s="9"/>
      <c r="AG568" s="19">
        <v>0</v>
      </c>
      <c r="AI568" s="32">
        <v>14.4</v>
      </c>
      <c r="AK568" s="7" t="str">
        <f t="shared" si="8"/>
        <v>No</v>
      </c>
    </row>
    <row r="569" spans="1:37">
      <c r="A569" s="7" t="s">
        <v>11</v>
      </c>
      <c r="B569" s="7" t="s">
        <v>298</v>
      </c>
      <c r="C569" s="37" t="s">
        <v>9</v>
      </c>
      <c r="D569" s="296">
        <v>4071</v>
      </c>
      <c r="E569" s="297">
        <v>40071</v>
      </c>
      <c r="F569" s="27" t="s">
        <v>162</v>
      </c>
      <c r="G569" s="27" t="s">
        <v>158</v>
      </c>
      <c r="H569" s="35">
        <v>286692</v>
      </c>
      <c r="I569" s="35">
        <v>32</v>
      </c>
      <c r="J569" s="9" t="s">
        <v>7</v>
      </c>
      <c r="K569" s="9" t="s">
        <v>159</v>
      </c>
      <c r="L569" s="8">
        <v>13</v>
      </c>
      <c r="M569" s="8">
        <v>16959</v>
      </c>
      <c r="N569" s="9"/>
      <c r="O569" s="8">
        <v>609</v>
      </c>
      <c r="P569" s="9"/>
      <c r="Q569" s="8">
        <v>209</v>
      </c>
      <c r="R569" s="9"/>
      <c r="S569" s="8">
        <v>227</v>
      </c>
      <c r="T569" s="9"/>
      <c r="U569" s="8">
        <v>0</v>
      </c>
      <c r="V569" s="9"/>
      <c r="W569" s="33">
        <v>18004</v>
      </c>
      <c r="X569" s="9"/>
      <c r="Y569" s="30">
        <v>12.7</v>
      </c>
      <c r="Z569" s="9"/>
      <c r="AA569" s="30">
        <v>2.1</v>
      </c>
      <c r="AB569" s="9"/>
      <c r="AC569" s="30">
        <v>0.1</v>
      </c>
      <c r="AD569" s="9"/>
      <c r="AE569" s="30">
        <v>0.2</v>
      </c>
      <c r="AF569" s="9"/>
      <c r="AG569" s="19">
        <v>0</v>
      </c>
      <c r="AI569" s="32">
        <v>15.1</v>
      </c>
      <c r="AK569" s="7" t="str">
        <f t="shared" si="8"/>
        <v>No</v>
      </c>
    </row>
    <row r="570" spans="1:37">
      <c r="A570" s="7" t="s">
        <v>1144</v>
      </c>
      <c r="B570" s="7" t="s">
        <v>717</v>
      </c>
      <c r="C570" s="37" t="s">
        <v>51</v>
      </c>
      <c r="D570" s="296">
        <v>1098</v>
      </c>
      <c r="E570" s="297">
        <v>10098</v>
      </c>
      <c r="F570" s="27" t="s">
        <v>187</v>
      </c>
      <c r="G570" s="27" t="s">
        <v>158</v>
      </c>
      <c r="H570" s="35">
        <v>59397</v>
      </c>
      <c r="I570" s="35">
        <v>32</v>
      </c>
      <c r="J570" s="9" t="s">
        <v>7</v>
      </c>
      <c r="K570" s="9" t="s">
        <v>159</v>
      </c>
      <c r="L570" s="8">
        <v>12</v>
      </c>
      <c r="M570" s="8">
        <v>18472</v>
      </c>
      <c r="N570" s="9"/>
      <c r="O570" s="8">
        <v>0</v>
      </c>
      <c r="P570" s="9"/>
      <c r="Q570" s="8">
        <v>0</v>
      </c>
      <c r="R570" s="9"/>
      <c r="S570" s="8">
        <v>1426</v>
      </c>
      <c r="T570" s="9"/>
      <c r="U570" s="8">
        <v>0</v>
      </c>
      <c r="V570" s="9"/>
      <c r="W570" s="33">
        <v>19898</v>
      </c>
      <c r="X570" s="9"/>
      <c r="Y570" s="30">
        <v>38</v>
      </c>
      <c r="Z570" s="9"/>
      <c r="AA570" s="30">
        <v>0</v>
      </c>
      <c r="AB570" s="9"/>
      <c r="AC570" s="30">
        <v>0</v>
      </c>
      <c r="AD570" s="9"/>
      <c r="AE570" s="30">
        <v>2</v>
      </c>
      <c r="AF570" s="9"/>
      <c r="AG570" s="19">
        <v>0</v>
      </c>
      <c r="AI570" s="32">
        <v>40</v>
      </c>
      <c r="AK570" s="7" t="str">
        <f t="shared" si="8"/>
        <v>No</v>
      </c>
    </row>
    <row r="571" spans="1:37">
      <c r="A571" s="7" t="s">
        <v>1142</v>
      </c>
      <c r="B571" s="7" t="s">
        <v>1143</v>
      </c>
      <c r="C571" s="37" t="s">
        <v>17</v>
      </c>
      <c r="D571" s="296">
        <v>9229</v>
      </c>
      <c r="E571" s="297">
        <v>90229</v>
      </c>
      <c r="F571" s="27" t="s">
        <v>165</v>
      </c>
      <c r="G571" s="27" t="s">
        <v>158</v>
      </c>
      <c r="H571" s="35">
        <v>1723634</v>
      </c>
      <c r="I571" s="35">
        <v>32</v>
      </c>
      <c r="J571" s="9" t="s">
        <v>18</v>
      </c>
      <c r="K571" s="9" t="s">
        <v>159</v>
      </c>
      <c r="L571" s="8">
        <v>11</v>
      </c>
      <c r="M571" s="8">
        <v>16725</v>
      </c>
      <c r="N571" s="9"/>
      <c r="O571" s="8">
        <v>0</v>
      </c>
      <c r="P571" s="9"/>
      <c r="Q571" s="8">
        <v>0</v>
      </c>
      <c r="R571" s="9"/>
      <c r="S571" s="8">
        <v>0</v>
      </c>
      <c r="T571" s="9"/>
      <c r="U571" s="8">
        <v>0</v>
      </c>
      <c r="V571" s="9"/>
      <c r="W571" s="33">
        <v>16725</v>
      </c>
      <c r="X571" s="9"/>
      <c r="Y571" s="30">
        <v>11.88</v>
      </c>
      <c r="Z571" s="9"/>
      <c r="AA571" s="30">
        <v>0</v>
      </c>
      <c r="AB571" s="9"/>
      <c r="AC571" s="30">
        <v>0</v>
      </c>
      <c r="AD571" s="9"/>
      <c r="AE571" s="30">
        <v>0</v>
      </c>
      <c r="AF571" s="9"/>
      <c r="AG571" s="19">
        <v>0</v>
      </c>
      <c r="AI571" s="32">
        <v>11.88</v>
      </c>
      <c r="AK571" s="7" t="str">
        <f t="shared" si="8"/>
        <v>No</v>
      </c>
    </row>
    <row r="572" spans="1:37">
      <c r="A572" s="7" t="s">
        <v>43</v>
      </c>
      <c r="B572" s="7" t="s">
        <v>521</v>
      </c>
      <c r="C572" s="37" t="s">
        <v>42</v>
      </c>
      <c r="D572" s="296">
        <v>5103</v>
      </c>
      <c r="E572" s="297">
        <v>50103</v>
      </c>
      <c r="F572" s="27" t="s">
        <v>162</v>
      </c>
      <c r="G572" s="27" t="s">
        <v>158</v>
      </c>
      <c r="H572" s="35">
        <v>8608208</v>
      </c>
      <c r="I572" s="35">
        <v>32</v>
      </c>
      <c r="J572" s="9" t="s">
        <v>10</v>
      </c>
      <c r="K572" s="9" t="s">
        <v>159</v>
      </c>
      <c r="L572" s="8">
        <v>7</v>
      </c>
      <c r="M572" s="8">
        <v>373</v>
      </c>
      <c r="N572" s="9"/>
      <c r="O572" s="8">
        <v>0</v>
      </c>
      <c r="P572" s="9"/>
      <c r="Q572" s="8">
        <v>0</v>
      </c>
      <c r="R572" s="9"/>
      <c r="S572" s="8">
        <v>0</v>
      </c>
      <c r="T572" s="9"/>
      <c r="U572" s="8">
        <v>0</v>
      </c>
      <c r="V572" s="9"/>
      <c r="W572" s="33">
        <v>373</v>
      </c>
      <c r="X572" s="9"/>
      <c r="Y572" s="30">
        <v>2</v>
      </c>
      <c r="Z572" s="9"/>
      <c r="AA572" s="30">
        <v>0</v>
      </c>
      <c r="AB572" s="9"/>
      <c r="AC572" s="30">
        <v>0</v>
      </c>
      <c r="AD572" s="9"/>
      <c r="AE572" s="30">
        <v>0</v>
      </c>
      <c r="AF572" s="9"/>
      <c r="AG572" s="19">
        <v>0</v>
      </c>
      <c r="AI572" s="32">
        <v>2</v>
      </c>
      <c r="AK572" s="7" t="str">
        <f t="shared" si="8"/>
        <v>No</v>
      </c>
    </row>
    <row r="573" spans="1:37">
      <c r="A573" s="7" t="s">
        <v>188</v>
      </c>
      <c r="B573" s="7" t="s">
        <v>189</v>
      </c>
      <c r="C573" s="37" t="s">
        <v>77</v>
      </c>
      <c r="D573" s="296">
        <v>3087</v>
      </c>
      <c r="E573" s="297">
        <v>30087</v>
      </c>
      <c r="F573" s="27" t="s">
        <v>162</v>
      </c>
      <c r="G573" s="27" t="s">
        <v>158</v>
      </c>
      <c r="H573" s="35">
        <v>51370</v>
      </c>
      <c r="I573" s="35">
        <v>32</v>
      </c>
      <c r="J573" s="9" t="s">
        <v>7</v>
      </c>
      <c r="K573" s="9" t="s">
        <v>159</v>
      </c>
      <c r="L573" s="8">
        <v>7</v>
      </c>
      <c r="M573" s="8">
        <v>3200</v>
      </c>
      <c r="N573" s="9"/>
      <c r="O573" s="8">
        <v>0</v>
      </c>
      <c r="P573" s="9"/>
      <c r="Q573" s="8">
        <v>0</v>
      </c>
      <c r="R573" s="9"/>
      <c r="S573" s="8">
        <v>0</v>
      </c>
      <c r="T573" s="9"/>
      <c r="U573" s="8">
        <v>0</v>
      </c>
      <c r="V573" s="9"/>
      <c r="W573" s="33">
        <v>3200</v>
      </c>
      <c r="X573" s="9"/>
      <c r="Y573" s="30">
        <v>3.2</v>
      </c>
      <c r="Z573" s="9"/>
      <c r="AA573" s="30">
        <v>0</v>
      </c>
      <c r="AB573" s="9"/>
      <c r="AC573" s="30">
        <v>0</v>
      </c>
      <c r="AD573" s="9"/>
      <c r="AE573" s="30">
        <v>0</v>
      </c>
      <c r="AF573" s="9"/>
      <c r="AG573" s="19">
        <v>0</v>
      </c>
      <c r="AI573" s="32">
        <v>3.2</v>
      </c>
      <c r="AK573" s="7" t="str">
        <f t="shared" si="8"/>
        <v>No</v>
      </c>
    </row>
    <row r="574" spans="1:37">
      <c r="A574" s="7" t="s">
        <v>1142</v>
      </c>
      <c r="B574" s="7" t="s">
        <v>1143</v>
      </c>
      <c r="C574" s="37" t="s">
        <v>17</v>
      </c>
      <c r="D574" s="296">
        <v>9229</v>
      </c>
      <c r="E574" s="297">
        <v>90229</v>
      </c>
      <c r="F574" s="27" t="s">
        <v>165</v>
      </c>
      <c r="G574" s="27" t="s">
        <v>158</v>
      </c>
      <c r="H574" s="35">
        <v>1723634</v>
      </c>
      <c r="I574" s="35">
        <v>32</v>
      </c>
      <c r="J574" s="9" t="s">
        <v>7</v>
      </c>
      <c r="K574" s="9" t="s">
        <v>159</v>
      </c>
      <c r="L574" s="8">
        <v>6</v>
      </c>
      <c r="M574" s="8">
        <v>13684</v>
      </c>
      <c r="N574" s="9"/>
      <c r="O574" s="8">
        <v>0</v>
      </c>
      <c r="P574" s="9"/>
      <c r="Q574" s="8">
        <v>0</v>
      </c>
      <c r="R574" s="9"/>
      <c r="S574" s="8">
        <v>0</v>
      </c>
      <c r="T574" s="9"/>
      <c r="U574" s="8">
        <v>0</v>
      </c>
      <c r="V574" s="9"/>
      <c r="W574" s="33">
        <v>13684</v>
      </c>
      <c r="X574" s="9"/>
      <c r="Y574" s="30">
        <v>9.7200000000000006</v>
      </c>
      <c r="Z574" s="9"/>
      <c r="AA574" s="30">
        <v>0</v>
      </c>
      <c r="AB574" s="9"/>
      <c r="AC574" s="30">
        <v>0</v>
      </c>
      <c r="AD574" s="9"/>
      <c r="AE574" s="30">
        <v>0</v>
      </c>
      <c r="AF574" s="9"/>
      <c r="AG574" s="19">
        <v>0</v>
      </c>
      <c r="AI574" s="32">
        <v>9.7200000000000006</v>
      </c>
      <c r="AK574" s="7" t="str">
        <f t="shared" si="8"/>
        <v>No</v>
      </c>
    </row>
    <row r="575" spans="1:37">
      <c r="A575" s="7" t="s">
        <v>738</v>
      </c>
      <c r="B575" s="7" t="s">
        <v>739</v>
      </c>
      <c r="C575" s="37" t="s">
        <v>13</v>
      </c>
      <c r="D575" s="296">
        <v>9219</v>
      </c>
      <c r="E575" s="297">
        <v>90219</v>
      </c>
      <c r="F575" s="27" t="s">
        <v>165</v>
      </c>
      <c r="G575" s="27" t="s">
        <v>158</v>
      </c>
      <c r="H575" s="35">
        <v>71957</v>
      </c>
      <c r="I575" s="35">
        <v>32</v>
      </c>
      <c r="J575" s="9" t="s">
        <v>10</v>
      </c>
      <c r="K575" s="9" t="s">
        <v>159</v>
      </c>
      <c r="L575" s="8">
        <v>6</v>
      </c>
      <c r="M575" s="8">
        <v>1364</v>
      </c>
      <c r="N575" s="9"/>
      <c r="O575" s="8">
        <v>0</v>
      </c>
      <c r="P575" s="9"/>
      <c r="Q575" s="8">
        <v>0</v>
      </c>
      <c r="R575" s="9"/>
      <c r="S575" s="8">
        <v>0</v>
      </c>
      <c r="T575" s="9"/>
      <c r="U575" s="8">
        <v>0</v>
      </c>
      <c r="V575" s="9"/>
      <c r="W575" s="33">
        <v>1364</v>
      </c>
      <c r="X575" s="9"/>
      <c r="Y575" s="30">
        <v>2</v>
      </c>
      <c r="Z575" s="9"/>
      <c r="AA575" s="30">
        <v>0</v>
      </c>
      <c r="AB575" s="9"/>
      <c r="AC575" s="30">
        <v>0</v>
      </c>
      <c r="AD575" s="9"/>
      <c r="AE575" s="30">
        <v>0</v>
      </c>
      <c r="AF575" s="9"/>
      <c r="AG575" s="19">
        <v>0</v>
      </c>
      <c r="AI575" s="32">
        <v>2</v>
      </c>
      <c r="AK575" s="7" t="str">
        <f t="shared" si="8"/>
        <v>No</v>
      </c>
    </row>
    <row r="576" spans="1:37">
      <c r="A576" s="7" t="s">
        <v>579</v>
      </c>
      <c r="B576" s="7" t="s">
        <v>580</v>
      </c>
      <c r="C576" s="37" t="s">
        <v>52</v>
      </c>
      <c r="D576" s="296">
        <v>5039</v>
      </c>
      <c r="E576" s="297">
        <v>50039</v>
      </c>
      <c r="F576" s="27" t="s">
        <v>165</v>
      </c>
      <c r="G576" s="27" t="s">
        <v>158</v>
      </c>
      <c r="H576" s="35">
        <v>126265</v>
      </c>
      <c r="I576" s="35">
        <v>32</v>
      </c>
      <c r="J576" s="9" t="s">
        <v>10</v>
      </c>
      <c r="K576" s="9" t="s">
        <v>159</v>
      </c>
      <c r="L576" s="8">
        <v>4</v>
      </c>
      <c r="M576" s="8">
        <v>0</v>
      </c>
      <c r="N576" s="9"/>
      <c r="O576" s="8">
        <v>0</v>
      </c>
      <c r="P576" s="9"/>
      <c r="Q576" s="8">
        <v>0</v>
      </c>
      <c r="R576" s="9"/>
      <c r="S576" s="8">
        <v>0</v>
      </c>
      <c r="T576" s="9"/>
      <c r="U576" s="8">
        <v>0</v>
      </c>
      <c r="V576" s="9"/>
      <c r="W576" s="33">
        <v>0</v>
      </c>
      <c r="X576" s="9"/>
      <c r="Y576" s="30">
        <v>0</v>
      </c>
      <c r="Z576" s="9"/>
      <c r="AA576" s="30">
        <v>0</v>
      </c>
      <c r="AB576" s="9"/>
      <c r="AC576" s="30">
        <v>0</v>
      </c>
      <c r="AD576" s="9"/>
      <c r="AE576" s="30">
        <v>0</v>
      </c>
      <c r="AF576" s="9"/>
      <c r="AG576" s="19">
        <v>0</v>
      </c>
      <c r="AI576" s="32">
        <v>0</v>
      </c>
      <c r="AK576" s="7" t="str">
        <f t="shared" si="8"/>
        <v>No</v>
      </c>
    </row>
    <row r="577" spans="1:37">
      <c r="A577" s="7" t="s">
        <v>219</v>
      </c>
      <c r="B577" s="7" t="s">
        <v>220</v>
      </c>
      <c r="C577" s="37" t="s">
        <v>57</v>
      </c>
      <c r="D577" s="296">
        <v>8004</v>
      </c>
      <c r="E577" s="297">
        <v>80004</v>
      </c>
      <c r="F577" s="27" t="s">
        <v>162</v>
      </c>
      <c r="G577" s="27" t="s">
        <v>158</v>
      </c>
      <c r="H577" s="35">
        <v>114773</v>
      </c>
      <c r="I577" s="35">
        <v>31</v>
      </c>
      <c r="J577" s="9" t="s">
        <v>7</v>
      </c>
      <c r="K577" s="9" t="s">
        <v>159</v>
      </c>
      <c r="L577" s="8">
        <v>20</v>
      </c>
      <c r="M577" s="8">
        <v>0</v>
      </c>
      <c r="N577" s="9"/>
      <c r="O577" s="8">
        <v>0</v>
      </c>
      <c r="P577" s="9"/>
      <c r="Q577" s="8">
        <v>0</v>
      </c>
      <c r="R577" s="9"/>
      <c r="S577" s="8">
        <v>0</v>
      </c>
      <c r="T577" s="9"/>
      <c r="U577" s="8">
        <v>0</v>
      </c>
      <c r="V577" s="9"/>
      <c r="W577" s="33">
        <v>0</v>
      </c>
      <c r="X577" s="9"/>
      <c r="Y577" s="30">
        <v>0</v>
      </c>
      <c r="Z577" s="9"/>
      <c r="AA577" s="30">
        <v>0</v>
      </c>
      <c r="AB577" s="9"/>
      <c r="AC577" s="30">
        <v>0</v>
      </c>
      <c r="AD577" s="9"/>
      <c r="AE577" s="30">
        <v>0</v>
      </c>
      <c r="AF577" s="9"/>
      <c r="AG577" s="19">
        <v>0</v>
      </c>
      <c r="AI577" s="32">
        <v>0</v>
      </c>
      <c r="AK577" s="7" t="str">
        <f t="shared" si="8"/>
        <v>No</v>
      </c>
    </row>
    <row r="578" spans="1:37">
      <c r="A578" s="7" t="s">
        <v>347</v>
      </c>
      <c r="B578" s="7" t="s">
        <v>348</v>
      </c>
      <c r="C578" s="37" t="s">
        <v>40</v>
      </c>
      <c r="D578" s="296">
        <v>5061</v>
      </c>
      <c r="E578" s="297">
        <v>50061</v>
      </c>
      <c r="F578" s="27" t="s">
        <v>162</v>
      </c>
      <c r="G578" s="27" t="s">
        <v>158</v>
      </c>
      <c r="H578" s="35">
        <v>93863</v>
      </c>
      <c r="I578" s="35">
        <v>31</v>
      </c>
      <c r="J578" s="9" t="s">
        <v>7</v>
      </c>
      <c r="K578" s="9" t="s">
        <v>159</v>
      </c>
      <c r="L578" s="8">
        <v>19</v>
      </c>
      <c r="M578" s="8">
        <v>8198</v>
      </c>
      <c r="N578" s="9"/>
      <c r="O578" s="8">
        <v>0</v>
      </c>
      <c r="P578" s="9"/>
      <c r="Q578" s="8">
        <v>0</v>
      </c>
      <c r="R578" s="9"/>
      <c r="S578" s="8">
        <v>0</v>
      </c>
      <c r="T578" s="9"/>
      <c r="U578" s="8">
        <v>0</v>
      </c>
      <c r="V578" s="9"/>
      <c r="W578" s="33">
        <v>8198</v>
      </c>
      <c r="X578" s="9"/>
      <c r="Y578" s="30">
        <v>4</v>
      </c>
      <c r="Z578" s="9"/>
      <c r="AA578" s="30">
        <v>0</v>
      </c>
      <c r="AB578" s="9"/>
      <c r="AC578" s="30">
        <v>0</v>
      </c>
      <c r="AD578" s="9"/>
      <c r="AE578" s="30">
        <v>0</v>
      </c>
      <c r="AF578" s="9"/>
      <c r="AG578" s="19">
        <v>0</v>
      </c>
      <c r="AI578" s="32">
        <v>4</v>
      </c>
      <c r="AK578" s="7" t="str">
        <f t="shared" ref="AK578:AK641" si="9">IF(AJ578&amp;AH578&amp;AF578&amp;AD578&amp;AB578&amp;Z578&amp;X578&amp;V578&amp;T578&amp;R578&amp;P578&amp;N578&lt;&gt;"","Yes","No")</f>
        <v>No</v>
      </c>
    </row>
    <row r="579" spans="1:37">
      <c r="A579" s="7" t="s">
        <v>219</v>
      </c>
      <c r="B579" s="7" t="s">
        <v>220</v>
      </c>
      <c r="C579" s="37" t="s">
        <v>57</v>
      </c>
      <c r="D579" s="296">
        <v>8004</v>
      </c>
      <c r="E579" s="297">
        <v>80004</v>
      </c>
      <c r="F579" s="27" t="s">
        <v>162</v>
      </c>
      <c r="G579" s="27" t="s">
        <v>158</v>
      </c>
      <c r="H579" s="35">
        <v>114773</v>
      </c>
      <c r="I579" s="35">
        <v>31</v>
      </c>
      <c r="J579" s="9" t="s">
        <v>10</v>
      </c>
      <c r="K579" s="9" t="s">
        <v>159</v>
      </c>
      <c r="L579" s="8">
        <v>11</v>
      </c>
      <c r="M579" s="8">
        <v>0</v>
      </c>
      <c r="N579" s="9"/>
      <c r="O579" s="8">
        <v>0</v>
      </c>
      <c r="P579" s="9"/>
      <c r="Q579" s="8">
        <v>0</v>
      </c>
      <c r="R579" s="9"/>
      <c r="S579" s="8">
        <v>0</v>
      </c>
      <c r="T579" s="9"/>
      <c r="U579" s="8">
        <v>0</v>
      </c>
      <c r="V579" s="9"/>
      <c r="W579" s="33">
        <v>0</v>
      </c>
      <c r="X579" s="9"/>
      <c r="Y579" s="30">
        <v>0</v>
      </c>
      <c r="Z579" s="9"/>
      <c r="AA579" s="30">
        <v>0</v>
      </c>
      <c r="AB579" s="9"/>
      <c r="AC579" s="30">
        <v>0</v>
      </c>
      <c r="AD579" s="9"/>
      <c r="AE579" s="30">
        <v>0</v>
      </c>
      <c r="AF579" s="9"/>
      <c r="AG579" s="19">
        <v>0</v>
      </c>
      <c r="AI579" s="32">
        <v>0</v>
      </c>
      <c r="AK579" s="7" t="str">
        <f t="shared" si="9"/>
        <v>No</v>
      </c>
    </row>
    <row r="580" spans="1:37">
      <c r="A580" s="7" t="s">
        <v>347</v>
      </c>
      <c r="B580" s="7" t="s">
        <v>348</v>
      </c>
      <c r="C580" s="37" t="s">
        <v>40</v>
      </c>
      <c r="D580" s="296">
        <v>5061</v>
      </c>
      <c r="E580" s="297">
        <v>50061</v>
      </c>
      <c r="F580" s="27" t="s">
        <v>162</v>
      </c>
      <c r="G580" s="27" t="s">
        <v>158</v>
      </c>
      <c r="H580" s="35">
        <v>93863</v>
      </c>
      <c r="I580" s="35">
        <v>31</v>
      </c>
      <c r="J580" s="9" t="s">
        <v>10</v>
      </c>
      <c r="K580" s="9" t="s">
        <v>159</v>
      </c>
      <c r="L580" s="8">
        <v>6</v>
      </c>
      <c r="M580" s="8">
        <v>0</v>
      </c>
      <c r="N580" s="9"/>
      <c r="O580" s="8">
        <v>0</v>
      </c>
      <c r="P580" s="9"/>
      <c r="Q580" s="8">
        <v>0</v>
      </c>
      <c r="R580" s="9"/>
      <c r="S580" s="8">
        <v>0</v>
      </c>
      <c r="T580" s="9"/>
      <c r="U580" s="8">
        <v>0</v>
      </c>
      <c r="V580" s="9"/>
      <c r="W580" s="33">
        <v>0</v>
      </c>
      <c r="X580" s="9"/>
      <c r="Y580" s="30">
        <v>0</v>
      </c>
      <c r="Z580" s="9"/>
      <c r="AA580" s="30">
        <v>0</v>
      </c>
      <c r="AB580" s="9"/>
      <c r="AC580" s="30">
        <v>0</v>
      </c>
      <c r="AD580" s="9"/>
      <c r="AE580" s="30">
        <v>0</v>
      </c>
      <c r="AF580" s="9"/>
      <c r="AG580" s="19">
        <v>0</v>
      </c>
      <c r="AI580" s="32">
        <v>0</v>
      </c>
      <c r="AK580" s="7" t="str">
        <f t="shared" si="9"/>
        <v>No</v>
      </c>
    </row>
    <row r="581" spans="1:37">
      <c r="A581" s="7" t="s">
        <v>301</v>
      </c>
      <c r="B581" s="7" t="s">
        <v>302</v>
      </c>
      <c r="C581" s="37" t="s">
        <v>42</v>
      </c>
      <c r="D581" s="296">
        <v>5145</v>
      </c>
      <c r="E581" s="297">
        <v>50145</v>
      </c>
      <c r="F581" s="27" t="s">
        <v>162</v>
      </c>
      <c r="G581" s="27" t="s">
        <v>158</v>
      </c>
      <c r="H581" s="35">
        <v>62182</v>
      </c>
      <c r="I581" s="35">
        <v>30</v>
      </c>
      <c r="J581" s="9" t="s">
        <v>10</v>
      </c>
      <c r="K581" s="9" t="s">
        <v>159</v>
      </c>
      <c r="L581" s="8">
        <v>25</v>
      </c>
      <c r="M581" s="8">
        <v>38260</v>
      </c>
      <c r="N581" s="9"/>
      <c r="O581" s="8">
        <v>0</v>
      </c>
      <c r="P581" s="9"/>
      <c r="Q581" s="8">
        <v>0</v>
      </c>
      <c r="R581" s="9"/>
      <c r="S581" s="8">
        <v>0</v>
      </c>
      <c r="T581" s="9"/>
      <c r="U581" s="8">
        <v>0</v>
      </c>
      <c r="V581" s="9"/>
      <c r="W581" s="33">
        <v>38260</v>
      </c>
      <c r="X581" s="9"/>
      <c r="Y581" s="30">
        <v>21</v>
      </c>
      <c r="Z581" s="9"/>
      <c r="AA581" s="30">
        <v>0</v>
      </c>
      <c r="AB581" s="9"/>
      <c r="AC581" s="30">
        <v>0</v>
      </c>
      <c r="AD581" s="9"/>
      <c r="AE581" s="30">
        <v>0</v>
      </c>
      <c r="AF581" s="9"/>
      <c r="AG581" s="19">
        <v>0</v>
      </c>
      <c r="AI581" s="32">
        <v>21</v>
      </c>
      <c r="AK581" s="7" t="str">
        <f t="shared" si="9"/>
        <v>No</v>
      </c>
    </row>
    <row r="582" spans="1:37">
      <c r="A582" s="7" t="s">
        <v>440</v>
      </c>
      <c r="B582" s="7" t="s">
        <v>441</v>
      </c>
      <c r="C582" s="37" t="s">
        <v>93</v>
      </c>
      <c r="D582" s="296">
        <v>5004</v>
      </c>
      <c r="E582" s="297">
        <v>50004</v>
      </c>
      <c r="F582" s="27" t="s">
        <v>162</v>
      </c>
      <c r="G582" s="27" t="s">
        <v>158</v>
      </c>
      <c r="H582" s="35">
        <v>100868</v>
      </c>
      <c r="I582" s="35">
        <v>30</v>
      </c>
      <c r="J582" s="9" t="s">
        <v>7</v>
      </c>
      <c r="K582" s="9" t="s">
        <v>159</v>
      </c>
      <c r="L582" s="8">
        <v>16</v>
      </c>
      <c r="M582" s="8">
        <v>3950</v>
      </c>
      <c r="N582" s="9"/>
      <c r="O582" s="8">
        <v>0</v>
      </c>
      <c r="P582" s="9"/>
      <c r="Q582" s="8">
        <v>0</v>
      </c>
      <c r="R582" s="9"/>
      <c r="S582" s="8">
        <v>0</v>
      </c>
      <c r="T582" s="9"/>
      <c r="U582" s="8">
        <v>0</v>
      </c>
      <c r="V582" s="9"/>
      <c r="W582" s="33">
        <v>3950</v>
      </c>
      <c r="X582" s="9"/>
      <c r="Y582" s="30">
        <v>6</v>
      </c>
      <c r="Z582" s="9"/>
      <c r="AA582" s="30">
        <v>0</v>
      </c>
      <c r="AB582" s="9"/>
      <c r="AC582" s="30">
        <v>0</v>
      </c>
      <c r="AD582" s="9"/>
      <c r="AE582" s="30">
        <v>0</v>
      </c>
      <c r="AF582" s="9"/>
      <c r="AG582" s="19">
        <v>0</v>
      </c>
      <c r="AI582" s="32">
        <v>6</v>
      </c>
      <c r="AK582" s="7" t="str">
        <f t="shared" si="9"/>
        <v>No</v>
      </c>
    </row>
    <row r="583" spans="1:37">
      <c r="A583" s="7" t="s">
        <v>94</v>
      </c>
      <c r="B583" s="7" t="s">
        <v>539</v>
      </c>
      <c r="C583" s="37" t="s">
        <v>93</v>
      </c>
      <c r="D583" s="296">
        <v>5009</v>
      </c>
      <c r="E583" s="297">
        <v>50009</v>
      </c>
      <c r="F583" s="27" t="s">
        <v>162</v>
      </c>
      <c r="G583" s="27" t="s">
        <v>158</v>
      </c>
      <c r="H583" s="35">
        <v>74495</v>
      </c>
      <c r="I583" s="35">
        <v>30</v>
      </c>
      <c r="J583" s="9" t="s">
        <v>7</v>
      </c>
      <c r="K583" s="9" t="s">
        <v>159</v>
      </c>
      <c r="L583" s="8">
        <v>9</v>
      </c>
      <c r="M583" s="8">
        <v>1480</v>
      </c>
      <c r="N583" s="9"/>
      <c r="O583" s="8">
        <v>0</v>
      </c>
      <c r="P583" s="9"/>
      <c r="Q583" s="8">
        <v>0</v>
      </c>
      <c r="R583" s="9"/>
      <c r="S583" s="8">
        <v>0</v>
      </c>
      <c r="T583" s="9"/>
      <c r="U583" s="8">
        <v>0</v>
      </c>
      <c r="V583" s="9"/>
      <c r="W583" s="33">
        <v>1480</v>
      </c>
      <c r="X583" s="9"/>
      <c r="Y583" s="30">
        <v>1</v>
      </c>
      <c r="Z583" s="9"/>
      <c r="AA583" s="30">
        <v>0</v>
      </c>
      <c r="AB583" s="9"/>
      <c r="AC583" s="30">
        <v>0</v>
      </c>
      <c r="AD583" s="9"/>
      <c r="AE583" s="30">
        <v>0</v>
      </c>
      <c r="AF583" s="9"/>
      <c r="AG583" s="19">
        <v>0</v>
      </c>
      <c r="AI583" s="32">
        <v>1</v>
      </c>
      <c r="AK583" s="7" t="str">
        <f t="shared" si="9"/>
        <v>No</v>
      </c>
    </row>
    <row r="584" spans="1:37">
      <c r="A584" s="7" t="s">
        <v>709</v>
      </c>
      <c r="B584" s="7" t="s">
        <v>710</v>
      </c>
      <c r="C584" s="37" t="s">
        <v>93</v>
      </c>
      <c r="D584" s="296">
        <v>5161</v>
      </c>
      <c r="E584" s="297">
        <v>50161</v>
      </c>
      <c r="F584" s="27" t="s">
        <v>162</v>
      </c>
      <c r="G584" s="27" t="s">
        <v>158</v>
      </c>
      <c r="H584" s="35">
        <v>1376476</v>
      </c>
      <c r="I584" s="35">
        <v>30</v>
      </c>
      <c r="J584" s="9" t="s">
        <v>18</v>
      </c>
      <c r="K584" s="9" t="s">
        <v>159</v>
      </c>
      <c r="L584" s="8">
        <v>7</v>
      </c>
      <c r="M584" s="8">
        <v>0</v>
      </c>
      <c r="N584" s="9"/>
      <c r="O584" s="8">
        <v>0</v>
      </c>
      <c r="P584" s="9"/>
      <c r="Q584" s="8">
        <v>0</v>
      </c>
      <c r="R584" s="9"/>
      <c r="S584" s="8">
        <v>0</v>
      </c>
      <c r="T584" s="9"/>
      <c r="U584" s="8">
        <v>0</v>
      </c>
      <c r="V584" s="9"/>
      <c r="W584" s="33">
        <v>0</v>
      </c>
      <c r="X584" s="9"/>
      <c r="Y584" s="30">
        <v>0</v>
      </c>
      <c r="Z584" s="9"/>
      <c r="AA584" s="30">
        <v>0</v>
      </c>
      <c r="AB584" s="9"/>
      <c r="AC584" s="30">
        <v>0</v>
      </c>
      <c r="AD584" s="9"/>
      <c r="AE584" s="30">
        <v>0</v>
      </c>
      <c r="AF584" s="9"/>
      <c r="AG584" s="19">
        <v>0</v>
      </c>
      <c r="AI584" s="32">
        <v>0</v>
      </c>
      <c r="AK584" s="7" t="str">
        <f t="shared" si="9"/>
        <v>No</v>
      </c>
    </row>
    <row r="585" spans="1:37">
      <c r="A585" s="7" t="s">
        <v>301</v>
      </c>
      <c r="B585" s="7" t="s">
        <v>302</v>
      </c>
      <c r="C585" s="37" t="s">
        <v>42</v>
      </c>
      <c r="D585" s="296">
        <v>5145</v>
      </c>
      <c r="E585" s="297">
        <v>50145</v>
      </c>
      <c r="F585" s="27" t="s">
        <v>162</v>
      </c>
      <c r="G585" s="27" t="s">
        <v>158</v>
      </c>
      <c r="H585" s="35">
        <v>62182</v>
      </c>
      <c r="I585" s="35">
        <v>30</v>
      </c>
      <c r="J585" s="9" t="s">
        <v>7</v>
      </c>
      <c r="K585" s="9" t="s">
        <v>159</v>
      </c>
      <c r="L585" s="8">
        <v>5</v>
      </c>
      <c r="M585" s="8">
        <v>12870</v>
      </c>
      <c r="N585" s="9"/>
      <c r="O585" s="8">
        <v>0</v>
      </c>
      <c r="P585" s="9"/>
      <c r="Q585" s="8">
        <v>0</v>
      </c>
      <c r="R585" s="9"/>
      <c r="S585" s="8">
        <v>0</v>
      </c>
      <c r="T585" s="9"/>
      <c r="U585" s="8">
        <v>0</v>
      </c>
      <c r="V585" s="9"/>
      <c r="W585" s="33">
        <v>12870</v>
      </c>
      <c r="X585" s="9"/>
      <c r="Y585" s="30">
        <v>8.4</v>
      </c>
      <c r="Z585" s="9"/>
      <c r="AA585" s="30">
        <v>0</v>
      </c>
      <c r="AB585" s="9"/>
      <c r="AC585" s="30">
        <v>0</v>
      </c>
      <c r="AD585" s="9"/>
      <c r="AE585" s="30">
        <v>0</v>
      </c>
      <c r="AF585" s="9"/>
      <c r="AG585" s="19">
        <v>0</v>
      </c>
      <c r="AI585" s="32">
        <v>8.4</v>
      </c>
      <c r="AK585" s="7" t="str">
        <f t="shared" si="9"/>
        <v>No</v>
      </c>
    </row>
    <row r="586" spans="1:37">
      <c r="A586" s="7" t="s">
        <v>370</v>
      </c>
      <c r="B586" s="7" t="s">
        <v>371</v>
      </c>
      <c r="C586" s="37" t="s">
        <v>38</v>
      </c>
      <c r="D586" s="296">
        <v>7008</v>
      </c>
      <c r="E586" s="297">
        <v>70008</v>
      </c>
      <c r="F586" s="27" t="s">
        <v>162</v>
      </c>
      <c r="G586" s="27" t="s">
        <v>158</v>
      </c>
      <c r="H586" s="35">
        <v>177844</v>
      </c>
      <c r="I586" s="35">
        <v>29</v>
      </c>
      <c r="J586" s="9" t="s">
        <v>7</v>
      </c>
      <c r="K586" s="9" t="s">
        <v>159</v>
      </c>
      <c r="L586" s="8">
        <v>22</v>
      </c>
      <c r="M586" s="8">
        <v>0</v>
      </c>
      <c r="N586" s="9"/>
      <c r="O586" s="8">
        <v>0</v>
      </c>
      <c r="P586" s="9"/>
      <c r="Q586" s="8">
        <v>0</v>
      </c>
      <c r="R586" s="9"/>
      <c r="S586" s="8">
        <v>112</v>
      </c>
      <c r="T586" s="9"/>
      <c r="U586" s="8">
        <v>0</v>
      </c>
      <c r="V586" s="9"/>
      <c r="W586" s="33">
        <v>112</v>
      </c>
      <c r="X586" s="9"/>
      <c r="Y586" s="30">
        <v>0</v>
      </c>
      <c r="Z586" s="9"/>
      <c r="AA586" s="30">
        <v>0</v>
      </c>
      <c r="AB586" s="9"/>
      <c r="AC586" s="30">
        <v>0</v>
      </c>
      <c r="AD586" s="9"/>
      <c r="AE586" s="30">
        <v>1</v>
      </c>
      <c r="AF586" s="9"/>
      <c r="AG586" s="19">
        <v>0</v>
      </c>
      <c r="AI586" s="32">
        <v>1</v>
      </c>
      <c r="AK586" s="7" t="str">
        <f t="shared" si="9"/>
        <v>No</v>
      </c>
    </row>
    <row r="587" spans="1:37">
      <c r="A587" s="7" t="s">
        <v>517</v>
      </c>
      <c r="B587" s="7" t="s">
        <v>479</v>
      </c>
      <c r="C587" s="37" t="s">
        <v>70</v>
      </c>
      <c r="D587" s="296">
        <v>2082</v>
      </c>
      <c r="E587" s="297">
        <v>20082</v>
      </c>
      <c r="F587" s="27" t="s">
        <v>162</v>
      </c>
      <c r="G587" s="27" t="s">
        <v>158</v>
      </c>
      <c r="H587" s="35">
        <v>18351295</v>
      </c>
      <c r="I587" s="35">
        <v>29</v>
      </c>
      <c r="J587" s="9" t="s">
        <v>19</v>
      </c>
      <c r="K587" s="9" t="s">
        <v>159</v>
      </c>
      <c r="L587" s="8">
        <v>4</v>
      </c>
      <c r="M587" s="8">
        <v>0</v>
      </c>
      <c r="N587" s="9"/>
      <c r="O587" s="8">
        <v>0</v>
      </c>
      <c r="P587" s="9"/>
      <c r="Q587" s="8">
        <v>0</v>
      </c>
      <c r="R587" s="9"/>
      <c r="S587" s="8">
        <v>0</v>
      </c>
      <c r="T587" s="9"/>
      <c r="U587" s="8">
        <v>0</v>
      </c>
      <c r="V587" s="9"/>
      <c r="W587" s="33">
        <v>0</v>
      </c>
      <c r="X587" s="9"/>
      <c r="Y587" s="30">
        <v>0</v>
      </c>
      <c r="Z587" s="9"/>
      <c r="AA587" s="30">
        <v>0</v>
      </c>
      <c r="AB587" s="9"/>
      <c r="AC587" s="30">
        <v>0</v>
      </c>
      <c r="AD587" s="9"/>
      <c r="AE587" s="30">
        <v>0</v>
      </c>
      <c r="AF587" s="9"/>
      <c r="AG587" s="19">
        <v>0</v>
      </c>
      <c r="AI587" s="32">
        <v>0</v>
      </c>
      <c r="AK587" s="7" t="str">
        <f t="shared" si="9"/>
        <v>No</v>
      </c>
    </row>
    <row r="588" spans="1:37">
      <c r="A588" s="7" t="s">
        <v>160</v>
      </c>
      <c r="B588" s="7" t="s">
        <v>161</v>
      </c>
      <c r="C588" s="37" t="s">
        <v>17</v>
      </c>
      <c r="D588" s="296">
        <v>9119</v>
      </c>
      <c r="E588" s="297">
        <v>90119</v>
      </c>
      <c r="F588" s="27" t="s">
        <v>162</v>
      </c>
      <c r="G588" s="27" t="s">
        <v>158</v>
      </c>
      <c r="H588" s="35">
        <v>583681</v>
      </c>
      <c r="I588" s="35">
        <v>28</v>
      </c>
      <c r="J588" s="9" t="s">
        <v>7</v>
      </c>
      <c r="K588" s="9" t="s">
        <v>159</v>
      </c>
      <c r="L588" s="8">
        <v>28</v>
      </c>
      <c r="M588" s="8">
        <v>46484</v>
      </c>
      <c r="N588" s="9"/>
      <c r="O588" s="8">
        <v>2159</v>
      </c>
      <c r="P588" s="9"/>
      <c r="Q588" s="8">
        <v>0</v>
      </c>
      <c r="R588" s="9"/>
      <c r="S588" s="8">
        <v>6481</v>
      </c>
      <c r="T588" s="9"/>
      <c r="U588" s="8">
        <v>0</v>
      </c>
      <c r="V588" s="9"/>
      <c r="W588" s="33">
        <v>55124</v>
      </c>
      <c r="X588" s="9"/>
      <c r="Y588" s="30">
        <v>110</v>
      </c>
      <c r="Z588" s="9"/>
      <c r="AA588" s="30">
        <v>5</v>
      </c>
      <c r="AB588" s="9"/>
      <c r="AC588" s="30">
        <v>0</v>
      </c>
      <c r="AD588" s="9"/>
      <c r="AE588" s="30">
        <v>30</v>
      </c>
      <c r="AF588" s="9"/>
      <c r="AG588" s="19">
        <v>0</v>
      </c>
      <c r="AI588" s="32">
        <v>145</v>
      </c>
      <c r="AK588" s="7" t="str">
        <f t="shared" si="9"/>
        <v>No</v>
      </c>
    </row>
    <row r="589" spans="1:37">
      <c r="A589" s="7" t="s">
        <v>670</v>
      </c>
      <c r="B589" s="7" t="s">
        <v>422</v>
      </c>
      <c r="C589" s="37" t="s">
        <v>38</v>
      </c>
      <c r="D589" s="296">
        <v>7019</v>
      </c>
      <c r="E589" s="297">
        <v>70019</v>
      </c>
      <c r="F589" s="27" t="s">
        <v>114</v>
      </c>
      <c r="G589" s="27" t="s">
        <v>158</v>
      </c>
      <c r="H589" s="35">
        <v>106621</v>
      </c>
      <c r="I589" s="35">
        <v>28</v>
      </c>
      <c r="J589" s="9" t="s">
        <v>7</v>
      </c>
      <c r="K589" s="9" t="s">
        <v>159</v>
      </c>
      <c r="L589" s="8">
        <v>25</v>
      </c>
      <c r="M589" s="8">
        <v>98408</v>
      </c>
      <c r="N589" s="9"/>
      <c r="O589" s="8">
        <v>11903</v>
      </c>
      <c r="P589" s="9"/>
      <c r="Q589" s="8">
        <v>921</v>
      </c>
      <c r="R589" s="9"/>
      <c r="S589" s="8">
        <v>2568</v>
      </c>
      <c r="T589" s="9"/>
      <c r="U589" s="8">
        <v>0</v>
      </c>
      <c r="V589" s="9"/>
      <c r="W589" s="33">
        <v>113800</v>
      </c>
      <c r="X589" s="9"/>
      <c r="Y589" s="30">
        <v>131</v>
      </c>
      <c r="Z589" s="9"/>
      <c r="AA589" s="30">
        <v>15</v>
      </c>
      <c r="AB589" s="9"/>
      <c r="AC589" s="30">
        <v>2</v>
      </c>
      <c r="AD589" s="9"/>
      <c r="AE589" s="30">
        <v>4</v>
      </c>
      <c r="AF589" s="9"/>
      <c r="AG589" s="19">
        <v>0</v>
      </c>
      <c r="AI589" s="32">
        <v>152</v>
      </c>
      <c r="AK589" s="7" t="str">
        <f t="shared" si="9"/>
        <v>No</v>
      </c>
    </row>
    <row r="590" spans="1:37">
      <c r="A590" s="7" t="s">
        <v>324</v>
      </c>
      <c r="B590" s="7" t="s">
        <v>325</v>
      </c>
      <c r="C590" s="37" t="s">
        <v>6</v>
      </c>
      <c r="D590" s="296">
        <v>6072</v>
      </c>
      <c r="E590" s="297">
        <v>60072</v>
      </c>
      <c r="F590" s="27" t="s">
        <v>165</v>
      </c>
      <c r="G590" s="27" t="s">
        <v>158</v>
      </c>
      <c r="H590" s="35">
        <v>295083</v>
      </c>
      <c r="I590" s="35">
        <v>28</v>
      </c>
      <c r="J590" s="9" t="s">
        <v>7</v>
      </c>
      <c r="K590" s="9" t="s">
        <v>159</v>
      </c>
      <c r="L590" s="8">
        <v>16</v>
      </c>
      <c r="M590" s="8">
        <v>1794</v>
      </c>
      <c r="N590" s="9"/>
      <c r="O590" s="8">
        <v>0</v>
      </c>
      <c r="P590" s="9"/>
      <c r="Q590" s="8">
        <v>52</v>
      </c>
      <c r="R590" s="9"/>
      <c r="S590" s="8">
        <v>1029</v>
      </c>
      <c r="T590" s="9"/>
      <c r="U590" s="8">
        <v>0</v>
      </c>
      <c r="V590" s="9"/>
      <c r="W590" s="33">
        <v>2875</v>
      </c>
      <c r="X590" s="9"/>
      <c r="Y590" s="30">
        <v>2</v>
      </c>
      <c r="Z590" s="9"/>
      <c r="AA590" s="30">
        <v>0</v>
      </c>
      <c r="AB590" s="9"/>
      <c r="AC590" s="30">
        <v>1</v>
      </c>
      <c r="AD590" s="9"/>
      <c r="AE590" s="30">
        <v>1</v>
      </c>
      <c r="AF590" s="9"/>
      <c r="AG590" s="19">
        <v>0</v>
      </c>
      <c r="AI590" s="32">
        <v>4</v>
      </c>
      <c r="AK590" s="7" t="str">
        <f t="shared" si="9"/>
        <v>No</v>
      </c>
    </row>
    <row r="591" spans="1:37">
      <c r="A591" s="7" t="s">
        <v>643</v>
      </c>
      <c r="B591" s="7" t="s">
        <v>644</v>
      </c>
      <c r="C591" s="37" t="s">
        <v>84</v>
      </c>
      <c r="D591" s="296">
        <v>6082</v>
      </c>
      <c r="E591" s="297">
        <v>60082</v>
      </c>
      <c r="F591" s="27" t="s">
        <v>165</v>
      </c>
      <c r="G591" s="27" t="s">
        <v>158</v>
      </c>
      <c r="H591" s="35">
        <v>106383</v>
      </c>
      <c r="I591" s="35">
        <v>28</v>
      </c>
      <c r="J591" s="9" t="s">
        <v>7</v>
      </c>
      <c r="K591" s="9" t="s">
        <v>159</v>
      </c>
      <c r="L591" s="8">
        <v>12</v>
      </c>
      <c r="M591" s="8">
        <v>8430</v>
      </c>
      <c r="N591" s="9"/>
      <c r="O591" s="8">
        <v>0</v>
      </c>
      <c r="P591" s="9"/>
      <c r="Q591" s="8">
        <v>0</v>
      </c>
      <c r="R591" s="9"/>
      <c r="S591" s="8">
        <v>0</v>
      </c>
      <c r="T591" s="9"/>
      <c r="U591" s="8">
        <v>0</v>
      </c>
      <c r="V591" s="9"/>
      <c r="W591" s="33">
        <v>8430</v>
      </c>
      <c r="X591" s="9"/>
      <c r="Y591" s="30">
        <v>8</v>
      </c>
      <c r="Z591" s="9"/>
      <c r="AA591" s="30">
        <v>0</v>
      </c>
      <c r="AB591" s="9"/>
      <c r="AC591" s="30">
        <v>0</v>
      </c>
      <c r="AD591" s="9"/>
      <c r="AE591" s="30">
        <v>0</v>
      </c>
      <c r="AF591" s="9"/>
      <c r="AG591" s="19">
        <v>0</v>
      </c>
      <c r="AI591" s="32">
        <v>8</v>
      </c>
      <c r="AK591" s="7" t="str">
        <f t="shared" si="9"/>
        <v>No</v>
      </c>
    </row>
    <row r="592" spans="1:37">
      <c r="A592" s="7" t="s">
        <v>324</v>
      </c>
      <c r="B592" s="7" t="s">
        <v>325</v>
      </c>
      <c r="C592" s="37" t="s">
        <v>6</v>
      </c>
      <c r="D592" s="296">
        <v>6072</v>
      </c>
      <c r="E592" s="297">
        <v>60072</v>
      </c>
      <c r="F592" s="27" t="s">
        <v>165</v>
      </c>
      <c r="G592" s="27" t="s">
        <v>158</v>
      </c>
      <c r="H592" s="35">
        <v>295083</v>
      </c>
      <c r="I592" s="35">
        <v>28</v>
      </c>
      <c r="J592" s="9" t="s">
        <v>10</v>
      </c>
      <c r="K592" s="9" t="s">
        <v>159</v>
      </c>
      <c r="L592" s="8">
        <v>12</v>
      </c>
      <c r="M592" s="8">
        <v>2018</v>
      </c>
      <c r="N592" s="9"/>
      <c r="O592" s="8">
        <v>0</v>
      </c>
      <c r="P592" s="9"/>
      <c r="Q592" s="8">
        <v>0</v>
      </c>
      <c r="R592" s="9"/>
      <c r="S592" s="8">
        <v>1077</v>
      </c>
      <c r="T592" s="9"/>
      <c r="U592" s="8">
        <v>0</v>
      </c>
      <c r="V592" s="9"/>
      <c r="W592" s="33">
        <v>3095</v>
      </c>
      <c r="X592" s="9"/>
      <c r="Y592" s="30">
        <v>3</v>
      </c>
      <c r="Z592" s="9"/>
      <c r="AA592" s="30">
        <v>0</v>
      </c>
      <c r="AB592" s="9"/>
      <c r="AC592" s="30">
        <v>0</v>
      </c>
      <c r="AD592" s="9"/>
      <c r="AE592" s="30">
        <v>1</v>
      </c>
      <c r="AF592" s="9"/>
      <c r="AG592" s="19">
        <v>0</v>
      </c>
      <c r="AI592" s="32">
        <v>4</v>
      </c>
      <c r="AK592" s="7" t="str">
        <f t="shared" si="9"/>
        <v>No</v>
      </c>
    </row>
    <row r="593" spans="1:37">
      <c r="A593" s="7" t="s">
        <v>33</v>
      </c>
      <c r="B593" s="7" t="s">
        <v>707</v>
      </c>
      <c r="C593" s="37" t="s">
        <v>32</v>
      </c>
      <c r="D593" s="296">
        <v>4129</v>
      </c>
      <c r="E593" s="297">
        <v>40129</v>
      </c>
      <c r="F593" s="27" t="s">
        <v>162</v>
      </c>
      <c r="G593" s="27" t="s">
        <v>158</v>
      </c>
      <c r="H593" s="35">
        <v>169541</v>
      </c>
      <c r="I593" s="35">
        <v>28</v>
      </c>
      <c r="J593" s="9" t="s">
        <v>8</v>
      </c>
      <c r="K593" s="9" t="s">
        <v>159</v>
      </c>
      <c r="L593" s="8">
        <v>6</v>
      </c>
      <c r="M593" s="8">
        <v>1822</v>
      </c>
      <c r="N593" s="9"/>
      <c r="O593" s="8">
        <v>132</v>
      </c>
      <c r="P593" s="9"/>
      <c r="Q593" s="8">
        <v>20</v>
      </c>
      <c r="R593" s="9"/>
      <c r="S593" s="8">
        <v>1218</v>
      </c>
      <c r="T593" s="9"/>
      <c r="U593" s="8">
        <v>0</v>
      </c>
      <c r="V593" s="9"/>
      <c r="W593" s="33">
        <v>3192</v>
      </c>
      <c r="X593" s="9"/>
      <c r="Y593" s="30">
        <v>1</v>
      </c>
      <c r="Z593" s="9"/>
      <c r="AA593" s="30">
        <v>0.15</v>
      </c>
      <c r="AB593" s="9"/>
      <c r="AC593" s="30">
        <v>0.05</v>
      </c>
      <c r="AD593" s="9"/>
      <c r="AE593" s="30">
        <v>0.8</v>
      </c>
      <c r="AF593" s="9"/>
      <c r="AG593" s="19">
        <v>0</v>
      </c>
      <c r="AI593" s="32">
        <v>2</v>
      </c>
      <c r="AK593" s="7" t="str">
        <f t="shared" si="9"/>
        <v>No</v>
      </c>
    </row>
    <row r="594" spans="1:37">
      <c r="A594" s="7" t="s">
        <v>643</v>
      </c>
      <c r="B594" s="7" t="s">
        <v>644</v>
      </c>
      <c r="C594" s="37" t="s">
        <v>84</v>
      </c>
      <c r="D594" s="296">
        <v>6082</v>
      </c>
      <c r="E594" s="297">
        <v>60082</v>
      </c>
      <c r="F594" s="27" t="s">
        <v>165</v>
      </c>
      <c r="G594" s="27" t="s">
        <v>158</v>
      </c>
      <c r="H594" s="35">
        <v>106383</v>
      </c>
      <c r="I594" s="35">
        <v>28</v>
      </c>
      <c r="J594" s="9" t="s">
        <v>10</v>
      </c>
      <c r="K594" s="9" t="s">
        <v>159</v>
      </c>
      <c r="L594" s="8">
        <v>4</v>
      </c>
      <c r="M594" s="8">
        <v>2367</v>
      </c>
      <c r="N594" s="9"/>
      <c r="O594" s="8">
        <v>0</v>
      </c>
      <c r="P594" s="9"/>
      <c r="Q594" s="8">
        <v>0</v>
      </c>
      <c r="R594" s="9"/>
      <c r="S594" s="8">
        <v>0</v>
      </c>
      <c r="T594" s="9"/>
      <c r="U594" s="8">
        <v>0</v>
      </c>
      <c r="V594" s="9"/>
      <c r="W594" s="33">
        <v>2367</v>
      </c>
      <c r="X594" s="9"/>
      <c r="Y594" s="30">
        <v>3</v>
      </c>
      <c r="Z594" s="9"/>
      <c r="AA594" s="30">
        <v>0</v>
      </c>
      <c r="AB594" s="9"/>
      <c r="AC594" s="30">
        <v>0</v>
      </c>
      <c r="AD594" s="9"/>
      <c r="AE594" s="30">
        <v>0</v>
      </c>
      <c r="AF594" s="9"/>
      <c r="AG594" s="19">
        <v>0</v>
      </c>
      <c r="AI594" s="32">
        <v>3</v>
      </c>
      <c r="AK594" s="7" t="str">
        <f t="shared" si="9"/>
        <v>No</v>
      </c>
    </row>
    <row r="595" spans="1:37">
      <c r="A595" s="7" t="s">
        <v>670</v>
      </c>
      <c r="B595" s="7" t="s">
        <v>422</v>
      </c>
      <c r="C595" s="37" t="s">
        <v>38</v>
      </c>
      <c r="D595" s="296">
        <v>7019</v>
      </c>
      <c r="E595" s="297">
        <v>70019</v>
      </c>
      <c r="F595" s="27" t="s">
        <v>114</v>
      </c>
      <c r="G595" s="27" t="s">
        <v>158</v>
      </c>
      <c r="H595" s="35">
        <v>106621</v>
      </c>
      <c r="I595" s="35">
        <v>28</v>
      </c>
      <c r="J595" s="9" t="s">
        <v>10</v>
      </c>
      <c r="K595" s="9" t="s">
        <v>159</v>
      </c>
      <c r="L595" s="8">
        <v>3</v>
      </c>
      <c r="M595" s="8">
        <v>13090</v>
      </c>
      <c r="N595" s="9"/>
      <c r="O595" s="8">
        <v>1968</v>
      </c>
      <c r="P595" s="9"/>
      <c r="Q595" s="8">
        <v>300</v>
      </c>
      <c r="R595" s="9"/>
      <c r="S595" s="8">
        <v>332</v>
      </c>
      <c r="T595" s="9"/>
      <c r="U595" s="8">
        <v>0</v>
      </c>
      <c r="V595" s="9"/>
      <c r="W595" s="33">
        <v>15690</v>
      </c>
      <c r="X595" s="9"/>
      <c r="Y595" s="30">
        <v>17</v>
      </c>
      <c r="Z595" s="9"/>
      <c r="AA595" s="30">
        <v>3</v>
      </c>
      <c r="AB595" s="9"/>
      <c r="AC595" s="30">
        <v>0.5</v>
      </c>
      <c r="AD595" s="9"/>
      <c r="AE595" s="30">
        <v>0.5</v>
      </c>
      <c r="AF595" s="9"/>
      <c r="AG595" s="19">
        <v>0</v>
      </c>
      <c r="AI595" s="32">
        <v>21</v>
      </c>
      <c r="AK595" s="7" t="str">
        <f t="shared" si="9"/>
        <v>No</v>
      </c>
    </row>
    <row r="596" spans="1:37">
      <c r="A596" s="7" t="s">
        <v>600</v>
      </c>
      <c r="B596" s="7" t="s">
        <v>601</v>
      </c>
      <c r="C596" s="37" t="s">
        <v>77</v>
      </c>
      <c r="D596" s="296">
        <v>3055</v>
      </c>
      <c r="E596" s="297">
        <v>30055</v>
      </c>
      <c r="F596" s="27" t="s">
        <v>162</v>
      </c>
      <c r="G596" s="27" t="s">
        <v>158</v>
      </c>
      <c r="H596" s="35">
        <v>387550</v>
      </c>
      <c r="I596" s="35">
        <v>27</v>
      </c>
      <c r="J596" s="9" t="s">
        <v>10</v>
      </c>
      <c r="K596" s="9" t="s">
        <v>159</v>
      </c>
      <c r="L596" s="8">
        <v>22</v>
      </c>
      <c r="M596" s="8">
        <v>37404</v>
      </c>
      <c r="N596" s="9"/>
      <c r="O596" s="8">
        <v>0</v>
      </c>
      <c r="P596" s="9"/>
      <c r="Q596" s="8">
        <v>0</v>
      </c>
      <c r="R596" s="9"/>
      <c r="S596" s="8">
        <v>0</v>
      </c>
      <c r="T596" s="9"/>
      <c r="U596" s="8">
        <v>0</v>
      </c>
      <c r="V596" s="9"/>
      <c r="W596" s="33">
        <v>37404</v>
      </c>
      <c r="X596" s="9"/>
      <c r="Y596" s="30">
        <v>38</v>
      </c>
      <c r="Z596" s="9"/>
      <c r="AA596" s="30">
        <v>0</v>
      </c>
      <c r="AB596" s="9"/>
      <c r="AC596" s="30">
        <v>0</v>
      </c>
      <c r="AD596" s="9"/>
      <c r="AE596" s="30">
        <v>0</v>
      </c>
      <c r="AF596" s="9"/>
      <c r="AG596" s="19">
        <v>0</v>
      </c>
      <c r="AI596" s="32">
        <v>38</v>
      </c>
      <c r="AK596" s="7" t="str">
        <f t="shared" si="9"/>
        <v>No</v>
      </c>
    </row>
    <row r="597" spans="1:37">
      <c r="A597" s="7" t="s">
        <v>510</v>
      </c>
      <c r="B597" s="7" t="s">
        <v>511</v>
      </c>
      <c r="C597" s="37" t="s">
        <v>9</v>
      </c>
      <c r="D597" s="296">
        <v>4044</v>
      </c>
      <c r="E597" s="297">
        <v>40044</v>
      </c>
      <c r="F597" s="27" t="s">
        <v>162</v>
      </c>
      <c r="G597" s="27" t="s">
        <v>158</v>
      </c>
      <c r="H597" s="35">
        <v>263907</v>
      </c>
      <c r="I597" s="35">
        <v>27</v>
      </c>
      <c r="J597" s="9" t="s">
        <v>7</v>
      </c>
      <c r="K597" s="9" t="s">
        <v>159</v>
      </c>
      <c r="L597" s="8">
        <v>19</v>
      </c>
      <c r="M597" s="8">
        <v>12410</v>
      </c>
      <c r="N597" s="9"/>
      <c r="O597" s="8">
        <v>3104</v>
      </c>
      <c r="P597" s="9"/>
      <c r="Q597" s="8">
        <v>0</v>
      </c>
      <c r="R597" s="9"/>
      <c r="S597" s="8">
        <v>3411</v>
      </c>
      <c r="T597" s="9"/>
      <c r="U597" s="8">
        <v>0</v>
      </c>
      <c r="V597" s="9"/>
      <c r="W597" s="33">
        <v>18925</v>
      </c>
      <c r="X597" s="9"/>
      <c r="Y597" s="30">
        <v>9</v>
      </c>
      <c r="Z597" s="9"/>
      <c r="AA597" s="30">
        <v>2.25</v>
      </c>
      <c r="AB597" s="9"/>
      <c r="AC597" s="30">
        <v>0</v>
      </c>
      <c r="AD597" s="9"/>
      <c r="AE597" s="30">
        <v>3</v>
      </c>
      <c r="AF597" s="9"/>
      <c r="AG597" s="19">
        <v>0</v>
      </c>
      <c r="AI597" s="32">
        <v>14.25</v>
      </c>
      <c r="AK597" s="7" t="str">
        <f t="shared" si="9"/>
        <v>No</v>
      </c>
    </row>
    <row r="598" spans="1:37">
      <c r="A598" s="7" t="s">
        <v>408</v>
      </c>
      <c r="B598" s="7" t="s">
        <v>409</v>
      </c>
      <c r="C598" s="37" t="s">
        <v>84</v>
      </c>
      <c r="D598" s="296">
        <v>6041</v>
      </c>
      <c r="E598" s="297">
        <v>60041</v>
      </c>
      <c r="F598" s="27" t="s">
        <v>162</v>
      </c>
      <c r="G598" s="27" t="s">
        <v>158</v>
      </c>
      <c r="H598" s="35">
        <v>5121892</v>
      </c>
      <c r="I598" s="35">
        <v>27</v>
      </c>
      <c r="J598" s="9" t="s">
        <v>10</v>
      </c>
      <c r="K598" s="9" t="s">
        <v>159</v>
      </c>
      <c r="L598" s="8">
        <v>16</v>
      </c>
      <c r="M598" s="8">
        <v>8004</v>
      </c>
      <c r="N598" s="9"/>
      <c r="O598" s="8">
        <v>0</v>
      </c>
      <c r="P598" s="9"/>
      <c r="Q598" s="8">
        <v>0</v>
      </c>
      <c r="R598" s="9"/>
      <c r="S598" s="8">
        <v>0</v>
      </c>
      <c r="T598" s="9"/>
      <c r="U598" s="8">
        <v>0</v>
      </c>
      <c r="V598" s="9"/>
      <c r="W598" s="33">
        <v>8004</v>
      </c>
      <c r="X598" s="9"/>
      <c r="Y598" s="30">
        <v>6</v>
      </c>
      <c r="Z598" s="9"/>
      <c r="AA598" s="30">
        <v>0</v>
      </c>
      <c r="AB598" s="9"/>
      <c r="AC598" s="30">
        <v>0</v>
      </c>
      <c r="AD598" s="9"/>
      <c r="AE598" s="30">
        <v>0</v>
      </c>
      <c r="AF598" s="9"/>
      <c r="AG598" s="19">
        <v>0</v>
      </c>
      <c r="AI598" s="32">
        <v>6</v>
      </c>
      <c r="AK598" s="7" t="str">
        <f t="shared" si="9"/>
        <v>No</v>
      </c>
    </row>
    <row r="599" spans="1:37">
      <c r="A599" s="7" t="s">
        <v>510</v>
      </c>
      <c r="B599" s="7" t="s">
        <v>511</v>
      </c>
      <c r="C599" s="37" t="s">
        <v>9</v>
      </c>
      <c r="D599" s="296">
        <v>4044</v>
      </c>
      <c r="E599" s="297">
        <v>40044</v>
      </c>
      <c r="F599" s="27" t="s">
        <v>162</v>
      </c>
      <c r="G599" s="27" t="s">
        <v>158</v>
      </c>
      <c r="H599" s="35">
        <v>263907</v>
      </c>
      <c r="I599" s="35">
        <v>27</v>
      </c>
      <c r="J599" s="9" t="s">
        <v>10</v>
      </c>
      <c r="K599" s="9" t="s">
        <v>159</v>
      </c>
      <c r="L599" s="8">
        <v>8</v>
      </c>
      <c r="M599" s="8">
        <v>1680</v>
      </c>
      <c r="N599" s="9"/>
      <c r="O599" s="8">
        <v>1035</v>
      </c>
      <c r="P599" s="9"/>
      <c r="Q599" s="8">
        <v>0</v>
      </c>
      <c r="R599" s="9"/>
      <c r="S599" s="8">
        <v>0</v>
      </c>
      <c r="T599" s="9"/>
      <c r="U599" s="8">
        <v>0</v>
      </c>
      <c r="V599" s="9"/>
      <c r="W599" s="33">
        <v>2715</v>
      </c>
      <c r="X599" s="9"/>
      <c r="Y599" s="30">
        <v>2.8</v>
      </c>
      <c r="Z599" s="9"/>
      <c r="AA599" s="30">
        <v>0.8</v>
      </c>
      <c r="AB599" s="9"/>
      <c r="AC599" s="30">
        <v>0</v>
      </c>
      <c r="AD599" s="9"/>
      <c r="AE599" s="30">
        <v>0</v>
      </c>
      <c r="AF599" s="9"/>
      <c r="AG599" s="19">
        <v>0</v>
      </c>
      <c r="AI599" s="32">
        <v>3.6</v>
      </c>
      <c r="AK599" s="7" t="str">
        <f t="shared" si="9"/>
        <v>No</v>
      </c>
    </row>
    <row r="600" spans="1:37">
      <c r="A600" s="7" t="s">
        <v>600</v>
      </c>
      <c r="B600" s="7" t="s">
        <v>601</v>
      </c>
      <c r="C600" s="37" t="s">
        <v>77</v>
      </c>
      <c r="D600" s="296">
        <v>3055</v>
      </c>
      <c r="E600" s="297">
        <v>30055</v>
      </c>
      <c r="F600" s="27" t="s">
        <v>162</v>
      </c>
      <c r="G600" s="27" t="s">
        <v>158</v>
      </c>
      <c r="H600" s="35">
        <v>387550</v>
      </c>
      <c r="I600" s="35">
        <v>27</v>
      </c>
      <c r="J600" s="9" t="s">
        <v>7</v>
      </c>
      <c r="K600" s="9" t="s">
        <v>159</v>
      </c>
      <c r="L600" s="8">
        <v>5</v>
      </c>
      <c r="M600" s="8">
        <v>6362</v>
      </c>
      <c r="N600" s="9"/>
      <c r="O600" s="8">
        <v>3949</v>
      </c>
      <c r="P600" s="9"/>
      <c r="Q600" s="8">
        <v>0</v>
      </c>
      <c r="R600" s="9"/>
      <c r="S600" s="8">
        <v>0</v>
      </c>
      <c r="T600" s="9"/>
      <c r="U600" s="8">
        <v>0</v>
      </c>
      <c r="V600" s="9"/>
      <c r="W600" s="33">
        <v>10311</v>
      </c>
      <c r="X600" s="9"/>
      <c r="Y600" s="30">
        <v>5</v>
      </c>
      <c r="Z600" s="9"/>
      <c r="AA600" s="30">
        <v>3</v>
      </c>
      <c r="AB600" s="9"/>
      <c r="AC600" s="30">
        <v>0</v>
      </c>
      <c r="AD600" s="9"/>
      <c r="AE600" s="30">
        <v>0</v>
      </c>
      <c r="AF600" s="9"/>
      <c r="AG600" s="19">
        <v>0</v>
      </c>
      <c r="AI600" s="32">
        <v>8</v>
      </c>
      <c r="AK600" s="7" t="str">
        <f t="shared" si="9"/>
        <v>No</v>
      </c>
    </row>
    <row r="601" spans="1:37">
      <c r="A601" s="7" t="s">
        <v>398</v>
      </c>
      <c r="B601" s="7" t="s">
        <v>254</v>
      </c>
      <c r="C601" s="37" t="s">
        <v>51</v>
      </c>
      <c r="D601" s="296">
        <v>1016</v>
      </c>
      <c r="E601" s="297">
        <v>10016</v>
      </c>
      <c r="F601" s="27" t="s">
        <v>165</v>
      </c>
      <c r="G601" s="27" t="s">
        <v>158</v>
      </c>
      <c r="H601" s="35">
        <v>203914</v>
      </c>
      <c r="I601" s="35">
        <v>26</v>
      </c>
      <c r="J601" s="9" t="s">
        <v>7</v>
      </c>
      <c r="K601" s="9" t="s">
        <v>159</v>
      </c>
      <c r="L601" s="8">
        <v>26</v>
      </c>
      <c r="M601" s="8">
        <v>0</v>
      </c>
      <c r="N601" s="9"/>
      <c r="O601" s="8">
        <v>0</v>
      </c>
      <c r="P601" s="9"/>
      <c r="Q601" s="8">
        <v>0</v>
      </c>
      <c r="R601" s="9"/>
      <c r="S601" s="8">
        <v>3637</v>
      </c>
      <c r="T601" s="9"/>
      <c r="U601" s="8">
        <v>0</v>
      </c>
      <c r="V601" s="9"/>
      <c r="W601" s="33">
        <v>3637</v>
      </c>
      <c r="X601" s="9"/>
      <c r="Y601" s="30">
        <v>0</v>
      </c>
      <c r="Z601" s="9"/>
      <c r="AA601" s="30">
        <v>0</v>
      </c>
      <c r="AB601" s="9"/>
      <c r="AC601" s="30">
        <v>0</v>
      </c>
      <c r="AD601" s="9"/>
      <c r="AE601" s="30">
        <v>3</v>
      </c>
      <c r="AF601" s="9"/>
      <c r="AG601" s="19">
        <v>0</v>
      </c>
      <c r="AI601" s="32">
        <v>3</v>
      </c>
      <c r="AK601" s="7" t="str">
        <f t="shared" si="9"/>
        <v>No</v>
      </c>
    </row>
    <row r="602" spans="1:37">
      <c r="A602" s="7" t="s">
        <v>181</v>
      </c>
      <c r="B602" s="7" t="s">
        <v>182</v>
      </c>
      <c r="C602" s="37" t="s">
        <v>70</v>
      </c>
      <c r="D602" s="296">
        <v>2177</v>
      </c>
      <c r="E602" s="297">
        <v>20177</v>
      </c>
      <c r="F602" s="27" t="s">
        <v>173</v>
      </c>
      <c r="G602" s="27" t="s">
        <v>158</v>
      </c>
      <c r="H602" s="35">
        <v>18351295</v>
      </c>
      <c r="I602" s="35">
        <v>26</v>
      </c>
      <c r="J602" s="9" t="s">
        <v>18</v>
      </c>
      <c r="K602" s="9" t="s">
        <v>159</v>
      </c>
      <c r="L602" s="8">
        <v>26</v>
      </c>
      <c r="M602" s="8">
        <v>6141</v>
      </c>
      <c r="N602" s="9"/>
      <c r="O602" s="8">
        <v>1898</v>
      </c>
      <c r="P602" s="9"/>
      <c r="Q602" s="8">
        <v>0</v>
      </c>
      <c r="R602" s="9"/>
      <c r="S602" s="8">
        <v>5214</v>
      </c>
      <c r="T602" s="9"/>
      <c r="U602" s="8">
        <v>0</v>
      </c>
      <c r="V602" s="9"/>
      <c r="W602" s="33">
        <v>13253</v>
      </c>
      <c r="X602" s="9"/>
      <c r="Y602" s="30">
        <v>8</v>
      </c>
      <c r="Z602" s="9"/>
      <c r="AA602" s="30">
        <v>2</v>
      </c>
      <c r="AB602" s="9"/>
      <c r="AC602" s="30">
        <v>0</v>
      </c>
      <c r="AD602" s="9"/>
      <c r="AE602" s="30">
        <v>6</v>
      </c>
      <c r="AF602" s="9"/>
      <c r="AG602" s="19">
        <v>0</v>
      </c>
      <c r="AI602" s="32">
        <v>16</v>
      </c>
      <c r="AK602" s="7" t="str">
        <f t="shared" si="9"/>
        <v>No</v>
      </c>
    </row>
    <row r="603" spans="1:37">
      <c r="A603" s="7" t="s">
        <v>691</v>
      </c>
      <c r="B603" s="7" t="s">
        <v>692</v>
      </c>
      <c r="C603" s="37" t="s">
        <v>77</v>
      </c>
      <c r="D603" s="296">
        <v>3026</v>
      </c>
      <c r="E603" s="297">
        <v>30026</v>
      </c>
      <c r="F603" s="27" t="s">
        <v>162</v>
      </c>
      <c r="G603" s="27" t="s">
        <v>158</v>
      </c>
      <c r="H603" s="35">
        <v>56142</v>
      </c>
      <c r="I603" s="35">
        <v>26</v>
      </c>
      <c r="J603" s="9" t="s">
        <v>7</v>
      </c>
      <c r="K603" s="9" t="s">
        <v>159</v>
      </c>
      <c r="L603" s="8">
        <v>23</v>
      </c>
      <c r="M603" s="8">
        <v>1524</v>
      </c>
      <c r="N603" s="9"/>
      <c r="O603" s="8">
        <v>0</v>
      </c>
      <c r="P603" s="9"/>
      <c r="Q603" s="8">
        <v>600</v>
      </c>
      <c r="R603" s="9"/>
      <c r="S603" s="8">
        <v>1040</v>
      </c>
      <c r="T603" s="9"/>
      <c r="U603" s="8">
        <v>0</v>
      </c>
      <c r="V603" s="9"/>
      <c r="W603" s="33">
        <v>3164</v>
      </c>
      <c r="X603" s="9"/>
      <c r="Y603" s="30">
        <v>2</v>
      </c>
      <c r="Z603" s="9"/>
      <c r="AA603" s="30">
        <v>0</v>
      </c>
      <c r="AB603" s="9"/>
      <c r="AC603" s="30">
        <v>1</v>
      </c>
      <c r="AD603" s="9"/>
      <c r="AE603" s="30">
        <v>1</v>
      </c>
      <c r="AF603" s="9"/>
      <c r="AG603" s="19">
        <v>0</v>
      </c>
      <c r="AI603" s="32">
        <v>4</v>
      </c>
      <c r="AK603" s="7" t="str">
        <f t="shared" si="9"/>
        <v>No</v>
      </c>
    </row>
    <row r="604" spans="1:37">
      <c r="A604" s="7" t="s">
        <v>604</v>
      </c>
      <c r="B604" s="7" t="s">
        <v>605</v>
      </c>
      <c r="C604" s="37" t="s">
        <v>38</v>
      </c>
      <c r="D604" s="296">
        <v>7012</v>
      </c>
      <c r="E604" s="297">
        <v>70012</v>
      </c>
      <c r="F604" s="27" t="s">
        <v>162</v>
      </c>
      <c r="G604" s="27" t="s">
        <v>158</v>
      </c>
      <c r="H604" s="35">
        <v>106494</v>
      </c>
      <c r="I604" s="35">
        <v>26</v>
      </c>
      <c r="J604" s="9" t="s">
        <v>7</v>
      </c>
      <c r="K604" s="9" t="s">
        <v>159</v>
      </c>
      <c r="L604" s="8">
        <v>21</v>
      </c>
      <c r="M604" s="8">
        <v>31026</v>
      </c>
      <c r="N604" s="9"/>
      <c r="O604" s="8">
        <v>0</v>
      </c>
      <c r="P604" s="9"/>
      <c r="Q604" s="8">
        <v>1430</v>
      </c>
      <c r="R604" s="9"/>
      <c r="S604" s="8">
        <v>1148</v>
      </c>
      <c r="T604" s="9"/>
      <c r="U604" s="8">
        <v>0</v>
      </c>
      <c r="V604" s="9"/>
      <c r="W604" s="33">
        <v>33604</v>
      </c>
      <c r="X604" s="9"/>
      <c r="Y604" s="30">
        <v>27</v>
      </c>
      <c r="Z604" s="9"/>
      <c r="AA604" s="30">
        <v>0</v>
      </c>
      <c r="AB604" s="9"/>
      <c r="AC604" s="30">
        <v>1</v>
      </c>
      <c r="AD604" s="9"/>
      <c r="AE604" s="30">
        <v>1</v>
      </c>
      <c r="AF604" s="9"/>
      <c r="AG604" s="19">
        <v>0</v>
      </c>
      <c r="AI604" s="32">
        <v>29</v>
      </c>
      <c r="AK604" s="7" t="str">
        <f t="shared" si="9"/>
        <v>No</v>
      </c>
    </row>
    <row r="605" spans="1:37">
      <c r="A605" s="7" t="s">
        <v>691</v>
      </c>
      <c r="B605" s="7" t="s">
        <v>692</v>
      </c>
      <c r="C605" s="37" t="s">
        <v>77</v>
      </c>
      <c r="D605" s="296">
        <v>3026</v>
      </c>
      <c r="E605" s="297">
        <v>30026</v>
      </c>
      <c r="F605" s="27" t="s">
        <v>162</v>
      </c>
      <c r="G605" s="27" t="s">
        <v>158</v>
      </c>
      <c r="H605" s="35">
        <v>56142</v>
      </c>
      <c r="I605" s="35">
        <v>26</v>
      </c>
      <c r="J605" s="9" t="s">
        <v>10</v>
      </c>
      <c r="K605" s="9" t="s">
        <v>159</v>
      </c>
      <c r="L605" s="8">
        <v>1</v>
      </c>
      <c r="M605" s="8">
        <v>0</v>
      </c>
      <c r="N605" s="9"/>
      <c r="O605" s="8">
        <v>0</v>
      </c>
      <c r="P605" s="9"/>
      <c r="Q605" s="8">
        <v>0</v>
      </c>
      <c r="R605" s="9"/>
      <c r="S605" s="8">
        <v>0</v>
      </c>
      <c r="T605" s="9"/>
      <c r="U605" s="8">
        <v>0</v>
      </c>
      <c r="V605" s="9"/>
      <c r="W605" s="33">
        <v>0</v>
      </c>
      <c r="X605" s="9"/>
      <c r="Y605" s="30">
        <v>0</v>
      </c>
      <c r="Z605" s="9"/>
      <c r="AA605" s="30">
        <v>0</v>
      </c>
      <c r="AB605" s="9"/>
      <c r="AC605" s="30">
        <v>0</v>
      </c>
      <c r="AD605" s="9"/>
      <c r="AE605" s="30">
        <v>0</v>
      </c>
      <c r="AF605" s="9"/>
      <c r="AG605" s="19">
        <v>0</v>
      </c>
      <c r="AI605" s="32">
        <v>0</v>
      </c>
      <c r="AK605" s="7" t="str">
        <f t="shared" si="9"/>
        <v>No</v>
      </c>
    </row>
    <row r="606" spans="1:37">
      <c r="A606" s="7" t="s">
        <v>307</v>
      </c>
      <c r="B606" s="7" t="s">
        <v>308</v>
      </c>
      <c r="C606" s="37" t="s">
        <v>17</v>
      </c>
      <c r="D606" s="296">
        <v>9086</v>
      </c>
      <c r="E606" s="297">
        <v>90086</v>
      </c>
      <c r="F606" s="27" t="s">
        <v>162</v>
      </c>
      <c r="G606" s="27" t="s">
        <v>158</v>
      </c>
      <c r="H606" s="35">
        <v>1932666</v>
      </c>
      <c r="I606" s="35">
        <v>25</v>
      </c>
      <c r="J606" s="9" t="s">
        <v>10</v>
      </c>
      <c r="K606" s="9" t="s">
        <v>159</v>
      </c>
      <c r="L606" s="8">
        <v>25</v>
      </c>
      <c r="M606" s="8">
        <v>8235</v>
      </c>
      <c r="N606" s="9"/>
      <c r="O606" s="8">
        <v>0</v>
      </c>
      <c r="P606" s="9"/>
      <c r="Q606" s="8">
        <v>0</v>
      </c>
      <c r="R606" s="9"/>
      <c r="S606" s="8">
        <v>0</v>
      </c>
      <c r="T606" s="9"/>
      <c r="U606" s="8">
        <v>0</v>
      </c>
      <c r="V606" s="9"/>
      <c r="W606" s="33">
        <v>8235</v>
      </c>
      <c r="X606" s="9"/>
      <c r="Y606" s="30">
        <v>6</v>
      </c>
      <c r="Z606" s="9"/>
      <c r="AA606" s="30">
        <v>0</v>
      </c>
      <c r="AB606" s="9"/>
      <c r="AC606" s="30">
        <v>0</v>
      </c>
      <c r="AD606" s="9"/>
      <c r="AE606" s="30">
        <v>0</v>
      </c>
      <c r="AF606" s="9"/>
      <c r="AG606" s="19">
        <v>0</v>
      </c>
      <c r="AI606" s="32">
        <v>6</v>
      </c>
      <c r="AK606" s="7" t="str">
        <f t="shared" si="9"/>
        <v>No</v>
      </c>
    </row>
    <row r="607" spans="1:37">
      <c r="A607" s="7" t="s">
        <v>745</v>
      </c>
      <c r="B607" s="7" t="s">
        <v>746</v>
      </c>
      <c r="C607" s="37" t="s">
        <v>62</v>
      </c>
      <c r="D607" s="296">
        <v>1119</v>
      </c>
      <c r="E607" s="297">
        <v>10119</v>
      </c>
      <c r="F607" s="27" t="s">
        <v>114</v>
      </c>
      <c r="G607" s="27" t="s">
        <v>158</v>
      </c>
      <c r="H607" s="35">
        <v>88087</v>
      </c>
      <c r="I607" s="35">
        <v>25</v>
      </c>
      <c r="J607" s="9" t="s">
        <v>7</v>
      </c>
      <c r="K607" s="9" t="s">
        <v>159</v>
      </c>
      <c r="L607" s="8">
        <v>25</v>
      </c>
      <c r="M607" s="8">
        <v>57840</v>
      </c>
      <c r="N607" s="9"/>
      <c r="O607" s="8">
        <v>2377</v>
      </c>
      <c r="P607" s="9"/>
      <c r="Q607" s="8">
        <v>0</v>
      </c>
      <c r="R607" s="9"/>
      <c r="S607" s="8">
        <v>20618</v>
      </c>
      <c r="T607" s="9"/>
      <c r="U607" s="8">
        <v>0</v>
      </c>
      <c r="V607" s="9"/>
      <c r="W607" s="33">
        <v>80835</v>
      </c>
      <c r="X607" s="9"/>
      <c r="Y607" s="30">
        <v>115</v>
      </c>
      <c r="Z607" s="9"/>
      <c r="AA607" s="30">
        <v>3</v>
      </c>
      <c r="AB607" s="9"/>
      <c r="AC607" s="30">
        <v>0</v>
      </c>
      <c r="AD607" s="9"/>
      <c r="AE607" s="30">
        <v>22</v>
      </c>
      <c r="AF607" s="9"/>
      <c r="AG607" s="19">
        <v>0</v>
      </c>
      <c r="AI607" s="32">
        <v>140</v>
      </c>
      <c r="AK607" s="7" t="str">
        <f t="shared" si="9"/>
        <v>No</v>
      </c>
    </row>
    <row r="608" spans="1:37">
      <c r="A608" s="7" t="s">
        <v>205</v>
      </c>
      <c r="B608" s="7" t="s">
        <v>206</v>
      </c>
      <c r="C608" s="37" t="s">
        <v>36</v>
      </c>
      <c r="D608" s="296">
        <v>4047</v>
      </c>
      <c r="E608" s="297">
        <v>40047</v>
      </c>
      <c r="F608" s="27" t="s">
        <v>162</v>
      </c>
      <c r="G608" s="27" t="s">
        <v>158</v>
      </c>
      <c r="H608" s="35">
        <v>128754</v>
      </c>
      <c r="I608" s="35">
        <v>25</v>
      </c>
      <c r="J608" s="9" t="s">
        <v>7</v>
      </c>
      <c r="K608" s="9" t="s">
        <v>159</v>
      </c>
      <c r="L608" s="8">
        <v>22</v>
      </c>
      <c r="M608" s="8">
        <v>26881</v>
      </c>
      <c r="N608" s="9"/>
      <c r="O608" s="8">
        <v>0</v>
      </c>
      <c r="P608" s="9"/>
      <c r="Q608" s="8">
        <v>1563</v>
      </c>
      <c r="R608" s="9"/>
      <c r="S608" s="8">
        <v>675</v>
      </c>
      <c r="T608" s="9"/>
      <c r="U608" s="8">
        <v>0</v>
      </c>
      <c r="V608" s="9"/>
      <c r="W608" s="33">
        <v>29119</v>
      </c>
      <c r="X608" s="9"/>
      <c r="Y608" s="30">
        <v>20.7</v>
      </c>
      <c r="Z608" s="9"/>
      <c r="AA608" s="30">
        <v>0</v>
      </c>
      <c r="AB608" s="9"/>
      <c r="AC608" s="30">
        <v>0.9</v>
      </c>
      <c r="AD608" s="9"/>
      <c r="AE608" s="30">
        <v>0</v>
      </c>
      <c r="AF608" s="9"/>
      <c r="AG608" s="19">
        <v>0</v>
      </c>
      <c r="AI608" s="32">
        <v>21.6</v>
      </c>
      <c r="AK608" s="7" t="str">
        <f t="shared" si="9"/>
        <v>No</v>
      </c>
    </row>
    <row r="609" spans="1:37">
      <c r="A609" s="7" t="s">
        <v>678</v>
      </c>
      <c r="B609" s="7" t="s">
        <v>679</v>
      </c>
      <c r="C609" s="37" t="s">
        <v>84</v>
      </c>
      <c r="D609" s="296">
        <v>6012</v>
      </c>
      <c r="E609" s="297">
        <v>60012</v>
      </c>
      <c r="F609" s="27" t="s">
        <v>162</v>
      </c>
      <c r="G609" s="27" t="s">
        <v>158</v>
      </c>
      <c r="H609" s="35">
        <v>172378</v>
      </c>
      <c r="I609" s="35">
        <v>25</v>
      </c>
      <c r="J609" s="9" t="s">
        <v>7</v>
      </c>
      <c r="K609" s="9" t="s">
        <v>159</v>
      </c>
      <c r="L609" s="8">
        <v>16</v>
      </c>
      <c r="M609" s="8">
        <v>40518</v>
      </c>
      <c r="N609" s="9"/>
      <c r="O609" s="8">
        <v>814</v>
      </c>
      <c r="P609" s="9"/>
      <c r="Q609" s="8">
        <v>344</v>
      </c>
      <c r="R609" s="9"/>
      <c r="S609" s="8">
        <v>0</v>
      </c>
      <c r="T609" s="9"/>
      <c r="U609" s="8">
        <v>0</v>
      </c>
      <c r="V609" s="9"/>
      <c r="W609" s="33">
        <v>41676</v>
      </c>
      <c r="X609" s="9"/>
      <c r="Y609" s="30">
        <v>38.4</v>
      </c>
      <c r="Z609" s="9"/>
      <c r="AA609" s="30">
        <v>1.4</v>
      </c>
      <c r="AB609" s="9"/>
      <c r="AC609" s="30">
        <v>0.8</v>
      </c>
      <c r="AD609" s="9"/>
      <c r="AE609" s="30">
        <v>0</v>
      </c>
      <c r="AF609" s="9"/>
      <c r="AG609" s="19">
        <v>0</v>
      </c>
      <c r="AI609" s="32">
        <v>40.6</v>
      </c>
      <c r="AK609" s="7" t="str">
        <f t="shared" si="9"/>
        <v>No</v>
      </c>
    </row>
    <row r="610" spans="1:37">
      <c r="A610" s="7" t="s">
        <v>678</v>
      </c>
      <c r="B610" s="7" t="s">
        <v>679</v>
      </c>
      <c r="C610" s="37" t="s">
        <v>84</v>
      </c>
      <c r="D610" s="296">
        <v>6012</v>
      </c>
      <c r="E610" s="297">
        <v>60012</v>
      </c>
      <c r="F610" s="27" t="s">
        <v>162</v>
      </c>
      <c r="G610" s="27" t="s">
        <v>158</v>
      </c>
      <c r="H610" s="35">
        <v>172378</v>
      </c>
      <c r="I610" s="35">
        <v>25</v>
      </c>
      <c r="J610" s="9" t="s">
        <v>10</v>
      </c>
      <c r="K610" s="9" t="s">
        <v>159</v>
      </c>
      <c r="L610" s="8">
        <v>9</v>
      </c>
      <c r="M610" s="8">
        <v>10129</v>
      </c>
      <c r="N610" s="9"/>
      <c r="O610" s="8">
        <v>204</v>
      </c>
      <c r="P610" s="9"/>
      <c r="Q610" s="8">
        <v>344</v>
      </c>
      <c r="R610" s="9"/>
      <c r="S610" s="8">
        <v>0</v>
      </c>
      <c r="T610" s="9"/>
      <c r="U610" s="8">
        <v>0</v>
      </c>
      <c r="V610" s="9"/>
      <c r="W610" s="33">
        <v>10677</v>
      </c>
      <c r="X610" s="9"/>
      <c r="Y610" s="30">
        <v>9.6</v>
      </c>
      <c r="Z610" s="9"/>
      <c r="AA610" s="30">
        <v>0.4</v>
      </c>
      <c r="AB610" s="9"/>
      <c r="AC610" s="30">
        <v>0.2</v>
      </c>
      <c r="AD610" s="9"/>
      <c r="AE610" s="30">
        <v>0</v>
      </c>
      <c r="AF610" s="9"/>
      <c r="AG610" s="19">
        <v>0</v>
      </c>
      <c r="AI610" s="32">
        <v>10.199999999999999</v>
      </c>
      <c r="AK610" s="7" t="str">
        <f t="shared" si="9"/>
        <v>No</v>
      </c>
    </row>
    <row r="611" spans="1:37">
      <c r="A611" s="7" t="s">
        <v>205</v>
      </c>
      <c r="B611" s="7" t="s">
        <v>206</v>
      </c>
      <c r="C611" s="37" t="s">
        <v>36</v>
      </c>
      <c r="D611" s="296">
        <v>4047</v>
      </c>
      <c r="E611" s="297">
        <v>40047</v>
      </c>
      <c r="F611" s="27" t="s">
        <v>162</v>
      </c>
      <c r="G611" s="27" t="s">
        <v>158</v>
      </c>
      <c r="H611" s="35">
        <v>128754</v>
      </c>
      <c r="I611" s="35">
        <v>25</v>
      </c>
      <c r="J611" s="9" t="s">
        <v>10</v>
      </c>
      <c r="K611" s="9" t="s">
        <v>159</v>
      </c>
      <c r="L611" s="8">
        <v>3</v>
      </c>
      <c r="M611" s="8">
        <v>2182</v>
      </c>
      <c r="N611" s="9"/>
      <c r="O611" s="8">
        <v>0</v>
      </c>
      <c r="P611" s="9"/>
      <c r="Q611" s="8">
        <v>174</v>
      </c>
      <c r="R611" s="9"/>
      <c r="S611" s="8">
        <v>75</v>
      </c>
      <c r="T611" s="9"/>
      <c r="U611" s="8">
        <v>0</v>
      </c>
      <c r="V611" s="9"/>
      <c r="W611" s="33">
        <v>2431</v>
      </c>
      <c r="X611" s="9"/>
      <c r="Y611" s="30">
        <v>1.3</v>
      </c>
      <c r="Z611" s="9"/>
      <c r="AA611" s="30">
        <v>0</v>
      </c>
      <c r="AB611" s="9"/>
      <c r="AC611" s="30">
        <v>0.1</v>
      </c>
      <c r="AD611" s="9"/>
      <c r="AE611" s="30">
        <v>0</v>
      </c>
      <c r="AF611" s="9"/>
      <c r="AG611" s="19">
        <v>0</v>
      </c>
      <c r="AI611" s="32">
        <v>1.4</v>
      </c>
      <c r="AK611" s="7" t="str">
        <f t="shared" si="9"/>
        <v>No</v>
      </c>
    </row>
    <row r="612" spans="1:37">
      <c r="A612" s="7" t="s">
        <v>795</v>
      </c>
      <c r="B612" s="7" t="s">
        <v>791</v>
      </c>
      <c r="C612" s="37" t="s">
        <v>792</v>
      </c>
      <c r="D612" s="296">
        <v>9242</v>
      </c>
      <c r="E612" s="297">
        <v>90242</v>
      </c>
      <c r="F612" s="27" t="s">
        <v>187</v>
      </c>
      <c r="G612" s="27" t="s">
        <v>158</v>
      </c>
      <c r="H612" s="35">
        <v>1886011</v>
      </c>
      <c r="I612" s="35">
        <v>24</v>
      </c>
      <c r="J612" s="9" t="s">
        <v>34</v>
      </c>
      <c r="K612" s="9" t="s">
        <v>159</v>
      </c>
      <c r="L612" s="8">
        <v>24</v>
      </c>
      <c r="M612" s="8">
        <v>0</v>
      </c>
      <c r="N612" s="9"/>
      <c r="O612" s="8">
        <v>0</v>
      </c>
      <c r="P612" s="9"/>
      <c r="Q612" s="8">
        <v>0</v>
      </c>
      <c r="R612" s="9"/>
      <c r="S612" s="8">
        <v>910</v>
      </c>
      <c r="T612" s="9"/>
      <c r="U612" s="8">
        <v>0</v>
      </c>
      <c r="V612" s="9"/>
      <c r="W612" s="33">
        <v>910</v>
      </c>
      <c r="X612" s="9"/>
      <c r="Y612" s="30">
        <v>0</v>
      </c>
      <c r="Z612" s="9"/>
      <c r="AA612" s="30">
        <v>0</v>
      </c>
      <c r="AB612" s="9"/>
      <c r="AC612" s="30">
        <v>0</v>
      </c>
      <c r="AD612" s="9"/>
      <c r="AE612" s="30">
        <v>2</v>
      </c>
      <c r="AF612" s="9"/>
      <c r="AG612" s="19">
        <v>0</v>
      </c>
      <c r="AI612" s="32">
        <v>2</v>
      </c>
      <c r="AK612" s="7" t="str">
        <f t="shared" si="9"/>
        <v>No</v>
      </c>
    </row>
    <row r="613" spans="1:37">
      <c r="A613" s="7" t="s">
        <v>1106</v>
      </c>
      <c r="B613" s="7" t="s">
        <v>1107</v>
      </c>
      <c r="C613" s="37" t="s">
        <v>32</v>
      </c>
      <c r="D613" s="296" t="s">
        <v>1108</v>
      </c>
      <c r="E613" s="297">
        <v>41068</v>
      </c>
      <c r="F613" s="27" t="s">
        <v>162</v>
      </c>
      <c r="G613" s="27" t="s">
        <v>158</v>
      </c>
      <c r="H613" s="35">
        <v>349064</v>
      </c>
      <c r="I613" s="35">
        <v>24</v>
      </c>
      <c r="J613" s="9" t="s">
        <v>10</v>
      </c>
      <c r="K613" s="9" t="s">
        <v>159</v>
      </c>
      <c r="L613" s="8">
        <v>24</v>
      </c>
      <c r="M613" s="8">
        <v>7488</v>
      </c>
      <c r="N613" s="9"/>
      <c r="O613" s="8">
        <v>0</v>
      </c>
      <c r="P613" s="9"/>
      <c r="Q613" s="8">
        <v>0</v>
      </c>
      <c r="R613" s="9"/>
      <c r="S613" s="8">
        <v>0</v>
      </c>
      <c r="T613" s="9"/>
      <c r="U613" s="8">
        <v>0</v>
      </c>
      <c r="V613" s="9"/>
      <c r="W613" s="33">
        <v>7488</v>
      </c>
      <c r="X613" s="9"/>
      <c r="Y613" s="30">
        <v>6</v>
      </c>
      <c r="Z613" s="9"/>
      <c r="AA613" s="30">
        <v>0</v>
      </c>
      <c r="AB613" s="9"/>
      <c r="AC613" s="30">
        <v>0</v>
      </c>
      <c r="AD613" s="9"/>
      <c r="AE613" s="30">
        <v>0</v>
      </c>
      <c r="AF613" s="9"/>
      <c r="AG613" s="19">
        <v>0</v>
      </c>
      <c r="AI613" s="32">
        <v>6</v>
      </c>
      <c r="AK613" s="7" t="str">
        <f t="shared" si="9"/>
        <v>No</v>
      </c>
    </row>
    <row r="614" spans="1:37">
      <c r="A614" s="7" t="s">
        <v>737</v>
      </c>
      <c r="B614" s="7" t="s">
        <v>422</v>
      </c>
      <c r="C614" s="37" t="s">
        <v>38</v>
      </c>
      <c r="D614" s="296">
        <v>7045</v>
      </c>
      <c r="E614" s="297">
        <v>70045</v>
      </c>
      <c r="F614" s="27" t="s">
        <v>162</v>
      </c>
      <c r="G614" s="27" t="s">
        <v>158</v>
      </c>
      <c r="H614" s="35">
        <v>106621</v>
      </c>
      <c r="I614" s="35">
        <v>24</v>
      </c>
      <c r="J614" s="9" t="s">
        <v>10</v>
      </c>
      <c r="K614" s="9" t="s">
        <v>159</v>
      </c>
      <c r="L614" s="8">
        <v>24</v>
      </c>
      <c r="M614" s="8">
        <v>28767</v>
      </c>
      <c r="N614" s="9"/>
      <c r="O614" s="8">
        <v>232</v>
      </c>
      <c r="P614" s="9"/>
      <c r="Q614" s="8">
        <v>0</v>
      </c>
      <c r="R614" s="9"/>
      <c r="S614" s="8">
        <v>1149</v>
      </c>
      <c r="T614" s="9"/>
      <c r="U614" s="8">
        <v>0</v>
      </c>
      <c r="V614" s="9"/>
      <c r="W614" s="33">
        <v>30148</v>
      </c>
      <c r="X614" s="9"/>
      <c r="Y614" s="30">
        <v>31</v>
      </c>
      <c r="Z614" s="9"/>
      <c r="AA614" s="30">
        <v>1</v>
      </c>
      <c r="AB614" s="9"/>
      <c r="AC614" s="30">
        <v>0</v>
      </c>
      <c r="AD614" s="9"/>
      <c r="AE614" s="30">
        <v>1</v>
      </c>
      <c r="AF614" s="9"/>
      <c r="AG614" s="19">
        <v>0</v>
      </c>
      <c r="AI614" s="32">
        <v>33</v>
      </c>
      <c r="AK614" s="7" t="str">
        <f t="shared" si="9"/>
        <v>No</v>
      </c>
    </row>
    <row r="615" spans="1:37">
      <c r="A615" s="7" t="s">
        <v>1145</v>
      </c>
      <c r="B615" s="7" t="s">
        <v>284</v>
      </c>
      <c r="C615" s="37" t="s">
        <v>55</v>
      </c>
      <c r="D615" s="296">
        <v>7003</v>
      </c>
      <c r="E615" s="297">
        <v>70003</v>
      </c>
      <c r="F615" s="27" t="s">
        <v>162</v>
      </c>
      <c r="G615" s="27" t="s">
        <v>158</v>
      </c>
      <c r="H615" s="35">
        <v>273724</v>
      </c>
      <c r="I615" s="35">
        <v>24</v>
      </c>
      <c r="J615" s="9" t="s">
        <v>7</v>
      </c>
      <c r="K615" s="9" t="s">
        <v>159</v>
      </c>
      <c r="L615" s="8">
        <v>20</v>
      </c>
      <c r="M615" s="8">
        <v>0</v>
      </c>
      <c r="N615" s="9"/>
      <c r="O615" s="8">
        <v>0</v>
      </c>
      <c r="P615" s="9"/>
      <c r="Q615" s="8">
        <v>0</v>
      </c>
      <c r="R615" s="9"/>
      <c r="S615" s="8">
        <v>0</v>
      </c>
      <c r="T615" s="9"/>
      <c r="U615" s="8">
        <v>0</v>
      </c>
      <c r="V615" s="9"/>
      <c r="W615" s="33">
        <v>0</v>
      </c>
      <c r="X615" s="9"/>
      <c r="Y615" s="30">
        <v>0</v>
      </c>
      <c r="Z615" s="9"/>
      <c r="AA615" s="30">
        <v>0</v>
      </c>
      <c r="AB615" s="9"/>
      <c r="AC615" s="30">
        <v>0</v>
      </c>
      <c r="AD615" s="9"/>
      <c r="AE615" s="30">
        <v>0</v>
      </c>
      <c r="AF615" s="9"/>
      <c r="AG615" s="19">
        <v>0</v>
      </c>
      <c r="AI615" s="32">
        <v>0</v>
      </c>
      <c r="AK615" s="7" t="str">
        <f t="shared" si="9"/>
        <v>No</v>
      </c>
    </row>
    <row r="616" spans="1:37">
      <c r="A616" s="7" t="s">
        <v>528</v>
      </c>
      <c r="B616" s="7" t="s">
        <v>527</v>
      </c>
      <c r="C616" s="37" t="s">
        <v>17</v>
      </c>
      <c r="D616" s="296">
        <v>9022</v>
      </c>
      <c r="E616" s="297">
        <v>90022</v>
      </c>
      <c r="F616" s="27" t="s">
        <v>162</v>
      </c>
      <c r="G616" s="27" t="s">
        <v>158</v>
      </c>
      <c r="H616" s="35">
        <v>12150996</v>
      </c>
      <c r="I616" s="35">
        <v>24</v>
      </c>
      <c r="J616" s="9" t="s">
        <v>7</v>
      </c>
      <c r="K616" s="9" t="s">
        <v>159</v>
      </c>
      <c r="L616" s="8">
        <v>19</v>
      </c>
      <c r="M616" s="8">
        <v>39655</v>
      </c>
      <c r="N616" s="9"/>
      <c r="O616" s="8">
        <v>8443</v>
      </c>
      <c r="P616" s="9"/>
      <c r="Q616" s="8">
        <v>938</v>
      </c>
      <c r="R616" s="9"/>
      <c r="S616" s="8">
        <v>129</v>
      </c>
      <c r="T616" s="9"/>
      <c r="U616" s="8">
        <v>0</v>
      </c>
      <c r="V616" s="9"/>
      <c r="W616" s="33">
        <v>49165</v>
      </c>
      <c r="X616" s="9"/>
      <c r="Y616" s="30">
        <v>32</v>
      </c>
      <c r="Z616" s="9"/>
      <c r="AA616" s="30">
        <v>5</v>
      </c>
      <c r="AB616" s="9"/>
      <c r="AC616" s="30">
        <v>1</v>
      </c>
      <c r="AD616" s="9"/>
      <c r="AE616" s="30">
        <v>1</v>
      </c>
      <c r="AF616" s="9"/>
      <c r="AG616" s="19">
        <v>0</v>
      </c>
      <c r="AI616" s="32">
        <v>39</v>
      </c>
      <c r="AK616" s="7" t="str">
        <f t="shared" si="9"/>
        <v>No</v>
      </c>
    </row>
    <row r="617" spans="1:37">
      <c r="A617" s="7" t="s">
        <v>558</v>
      </c>
      <c r="B617" s="7" t="s">
        <v>559</v>
      </c>
      <c r="C617" s="37" t="s">
        <v>26</v>
      </c>
      <c r="D617" s="296">
        <v>8007</v>
      </c>
      <c r="E617" s="297">
        <v>80007</v>
      </c>
      <c r="F617" s="27" t="s">
        <v>162</v>
      </c>
      <c r="G617" s="27" t="s">
        <v>158</v>
      </c>
      <c r="H617" s="35">
        <v>136550</v>
      </c>
      <c r="I617" s="35">
        <v>24</v>
      </c>
      <c r="J617" s="9" t="s">
        <v>7</v>
      </c>
      <c r="K617" s="9" t="s">
        <v>159</v>
      </c>
      <c r="L617" s="8">
        <v>13</v>
      </c>
      <c r="M617" s="8">
        <v>2146</v>
      </c>
      <c r="N617" s="9"/>
      <c r="O617" s="8">
        <v>0</v>
      </c>
      <c r="P617" s="9"/>
      <c r="Q617" s="8">
        <v>0</v>
      </c>
      <c r="R617" s="9"/>
      <c r="S617" s="8">
        <v>0</v>
      </c>
      <c r="T617" s="9"/>
      <c r="U617" s="8">
        <v>0</v>
      </c>
      <c r="V617" s="9"/>
      <c r="W617" s="33">
        <v>2146</v>
      </c>
      <c r="X617" s="9"/>
      <c r="Y617" s="30">
        <v>6</v>
      </c>
      <c r="Z617" s="9"/>
      <c r="AA617" s="30">
        <v>0</v>
      </c>
      <c r="AB617" s="9"/>
      <c r="AC617" s="30">
        <v>0</v>
      </c>
      <c r="AD617" s="9"/>
      <c r="AE617" s="30">
        <v>0</v>
      </c>
      <c r="AF617" s="9"/>
      <c r="AG617" s="19">
        <v>0</v>
      </c>
      <c r="AI617" s="32">
        <v>6</v>
      </c>
      <c r="AK617" s="7" t="str">
        <f t="shared" si="9"/>
        <v>No</v>
      </c>
    </row>
    <row r="618" spans="1:37">
      <c r="A618" s="7" t="s">
        <v>715</v>
      </c>
      <c r="B618" s="7" t="s">
        <v>716</v>
      </c>
      <c r="C618" s="37" t="s">
        <v>77</v>
      </c>
      <c r="D618" s="296">
        <v>3095</v>
      </c>
      <c r="E618" s="297">
        <v>30095</v>
      </c>
      <c r="F618" s="27" t="s">
        <v>165</v>
      </c>
      <c r="G618" s="27" t="s">
        <v>158</v>
      </c>
      <c r="H618" s="35">
        <v>77086</v>
      </c>
      <c r="I618" s="35">
        <v>24</v>
      </c>
      <c r="J618" s="9" t="s">
        <v>10</v>
      </c>
      <c r="K618" s="9" t="s">
        <v>159</v>
      </c>
      <c r="L618" s="8">
        <v>12</v>
      </c>
      <c r="M618" s="8">
        <v>5245</v>
      </c>
      <c r="N618" s="9"/>
      <c r="O618" s="8">
        <v>0</v>
      </c>
      <c r="P618" s="9"/>
      <c r="Q618" s="8">
        <v>0</v>
      </c>
      <c r="R618" s="9"/>
      <c r="S618" s="8">
        <v>116</v>
      </c>
      <c r="T618" s="9"/>
      <c r="U618" s="8">
        <v>0</v>
      </c>
      <c r="V618" s="9"/>
      <c r="W618" s="33">
        <v>5361</v>
      </c>
      <c r="X618" s="9"/>
      <c r="Y618" s="30">
        <v>4</v>
      </c>
      <c r="Z618" s="9"/>
      <c r="AA618" s="30">
        <v>0</v>
      </c>
      <c r="AB618" s="9"/>
      <c r="AC618" s="30">
        <v>0</v>
      </c>
      <c r="AD618" s="9"/>
      <c r="AE618" s="30">
        <v>0.1</v>
      </c>
      <c r="AF618" s="9"/>
      <c r="AG618" s="19">
        <v>0</v>
      </c>
      <c r="AI618" s="32">
        <v>4.0999999999999996</v>
      </c>
      <c r="AK618" s="7" t="str">
        <f t="shared" si="9"/>
        <v>No</v>
      </c>
    </row>
    <row r="619" spans="1:37">
      <c r="A619" s="7" t="s">
        <v>715</v>
      </c>
      <c r="B619" s="7" t="s">
        <v>716</v>
      </c>
      <c r="C619" s="37" t="s">
        <v>77</v>
      </c>
      <c r="D619" s="296">
        <v>3095</v>
      </c>
      <c r="E619" s="297">
        <v>30095</v>
      </c>
      <c r="F619" s="27" t="s">
        <v>165</v>
      </c>
      <c r="G619" s="27" t="s">
        <v>158</v>
      </c>
      <c r="H619" s="35">
        <v>77086</v>
      </c>
      <c r="I619" s="35">
        <v>24</v>
      </c>
      <c r="J619" s="9" t="s">
        <v>7</v>
      </c>
      <c r="K619" s="9" t="s">
        <v>159</v>
      </c>
      <c r="L619" s="8">
        <v>8</v>
      </c>
      <c r="M619" s="8">
        <v>0</v>
      </c>
      <c r="N619" s="9"/>
      <c r="O619" s="8">
        <v>0</v>
      </c>
      <c r="P619" s="9"/>
      <c r="Q619" s="8">
        <v>0</v>
      </c>
      <c r="R619" s="9"/>
      <c r="S619" s="8">
        <v>792</v>
      </c>
      <c r="T619" s="9"/>
      <c r="U619" s="8">
        <v>0</v>
      </c>
      <c r="V619" s="9"/>
      <c r="W619" s="33">
        <v>792</v>
      </c>
      <c r="X619" s="9"/>
      <c r="Y619" s="30">
        <v>0</v>
      </c>
      <c r="Z619" s="9"/>
      <c r="AA619" s="30">
        <v>0</v>
      </c>
      <c r="AB619" s="9"/>
      <c r="AC619" s="30">
        <v>0</v>
      </c>
      <c r="AD619" s="9"/>
      <c r="AE619" s="30">
        <v>0.7</v>
      </c>
      <c r="AF619" s="9"/>
      <c r="AG619" s="19">
        <v>0</v>
      </c>
      <c r="AI619" s="32">
        <v>0.7</v>
      </c>
      <c r="AK619" s="7" t="str">
        <f t="shared" si="9"/>
        <v>No</v>
      </c>
    </row>
    <row r="620" spans="1:37">
      <c r="A620" s="7" t="s">
        <v>715</v>
      </c>
      <c r="B620" s="7" t="s">
        <v>716</v>
      </c>
      <c r="C620" s="37" t="s">
        <v>77</v>
      </c>
      <c r="D620" s="296">
        <v>3095</v>
      </c>
      <c r="E620" s="297">
        <v>30095</v>
      </c>
      <c r="F620" s="27" t="s">
        <v>165</v>
      </c>
      <c r="G620" s="27" t="s">
        <v>158</v>
      </c>
      <c r="H620" s="35">
        <v>77086</v>
      </c>
      <c r="I620" s="35">
        <v>24</v>
      </c>
      <c r="J620" s="9" t="s">
        <v>18</v>
      </c>
      <c r="K620" s="9" t="s">
        <v>159</v>
      </c>
      <c r="L620" s="8">
        <v>4</v>
      </c>
      <c r="M620" s="8">
        <v>0</v>
      </c>
      <c r="N620" s="9"/>
      <c r="O620" s="8">
        <v>0</v>
      </c>
      <c r="P620" s="9"/>
      <c r="Q620" s="8">
        <v>0</v>
      </c>
      <c r="R620" s="9"/>
      <c r="S620" s="8">
        <v>253</v>
      </c>
      <c r="T620" s="9"/>
      <c r="U620" s="8">
        <v>0</v>
      </c>
      <c r="V620" s="9"/>
      <c r="W620" s="33">
        <v>253</v>
      </c>
      <c r="X620" s="9"/>
      <c r="Y620" s="30">
        <v>0</v>
      </c>
      <c r="Z620" s="9"/>
      <c r="AA620" s="30">
        <v>0</v>
      </c>
      <c r="AB620" s="9"/>
      <c r="AC620" s="30">
        <v>0</v>
      </c>
      <c r="AD620" s="9"/>
      <c r="AE620" s="30">
        <v>0.2</v>
      </c>
      <c r="AF620" s="9"/>
      <c r="AG620" s="19">
        <v>0</v>
      </c>
      <c r="AI620" s="32">
        <v>0.2</v>
      </c>
      <c r="AK620" s="7" t="str">
        <f t="shared" si="9"/>
        <v>No</v>
      </c>
    </row>
    <row r="621" spans="1:37">
      <c r="A621" s="7" t="s">
        <v>1145</v>
      </c>
      <c r="B621" s="7" t="s">
        <v>284</v>
      </c>
      <c r="C621" s="37" t="s">
        <v>55</v>
      </c>
      <c r="D621" s="296">
        <v>7003</v>
      </c>
      <c r="E621" s="297">
        <v>70003</v>
      </c>
      <c r="F621" s="27" t="s">
        <v>162</v>
      </c>
      <c r="G621" s="27" t="s">
        <v>158</v>
      </c>
      <c r="H621" s="35">
        <v>273724</v>
      </c>
      <c r="I621" s="35">
        <v>24</v>
      </c>
      <c r="J621" s="9" t="s">
        <v>10</v>
      </c>
      <c r="K621" s="9" t="s">
        <v>159</v>
      </c>
      <c r="L621" s="8">
        <v>4</v>
      </c>
      <c r="M621" s="8">
        <v>0</v>
      </c>
      <c r="N621" s="9"/>
      <c r="O621" s="8">
        <v>0</v>
      </c>
      <c r="P621" s="9"/>
      <c r="Q621" s="8">
        <v>0</v>
      </c>
      <c r="R621" s="9"/>
      <c r="S621" s="8">
        <v>0</v>
      </c>
      <c r="T621" s="9"/>
      <c r="U621" s="8">
        <v>0</v>
      </c>
      <c r="V621" s="9"/>
      <c r="W621" s="33">
        <v>0</v>
      </c>
      <c r="X621" s="9"/>
      <c r="Y621" s="30">
        <v>0</v>
      </c>
      <c r="Z621" s="9"/>
      <c r="AA621" s="30">
        <v>0</v>
      </c>
      <c r="AB621" s="9"/>
      <c r="AC621" s="30">
        <v>0</v>
      </c>
      <c r="AD621" s="9"/>
      <c r="AE621" s="30">
        <v>0</v>
      </c>
      <c r="AF621" s="9"/>
      <c r="AG621" s="19">
        <v>0</v>
      </c>
      <c r="AI621" s="32">
        <v>0</v>
      </c>
      <c r="AK621" s="7" t="str">
        <f t="shared" si="9"/>
        <v>No</v>
      </c>
    </row>
    <row r="622" spans="1:37">
      <c r="A622" s="7" t="s">
        <v>1109</v>
      </c>
      <c r="B622" s="7" t="s">
        <v>477</v>
      </c>
      <c r="C622" s="37" t="s">
        <v>54</v>
      </c>
      <c r="D622" s="296">
        <v>5218</v>
      </c>
      <c r="E622" s="297">
        <v>50515</v>
      </c>
      <c r="F622" s="27" t="s">
        <v>114</v>
      </c>
      <c r="G622" s="27" t="s">
        <v>158</v>
      </c>
      <c r="H622" s="35">
        <v>2650890</v>
      </c>
      <c r="I622" s="35">
        <v>24</v>
      </c>
      <c r="J622" s="9" t="s">
        <v>10</v>
      </c>
      <c r="K622" s="9" t="s">
        <v>159</v>
      </c>
      <c r="L622" s="8">
        <v>3</v>
      </c>
      <c r="M622" s="8">
        <v>1522</v>
      </c>
      <c r="N622" s="9"/>
      <c r="O622" s="8">
        <v>0</v>
      </c>
      <c r="P622" s="9"/>
      <c r="Q622" s="8">
        <v>0</v>
      </c>
      <c r="R622" s="9"/>
      <c r="S622" s="8">
        <v>0</v>
      </c>
      <c r="T622" s="9"/>
      <c r="U622" s="8">
        <v>0</v>
      </c>
      <c r="V622" s="9"/>
      <c r="W622" s="33">
        <v>1522</v>
      </c>
      <c r="X622" s="9"/>
      <c r="Y622" s="30">
        <v>4</v>
      </c>
      <c r="Z622" s="9"/>
      <c r="AA622" s="30">
        <v>0</v>
      </c>
      <c r="AB622" s="9"/>
      <c r="AC622" s="30">
        <v>0</v>
      </c>
      <c r="AD622" s="9"/>
      <c r="AE622" s="30">
        <v>0</v>
      </c>
      <c r="AF622" s="9"/>
      <c r="AG622" s="19">
        <v>0</v>
      </c>
      <c r="AI622" s="32">
        <v>4</v>
      </c>
      <c r="AK622" s="7" t="str">
        <f t="shared" si="9"/>
        <v>No</v>
      </c>
    </row>
    <row r="623" spans="1:37">
      <c r="A623" s="7" t="s">
        <v>163</v>
      </c>
      <c r="B623" s="7" t="s">
        <v>164</v>
      </c>
      <c r="C623" s="37" t="s">
        <v>28</v>
      </c>
      <c r="D623" s="296">
        <v>1040</v>
      </c>
      <c r="E623" s="297">
        <v>10040</v>
      </c>
      <c r="F623" s="27" t="s">
        <v>165</v>
      </c>
      <c r="G623" s="27" t="s">
        <v>158</v>
      </c>
      <c r="H623" s="35">
        <v>209190</v>
      </c>
      <c r="I623" s="35">
        <v>23</v>
      </c>
      <c r="J623" s="9" t="s">
        <v>7</v>
      </c>
      <c r="K623" s="9" t="s">
        <v>159</v>
      </c>
      <c r="L623" s="8">
        <v>18</v>
      </c>
      <c r="M623" s="8">
        <v>0</v>
      </c>
      <c r="N623" s="9"/>
      <c r="O623" s="8">
        <v>1025</v>
      </c>
      <c r="P623" s="9"/>
      <c r="Q623" s="8">
        <v>0</v>
      </c>
      <c r="R623" s="9"/>
      <c r="S623" s="8">
        <v>2277</v>
      </c>
      <c r="T623" s="9"/>
      <c r="U623" s="8">
        <v>0</v>
      </c>
      <c r="V623" s="9"/>
      <c r="W623" s="33">
        <v>3302</v>
      </c>
      <c r="X623" s="9"/>
      <c r="Y623" s="30">
        <v>0</v>
      </c>
      <c r="Z623" s="9"/>
      <c r="AA623" s="30">
        <v>2</v>
      </c>
      <c r="AB623" s="9"/>
      <c r="AC623" s="30">
        <v>0</v>
      </c>
      <c r="AD623" s="9"/>
      <c r="AE623" s="30">
        <v>3</v>
      </c>
      <c r="AF623" s="9"/>
      <c r="AG623" s="19">
        <v>0</v>
      </c>
      <c r="AI623" s="32">
        <v>5</v>
      </c>
      <c r="AK623" s="7" t="str">
        <f t="shared" si="9"/>
        <v>No</v>
      </c>
    </row>
    <row r="624" spans="1:37">
      <c r="A624" s="7" t="s">
        <v>95</v>
      </c>
      <c r="B624" s="7" t="s">
        <v>599</v>
      </c>
      <c r="C624" s="37" t="s">
        <v>93</v>
      </c>
      <c r="D624" s="296">
        <v>5088</v>
      </c>
      <c r="E624" s="297">
        <v>50088</v>
      </c>
      <c r="F624" s="27" t="s">
        <v>162</v>
      </c>
      <c r="G624" s="27" t="s">
        <v>158</v>
      </c>
      <c r="H624" s="35">
        <v>71313</v>
      </c>
      <c r="I624" s="35">
        <v>23</v>
      </c>
      <c r="J624" s="9" t="s">
        <v>7</v>
      </c>
      <c r="K624" s="9" t="s">
        <v>159</v>
      </c>
      <c r="L624" s="8">
        <v>17</v>
      </c>
      <c r="M624" s="8">
        <v>9737</v>
      </c>
      <c r="N624" s="9"/>
      <c r="O624" s="8">
        <v>0</v>
      </c>
      <c r="P624" s="9"/>
      <c r="Q624" s="8">
        <v>4647</v>
      </c>
      <c r="R624" s="9"/>
      <c r="S624" s="8">
        <v>0</v>
      </c>
      <c r="T624" s="9"/>
      <c r="U624" s="8">
        <v>0</v>
      </c>
      <c r="V624" s="9"/>
      <c r="W624" s="33">
        <v>14384</v>
      </c>
      <c r="X624" s="9"/>
      <c r="Y624" s="30">
        <v>13</v>
      </c>
      <c r="Z624" s="9"/>
      <c r="AA624" s="30">
        <v>0</v>
      </c>
      <c r="AB624" s="9"/>
      <c r="AC624" s="30">
        <v>3.5</v>
      </c>
      <c r="AD624" s="9"/>
      <c r="AE624" s="30">
        <v>0</v>
      </c>
      <c r="AF624" s="9"/>
      <c r="AG624" s="19">
        <v>0</v>
      </c>
      <c r="AI624" s="32">
        <v>16.5</v>
      </c>
      <c r="AK624" s="7" t="str">
        <f t="shared" si="9"/>
        <v>No</v>
      </c>
    </row>
    <row r="625" spans="1:37">
      <c r="A625" s="7" t="s">
        <v>326</v>
      </c>
      <c r="B625" s="7" t="s">
        <v>327</v>
      </c>
      <c r="C625" s="37" t="s">
        <v>89</v>
      </c>
      <c r="D625" s="296">
        <v>16</v>
      </c>
      <c r="E625" s="297">
        <v>16</v>
      </c>
      <c r="F625" s="27" t="s">
        <v>162</v>
      </c>
      <c r="G625" s="27" t="s">
        <v>158</v>
      </c>
      <c r="H625" s="35">
        <v>63952</v>
      </c>
      <c r="I625" s="35">
        <v>23</v>
      </c>
      <c r="J625" s="9" t="s">
        <v>7</v>
      </c>
      <c r="K625" s="9" t="s">
        <v>159</v>
      </c>
      <c r="L625" s="8">
        <v>9</v>
      </c>
      <c r="M625" s="8">
        <v>8752</v>
      </c>
      <c r="N625" s="9"/>
      <c r="O625" s="8">
        <v>0</v>
      </c>
      <c r="P625" s="9"/>
      <c r="Q625" s="8">
        <v>0</v>
      </c>
      <c r="R625" s="9"/>
      <c r="S625" s="8">
        <v>0</v>
      </c>
      <c r="T625" s="9"/>
      <c r="U625" s="8">
        <v>0</v>
      </c>
      <c r="V625" s="9"/>
      <c r="W625" s="33">
        <v>8752</v>
      </c>
      <c r="X625" s="9"/>
      <c r="Y625" s="30">
        <v>8</v>
      </c>
      <c r="Z625" s="9"/>
      <c r="AA625" s="30">
        <v>0</v>
      </c>
      <c r="AB625" s="9"/>
      <c r="AC625" s="30">
        <v>0</v>
      </c>
      <c r="AD625" s="9"/>
      <c r="AE625" s="30">
        <v>0</v>
      </c>
      <c r="AF625" s="9"/>
      <c r="AG625" s="19">
        <v>0</v>
      </c>
      <c r="AI625" s="32">
        <v>8</v>
      </c>
      <c r="AK625" s="7" t="str">
        <f t="shared" si="9"/>
        <v>No</v>
      </c>
    </row>
    <row r="626" spans="1:37">
      <c r="A626" s="7" t="s">
        <v>95</v>
      </c>
      <c r="B626" s="7" t="s">
        <v>599</v>
      </c>
      <c r="C626" s="37" t="s">
        <v>93</v>
      </c>
      <c r="D626" s="296">
        <v>5088</v>
      </c>
      <c r="E626" s="297">
        <v>50088</v>
      </c>
      <c r="F626" s="27" t="s">
        <v>162</v>
      </c>
      <c r="G626" s="27" t="s">
        <v>158</v>
      </c>
      <c r="H626" s="35">
        <v>71313</v>
      </c>
      <c r="I626" s="35">
        <v>23</v>
      </c>
      <c r="J626" s="9" t="s">
        <v>10</v>
      </c>
      <c r="K626" s="9" t="s">
        <v>159</v>
      </c>
      <c r="L626" s="8">
        <v>6</v>
      </c>
      <c r="M626" s="8">
        <v>14070</v>
      </c>
      <c r="N626" s="9"/>
      <c r="O626" s="8">
        <v>0</v>
      </c>
      <c r="P626" s="9"/>
      <c r="Q626" s="8">
        <v>1991</v>
      </c>
      <c r="R626" s="9"/>
      <c r="S626" s="8">
        <v>0</v>
      </c>
      <c r="T626" s="9"/>
      <c r="U626" s="8">
        <v>0</v>
      </c>
      <c r="V626" s="9"/>
      <c r="W626" s="33">
        <v>16061</v>
      </c>
      <c r="X626" s="9"/>
      <c r="Y626" s="30">
        <v>15</v>
      </c>
      <c r="Z626" s="9"/>
      <c r="AA626" s="30">
        <v>0</v>
      </c>
      <c r="AB626" s="9"/>
      <c r="AC626" s="30">
        <v>1.5</v>
      </c>
      <c r="AD626" s="9"/>
      <c r="AE626" s="30">
        <v>0</v>
      </c>
      <c r="AF626" s="9"/>
      <c r="AG626" s="19">
        <v>0</v>
      </c>
      <c r="AI626" s="32">
        <v>16.5</v>
      </c>
      <c r="AK626" s="7" t="str">
        <f t="shared" si="9"/>
        <v>No</v>
      </c>
    </row>
    <row r="627" spans="1:37">
      <c r="A627" s="7" t="s">
        <v>326</v>
      </c>
      <c r="B627" s="7" t="s">
        <v>327</v>
      </c>
      <c r="C627" s="37" t="s">
        <v>89</v>
      </c>
      <c r="D627" s="296">
        <v>16</v>
      </c>
      <c r="E627" s="297">
        <v>16</v>
      </c>
      <c r="F627" s="27" t="s">
        <v>162</v>
      </c>
      <c r="G627" s="27" t="s">
        <v>158</v>
      </c>
      <c r="H627" s="35">
        <v>63952</v>
      </c>
      <c r="I627" s="35">
        <v>23</v>
      </c>
      <c r="J627" s="9" t="s">
        <v>8</v>
      </c>
      <c r="K627" s="9" t="s">
        <v>159</v>
      </c>
      <c r="L627" s="8">
        <v>1</v>
      </c>
      <c r="M627" s="8">
        <v>0</v>
      </c>
      <c r="N627" s="9"/>
      <c r="O627" s="8">
        <v>0</v>
      </c>
      <c r="P627" s="9"/>
      <c r="Q627" s="8">
        <v>0</v>
      </c>
      <c r="R627" s="9"/>
      <c r="S627" s="8">
        <v>0</v>
      </c>
      <c r="T627" s="9"/>
      <c r="U627" s="8">
        <v>0</v>
      </c>
      <c r="V627" s="9"/>
      <c r="W627" s="33">
        <v>0</v>
      </c>
      <c r="X627" s="9"/>
      <c r="Y627" s="30">
        <v>0</v>
      </c>
      <c r="Z627" s="9"/>
      <c r="AA627" s="30">
        <v>0</v>
      </c>
      <c r="AB627" s="9"/>
      <c r="AC627" s="30">
        <v>0</v>
      </c>
      <c r="AD627" s="9"/>
      <c r="AE627" s="30">
        <v>0</v>
      </c>
      <c r="AF627" s="9"/>
      <c r="AG627" s="19">
        <v>0</v>
      </c>
      <c r="AI627" s="32">
        <v>0</v>
      </c>
      <c r="AK627" s="7" t="str">
        <f t="shared" si="9"/>
        <v>No</v>
      </c>
    </row>
    <row r="628" spans="1:37">
      <c r="A628" s="7" t="s">
        <v>183</v>
      </c>
      <c r="B628" s="7" t="s">
        <v>184</v>
      </c>
      <c r="C628" s="37" t="s">
        <v>70</v>
      </c>
      <c r="D628" s="296">
        <v>2178</v>
      </c>
      <c r="E628" s="297">
        <v>20178</v>
      </c>
      <c r="F628" s="27" t="s">
        <v>162</v>
      </c>
      <c r="G628" s="27" t="s">
        <v>158</v>
      </c>
      <c r="H628" s="35">
        <v>423566</v>
      </c>
      <c r="I628" s="35">
        <v>22</v>
      </c>
      <c r="J628" s="9" t="s">
        <v>7</v>
      </c>
      <c r="K628" s="9" t="s">
        <v>159</v>
      </c>
      <c r="L628" s="8">
        <v>18</v>
      </c>
      <c r="M628" s="8">
        <v>14747</v>
      </c>
      <c r="N628" s="9"/>
      <c r="O628" s="8">
        <v>0</v>
      </c>
      <c r="P628" s="9"/>
      <c r="Q628" s="8">
        <v>0</v>
      </c>
      <c r="R628" s="9"/>
      <c r="S628" s="8">
        <v>0</v>
      </c>
      <c r="T628" s="9"/>
      <c r="U628" s="8">
        <v>0</v>
      </c>
      <c r="V628" s="9"/>
      <c r="W628" s="33">
        <v>14747</v>
      </c>
      <c r="X628" s="9"/>
      <c r="Y628" s="30">
        <v>16</v>
      </c>
      <c r="Z628" s="9"/>
      <c r="AA628" s="30">
        <v>0</v>
      </c>
      <c r="AB628" s="9"/>
      <c r="AC628" s="30">
        <v>0</v>
      </c>
      <c r="AD628" s="9"/>
      <c r="AE628" s="30">
        <v>0</v>
      </c>
      <c r="AF628" s="9"/>
      <c r="AG628" s="19">
        <v>0</v>
      </c>
      <c r="AI628" s="32">
        <v>16</v>
      </c>
      <c r="AK628" s="7" t="str">
        <f t="shared" si="9"/>
        <v>No</v>
      </c>
    </row>
    <row r="629" spans="1:37">
      <c r="A629" s="7" t="s">
        <v>729</v>
      </c>
      <c r="B629" s="7" t="s">
        <v>730</v>
      </c>
      <c r="C629" s="37" t="s">
        <v>85</v>
      </c>
      <c r="D629" s="296">
        <v>8028</v>
      </c>
      <c r="E629" s="297">
        <v>80028</v>
      </c>
      <c r="F629" s="27" t="s">
        <v>165</v>
      </c>
      <c r="G629" s="27" t="s">
        <v>158</v>
      </c>
      <c r="H629" s="35">
        <v>94983</v>
      </c>
      <c r="I629" s="35">
        <v>22</v>
      </c>
      <c r="J629" s="9" t="s">
        <v>7</v>
      </c>
      <c r="K629" s="9" t="s">
        <v>159</v>
      </c>
      <c r="L629" s="8">
        <v>17</v>
      </c>
      <c r="M629" s="8">
        <v>34262</v>
      </c>
      <c r="N629" s="9"/>
      <c r="O629" s="8">
        <v>3406</v>
      </c>
      <c r="P629" s="9" t="s">
        <v>121</v>
      </c>
      <c r="Q629" s="8">
        <v>0</v>
      </c>
      <c r="R629" s="9"/>
      <c r="S629" s="8">
        <v>251</v>
      </c>
      <c r="T629" s="9" t="s">
        <v>121</v>
      </c>
      <c r="U629" s="8">
        <v>0</v>
      </c>
      <c r="V629" s="9"/>
      <c r="W629" s="33">
        <v>37919</v>
      </c>
      <c r="X629" s="9" t="s">
        <v>121</v>
      </c>
      <c r="Y629" s="30">
        <v>45.1</v>
      </c>
      <c r="Z629" s="9"/>
      <c r="AA629" s="30">
        <v>5.74</v>
      </c>
      <c r="AB629" s="9"/>
      <c r="AC629" s="30">
        <v>0</v>
      </c>
      <c r="AD629" s="9"/>
      <c r="AE629" s="30">
        <v>12.3</v>
      </c>
      <c r="AF629" s="9"/>
      <c r="AG629" s="19">
        <v>0</v>
      </c>
      <c r="AI629" s="32">
        <v>63.14</v>
      </c>
      <c r="AK629" s="7" t="str">
        <f t="shared" si="9"/>
        <v>Yes</v>
      </c>
    </row>
    <row r="630" spans="1:37">
      <c r="A630" s="7" t="s">
        <v>415</v>
      </c>
      <c r="B630" s="7" t="s">
        <v>416</v>
      </c>
      <c r="C630" s="37" t="s">
        <v>70</v>
      </c>
      <c r="D630" s="296">
        <v>2071</v>
      </c>
      <c r="E630" s="297">
        <v>20071</v>
      </c>
      <c r="F630" s="27" t="s">
        <v>162</v>
      </c>
      <c r="G630" s="27" t="s">
        <v>158</v>
      </c>
      <c r="H630" s="35">
        <v>18351295</v>
      </c>
      <c r="I630" s="35">
        <v>22</v>
      </c>
      <c r="J630" s="9" t="s">
        <v>10</v>
      </c>
      <c r="K630" s="9" t="s">
        <v>159</v>
      </c>
      <c r="L630" s="8">
        <v>14</v>
      </c>
      <c r="M630" s="8">
        <v>13998</v>
      </c>
      <c r="N630" s="9"/>
      <c r="O630" s="8">
        <v>0</v>
      </c>
      <c r="P630" s="9"/>
      <c r="Q630" s="8">
        <v>535</v>
      </c>
      <c r="R630" s="9"/>
      <c r="S630" s="8">
        <v>0</v>
      </c>
      <c r="T630" s="9"/>
      <c r="U630" s="8">
        <v>0</v>
      </c>
      <c r="V630" s="9"/>
      <c r="W630" s="33">
        <v>14533</v>
      </c>
      <c r="X630" s="9"/>
      <c r="Y630" s="30">
        <v>8.42</v>
      </c>
      <c r="Z630" s="9"/>
      <c r="AA630" s="30">
        <v>0</v>
      </c>
      <c r="AB630" s="9"/>
      <c r="AC630" s="30">
        <v>0.44</v>
      </c>
      <c r="AD630" s="9"/>
      <c r="AE630" s="30">
        <v>0</v>
      </c>
      <c r="AF630" s="9"/>
      <c r="AG630" s="19">
        <v>0</v>
      </c>
      <c r="AI630" s="32">
        <v>8.86</v>
      </c>
      <c r="AK630" s="7" t="str">
        <f t="shared" si="9"/>
        <v>No</v>
      </c>
    </row>
    <row r="631" spans="1:37">
      <c r="A631" s="7" t="s">
        <v>415</v>
      </c>
      <c r="B631" s="7" t="s">
        <v>416</v>
      </c>
      <c r="C631" s="37" t="s">
        <v>70</v>
      </c>
      <c r="D631" s="296">
        <v>2071</v>
      </c>
      <c r="E631" s="297">
        <v>20071</v>
      </c>
      <c r="F631" s="27" t="s">
        <v>162</v>
      </c>
      <c r="G631" s="27" t="s">
        <v>158</v>
      </c>
      <c r="H631" s="35">
        <v>18351295</v>
      </c>
      <c r="I631" s="35">
        <v>22</v>
      </c>
      <c r="J631" s="9" t="s">
        <v>7</v>
      </c>
      <c r="K631" s="9" t="s">
        <v>159</v>
      </c>
      <c r="L631" s="8">
        <v>8</v>
      </c>
      <c r="M631" s="8">
        <v>14974</v>
      </c>
      <c r="N631" s="9"/>
      <c r="O631" s="8">
        <v>0</v>
      </c>
      <c r="P631" s="9"/>
      <c r="Q631" s="8">
        <v>669</v>
      </c>
      <c r="R631" s="9"/>
      <c r="S631" s="8">
        <v>0</v>
      </c>
      <c r="T631" s="9"/>
      <c r="U631" s="8">
        <v>0</v>
      </c>
      <c r="V631" s="9"/>
      <c r="W631" s="33">
        <v>15643</v>
      </c>
      <c r="X631" s="9"/>
      <c r="Y631" s="30">
        <v>9.1300000000000008</v>
      </c>
      <c r="Z631" s="9"/>
      <c r="AA631" s="30">
        <v>0</v>
      </c>
      <c r="AB631" s="9"/>
      <c r="AC631" s="30">
        <v>0.56999999999999995</v>
      </c>
      <c r="AD631" s="9"/>
      <c r="AE631" s="30">
        <v>0</v>
      </c>
      <c r="AF631" s="9"/>
      <c r="AG631" s="19">
        <v>0</v>
      </c>
      <c r="AI631" s="32">
        <v>9.6999999999999993</v>
      </c>
      <c r="AK631" s="7" t="str">
        <f t="shared" si="9"/>
        <v>No</v>
      </c>
    </row>
    <row r="632" spans="1:37">
      <c r="A632" s="7" t="s">
        <v>729</v>
      </c>
      <c r="B632" s="7" t="s">
        <v>730</v>
      </c>
      <c r="C632" s="37" t="s">
        <v>85</v>
      </c>
      <c r="D632" s="296">
        <v>8028</v>
      </c>
      <c r="E632" s="297">
        <v>80028</v>
      </c>
      <c r="F632" s="27" t="s">
        <v>165</v>
      </c>
      <c r="G632" s="27" t="s">
        <v>158</v>
      </c>
      <c r="H632" s="35">
        <v>94983</v>
      </c>
      <c r="I632" s="35">
        <v>22</v>
      </c>
      <c r="J632" s="9" t="s">
        <v>10</v>
      </c>
      <c r="K632" s="9" t="s">
        <v>159</v>
      </c>
      <c r="L632" s="8">
        <v>5</v>
      </c>
      <c r="M632" s="8">
        <v>7520</v>
      </c>
      <c r="N632" s="9"/>
      <c r="O632" s="8">
        <v>747</v>
      </c>
      <c r="P632" s="9" t="s">
        <v>121</v>
      </c>
      <c r="Q632" s="8">
        <v>0</v>
      </c>
      <c r="R632" s="9"/>
      <c r="S632" s="8">
        <v>55</v>
      </c>
      <c r="T632" s="9" t="s">
        <v>121</v>
      </c>
      <c r="U632" s="8">
        <v>0</v>
      </c>
      <c r="V632" s="9"/>
      <c r="W632" s="33">
        <v>8322</v>
      </c>
      <c r="X632" s="9" t="s">
        <v>121</v>
      </c>
      <c r="Y632" s="30">
        <v>9.9</v>
      </c>
      <c r="Z632" s="9"/>
      <c r="AA632" s="30">
        <v>1.26</v>
      </c>
      <c r="AB632" s="9"/>
      <c r="AC632" s="30">
        <v>0</v>
      </c>
      <c r="AD632" s="9"/>
      <c r="AE632" s="30">
        <v>2.7</v>
      </c>
      <c r="AF632" s="9"/>
      <c r="AG632" s="19">
        <v>0</v>
      </c>
      <c r="AI632" s="32">
        <v>13.86</v>
      </c>
      <c r="AK632" s="7" t="str">
        <f t="shared" si="9"/>
        <v>Yes</v>
      </c>
    </row>
    <row r="633" spans="1:37">
      <c r="A633" s="7" t="s">
        <v>183</v>
      </c>
      <c r="B633" s="7" t="s">
        <v>184</v>
      </c>
      <c r="C633" s="37" t="s">
        <v>70</v>
      </c>
      <c r="D633" s="296">
        <v>2178</v>
      </c>
      <c r="E633" s="297">
        <v>20178</v>
      </c>
      <c r="F633" s="27" t="s">
        <v>162</v>
      </c>
      <c r="G633" s="27" t="s">
        <v>158</v>
      </c>
      <c r="H633" s="35">
        <v>423566</v>
      </c>
      <c r="I633" s="35">
        <v>22</v>
      </c>
      <c r="J633" s="9" t="s">
        <v>10</v>
      </c>
      <c r="K633" s="9" t="s">
        <v>159</v>
      </c>
      <c r="L633" s="8">
        <v>4</v>
      </c>
      <c r="M633" s="8">
        <v>749</v>
      </c>
      <c r="N633" s="9"/>
      <c r="O633" s="8">
        <v>0</v>
      </c>
      <c r="P633" s="9"/>
      <c r="Q633" s="8">
        <v>0</v>
      </c>
      <c r="R633" s="9"/>
      <c r="S633" s="8">
        <v>0</v>
      </c>
      <c r="T633" s="9"/>
      <c r="U633" s="8">
        <v>0</v>
      </c>
      <c r="V633" s="9"/>
      <c r="W633" s="33">
        <v>749</v>
      </c>
      <c r="X633" s="9"/>
      <c r="Y633" s="30">
        <v>1</v>
      </c>
      <c r="Z633" s="9"/>
      <c r="AA633" s="30">
        <v>0</v>
      </c>
      <c r="AB633" s="9"/>
      <c r="AC633" s="30">
        <v>0</v>
      </c>
      <c r="AD633" s="9"/>
      <c r="AE633" s="30">
        <v>0</v>
      </c>
      <c r="AF633" s="9"/>
      <c r="AG633" s="19">
        <v>0</v>
      </c>
      <c r="AI633" s="32">
        <v>1</v>
      </c>
      <c r="AK633" s="7" t="str">
        <f t="shared" si="9"/>
        <v>No</v>
      </c>
    </row>
    <row r="634" spans="1:37">
      <c r="A634" s="7" t="s">
        <v>742</v>
      </c>
      <c r="B634" s="7" t="s">
        <v>743</v>
      </c>
      <c r="C634" s="37" t="s">
        <v>83</v>
      </c>
      <c r="D634" s="296">
        <v>4178</v>
      </c>
      <c r="E634" s="297">
        <v>40178</v>
      </c>
      <c r="F634" s="27" t="s">
        <v>243</v>
      </c>
      <c r="G634" s="27" t="s">
        <v>158</v>
      </c>
      <c r="H634" s="35">
        <v>969587</v>
      </c>
      <c r="I634" s="35">
        <v>21</v>
      </c>
      <c r="J634" s="9" t="s">
        <v>8</v>
      </c>
      <c r="K634" s="9" t="s">
        <v>159</v>
      </c>
      <c r="L634" s="8">
        <v>21</v>
      </c>
      <c r="M634" s="8">
        <v>0</v>
      </c>
      <c r="N634" s="9"/>
      <c r="O634" s="8">
        <v>0</v>
      </c>
      <c r="P634" s="9"/>
      <c r="Q634" s="8">
        <v>0</v>
      </c>
      <c r="R634" s="9"/>
      <c r="S634" s="8">
        <v>0</v>
      </c>
      <c r="T634" s="9"/>
      <c r="U634" s="8">
        <v>0</v>
      </c>
      <c r="V634" s="9"/>
      <c r="W634" s="33">
        <v>0</v>
      </c>
      <c r="X634" s="9"/>
      <c r="Y634" s="30">
        <v>0</v>
      </c>
      <c r="Z634" s="9"/>
      <c r="AA634" s="30">
        <v>0</v>
      </c>
      <c r="AB634" s="9"/>
      <c r="AC634" s="30">
        <v>0</v>
      </c>
      <c r="AD634" s="9"/>
      <c r="AE634" s="30">
        <v>0</v>
      </c>
      <c r="AF634" s="9"/>
      <c r="AG634" s="19">
        <v>0</v>
      </c>
      <c r="AI634" s="32">
        <v>0</v>
      </c>
      <c r="AK634" s="7" t="str">
        <f t="shared" si="9"/>
        <v>No</v>
      </c>
    </row>
    <row r="635" spans="1:37">
      <c r="A635" s="7" t="s">
        <v>421</v>
      </c>
      <c r="B635" s="7" t="s">
        <v>422</v>
      </c>
      <c r="C635" s="37" t="s">
        <v>38</v>
      </c>
      <c r="D635" s="296">
        <v>7018</v>
      </c>
      <c r="E635" s="297">
        <v>70018</v>
      </c>
      <c r="F635" s="27" t="s">
        <v>162</v>
      </c>
      <c r="G635" s="27" t="s">
        <v>158</v>
      </c>
      <c r="H635" s="35">
        <v>106621</v>
      </c>
      <c r="I635" s="35">
        <v>21</v>
      </c>
      <c r="J635" s="9" t="s">
        <v>7</v>
      </c>
      <c r="K635" s="9" t="s">
        <v>159</v>
      </c>
      <c r="L635" s="8">
        <v>21</v>
      </c>
      <c r="M635" s="8">
        <v>33229</v>
      </c>
      <c r="N635" s="9"/>
      <c r="O635" s="8">
        <v>0</v>
      </c>
      <c r="P635" s="9"/>
      <c r="Q635" s="8">
        <v>0</v>
      </c>
      <c r="R635" s="9"/>
      <c r="S635" s="8">
        <v>0</v>
      </c>
      <c r="T635" s="9"/>
      <c r="U635" s="8">
        <v>0</v>
      </c>
      <c r="V635" s="9"/>
      <c r="W635" s="33">
        <v>33229</v>
      </c>
      <c r="X635" s="9"/>
      <c r="Y635" s="30">
        <v>21</v>
      </c>
      <c r="Z635" s="9"/>
      <c r="AA635" s="30">
        <v>0</v>
      </c>
      <c r="AB635" s="9"/>
      <c r="AC635" s="30">
        <v>0</v>
      </c>
      <c r="AD635" s="9"/>
      <c r="AE635" s="30">
        <v>0</v>
      </c>
      <c r="AF635" s="9"/>
      <c r="AG635" s="19">
        <v>0</v>
      </c>
      <c r="AI635" s="32">
        <v>21</v>
      </c>
      <c r="AK635" s="7" t="str">
        <f t="shared" si="9"/>
        <v>No</v>
      </c>
    </row>
    <row r="636" spans="1:37">
      <c r="A636" s="7" t="s">
        <v>733</v>
      </c>
      <c r="B636" s="7" t="s">
        <v>734</v>
      </c>
      <c r="C636" s="37" t="s">
        <v>52</v>
      </c>
      <c r="D636" s="296">
        <v>5184</v>
      </c>
      <c r="E636" s="297">
        <v>50184</v>
      </c>
      <c r="F636" s="27" t="s">
        <v>165</v>
      </c>
      <c r="G636" s="27" t="s">
        <v>158</v>
      </c>
      <c r="H636" s="35">
        <v>99941</v>
      </c>
      <c r="I636" s="35">
        <v>21</v>
      </c>
      <c r="J636" s="9" t="s">
        <v>10</v>
      </c>
      <c r="K636" s="9" t="s">
        <v>159</v>
      </c>
      <c r="L636" s="8">
        <v>13</v>
      </c>
      <c r="M636" s="8">
        <v>9647</v>
      </c>
      <c r="N636" s="9"/>
      <c r="O636" s="8">
        <v>249</v>
      </c>
      <c r="P636" s="9"/>
      <c r="Q636" s="8">
        <v>249</v>
      </c>
      <c r="R636" s="9"/>
      <c r="S636" s="8">
        <v>684</v>
      </c>
      <c r="T636" s="9"/>
      <c r="U636" s="8">
        <v>0</v>
      </c>
      <c r="V636" s="9"/>
      <c r="W636" s="33">
        <v>10829</v>
      </c>
      <c r="X636" s="9"/>
      <c r="Y636" s="30">
        <v>10</v>
      </c>
      <c r="Z636" s="9"/>
      <c r="AA636" s="30">
        <v>0.25</v>
      </c>
      <c r="AB636" s="9"/>
      <c r="AC636" s="30">
        <v>0.25</v>
      </c>
      <c r="AD636" s="9"/>
      <c r="AE636" s="30">
        <v>0.5</v>
      </c>
      <c r="AF636" s="9"/>
      <c r="AG636" s="19">
        <v>0</v>
      </c>
      <c r="AI636" s="32">
        <v>11</v>
      </c>
      <c r="AK636" s="7" t="str">
        <f t="shared" si="9"/>
        <v>No</v>
      </c>
    </row>
    <row r="637" spans="1:37">
      <c r="A637" s="7" t="s">
        <v>733</v>
      </c>
      <c r="B637" s="7" t="s">
        <v>734</v>
      </c>
      <c r="C637" s="37" t="s">
        <v>52</v>
      </c>
      <c r="D637" s="296">
        <v>5184</v>
      </c>
      <c r="E637" s="297">
        <v>50184</v>
      </c>
      <c r="F637" s="27" t="s">
        <v>165</v>
      </c>
      <c r="G637" s="27" t="s">
        <v>158</v>
      </c>
      <c r="H637" s="35">
        <v>99941</v>
      </c>
      <c r="I637" s="35">
        <v>21</v>
      </c>
      <c r="J637" s="9" t="s">
        <v>7</v>
      </c>
      <c r="K637" s="9" t="s">
        <v>159</v>
      </c>
      <c r="L637" s="8">
        <v>8</v>
      </c>
      <c r="M637" s="8">
        <v>10564</v>
      </c>
      <c r="N637" s="9"/>
      <c r="O637" s="8">
        <v>273</v>
      </c>
      <c r="P637" s="9"/>
      <c r="Q637" s="8">
        <v>273</v>
      </c>
      <c r="R637" s="9"/>
      <c r="S637" s="8">
        <v>749</v>
      </c>
      <c r="T637" s="9"/>
      <c r="U637" s="8">
        <v>0</v>
      </c>
      <c r="V637" s="9"/>
      <c r="W637" s="33">
        <v>11859</v>
      </c>
      <c r="X637" s="9"/>
      <c r="Y637" s="30">
        <v>11</v>
      </c>
      <c r="Z637" s="9"/>
      <c r="AA637" s="30">
        <v>0.25</v>
      </c>
      <c r="AB637" s="9"/>
      <c r="AC637" s="30">
        <v>0.25</v>
      </c>
      <c r="AD637" s="9"/>
      <c r="AE637" s="30">
        <v>0.5</v>
      </c>
      <c r="AF637" s="9"/>
      <c r="AG637" s="19">
        <v>0</v>
      </c>
      <c r="AI637" s="32">
        <v>12</v>
      </c>
      <c r="AK637" s="7" t="str">
        <f t="shared" si="9"/>
        <v>No</v>
      </c>
    </row>
    <row r="638" spans="1:37">
      <c r="A638" s="7" t="s">
        <v>758</v>
      </c>
      <c r="B638" s="7" t="s">
        <v>759</v>
      </c>
      <c r="C638" s="37" t="s">
        <v>63</v>
      </c>
      <c r="D638" s="296">
        <v>2193</v>
      </c>
      <c r="E638" s="297">
        <v>20193</v>
      </c>
      <c r="F638" s="27" t="s">
        <v>162</v>
      </c>
      <c r="G638" s="27" t="s">
        <v>158</v>
      </c>
      <c r="H638" s="35">
        <v>95259</v>
      </c>
      <c r="I638" s="35">
        <v>20</v>
      </c>
      <c r="J638" s="9" t="s">
        <v>10</v>
      </c>
      <c r="K638" s="9" t="s">
        <v>159</v>
      </c>
      <c r="L638" s="8">
        <v>20</v>
      </c>
      <c r="M638" s="8">
        <v>5517</v>
      </c>
      <c r="N638" s="9"/>
      <c r="O638" s="8">
        <v>0</v>
      </c>
      <c r="P638" s="9"/>
      <c r="Q638" s="8">
        <v>0</v>
      </c>
      <c r="R638" s="9"/>
      <c r="S638" s="8">
        <v>1804</v>
      </c>
      <c r="T638" s="9"/>
      <c r="U638" s="8">
        <v>0</v>
      </c>
      <c r="V638" s="9"/>
      <c r="W638" s="33">
        <v>7321</v>
      </c>
      <c r="X638" s="9"/>
      <c r="Y638" s="30">
        <v>7</v>
      </c>
      <c r="Z638" s="9"/>
      <c r="AA638" s="30">
        <v>0</v>
      </c>
      <c r="AB638" s="9"/>
      <c r="AC638" s="30">
        <v>0</v>
      </c>
      <c r="AD638" s="9"/>
      <c r="AE638" s="30">
        <v>3</v>
      </c>
      <c r="AF638" s="9"/>
      <c r="AG638" s="19">
        <v>0</v>
      </c>
      <c r="AI638" s="32">
        <v>10</v>
      </c>
      <c r="AK638" s="7" t="str">
        <f t="shared" si="9"/>
        <v>No</v>
      </c>
    </row>
    <row r="639" spans="1:37">
      <c r="A639" s="7" t="s">
        <v>406</v>
      </c>
      <c r="B639" s="7" t="s">
        <v>407</v>
      </c>
      <c r="C639" s="37" t="s">
        <v>81</v>
      </c>
      <c r="D639" s="296">
        <v>4053</v>
      </c>
      <c r="E639" s="297">
        <v>40053</v>
      </c>
      <c r="F639" s="27" t="s">
        <v>165</v>
      </c>
      <c r="G639" s="27" t="s">
        <v>158</v>
      </c>
      <c r="H639" s="35">
        <v>400492</v>
      </c>
      <c r="I639" s="35">
        <v>20</v>
      </c>
      <c r="J639" s="9" t="s">
        <v>7</v>
      </c>
      <c r="K639" s="9" t="s">
        <v>159</v>
      </c>
      <c r="L639" s="8">
        <v>17</v>
      </c>
      <c r="M639" s="8">
        <v>4987</v>
      </c>
      <c r="N639" s="9"/>
      <c r="O639" s="8">
        <v>0</v>
      </c>
      <c r="P639" s="9"/>
      <c r="Q639" s="8">
        <v>0</v>
      </c>
      <c r="R639" s="9"/>
      <c r="S639" s="8">
        <v>0</v>
      </c>
      <c r="T639" s="9"/>
      <c r="U639" s="8">
        <v>0</v>
      </c>
      <c r="V639" s="9"/>
      <c r="W639" s="33">
        <v>4987</v>
      </c>
      <c r="X639" s="9"/>
      <c r="Y639" s="30">
        <v>7</v>
      </c>
      <c r="Z639" s="9"/>
      <c r="AA639" s="30">
        <v>0</v>
      </c>
      <c r="AB639" s="9"/>
      <c r="AC639" s="30">
        <v>0</v>
      </c>
      <c r="AD639" s="9"/>
      <c r="AE639" s="30">
        <v>0</v>
      </c>
      <c r="AF639" s="9"/>
      <c r="AG639" s="19">
        <v>0</v>
      </c>
      <c r="AI639" s="32">
        <v>7</v>
      </c>
      <c r="AK639" s="7" t="str">
        <f t="shared" si="9"/>
        <v>No</v>
      </c>
    </row>
    <row r="640" spans="1:37">
      <c r="A640" s="7" t="s">
        <v>381</v>
      </c>
      <c r="B640" s="7" t="s">
        <v>382</v>
      </c>
      <c r="C640" s="37" t="s">
        <v>42</v>
      </c>
      <c r="D640" s="296">
        <v>5045</v>
      </c>
      <c r="E640" s="297">
        <v>50045</v>
      </c>
      <c r="F640" s="27" t="s">
        <v>162</v>
      </c>
      <c r="G640" s="27" t="s">
        <v>158</v>
      </c>
      <c r="H640" s="35">
        <v>8608208</v>
      </c>
      <c r="I640" s="35">
        <v>20</v>
      </c>
      <c r="J640" s="9" t="s">
        <v>7</v>
      </c>
      <c r="K640" s="9" t="s">
        <v>159</v>
      </c>
      <c r="L640" s="8">
        <v>16</v>
      </c>
      <c r="M640" s="8">
        <v>5125</v>
      </c>
      <c r="N640" s="9"/>
      <c r="O640" s="8">
        <v>967</v>
      </c>
      <c r="P640" s="9"/>
      <c r="Q640" s="8">
        <v>1052</v>
      </c>
      <c r="R640" s="9"/>
      <c r="S640" s="8">
        <v>820</v>
      </c>
      <c r="T640" s="9"/>
      <c r="U640" s="8">
        <v>0</v>
      </c>
      <c r="V640" s="9"/>
      <c r="W640" s="33">
        <v>7964</v>
      </c>
      <c r="X640" s="9"/>
      <c r="Y640" s="30">
        <v>5</v>
      </c>
      <c r="Z640" s="9"/>
      <c r="AA640" s="30">
        <v>1</v>
      </c>
      <c r="AB640" s="9"/>
      <c r="AC640" s="30">
        <v>1</v>
      </c>
      <c r="AD640" s="9"/>
      <c r="AE640" s="30">
        <v>0.5</v>
      </c>
      <c r="AF640" s="9"/>
      <c r="AG640" s="19">
        <v>0</v>
      </c>
      <c r="AI640" s="32">
        <v>7.5</v>
      </c>
      <c r="AK640" s="7" t="str">
        <f t="shared" si="9"/>
        <v>No</v>
      </c>
    </row>
    <row r="641" spans="1:37">
      <c r="A641" s="7" t="s">
        <v>705</v>
      </c>
      <c r="B641" s="7" t="s">
        <v>706</v>
      </c>
      <c r="C641" s="37" t="s">
        <v>57</v>
      </c>
      <c r="D641" s="296">
        <v>8012</v>
      </c>
      <c r="E641" s="297">
        <v>80012</v>
      </c>
      <c r="F641" s="27" t="s">
        <v>165</v>
      </c>
      <c r="G641" s="27" t="s">
        <v>158</v>
      </c>
      <c r="H641" s="35">
        <v>65207</v>
      </c>
      <c r="I641" s="35">
        <v>20</v>
      </c>
      <c r="J641" s="9" t="s">
        <v>7</v>
      </c>
      <c r="K641" s="9" t="s">
        <v>159</v>
      </c>
      <c r="L641" s="8">
        <v>13</v>
      </c>
      <c r="M641" s="8">
        <v>16554</v>
      </c>
      <c r="N641" s="9"/>
      <c r="O641" s="8">
        <v>699</v>
      </c>
      <c r="P641" s="9"/>
      <c r="Q641" s="8">
        <v>699</v>
      </c>
      <c r="R641" s="9"/>
      <c r="S641" s="8">
        <v>464</v>
      </c>
      <c r="T641" s="9"/>
      <c r="U641" s="8">
        <v>0</v>
      </c>
      <c r="V641" s="9"/>
      <c r="W641" s="33">
        <v>18416</v>
      </c>
      <c r="X641" s="9"/>
      <c r="Y641" s="30">
        <v>10</v>
      </c>
      <c r="Z641" s="9"/>
      <c r="AA641" s="30">
        <v>0.5</v>
      </c>
      <c r="AB641" s="9"/>
      <c r="AC641" s="30">
        <v>0.5</v>
      </c>
      <c r="AD641" s="9"/>
      <c r="AE641" s="30">
        <v>1</v>
      </c>
      <c r="AF641" s="9"/>
      <c r="AG641" s="19">
        <v>0</v>
      </c>
      <c r="AI641" s="32">
        <v>12</v>
      </c>
      <c r="AK641" s="7" t="str">
        <f t="shared" si="9"/>
        <v>No</v>
      </c>
    </row>
    <row r="642" spans="1:37">
      <c r="A642" s="7" t="s">
        <v>300</v>
      </c>
      <c r="B642" s="7" t="s">
        <v>299</v>
      </c>
      <c r="C642" s="37" t="s">
        <v>52</v>
      </c>
      <c r="D642" s="296">
        <v>5034</v>
      </c>
      <c r="E642" s="297">
        <v>50034</v>
      </c>
      <c r="F642" s="27" t="s">
        <v>165</v>
      </c>
      <c r="G642" s="27" t="s">
        <v>158</v>
      </c>
      <c r="H642" s="35">
        <v>90057</v>
      </c>
      <c r="I642" s="35">
        <v>20</v>
      </c>
      <c r="J642" s="9" t="s">
        <v>10</v>
      </c>
      <c r="K642" s="9" t="s">
        <v>159</v>
      </c>
      <c r="L642" s="8">
        <v>10</v>
      </c>
      <c r="M642" s="8">
        <v>5442</v>
      </c>
      <c r="N642" s="9"/>
      <c r="O642" s="8">
        <v>973</v>
      </c>
      <c r="P642" s="9"/>
      <c r="Q642" s="8">
        <v>0</v>
      </c>
      <c r="R642" s="9"/>
      <c r="S642" s="8">
        <v>0</v>
      </c>
      <c r="T642" s="9"/>
      <c r="U642" s="8">
        <v>0</v>
      </c>
      <c r="V642" s="9"/>
      <c r="W642" s="33">
        <v>6415</v>
      </c>
      <c r="X642" s="9"/>
      <c r="Y642" s="30">
        <v>4</v>
      </c>
      <c r="Z642" s="9"/>
      <c r="AA642" s="30">
        <v>1</v>
      </c>
      <c r="AB642" s="9"/>
      <c r="AC642" s="30">
        <v>0</v>
      </c>
      <c r="AD642" s="9"/>
      <c r="AE642" s="30">
        <v>0</v>
      </c>
      <c r="AF642" s="9"/>
      <c r="AG642" s="19">
        <v>0</v>
      </c>
      <c r="AI642" s="32">
        <v>5</v>
      </c>
      <c r="AK642" s="7" t="str">
        <f t="shared" ref="AK642:AK705" si="10">IF(AJ642&amp;AH642&amp;AF642&amp;AD642&amp;AB642&amp;Z642&amp;X642&amp;V642&amp;T642&amp;R642&amp;P642&amp;N642&lt;&gt;"","Yes","No")</f>
        <v>No</v>
      </c>
    </row>
    <row r="643" spans="1:37">
      <c r="A643" s="7" t="s">
        <v>300</v>
      </c>
      <c r="B643" s="7" t="s">
        <v>299</v>
      </c>
      <c r="C643" s="37" t="s">
        <v>52</v>
      </c>
      <c r="D643" s="296">
        <v>5034</v>
      </c>
      <c r="E643" s="297">
        <v>50034</v>
      </c>
      <c r="F643" s="27" t="s">
        <v>165</v>
      </c>
      <c r="G643" s="27" t="s">
        <v>158</v>
      </c>
      <c r="H643" s="35">
        <v>90057</v>
      </c>
      <c r="I643" s="35">
        <v>20</v>
      </c>
      <c r="J643" s="9" t="s">
        <v>7</v>
      </c>
      <c r="K643" s="9" t="s">
        <v>159</v>
      </c>
      <c r="L643" s="8">
        <v>10</v>
      </c>
      <c r="M643" s="8">
        <v>8423</v>
      </c>
      <c r="N643" s="9"/>
      <c r="O643" s="8">
        <v>1506</v>
      </c>
      <c r="P643" s="9"/>
      <c r="Q643" s="8">
        <v>0</v>
      </c>
      <c r="R643" s="9"/>
      <c r="S643" s="8">
        <v>0</v>
      </c>
      <c r="T643" s="9"/>
      <c r="U643" s="8">
        <v>0</v>
      </c>
      <c r="V643" s="9"/>
      <c r="W643" s="33">
        <v>9929</v>
      </c>
      <c r="X643" s="9"/>
      <c r="Y643" s="30">
        <v>5</v>
      </c>
      <c r="Z643" s="9"/>
      <c r="AA643" s="30">
        <v>1</v>
      </c>
      <c r="AB643" s="9"/>
      <c r="AC643" s="30">
        <v>0</v>
      </c>
      <c r="AD643" s="9"/>
      <c r="AE643" s="30">
        <v>0</v>
      </c>
      <c r="AF643" s="9"/>
      <c r="AG643" s="19">
        <v>0</v>
      </c>
      <c r="AI643" s="32">
        <v>6</v>
      </c>
      <c r="AK643" s="7" t="str">
        <f t="shared" si="10"/>
        <v>No</v>
      </c>
    </row>
    <row r="644" spans="1:37">
      <c r="A644" s="7" t="s">
        <v>705</v>
      </c>
      <c r="B644" s="7" t="s">
        <v>706</v>
      </c>
      <c r="C644" s="37" t="s">
        <v>57</v>
      </c>
      <c r="D644" s="296">
        <v>8012</v>
      </c>
      <c r="E644" s="297">
        <v>80012</v>
      </c>
      <c r="F644" s="27" t="s">
        <v>165</v>
      </c>
      <c r="G644" s="27" t="s">
        <v>158</v>
      </c>
      <c r="H644" s="35">
        <v>65207</v>
      </c>
      <c r="I644" s="35">
        <v>20</v>
      </c>
      <c r="J644" s="9" t="s">
        <v>10</v>
      </c>
      <c r="K644" s="9" t="s">
        <v>159</v>
      </c>
      <c r="L644" s="8">
        <v>7</v>
      </c>
      <c r="M644" s="8">
        <v>18101</v>
      </c>
      <c r="N644" s="9"/>
      <c r="O644" s="8">
        <v>0</v>
      </c>
      <c r="P644" s="9"/>
      <c r="Q644" s="8">
        <v>0</v>
      </c>
      <c r="R644" s="9"/>
      <c r="S644" s="8">
        <v>0</v>
      </c>
      <c r="T644" s="9"/>
      <c r="U644" s="8">
        <v>0</v>
      </c>
      <c r="V644" s="9"/>
      <c r="W644" s="33">
        <v>18101</v>
      </c>
      <c r="X644" s="9"/>
      <c r="Y644" s="30">
        <v>11</v>
      </c>
      <c r="Z644" s="9"/>
      <c r="AA644" s="30">
        <v>0</v>
      </c>
      <c r="AB644" s="9"/>
      <c r="AC644" s="30">
        <v>0</v>
      </c>
      <c r="AD644" s="9"/>
      <c r="AE644" s="30">
        <v>0</v>
      </c>
      <c r="AF644" s="9"/>
      <c r="AG644" s="19">
        <v>0</v>
      </c>
      <c r="AI644" s="32">
        <v>11</v>
      </c>
      <c r="AK644" s="7" t="str">
        <f t="shared" si="10"/>
        <v>No</v>
      </c>
    </row>
    <row r="645" spans="1:37">
      <c r="A645" s="7" t="s">
        <v>381</v>
      </c>
      <c r="B645" s="7" t="s">
        <v>382</v>
      </c>
      <c r="C645" s="37" t="s">
        <v>42</v>
      </c>
      <c r="D645" s="296">
        <v>5045</v>
      </c>
      <c r="E645" s="297">
        <v>50045</v>
      </c>
      <c r="F645" s="27" t="s">
        <v>162</v>
      </c>
      <c r="G645" s="27" t="s">
        <v>158</v>
      </c>
      <c r="H645" s="35">
        <v>8608208</v>
      </c>
      <c r="I645" s="35">
        <v>20</v>
      </c>
      <c r="J645" s="9" t="s">
        <v>10</v>
      </c>
      <c r="K645" s="9" t="s">
        <v>159</v>
      </c>
      <c r="L645" s="8">
        <v>4</v>
      </c>
      <c r="M645" s="8">
        <v>0</v>
      </c>
      <c r="N645" s="9"/>
      <c r="O645" s="8">
        <v>0</v>
      </c>
      <c r="P645" s="9"/>
      <c r="Q645" s="8">
        <v>0</v>
      </c>
      <c r="R645" s="9"/>
      <c r="S645" s="8">
        <v>820</v>
      </c>
      <c r="T645" s="9"/>
      <c r="U645" s="8">
        <v>0</v>
      </c>
      <c r="V645" s="9"/>
      <c r="W645" s="33">
        <v>820</v>
      </c>
      <c r="X645" s="9"/>
      <c r="Y645" s="30">
        <v>0</v>
      </c>
      <c r="Z645" s="9"/>
      <c r="AA645" s="30">
        <v>0</v>
      </c>
      <c r="AB645" s="9"/>
      <c r="AC645" s="30">
        <v>0</v>
      </c>
      <c r="AD645" s="9"/>
      <c r="AE645" s="30">
        <v>0.5</v>
      </c>
      <c r="AF645" s="9"/>
      <c r="AG645" s="19">
        <v>0</v>
      </c>
      <c r="AI645" s="32">
        <v>0.5</v>
      </c>
      <c r="AK645" s="7" t="str">
        <f t="shared" si="10"/>
        <v>No</v>
      </c>
    </row>
    <row r="646" spans="1:37">
      <c r="A646" s="7" t="s">
        <v>406</v>
      </c>
      <c r="B646" s="7" t="s">
        <v>407</v>
      </c>
      <c r="C646" s="37" t="s">
        <v>81</v>
      </c>
      <c r="D646" s="296">
        <v>4053</v>
      </c>
      <c r="E646" s="297">
        <v>40053</v>
      </c>
      <c r="F646" s="27" t="s">
        <v>165</v>
      </c>
      <c r="G646" s="27" t="s">
        <v>158</v>
      </c>
      <c r="H646" s="35">
        <v>400492</v>
      </c>
      <c r="I646" s="35">
        <v>20</v>
      </c>
      <c r="J646" s="9" t="s">
        <v>10</v>
      </c>
      <c r="K646" s="9" t="s">
        <v>159</v>
      </c>
      <c r="L646" s="8">
        <v>3</v>
      </c>
      <c r="M646" s="8">
        <v>0</v>
      </c>
      <c r="N646" s="9"/>
      <c r="O646" s="8">
        <v>0</v>
      </c>
      <c r="P646" s="9"/>
      <c r="Q646" s="8">
        <v>0</v>
      </c>
      <c r="R646" s="9"/>
      <c r="S646" s="8">
        <v>0</v>
      </c>
      <c r="T646" s="9"/>
      <c r="U646" s="8">
        <v>0</v>
      </c>
      <c r="V646" s="9"/>
      <c r="W646" s="33">
        <v>0</v>
      </c>
      <c r="X646" s="9"/>
      <c r="Y646" s="30">
        <v>0</v>
      </c>
      <c r="Z646" s="9"/>
      <c r="AA646" s="30">
        <v>0</v>
      </c>
      <c r="AB646" s="9"/>
      <c r="AC646" s="30">
        <v>0</v>
      </c>
      <c r="AD646" s="9"/>
      <c r="AE646" s="30">
        <v>0</v>
      </c>
      <c r="AF646" s="9"/>
      <c r="AG646" s="19">
        <v>0</v>
      </c>
      <c r="AI646" s="32">
        <v>0</v>
      </c>
      <c r="AK646" s="7" t="str">
        <f t="shared" si="10"/>
        <v>No</v>
      </c>
    </row>
    <row r="647" spans="1:37">
      <c r="A647" s="7" t="s">
        <v>682</v>
      </c>
      <c r="B647" s="7" t="s">
        <v>266</v>
      </c>
      <c r="C647" s="37" t="s">
        <v>89</v>
      </c>
      <c r="D647" s="296">
        <v>35</v>
      </c>
      <c r="E647" s="297">
        <v>35</v>
      </c>
      <c r="F647" s="27" t="s">
        <v>157</v>
      </c>
      <c r="G647" s="27" t="s">
        <v>158</v>
      </c>
      <c r="H647" s="35">
        <v>3059393</v>
      </c>
      <c r="I647" s="35">
        <v>19</v>
      </c>
      <c r="J647" s="9" t="s">
        <v>19</v>
      </c>
      <c r="K647" s="9" t="s">
        <v>159</v>
      </c>
      <c r="L647" s="8">
        <v>19</v>
      </c>
      <c r="M647" s="8">
        <v>398906</v>
      </c>
      <c r="N647" s="9"/>
      <c r="O647" s="8">
        <v>925</v>
      </c>
      <c r="P647" s="9"/>
      <c r="Q647" s="8">
        <v>0</v>
      </c>
      <c r="R647" s="9"/>
      <c r="S647" s="8">
        <v>16500</v>
      </c>
      <c r="T647" s="9"/>
      <c r="U647" s="8">
        <v>0</v>
      </c>
      <c r="V647" s="9"/>
      <c r="W647" s="33">
        <v>416331</v>
      </c>
      <c r="X647" s="9"/>
      <c r="Y647" s="30">
        <v>288</v>
      </c>
      <c r="Z647" s="9"/>
      <c r="AA647" s="30">
        <v>3</v>
      </c>
      <c r="AB647" s="9"/>
      <c r="AC647" s="30">
        <v>0</v>
      </c>
      <c r="AD647" s="9"/>
      <c r="AE647" s="30">
        <v>26</v>
      </c>
      <c r="AF647" s="9"/>
      <c r="AG647" s="19">
        <v>0</v>
      </c>
      <c r="AI647" s="32">
        <v>317</v>
      </c>
      <c r="AK647" s="7" t="str">
        <f t="shared" si="10"/>
        <v>No</v>
      </c>
    </row>
    <row r="648" spans="1:37">
      <c r="A648" s="7" t="s">
        <v>303</v>
      </c>
      <c r="B648" s="7" t="s">
        <v>304</v>
      </c>
      <c r="C648" s="37" t="s">
        <v>46</v>
      </c>
      <c r="D648" s="296">
        <v>6038</v>
      </c>
      <c r="E648" s="297">
        <v>60038</v>
      </c>
      <c r="F648" s="27" t="s">
        <v>162</v>
      </c>
      <c r="G648" s="27" t="s">
        <v>158</v>
      </c>
      <c r="H648" s="35">
        <v>252720</v>
      </c>
      <c r="I648" s="35">
        <v>19</v>
      </c>
      <c r="J648" s="9" t="s">
        <v>7</v>
      </c>
      <c r="K648" s="9" t="s">
        <v>159</v>
      </c>
      <c r="L648" s="8">
        <v>13</v>
      </c>
      <c r="M648" s="8">
        <v>9203</v>
      </c>
      <c r="N648" s="9"/>
      <c r="O648" s="8">
        <v>1542</v>
      </c>
      <c r="P648" s="9"/>
      <c r="Q648" s="8">
        <v>1173</v>
      </c>
      <c r="R648" s="9"/>
      <c r="S648" s="8">
        <v>2924</v>
      </c>
      <c r="T648" s="9"/>
      <c r="U648" s="8">
        <v>0</v>
      </c>
      <c r="V648" s="9"/>
      <c r="W648" s="33">
        <v>14842</v>
      </c>
      <c r="X648" s="9"/>
      <c r="Y648" s="30">
        <v>26</v>
      </c>
      <c r="Z648" s="9"/>
      <c r="AA648" s="30">
        <v>9</v>
      </c>
      <c r="AB648" s="9"/>
      <c r="AC648" s="30">
        <v>2</v>
      </c>
      <c r="AD648" s="9"/>
      <c r="AE648" s="30">
        <v>3</v>
      </c>
      <c r="AF648" s="9"/>
      <c r="AG648" s="19">
        <v>0</v>
      </c>
      <c r="AI648" s="32">
        <v>40</v>
      </c>
      <c r="AK648" s="7" t="str">
        <f t="shared" si="10"/>
        <v>No</v>
      </c>
    </row>
    <row r="649" spans="1:37">
      <c r="A649" s="7" t="s">
        <v>14</v>
      </c>
      <c r="B649" s="7" t="s">
        <v>297</v>
      </c>
      <c r="C649" s="37" t="s">
        <v>13</v>
      </c>
      <c r="D649" s="296">
        <v>9034</v>
      </c>
      <c r="E649" s="297">
        <v>90034</v>
      </c>
      <c r="F649" s="27" t="s">
        <v>162</v>
      </c>
      <c r="G649" s="27" t="s">
        <v>158</v>
      </c>
      <c r="H649" s="35">
        <v>3629114</v>
      </c>
      <c r="I649" s="35">
        <v>18</v>
      </c>
      <c r="J649" s="9" t="s">
        <v>10</v>
      </c>
      <c r="K649" s="9" t="s">
        <v>159</v>
      </c>
      <c r="L649" s="8">
        <v>15</v>
      </c>
      <c r="M649" s="8">
        <v>19587</v>
      </c>
      <c r="N649" s="9"/>
      <c r="O649" s="8">
        <v>0</v>
      </c>
      <c r="P649" s="9"/>
      <c r="Q649" s="8">
        <v>0</v>
      </c>
      <c r="R649" s="9"/>
      <c r="S649" s="8">
        <v>0</v>
      </c>
      <c r="T649" s="9"/>
      <c r="U649" s="8">
        <v>0</v>
      </c>
      <c r="V649" s="9"/>
      <c r="W649" s="33">
        <v>19587</v>
      </c>
      <c r="X649" s="9"/>
      <c r="Y649" s="30">
        <v>12.56</v>
      </c>
      <c r="Z649" s="9"/>
      <c r="AA649" s="30">
        <v>0</v>
      </c>
      <c r="AB649" s="9"/>
      <c r="AC649" s="30">
        <v>0</v>
      </c>
      <c r="AD649" s="9"/>
      <c r="AE649" s="30">
        <v>0</v>
      </c>
      <c r="AF649" s="9"/>
      <c r="AG649" s="19">
        <v>0</v>
      </c>
      <c r="AI649" s="32">
        <v>12.56</v>
      </c>
      <c r="AK649" s="7" t="str">
        <f t="shared" si="10"/>
        <v>No</v>
      </c>
    </row>
    <row r="650" spans="1:37">
      <c r="A650" s="7" t="s">
        <v>1097</v>
      </c>
      <c r="B650" s="7" t="s">
        <v>350</v>
      </c>
      <c r="C650" s="37" t="s">
        <v>62</v>
      </c>
      <c r="D650" s="296">
        <v>1086</v>
      </c>
      <c r="E650" s="297">
        <v>10086</v>
      </c>
      <c r="F650" s="27" t="s">
        <v>165</v>
      </c>
      <c r="G650" s="27" t="s">
        <v>158</v>
      </c>
      <c r="H650" s="35">
        <v>88087</v>
      </c>
      <c r="I650" s="35">
        <v>18</v>
      </c>
      <c r="J650" s="9" t="s">
        <v>7</v>
      </c>
      <c r="K650" s="9" t="s">
        <v>159</v>
      </c>
      <c r="L650" s="8">
        <v>14</v>
      </c>
      <c r="M650" s="8">
        <v>6955</v>
      </c>
      <c r="N650" s="9"/>
      <c r="O650" s="8">
        <v>4090</v>
      </c>
      <c r="P650" s="9"/>
      <c r="Q650" s="8">
        <v>0</v>
      </c>
      <c r="R650" s="9"/>
      <c r="S650" s="8">
        <v>0</v>
      </c>
      <c r="T650" s="9"/>
      <c r="U650" s="8">
        <v>0</v>
      </c>
      <c r="V650" s="9"/>
      <c r="W650" s="33">
        <v>11045</v>
      </c>
      <c r="X650" s="9"/>
      <c r="Y650" s="30">
        <v>11.2</v>
      </c>
      <c r="Z650" s="9"/>
      <c r="AA650" s="30">
        <v>7</v>
      </c>
      <c r="AB650" s="9"/>
      <c r="AC650" s="30">
        <v>0</v>
      </c>
      <c r="AD650" s="9"/>
      <c r="AE650" s="30">
        <v>0</v>
      </c>
      <c r="AF650" s="9"/>
      <c r="AG650" s="19">
        <v>0</v>
      </c>
      <c r="AI650" s="32">
        <v>18.2</v>
      </c>
      <c r="AK650" s="7" t="str">
        <f t="shared" si="10"/>
        <v>No</v>
      </c>
    </row>
    <row r="651" spans="1:37">
      <c r="A651" s="7" t="s">
        <v>777</v>
      </c>
      <c r="B651" s="7" t="s">
        <v>778</v>
      </c>
      <c r="C651" s="37" t="s">
        <v>73</v>
      </c>
      <c r="D651" s="296">
        <v>5199</v>
      </c>
      <c r="E651" s="297">
        <v>50199</v>
      </c>
      <c r="F651" s="27" t="s">
        <v>165</v>
      </c>
      <c r="G651" s="27" t="s">
        <v>158</v>
      </c>
      <c r="H651" s="35">
        <v>1368035</v>
      </c>
      <c r="I651" s="35">
        <v>18</v>
      </c>
      <c r="J651" s="9" t="s">
        <v>7</v>
      </c>
      <c r="K651" s="9" t="s">
        <v>159</v>
      </c>
      <c r="L651" s="8">
        <v>12</v>
      </c>
      <c r="M651" s="8">
        <v>12300</v>
      </c>
      <c r="N651" s="9"/>
      <c r="O651" s="8">
        <v>565</v>
      </c>
      <c r="P651" s="9"/>
      <c r="Q651" s="8">
        <v>0</v>
      </c>
      <c r="R651" s="9"/>
      <c r="S651" s="8">
        <v>0</v>
      </c>
      <c r="T651" s="9"/>
      <c r="U651" s="8">
        <v>0</v>
      </c>
      <c r="V651" s="9"/>
      <c r="W651" s="33">
        <v>12865</v>
      </c>
      <c r="X651" s="9"/>
      <c r="Y651" s="30">
        <v>13</v>
      </c>
      <c r="Z651" s="9"/>
      <c r="AA651" s="30">
        <v>0.7</v>
      </c>
      <c r="AB651" s="9"/>
      <c r="AC651" s="30">
        <v>0</v>
      </c>
      <c r="AD651" s="9"/>
      <c r="AE651" s="30">
        <v>0</v>
      </c>
      <c r="AF651" s="9"/>
      <c r="AG651" s="19">
        <v>0</v>
      </c>
      <c r="AI651" s="32">
        <v>13.7</v>
      </c>
      <c r="AK651" s="7" t="str">
        <f t="shared" si="10"/>
        <v>No</v>
      </c>
    </row>
    <row r="652" spans="1:37">
      <c r="A652" s="7" t="s">
        <v>387</v>
      </c>
      <c r="B652" s="7" t="s">
        <v>388</v>
      </c>
      <c r="C652" s="37" t="s">
        <v>59</v>
      </c>
      <c r="D652" s="296">
        <v>8008</v>
      </c>
      <c r="E652" s="297">
        <v>80008</v>
      </c>
      <c r="F652" s="27" t="s">
        <v>162</v>
      </c>
      <c r="G652" s="27" t="s">
        <v>158</v>
      </c>
      <c r="H652" s="35">
        <v>61270</v>
      </c>
      <c r="I652" s="35">
        <v>18</v>
      </c>
      <c r="J652" s="9" t="s">
        <v>7</v>
      </c>
      <c r="K652" s="9" t="s">
        <v>159</v>
      </c>
      <c r="L652" s="8">
        <v>8</v>
      </c>
      <c r="M652" s="8">
        <v>5678</v>
      </c>
      <c r="N652" s="9"/>
      <c r="O652" s="8">
        <v>0</v>
      </c>
      <c r="P652" s="9"/>
      <c r="Q652" s="8">
        <v>606</v>
      </c>
      <c r="R652" s="9"/>
      <c r="S652" s="8">
        <v>1862</v>
      </c>
      <c r="T652" s="9"/>
      <c r="U652" s="8">
        <v>0</v>
      </c>
      <c r="V652" s="9"/>
      <c r="W652" s="33">
        <v>8146</v>
      </c>
      <c r="X652" s="9"/>
      <c r="Y652" s="30">
        <v>9</v>
      </c>
      <c r="Z652" s="9"/>
      <c r="AA652" s="30">
        <v>0</v>
      </c>
      <c r="AB652" s="9"/>
      <c r="AC652" s="30">
        <v>1</v>
      </c>
      <c r="AD652" s="9"/>
      <c r="AE652" s="30">
        <v>2</v>
      </c>
      <c r="AF652" s="9"/>
      <c r="AG652" s="19">
        <v>0</v>
      </c>
      <c r="AI652" s="32">
        <v>12</v>
      </c>
      <c r="AK652" s="7" t="str">
        <f t="shared" si="10"/>
        <v>No</v>
      </c>
    </row>
    <row r="653" spans="1:37">
      <c r="A653" s="7" t="s">
        <v>777</v>
      </c>
      <c r="B653" s="7" t="s">
        <v>778</v>
      </c>
      <c r="C653" s="37" t="s">
        <v>73</v>
      </c>
      <c r="D653" s="296">
        <v>5199</v>
      </c>
      <c r="E653" s="297">
        <v>50199</v>
      </c>
      <c r="F653" s="27" t="s">
        <v>165</v>
      </c>
      <c r="G653" s="27" t="s">
        <v>158</v>
      </c>
      <c r="H653" s="35">
        <v>1368035</v>
      </c>
      <c r="I653" s="35">
        <v>18</v>
      </c>
      <c r="J653" s="9" t="s">
        <v>10</v>
      </c>
      <c r="K653" s="9" t="s">
        <v>159</v>
      </c>
      <c r="L653" s="8">
        <v>6</v>
      </c>
      <c r="M653" s="8">
        <v>6317</v>
      </c>
      <c r="N653" s="9"/>
      <c r="O653" s="8">
        <v>290</v>
      </c>
      <c r="P653" s="9"/>
      <c r="Q653" s="8">
        <v>0</v>
      </c>
      <c r="R653" s="9"/>
      <c r="S653" s="8">
        <v>0</v>
      </c>
      <c r="T653" s="9"/>
      <c r="U653" s="8">
        <v>0</v>
      </c>
      <c r="V653" s="9"/>
      <c r="W653" s="33">
        <v>6607</v>
      </c>
      <c r="X653" s="9"/>
      <c r="Y653" s="30">
        <v>6</v>
      </c>
      <c r="Z653" s="9"/>
      <c r="AA653" s="30">
        <v>0.3</v>
      </c>
      <c r="AB653" s="9"/>
      <c r="AC653" s="30">
        <v>0</v>
      </c>
      <c r="AD653" s="9"/>
      <c r="AE653" s="30">
        <v>0</v>
      </c>
      <c r="AF653" s="9"/>
      <c r="AG653" s="19">
        <v>0</v>
      </c>
      <c r="AI653" s="32">
        <v>6.3</v>
      </c>
      <c r="AK653" s="7" t="str">
        <f t="shared" si="10"/>
        <v>No</v>
      </c>
    </row>
    <row r="654" spans="1:37">
      <c r="A654" s="7" t="s">
        <v>1097</v>
      </c>
      <c r="B654" s="7" t="s">
        <v>350</v>
      </c>
      <c r="C654" s="37" t="s">
        <v>62</v>
      </c>
      <c r="D654" s="296">
        <v>1086</v>
      </c>
      <c r="E654" s="297">
        <v>10086</v>
      </c>
      <c r="F654" s="27" t="s">
        <v>165</v>
      </c>
      <c r="G654" s="27" t="s">
        <v>158</v>
      </c>
      <c r="H654" s="35">
        <v>88087</v>
      </c>
      <c r="I654" s="35">
        <v>18</v>
      </c>
      <c r="J654" s="9" t="s">
        <v>10</v>
      </c>
      <c r="K654" s="9" t="s">
        <v>159</v>
      </c>
      <c r="L654" s="8">
        <v>4</v>
      </c>
      <c r="M654" s="8">
        <v>6102</v>
      </c>
      <c r="N654" s="9"/>
      <c r="O654" s="8">
        <v>577</v>
      </c>
      <c r="P654" s="9"/>
      <c r="Q654" s="8">
        <v>0</v>
      </c>
      <c r="R654" s="9"/>
      <c r="S654" s="8">
        <v>0</v>
      </c>
      <c r="T654" s="9"/>
      <c r="U654" s="8">
        <v>0</v>
      </c>
      <c r="V654" s="9"/>
      <c r="W654" s="33">
        <v>6679</v>
      </c>
      <c r="X654" s="9"/>
      <c r="Y654" s="30">
        <v>7.8</v>
      </c>
      <c r="Z654" s="9"/>
      <c r="AA654" s="30">
        <v>1</v>
      </c>
      <c r="AB654" s="9"/>
      <c r="AC654" s="30">
        <v>0</v>
      </c>
      <c r="AD654" s="9"/>
      <c r="AE654" s="30">
        <v>0</v>
      </c>
      <c r="AF654" s="9"/>
      <c r="AG654" s="19">
        <v>0</v>
      </c>
      <c r="AI654" s="32">
        <v>8.8000000000000007</v>
      </c>
      <c r="AK654" s="7" t="str">
        <f t="shared" si="10"/>
        <v>No</v>
      </c>
    </row>
    <row r="655" spans="1:37">
      <c r="A655" s="7" t="s">
        <v>14</v>
      </c>
      <c r="B655" s="7" t="s">
        <v>297</v>
      </c>
      <c r="C655" s="37" t="s">
        <v>13</v>
      </c>
      <c r="D655" s="296">
        <v>9034</v>
      </c>
      <c r="E655" s="297">
        <v>90034</v>
      </c>
      <c r="F655" s="27" t="s">
        <v>162</v>
      </c>
      <c r="G655" s="27" t="s">
        <v>158</v>
      </c>
      <c r="H655" s="35">
        <v>3629114</v>
      </c>
      <c r="I655" s="35">
        <v>18</v>
      </c>
      <c r="J655" s="9" t="s">
        <v>7</v>
      </c>
      <c r="K655" s="9" t="s">
        <v>159</v>
      </c>
      <c r="L655" s="8">
        <v>3</v>
      </c>
      <c r="M655" s="8">
        <v>6660</v>
      </c>
      <c r="N655" s="9"/>
      <c r="O655" s="8">
        <v>0</v>
      </c>
      <c r="P655" s="9"/>
      <c r="Q655" s="8">
        <v>0</v>
      </c>
      <c r="R655" s="9"/>
      <c r="S655" s="8">
        <v>0</v>
      </c>
      <c r="T655" s="9"/>
      <c r="U655" s="8">
        <v>0</v>
      </c>
      <c r="V655" s="9"/>
      <c r="W655" s="33">
        <v>6660</v>
      </c>
      <c r="X655" s="9"/>
      <c r="Y655" s="30">
        <v>4.2699999999999996</v>
      </c>
      <c r="Z655" s="9"/>
      <c r="AA655" s="30">
        <v>0</v>
      </c>
      <c r="AB655" s="9"/>
      <c r="AC655" s="30">
        <v>0</v>
      </c>
      <c r="AD655" s="9"/>
      <c r="AE655" s="30">
        <v>0</v>
      </c>
      <c r="AF655" s="9"/>
      <c r="AG655" s="19">
        <v>0</v>
      </c>
      <c r="AI655" s="32">
        <v>4.2699999999999996</v>
      </c>
      <c r="AK655" s="7" t="str">
        <f t="shared" si="10"/>
        <v>No</v>
      </c>
    </row>
    <row r="656" spans="1:37">
      <c r="A656" s="7" t="s">
        <v>773</v>
      </c>
      <c r="B656" s="7" t="s">
        <v>774</v>
      </c>
      <c r="C656" s="37" t="s">
        <v>73</v>
      </c>
      <c r="D656" s="296">
        <v>5198</v>
      </c>
      <c r="E656" s="297">
        <v>50198</v>
      </c>
      <c r="F656" s="27" t="s">
        <v>162</v>
      </c>
      <c r="G656" s="27" t="s">
        <v>158</v>
      </c>
      <c r="H656" s="35">
        <v>1780673</v>
      </c>
      <c r="I656" s="35">
        <v>17</v>
      </c>
      <c r="J656" s="9" t="s">
        <v>10</v>
      </c>
      <c r="K656" s="9" t="s">
        <v>159</v>
      </c>
      <c r="L656" s="8">
        <v>11</v>
      </c>
      <c r="M656" s="8">
        <v>19747</v>
      </c>
      <c r="N656" s="9"/>
      <c r="O656" s="8">
        <v>0</v>
      </c>
      <c r="P656" s="9"/>
      <c r="Q656" s="8">
        <v>0</v>
      </c>
      <c r="R656" s="9"/>
      <c r="S656" s="8">
        <v>0</v>
      </c>
      <c r="T656" s="9"/>
      <c r="U656" s="8">
        <v>0</v>
      </c>
      <c r="V656" s="9"/>
      <c r="W656" s="33">
        <v>19747</v>
      </c>
      <c r="X656" s="9"/>
      <c r="Y656" s="30">
        <v>19.93</v>
      </c>
      <c r="Z656" s="9"/>
      <c r="AA656" s="30">
        <v>0</v>
      </c>
      <c r="AB656" s="9"/>
      <c r="AC656" s="30">
        <v>0</v>
      </c>
      <c r="AD656" s="9"/>
      <c r="AE656" s="30">
        <v>0</v>
      </c>
      <c r="AF656" s="9"/>
      <c r="AG656" s="19">
        <v>0</v>
      </c>
      <c r="AI656" s="32">
        <v>19.93</v>
      </c>
      <c r="AK656" s="7" t="str">
        <f t="shared" si="10"/>
        <v>No</v>
      </c>
    </row>
    <row r="657" spans="1:37">
      <c r="A657" s="7" t="s">
        <v>773</v>
      </c>
      <c r="B657" s="7" t="s">
        <v>774</v>
      </c>
      <c r="C657" s="37" t="s">
        <v>73</v>
      </c>
      <c r="D657" s="296">
        <v>5198</v>
      </c>
      <c r="E657" s="297">
        <v>50198</v>
      </c>
      <c r="F657" s="27" t="s">
        <v>162</v>
      </c>
      <c r="G657" s="27" t="s">
        <v>158</v>
      </c>
      <c r="H657" s="35">
        <v>1780673</v>
      </c>
      <c r="I657" s="35">
        <v>17</v>
      </c>
      <c r="J657" s="9" t="s">
        <v>7</v>
      </c>
      <c r="K657" s="9" t="s">
        <v>159</v>
      </c>
      <c r="L657" s="8">
        <v>5</v>
      </c>
      <c r="M657" s="8">
        <v>8082</v>
      </c>
      <c r="N657" s="9"/>
      <c r="O657" s="8">
        <v>0</v>
      </c>
      <c r="P657" s="9"/>
      <c r="Q657" s="8">
        <v>0</v>
      </c>
      <c r="R657" s="9"/>
      <c r="S657" s="8">
        <v>0</v>
      </c>
      <c r="T657" s="9"/>
      <c r="U657" s="8">
        <v>0</v>
      </c>
      <c r="V657" s="9"/>
      <c r="W657" s="33">
        <v>8082</v>
      </c>
      <c r="X657" s="9"/>
      <c r="Y657" s="30">
        <v>7.07</v>
      </c>
      <c r="Z657" s="9"/>
      <c r="AA657" s="30">
        <v>0</v>
      </c>
      <c r="AB657" s="9"/>
      <c r="AC657" s="30">
        <v>0</v>
      </c>
      <c r="AD657" s="9"/>
      <c r="AE657" s="30">
        <v>0</v>
      </c>
      <c r="AF657" s="9"/>
      <c r="AG657" s="19">
        <v>0</v>
      </c>
      <c r="AI657" s="32">
        <v>7.07</v>
      </c>
      <c r="AK657" s="7" t="str">
        <f t="shared" si="10"/>
        <v>No</v>
      </c>
    </row>
    <row r="658" spans="1:37">
      <c r="A658" s="7" t="s">
        <v>1146</v>
      </c>
      <c r="B658" s="7" t="s">
        <v>1147</v>
      </c>
      <c r="C658" s="37" t="s">
        <v>81</v>
      </c>
      <c r="D658" s="296">
        <v>4208</v>
      </c>
      <c r="E658" s="297">
        <v>40208</v>
      </c>
      <c r="F658" s="27" t="s">
        <v>162</v>
      </c>
      <c r="G658" s="27" t="s">
        <v>158</v>
      </c>
      <c r="H658" s="35">
        <v>400492</v>
      </c>
      <c r="I658" s="35">
        <v>16</v>
      </c>
      <c r="J658" s="9" t="s">
        <v>7</v>
      </c>
      <c r="K658" s="9" t="s">
        <v>159</v>
      </c>
      <c r="L658" s="8">
        <v>16</v>
      </c>
      <c r="M658" s="8">
        <v>39039</v>
      </c>
      <c r="N658" s="9"/>
      <c r="O658" s="8">
        <v>0</v>
      </c>
      <c r="P658" s="9"/>
      <c r="Q658" s="8">
        <v>0</v>
      </c>
      <c r="R658" s="9"/>
      <c r="S658" s="8">
        <v>336</v>
      </c>
      <c r="T658" s="9"/>
      <c r="U658" s="8">
        <v>0</v>
      </c>
      <c r="V658" s="9"/>
      <c r="W658" s="33">
        <v>39375</v>
      </c>
      <c r="X658" s="9"/>
      <c r="Y658" s="30">
        <v>51</v>
      </c>
      <c r="Z658" s="9"/>
      <c r="AA658" s="30">
        <v>0</v>
      </c>
      <c r="AB658" s="9"/>
      <c r="AC658" s="30">
        <v>0</v>
      </c>
      <c r="AD658" s="9"/>
      <c r="AE658" s="30">
        <v>2</v>
      </c>
      <c r="AF658" s="9"/>
      <c r="AG658" s="19">
        <v>0</v>
      </c>
      <c r="AI658" s="32">
        <v>53</v>
      </c>
      <c r="AK658" s="7" t="str">
        <f t="shared" si="10"/>
        <v>No</v>
      </c>
    </row>
    <row r="659" spans="1:37">
      <c r="A659" s="7" t="s">
        <v>203</v>
      </c>
      <c r="B659" s="7" t="s">
        <v>204</v>
      </c>
      <c r="C659" s="37" t="s">
        <v>58</v>
      </c>
      <c r="D659" s="296">
        <v>4005</v>
      </c>
      <c r="E659" s="297">
        <v>40005</v>
      </c>
      <c r="F659" s="27" t="s">
        <v>162</v>
      </c>
      <c r="G659" s="27" t="s">
        <v>158</v>
      </c>
      <c r="H659" s="35">
        <v>280648</v>
      </c>
      <c r="I659" s="35">
        <v>16</v>
      </c>
      <c r="J659" s="9" t="s">
        <v>7</v>
      </c>
      <c r="K659" s="9" t="s">
        <v>159</v>
      </c>
      <c r="L659" s="8">
        <v>16</v>
      </c>
      <c r="M659" s="8">
        <v>1999</v>
      </c>
      <c r="N659" s="9"/>
      <c r="O659" s="8">
        <v>1184</v>
      </c>
      <c r="P659" s="9"/>
      <c r="Q659" s="8">
        <v>0</v>
      </c>
      <c r="R659" s="9"/>
      <c r="S659" s="8">
        <v>442</v>
      </c>
      <c r="T659" s="9"/>
      <c r="U659" s="8">
        <v>0</v>
      </c>
      <c r="V659" s="9"/>
      <c r="W659" s="33">
        <v>3625</v>
      </c>
      <c r="X659" s="9"/>
      <c r="Y659" s="30">
        <v>2</v>
      </c>
      <c r="Z659" s="9"/>
      <c r="AA659" s="30">
        <v>1</v>
      </c>
      <c r="AB659" s="9"/>
      <c r="AC659" s="30">
        <v>0</v>
      </c>
      <c r="AD659" s="9"/>
      <c r="AE659" s="30">
        <v>2</v>
      </c>
      <c r="AF659" s="9"/>
      <c r="AG659" s="19">
        <v>0</v>
      </c>
      <c r="AI659" s="32">
        <v>5</v>
      </c>
      <c r="AK659" s="7" t="str">
        <f t="shared" si="10"/>
        <v>No</v>
      </c>
    </row>
    <row r="660" spans="1:37">
      <c r="A660" s="7" t="s">
        <v>531</v>
      </c>
      <c r="B660" s="7" t="s">
        <v>532</v>
      </c>
      <c r="C660" s="37" t="s">
        <v>96</v>
      </c>
      <c r="D660" s="296">
        <v>3035</v>
      </c>
      <c r="E660" s="297">
        <v>30035</v>
      </c>
      <c r="F660" s="27" t="s">
        <v>165</v>
      </c>
      <c r="G660" s="27" t="s">
        <v>158</v>
      </c>
      <c r="H660" s="35">
        <v>81249</v>
      </c>
      <c r="I660" s="35">
        <v>16</v>
      </c>
      <c r="J660" s="9" t="s">
        <v>7</v>
      </c>
      <c r="K660" s="9" t="s">
        <v>159</v>
      </c>
      <c r="L660" s="8">
        <v>14</v>
      </c>
      <c r="M660" s="8">
        <v>0</v>
      </c>
      <c r="N660" s="9"/>
      <c r="O660" s="8">
        <v>0</v>
      </c>
      <c r="P660" s="9"/>
      <c r="Q660" s="8">
        <v>0</v>
      </c>
      <c r="R660" s="9"/>
      <c r="S660" s="8">
        <v>0</v>
      </c>
      <c r="T660" s="9"/>
      <c r="U660" s="8">
        <v>0</v>
      </c>
      <c r="V660" s="9"/>
      <c r="W660" s="33">
        <v>0</v>
      </c>
      <c r="X660" s="9"/>
      <c r="Y660" s="30">
        <v>0</v>
      </c>
      <c r="Z660" s="9"/>
      <c r="AA660" s="30">
        <v>0</v>
      </c>
      <c r="AB660" s="9"/>
      <c r="AC660" s="30">
        <v>0</v>
      </c>
      <c r="AD660" s="9"/>
      <c r="AE660" s="30">
        <v>0</v>
      </c>
      <c r="AF660" s="9"/>
      <c r="AG660" s="19">
        <v>0</v>
      </c>
      <c r="AI660" s="32">
        <v>0</v>
      </c>
      <c r="AK660" s="7" t="str">
        <f t="shared" si="10"/>
        <v>No</v>
      </c>
    </row>
    <row r="661" spans="1:37">
      <c r="A661" s="7" t="s">
        <v>495</v>
      </c>
      <c r="B661" s="7" t="s">
        <v>496</v>
      </c>
      <c r="C661" s="37" t="s">
        <v>28</v>
      </c>
      <c r="D661" s="296">
        <v>1063</v>
      </c>
      <c r="E661" s="297">
        <v>10063</v>
      </c>
      <c r="F661" s="27" t="s">
        <v>165</v>
      </c>
      <c r="G661" s="27" t="s">
        <v>158</v>
      </c>
      <c r="H661" s="35">
        <v>924859</v>
      </c>
      <c r="I661" s="35">
        <v>16</v>
      </c>
      <c r="J661" s="9" t="s">
        <v>7</v>
      </c>
      <c r="K661" s="9" t="s">
        <v>159</v>
      </c>
      <c r="L661" s="8">
        <v>9</v>
      </c>
      <c r="M661" s="8">
        <v>2199</v>
      </c>
      <c r="N661" s="9"/>
      <c r="O661" s="8">
        <v>0</v>
      </c>
      <c r="P661" s="9"/>
      <c r="Q661" s="8">
        <v>802</v>
      </c>
      <c r="R661" s="9"/>
      <c r="S661" s="8">
        <v>215</v>
      </c>
      <c r="T661" s="9"/>
      <c r="U661" s="8">
        <v>0</v>
      </c>
      <c r="V661" s="9"/>
      <c r="W661" s="33">
        <v>3216</v>
      </c>
      <c r="X661" s="9"/>
      <c r="Y661" s="30">
        <v>2</v>
      </c>
      <c r="Z661" s="9"/>
      <c r="AA661" s="30">
        <v>0</v>
      </c>
      <c r="AB661" s="9"/>
      <c r="AC661" s="30">
        <v>1</v>
      </c>
      <c r="AD661" s="9"/>
      <c r="AE661" s="30">
        <v>1</v>
      </c>
      <c r="AF661" s="9"/>
      <c r="AG661" s="19">
        <v>0</v>
      </c>
      <c r="AI661" s="32">
        <v>4</v>
      </c>
      <c r="AK661" s="7" t="str">
        <f t="shared" si="10"/>
        <v>No</v>
      </c>
    </row>
    <row r="662" spans="1:37">
      <c r="A662" s="7" t="s">
        <v>495</v>
      </c>
      <c r="B662" s="7" t="s">
        <v>496</v>
      </c>
      <c r="C662" s="37" t="s">
        <v>28</v>
      </c>
      <c r="D662" s="296">
        <v>1063</v>
      </c>
      <c r="E662" s="297">
        <v>10063</v>
      </c>
      <c r="F662" s="27" t="s">
        <v>165</v>
      </c>
      <c r="G662" s="27" t="s">
        <v>158</v>
      </c>
      <c r="H662" s="35">
        <v>924859</v>
      </c>
      <c r="I662" s="35">
        <v>16</v>
      </c>
      <c r="J662" s="9" t="s">
        <v>10</v>
      </c>
      <c r="K662" s="9" t="s">
        <v>159</v>
      </c>
      <c r="L662" s="8">
        <v>7</v>
      </c>
      <c r="M662" s="8">
        <v>3502</v>
      </c>
      <c r="N662" s="9"/>
      <c r="O662" s="8">
        <v>415</v>
      </c>
      <c r="P662" s="9"/>
      <c r="Q662" s="8">
        <v>260</v>
      </c>
      <c r="R662" s="9"/>
      <c r="S662" s="8">
        <v>143</v>
      </c>
      <c r="T662" s="9"/>
      <c r="U662" s="8">
        <v>0</v>
      </c>
      <c r="V662" s="9"/>
      <c r="W662" s="33">
        <v>4320</v>
      </c>
      <c r="X662" s="9"/>
      <c r="Y662" s="30">
        <v>3</v>
      </c>
      <c r="Z662" s="9"/>
      <c r="AA662" s="30">
        <v>1.5</v>
      </c>
      <c r="AB662" s="9"/>
      <c r="AC662" s="30">
        <v>0.8</v>
      </c>
      <c r="AD662" s="9"/>
      <c r="AE662" s="30">
        <v>0.7</v>
      </c>
      <c r="AF662" s="9"/>
      <c r="AG662" s="19">
        <v>0</v>
      </c>
      <c r="AI662" s="32">
        <v>6</v>
      </c>
      <c r="AK662" s="7" t="str">
        <f t="shared" si="10"/>
        <v>No</v>
      </c>
    </row>
    <row r="663" spans="1:37">
      <c r="A663" s="7" t="s">
        <v>531</v>
      </c>
      <c r="B663" s="7" t="s">
        <v>532</v>
      </c>
      <c r="C663" s="37" t="s">
        <v>96</v>
      </c>
      <c r="D663" s="296">
        <v>3035</v>
      </c>
      <c r="E663" s="297">
        <v>30035</v>
      </c>
      <c r="F663" s="27" t="s">
        <v>165</v>
      </c>
      <c r="G663" s="27" t="s">
        <v>158</v>
      </c>
      <c r="H663" s="35">
        <v>81249</v>
      </c>
      <c r="I663" s="35">
        <v>16</v>
      </c>
      <c r="J663" s="9" t="s">
        <v>10</v>
      </c>
      <c r="K663" s="9" t="s">
        <v>159</v>
      </c>
      <c r="L663" s="8">
        <v>2</v>
      </c>
      <c r="M663" s="8">
        <v>0</v>
      </c>
      <c r="N663" s="9"/>
      <c r="O663" s="8">
        <v>0</v>
      </c>
      <c r="P663" s="9"/>
      <c r="Q663" s="8">
        <v>0</v>
      </c>
      <c r="R663" s="9"/>
      <c r="S663" s="8">
        <v>0</v>
      </c>
      <c r="T663" s="9"/>
      <c r="U663" s="8">
        <v>0</v>
      </c>
      <c r="V663" s="9"/>
      <c r="W663" s="33">
        <v>0</v>
      </c>
      <c r="X663" s="9"/>
      <c r="Y663" s="30">
        <v>0</v>
      </c>
      <c r="Z663" s="9"/>
      <c r="AA663" s="30">
        <v>0</v>
      </c>
      <c r="AB663" s="9"/>
      <c r="AC663" s="30">
        <v>0</v>
      </c>
      <c r="AD663" s="9"/>
      <c r="AE663" s="30">
        <v>0</v>
      </c>
      <c r="AF663" s="9"/>
      <c r="AG663" s="19">
        <v>0</v>
      </c>
      <c r="AI663" s="32">
        <v>0</v>
      </c>
      <c r="AK663" s="7" t="str">
        <f t="shared" si="10"/>
        <v>No</v>
      </c>
    </row>
    <row r="664" spans="1:37">
      <c r="A664" s="7" t="s">
        <v>534</v>
      </c>
      <c r="B664" s="7" t="s">
        <v>535</v>
      </c>
      <c r="C664" s="37" t="s">
        <v>42</v>
      </c>
      <c r="D664" s="296">
        <v>5131</v>
      </c>
      <c r="E664" s="297">
        <v>50131</v>
      </c>
      <c r="F664" s="27" t="s">
        <v>187</v>
      </c>
      <c r="G664" s="27" t="s">
        <v>158</v>
      </c>
      <c r="H664" s="35">
        <v>8608208</v>
      </c>
      <c r="I664" s="35">
        <v>15</v>
      </c>
      <c r="J664" s="9" t="s">
        <v>10</v>
      </c>
      <c r="K664" s="9" t="s">
        <v>159</v>
      </c>
      <c r="L664" s="8">
        <v>15</v>
      </c>
      <c r="M664" s="8">
        <v>122</v>
      </c>
      <c r="N664" s="9"/>
      <c r="O664" s="8">
        <v>0</v>
      </c>
      <c r="P664" s="9"/>
      <c r="Q664" s="8">
        <v>0</v>
      </c>
      <c r="R664" s="9"/>
      <c r="S664" s="8">
        <v>901</v>
      </c>
      <c r="T664" s="9"/>
      <c r="U664" s="8">
        <v>0</v>
      </c>
      <c r="V664" s="9"/>
      <c r="W664" s="33">
        <v>1023</v>
      </c>
      <c r="X664" s="9"/>
      <c r="Y664" s="30">
        <v>2</v>
      </c>
      <c r="Z664" s="9"/>
      <c r="AA664" s="30">
        <v>0</v>
      </c>
      <c r="AB664" s="9"/>
      <c r="AC664" s="30">
        <v>0</v>
      </c>
      <c r="AD664" s="9"/>
      <c r="AE664" s="30">
        <v>2</v>
      </c>
      <c r="AF664" s="9"/>
      <c r="AG664" s="19">
        <v>0</v>
      </c>
      <c r="AI664" s="32">
        <v>4</v>
      </c>
      <c r="AK664" s="7" t="str">
        <f t="shared" si="10"/>
        <v>No</v>
      </c>
    </row>
    <row r="665" spans="1:37">
      <c r="A665" s="7" t="s">
        <v>423</v>
      </c>
      <c r="B665" s="7" t="s">
        <v>299</v>
      </c>
      <c r="C665" s="37" t="s">
        <v>83</v>
      </c>
      <c r="D665" s="296">
        <v>4057</v>
      </c>
      <c r="E665" s="297">
        <v>40057</v>
      </c>
      <c r="F665" s="27" t="s">
        <v>165</v>
      </c>
      <c r="G665" s="27" t="s">
        <v>158</v>
      </c>
      <c r="H665" s="35">
        <v>71880</v>
      </c>
      <c r="I665" s="35">
        <v>15</v>
      </c>
      <c r="J665" s="9" t="s">
        <v>7</v>
      </c>
      <c r="K665" s="9" t="s">
        <v>159</v>
      </c>
      <c r="L665" s="8">
        <v>9</v>
      </c>
      <c r="M665" s="8">
        <v>2511</v>
      </c>
      <c r="N665" s="9"/>
      <c r="O665" s="8">
        <v>923</v>
      </c>
      <c r="P665" s="9"/>
      <c r="Q665" s="8">
        <v>0</v>
      </c>
      <c r="R665" s="9"/>
      <c r="S665" s="8">
        <v>0</v>
      </c>
      <c r="T665" s="9"/>
      <c r="U665" s="8">
        <v>0</v>
      </c>
      <c r="V665" s="9"/>
      <c r="W665" s="33">
        <v>3434</v>
      </c>
      <c r="X665" s="9"/>
      <c r="Y665" s="30">
        <v>1.2</v>
      </c>
      <c r="Z665" s="9"/>
      <c r="AA665" s="30">
        <v>0.7</v>
      </c>
      <c r="AB665" s="9"/>
      <c r="AC665" s="30">
        <v>0</v>
      </c>
      <c r="AD665" s="9"/>
      <c r="AE665" s="30">
        <v>0</v>
      </c>
      <c r="AF665" s="9"/>
      <c r="AG665" s="19">
        <v>0</v>
      </c>
      <c r="AI665" s="32">
        <v>1.9</v>
      </c>
      <c r="AK665" s="7" t="str">
        <f t="shared" si="10"/>
        <v>No</v>
      </c>
    </row>
    <row r="666" spans="1:37">
      <c r="A666" s="7" t="s">
        <v>423</v>
      </c>
      <c r="B666" s="7" t="s">
        <v>299</v>
      </c>
      <c r="C666" s="37" t="s">
        <v>83</v>
      </c>
      <c r="D666" s="296">
        <v>4057</v>
      </c>
      <c r="E666" s="297">
        <v>40057</v>
      </c>
      <c r="F666" s="27" t="s">
        <v>165</v>
      </c>
      <c r="G666" s="27" t="s">
        <v>158</v>
      </c>
      <c r="H666" s="35">
        <v>71880</v>
      </c>
      <c r="I666" s="35">
        <v>15</v>
      </c>
      <c r="J666" s="9" t="s">
        <v>10</v>
      </c>
      <c r="K666" s="9" t="s">
        <v>159</v>
      </c>
      <c r="L666" s="8">
        <v>6</v>
      </c>
      <c r="M666" s="8">
        <v>1507</v>
      </c>
      <c r="N666" s="9"/>
      <c r="O666" s="8">
        <v>396</v>
      </c>
      <c r="P666" s="9"/>
      <c r="Q666" s="8">
        <v>0</v>
      </c>
      <c r="R666" s="9"/>
      <c r="S666" s="8">
        <v>0</v>
      </c>
      <c r="T666" s="9"/>
      <c r="U666" s="8">
        <v>0</v>
      </c>
      <c r="V666" s="9"/>
      <c r="W666" s="33">
        <v>1903</v>
      </c>
      <c r="X666" s="9"/>
      <c r="Y666" s="30">
        <v>0.8</v>
      </c>
      <c r="Z666" s="9"/>
      <c r="AA666" s="30">
        <v>0.3</v>
      </c>
      <c r="AB666" s="9"/>
      <c r="AC666" s="30">
        <v>0</v>
      </c>
      <c r="AD666" s="9"/>
      <c r="AE666" s="30">
        <v>0</v>
      </c>
      <c r="AF666" s="9"/>
      <c r="AG666" s="19">
        <v>0</v>
      </c>
      <c r="AI666" s="32">
        <v>1.1000000000000001</v>
      </c>
      <c r="AK666" s="7" t="str">
        <f t="shared" si="10"/>
        <v>No</v>
      </c>
    </row>
    <row r="667" spans="1:37">
      <c r="A667" s="7" t="s">
        <v>185</v>
      </c>
      <c r="B667" s="7" t="s">
        <v>186</v>
      </c>
      <c r="C667" s="37" t="s">
        <v>42</v>
      </c>
      <c r="D667" s="296">
        <v>5167</v>
      </c>
      <c r="E667" s="297">
        <v>50167</v>
      </c>
      <c r="F667" s="27" t="s">
        <v>187</v>
      </c>
      <c r="G667" s="27" t="s">
        <v>158</v>
      </c>
      <c r="H667" s="35">
        <v>8608208</v>
      </c>
      <c r="I667" s="35">
        <v>14</v>
      </c>
      <c r="J667" s="9" t="s">
        <v>10</v>
      </c>
      <c r="K667" s="9" t="s">
        <v>159</v>
      </c>
      <c r="L667" s="8">
        <v>14</v>
      </c>
      <c r="M667" s="8">
        <v>874</v>
      </c>
      <c r="N667" s="9"/>
      <c r="O667" s="8">
        <v>0</v>
      </c>
      <c r="P667" s="9"/>
      <c r="Q667" s="8">
        <v>0</v>
      </c>
      <c r="R667" s="9"/>
      <c r="S667" s="8">
        <v>1150</v>
      </c>
      <c r="T667" s="9"/>
      <c r="U667" s="8">
        <v>0</v>
      </c>
      <c r="V667" s="9"/>
      <c r="W667" s="33">
        <v>2024</v>
      </c>
      <c r="X667" s="9"/>
      <c r="Y667" s="30">
        <v>1</v>
      </c>
      <c r="Z667" s="9"/>
      <c r="AA667" s="30">
        <v>0</v>
      </c>
      <c r="AB667" s="9"/>
      <c r="AC667" s="30">
        <v>0</v>
      </c>
      <c r="AD667" s="9"/>
      <c r="AE667" s="30">
        <v>1</v>
      </c>
      <c r="AF667" s="9"/>
      <c r="AG667" s="19">
        <v>0</v>
      </c>
      <c r="AI667" s="32">
        <v>2</v>
      </c>
      <c r="AK667" s="7" t="str">
        <f t="shared" si="10"/>
        <v>No</v>
      </c>
    </row>
    <row r="668" spans="1:37">
      <c r="A668" s="7" t="s">
        <v>289</v>
      </c>
      <c r="B668" s="7" t="s">
        <v>290</v>
      </c>
      <c r="C668" s="37" t="s">
        <v>17</v>
      </c>
      <c r="D668" s="296">
        <v>9043</v>
      </c>
      <c r="E668" s="297">
        <v>90043</v>
      </c>
      <c r="F668" s="27" t="s">
        <v>162</v>
      </c>
      <c r="G668" s="27" t="s">
        <v>158</v>
      </c>
      <c r="H668" s="35">
        <v>12150996</v>
      </c>
      <c r="I668" s="35">
        <v>14</v>
      </c>
      <c r="J668" s="9" t="s">
        <v>7</v>
      </c>
      <c r="K668" s="9" t="s">
        <v>159</v>
      </c>
      <c r="L668" s="8">
        <v>10</v>
      </c>
      <c r="M668" s="8">
        <v>23181</v>
      </c>
      <c r="N668" s="9"/>
      <c r="O668" s="8">
        <v>2430</v>
      </c>
      <c r="P668" s="9"/>
      <c r="Q668" s="8">
        <v>1007</v>
      </c>
      <c r="R668" s="9"/>
      <c r="S668" s="8">
        <v>18</v>
      </c>
      <c r="T668" s="9"/>
      <c r="U668" s="8">
        <v>0</v>
      </c>
      <c r="V668" s="9"/>
      <c r="W668" s="33">
        <v>26636</v>
      </c>
      <c r="X668" s="9"/>
      <c r="Y668" s="30">
        <v>16</v>
      </c>
      <c r="Z668" s="9"/>
      <c r="AA668" s="30">
        <v>2.5</v>
      </c>
      <c r="AB668" s="9"/>
      <c r="AC668" s="30">
        <v>5</v>
      </c>
      <c r="AD668" s="9"/>
      <c r="AE668" s="30">
        <v>0.02</v>
      </c>
      <c r="AF668" s="9"/>
      <c r="AG668" s="19">
        <v>0</v>
      </c>
      <c r="AI668" s="32">
        <v>23.52</v>
      </c>
      <c r="AK668" s="7" t="str">
        <f t="shared" si="10"/>
        <v>No</v>
      </c>
    </row>
    <row r="669" spans="1:37">
      <c r="A669" s="7" t="s">
        <v>497</v>
      </c>
      <c r="B669" s="7" t="s">
        <v>498</v>
      </c>
      <c r="C669" s="37" t="s">
        <v>28</v>
      </c>
      <c r="D669" s="296">
        <v>1107</v>
      </c>
      <c r="E669" s="297">
        <v>10107</v>
      </c>
      <c r="F669" s="27" t="s">
        <v>165</v>
      </c>
      <c r="G669" s="27" t="s">
        <v>158</v>
      </c>
      <c r="H669" s="35">
        <v>923311</v>
      </c>
      <c r="I669" s="35">
        <v>14</v>
      </c>
      <c r="J669" s="9" t="s">
        <v>10</v>
      </c>
      <c r="K669" s="9" t="s">
        <v>159</v>
      </c>
      <c r="L669" s="8">
        <v>8</v>
      </c>
      <c r="M669" s="8">
        <v>1080</v>
      </c>
      <c r="N669" s="9"/>
      <c r="O669" s="8">
        <v>1106</v>
      </c>
      <c r="P669" s="9"/>
      <c r="Q669" s="8">
        <v>141</v>
      </c>
      <c r="R669" s="9"/>
      <c r="S669" s="8">
        <v>1096</v>
      </c>
      <c r="T669" s="9"/>
      <c r="U669" s="8">
        <v>0</v>
      </c>
      <c r="V669" s="9"/>
      <c r="W669" s="33">
        <v>3423</v>
      </c>
      <c r="X669" s="9"/>
      <c r="Y669" s="30">
        <v>1</v>
      </c>
      <c r="Z669" s="9"/>
      <c r="AA669" s="30">
        <v>1</v>
      </c>
      <c r="AB669" s="9"/>
      <c r="AC669" s="30">
        <v>0.5</v>
      </c>
      <c r="AD669" s="9"/>
      <c r="AE669" s="30">
        <v>1</v>
      </c>
      <c r="AF669" s="9"/>
      <c r="AG669" s="19">
        <v>0</v>
      </c>
      <c r="AI669" s="32">
        <v>3.5</v>
      </c>
      <c r="AK669" s="7" t="str">
        <f t="shared" si="10"/>
        <v>No</v>
      </c>
    </row>
    <row r="670" spans="1:37">
      <c r="A670" s="7" t="s">
        <v>198</v>
      </c>
      <c r="B670" s="7" t="s">
        <v>199</v>
      </c>
      <c r="C670" s="37" t="s">
        <v>36</v>
      </c>
      <c r="D670" s="296">
        <v>4021</v>
      </c>
      <c r="E670" s="297">
        <v>40021</v>
      </c>
      <c r="F670" s="27" t="s">
        <v>162</v>
      </c>
      <c r="G670" s="27" t="s">
        <v>158</v>
      </c>
      <c r="H670" s="35">
        <v>95779</v>
      </c>
      <c r="I670" s="35">
        <v>14</v>
      </c>
      <c r="J670" s="9" t="s">
        <v>7</v>
      </c>
      <c r="K670" s="9" t="s">
        <v>159</v>
      </c>
      <c r="L670" s="8">
        <v>8</v>
      </c>
      <c r="M670" s="8">
        <v>29095</v>
      </c>
      <c r="N670" s="9"/>
      <c r="O670" s="8">
        <v>1059</v>
      </c>
      <c r="P670" s="9"/>
      <c r="Q670" s="8">
        <v>0</v>
      </c>
      <c r="R670" s="9"/>
      <c r="S670" s="8">
        <v>0</v>
      </c>
      <c r="T670" s="9"/>
      <c r="U670" s="8">
        <v>0</v>
      </c>
      <c r="V670" s="9"/>
      <c r="W670" s="33">
        <v>30154</v>
      </c>
      <c r="X670" s="9"/>
      <c r="Y670" s="30">
        <v>19</v>
      </c>
      <c r="Z670" s="9"/>
      <c r="AA670" s="30">
        <v>1</v>
      </c>
      <c r="AB670" s="9"/>
      <c r="AC670" s="30">
        <v>0</v>
      </c>
      <c r="AD670" s="9"/>
      <c r="AE670" s="30">
        <v>0</v>
      </c>
      <c r="AF670" s="9"/>
      <c r="AG670" s="19">
        <v>0</v>
      </c>
      <c r="AI670" s="32">
        <v>20</v>
      </c>
      <c r="AK670" s="7" t="str">
        <f t="shared" si="10"/>
        <v>No</v>
      </c>
    </row>
    <row r="671" spans="1:37">
      <c r="A671" s="7" t="s">
        <v>497</v>
      </c>
      <c r="B671" s="7" t="s">
        <v>498</v>
      </c>
      <c r="C671" s="37" t="s">
        <v>28</v>
      </c>
      <c r="D671" s="296">
        <v>1107</v>
      </c>
      <c r="E671" s="297">
        <v>10107</v>
      </c>
      <c r="F671" s="27" t="s">
        <v>165</v>
      </c>
      <c r="G671" s="27" t="s">
        <v>158</v>
      </c>
      <c r="H671" s="35">
        <v>923311</v>
      </c>
      <c r="I671" s="35">
        <v>14</v>
      </c>
      <c r="J671" s="9" t="s">
        <v>7</v>
      </c>
      <c r="K671" s="9" t="s">
        <v>159</v>
      </c>
      <c r="L671" s="8">
        <v>6</v>
      </c>
      <c r="M671" s="8">
        <v>1060</v>
      </c>
      <c r="N671" s="9"/>
      <c r="O671" s="8">
        <v>1286</v>
      </c>
      <c r="P671" s="9"/>
      <c r="Q671" s="8">
        <v>420</v>
      </c>
      <c r="R671" s="9"/>
      <c r="S671" s="8">
        <v>1136</v>
      </c>
      <c r="T671" s="9"/>
      <c r="U671" s="8">
        <v>0</v>
      </c>
      <c r="V671" s="9"/>
      <c r="W671" s="33">
        <v>3902</v>
      </c>
      <c r="X671" s="9"/>
      <c r="Y671" s="30">
        <v>1</v>
      </c>
      <c r="Z671" s="9"/>
      <c r="AA671" s="30">
        <v>1</v>
      </c>
      <c r="AB671" s="9"/>
      <c r="AC671" s="30">
        <v>1</v>
      </c>
      <c r="AD671" s="9"/>
      <c r="AE671" s="30">
        <v>1</v>
      </c>
      <c r="AF671" s="9"/>
      <c r="AG671" s="19">
        <v>0</v>
      </c>
      <c r="AI671" s="32">
        <v>4</v>
      </c>
      <c r="AK671" s="7" t="str">
        <f t="shared" si="10"/>
        <v>No</v>
      </c>
    </row>
    <row r="672" spans="1:37">
      <c r="A672" s="7" t="s">
        <v>198</v>
      </c>
      <c r="B672" s="7" t="s">
        <v>199</v>
      </c>
      <c r="C672" s="37" t="s">
        <v>36</v>
      </c>
      <c r="D672" s="296">
        <v>4021</v>
      </c>
      <c r="E672" s="297">
        <v>40021</v>
      </c>
      <c r="F672" s="27" t="s">
        <v>162</v>
      </c>
      <c r="G672" s="27" t="s">
        <v>158</v>
      </c>
      <c r="H672" s="35">
        <v>95779</v>
      </c>
      <c r="I672" s="35">
        <v>14</v>
      </c>
      <c r="J672" s="9" t="s">
        <v>10</v>
      </c>
      <c r="K672" s="9" t="s">
        <v>159</v>
      </c>
      <c r="L672" s="8">
        <v>6</v>
      </c>
      <c r="M672" s="8">
        <v>844</v>
      </c>
      <c r="N672" s="9"/>
      <c r="O672" s="8">
        <v>232</v>
      </c>
      <c r="P672" s="9"/>
      <c r="Q672" s="8">
        <v>0</v>
      </c>
      <c r="R672" s="9"/>
      <c r="S672" s="8">
        <v>0</v>
      </c>
      <c r="T672" s="9"/>
      <c r="U672" s="8">
        <v>0</v>
      </c>
      <c r="V672" s="9"/>
      <c r="W672" s="33">
        <v>1076</v>
      </c>
      <c r="X672" s="9"/>
      <c r="Y672" s="30">
        <v>2</v>
      </c>
      <c r="Z672" s="9"/>
      <c r="AA672" s="30">
        <v>1</v>
      </c>
      <c r="AB672" s="9"/>
      <c r="AC672" s="30">
        <v>0</v>
      </c>
      <c r="AD672" s="9"/>
      <c r="AE672" s="30">
        <v>0</v>
      </c>
      <c r="AF672" s="9"/>
      <c r="AG672" s="19">
        <v>0</v>
      </c>
      <c r="AI672" s="32">
        <v>3</v>
      </c>
      <c r="AK672" s="7" t="str">
        <f t="shared" si="10"/>
        <v>No</v>
      </c>
    </row>
    <row r="673" spans="1:37">
      <c r="A673" s="7" t="s">
        <v>289</v>
      </c>
      <c r="B673" s="7" t="s">
        <v>290</v>
      </c>
      <c r="C673" s="37" t="s">
        <v>17</v>
      </c>
      <c r="D673" s="296">
        <v>9043</v>
      </c>
      <c r="E673" s="297">
        <v>90043</v>
      </c>
      <c r="F673" s="27" t="s">
        <v>162</v>
      </c>
      <c r="G673" s="27" t="s">
        <v>158</v>
      </c>
      <c r="H673" s="35">
        <v>12150996</v>
      </c>
      <c r="I673" s="35">
        <v>14</v>
      </c>
      <c r="J673" s="9" t="s">
        <v>10</v>
      </c>
      <c r="K673" s="9" t="s">
        <v>159</v>
      </c>
      <c r="L673" s="8">
        <v>4</v>
      </c>
      <c r="M673" s="8">
        <v>1333</v>
      </c>
      <c r="N673" s="9"/>
      <c r="O673" s="8">
        <v>1020</v>
      </c>
      <c r="P673" s="9"/>
      <c r="Q673" s="8">
        <v>325</v>
      </c>
      <c r="R673" s="9"/>
      <c r="S673" s="8">
        <v>385</v>
      </c>
      <c r="T673" s="9"/>
      <c r="U673" s="8">
        <v>0</v>
      </c>
      <c r="V673" s="9"/>
      <c r="W673" s="33">
        <v>3063</v>
      </c>
      <c r="X673" s="9"/>
      <c r="Y673" s="30">
        <v>1.3</v>
      </c>
      <c r="Z673" s="9"/>
      <c r="AA673" s="30">
        <v>0.7</v>
      </c>
      <c r="AB673" s="9"/>
      <c r="AC673" s="30">
        <v>1.1000000000000001</v>
      </c>
      <c r="AD673" s="9"/>
      <c r="AE673" s="30">
        <v>0.4</v>
      </c>
      <c r="AF673" s="9"/>
      <c r="AG673" s="19">
        <v>0</v>
      </c>
      <c r="AI673" s="32">
        <v>3.5</v>
      </c>
      <c r="AK673" s="7" t="str">
        <f t="shared" si="10"/>
        <v>No</v>
      </c>
    </row>
    <row r="674" spans="1:37">
      <c r="A674" s="7" t="s">
        <v>676</v>
      </c>
      <c r="B674" s="7" t="s">
        <v>677</v>
      </c>
      <c r="C674" s="37" t="s">
        <v>28</v>
      </c>
      <c r="D674" s="296">
        <v>1042</v>
      </c>
      <c r="E674" s="297">
        <v>10042</v>
      </c>
      <c r="F674" s="27" t="s">
        <v>165</v>
      </c>
      <c r="G674" s="27" t="s">
        <v>158</v>
      </c>
      <c r="H674" s="35">
        <v>923311</v>
      </c>
      <c r="I674" s="35">
        <v>12</v>
      </c>
      <c r="J674" s="9" t="s">
        <v>10</v>
      </c>
      <c r="K674" s="9" t="s">
        <v>159</v>
      </c>
      <c r="L674" s="8">
        <v>12</v>
      </c>
      <c r="M674" s="8">
        <v>7576</v>
      </c>
      <c r="N674" s="9"/>
      <c r="O674" s="8">
        <v>0</v>
      </c>
      <c r="P674" s="9"/>
      <c r="Q674" s="8">
        <v>0</v>
      </c>
      <c r="R674" s="9"/>
      <c r="S674" s="8">
        <v>1203</v>
      </c>
      <c r="T674" s="9"/>
      <c r="U674" s="8">
        <v>0</v>
      </c>
      <c r="V674" s="9"/>
      <c r="W674" s="33">
        <v>8779</v>
      </c>
      <c r="X674" s="9"/>
      <c r="Y674" s="30">
        <v>8</v>
      </c>
      <c r="Z674" s="9"/>
      <c r="AA674" s="30">
        <v>0</v>
      </c>
      <c r="AB674" s="9"/>
      <c r="AC674" s="30">
        <v>0</v>
      </c>
      <c r="AD674" s="9"/>
      <c r="AE674" s="30">
        <v>2</v>
      </c>
      <c r="AF674" s="9"/>
      <c r="AG674" s="19">
        <v>0</v>
      </c>
      <c r="AI674" s="32">
        <v>10</v>
      </c>
      <c r="AK674" s="7" t="str">
        <f t="shared" si="10"/>
        <v>No</v>
      </c>
    </row>
    <row r="675" spans="1:37">
      <c r="A675" s="7" t="s">
        <v>71</v>
      </c>
      <c r="B675" s="7" t="s">
        <v>190</v>
      </c>
      <c r="C675" s="37" t="s">
        <v>70</v>
      </c>
      <c r="D675" s="296">
        <v>2137</v>
      </c>
      <c r="E675" s="297">
        <v>20137</v>
      </c>
      <c r="F675" s="27" t="s">
        <v>173</v>
      </c>
      <c r="G675" s="27" t="s">
        <v>158</v>
      </c>
      <c r="H675" s="35">
        <v>423566</v>
      </c>
      <c r="I675" s="35">
        <v>12</v>
      </c>
      <c r="J675" s="9" t="s">
        <v>18</v>
      </c>
      <c r="K675" s="9" t="s">
        <v>159</v>
      </c>
      <c r="L675" s="8">
        <v>12</v>
      </c>
      <c r="M675" s="8">
        <v>11678</v>
      </c>
      <c r="N675" s="9"/>
      <c r="O675" s="8">
        <v>6740</v>
      </c>
      <c r="P675" s="9"/>
      <c r="Q675" s="8">
        <v>661</v>
      </c>
      <c r="R675" s="9"/>
      <c r="S675" s="8">
        <v>2793</v>
      </c>
      <c r="T675" s="9"/>
      <c r="U675" s="8">
        <v>0</v>
      </c>
      <c r="V675" s="9"/>
      <c r="W675" s="33">
        <v>21872</v>
      </c>
      <c r="X675" s="9"/>
      <c r="Y675" s="30">
        <v>14</v>
      </c>
      <c r="Z675" s="9"/>
      <c r="AA675" s="30">
        <v>5</v>
      </c>
      <c r="AB675" s="9"/>
      <c r="AC675" s="30">
        <v>1</v>
      </c>
      <c r="AD675" s="9"/>
      <c r="AE675" s="30">
        <v>3</v>
      </c>
      <c r="AF675" s="9"/>
      <c r="AG675" s="19">
        <v>0</v>
      </c>
      <c r="AI675" s="32">
        <v>23</v>
      </c>
      <c r="AK675" s="7" t="str">
        <f t="shared" si="10"/>
        <v>No</v>
      </c>
    </row>
    <row r="676" spans="1:37">
      <c r="A676" s="7" t="s">
        <v>305</v>
      </c>
      <c r="B676" s="7" t="s">
        <v>306</v>
      </c>
      <c r="C676" s="37" t="s">
        <v>70</v>
      </c>
      <c r="D676" s="296">
        <v>2006</v>
      </c>
      <c r="E676" s="297">
        <v>20006</v>
      </c>
      <c r="F676" s="27" t="s">
        <v>162</v>
      </c>
      <c r="G676" s="27" t="s">
        <v>158</v>
      </c>
      <c r="H676" s="35">
        <v>18351295</v>
      </c>
      <c r="I676" s="35">
        <v>11</v>
      </c>
      <c r="J676" s="9" t="s">
        <v>7</v>
      </c>
      <c r="K676" s="9" t="s">
        <v>159</v>
      </c>
      <c r="L676" s="8">
        <v>8</v>
      </c>
      <c r="M676" s="8">
        <v>13123</v>
      </c>
      <c r="N676" s="9"/>
      <c r="O676" s="8">
        <v>0</v>
      </c>
      <c r="P676" s="9"/>
      <c r="Q676" s="8">
        <v>573</v>
      </c>
      <c r="R676" s="9"/>
      <c r="S676" s="8">
        <v>1596</v>
      </c>
      <c r="T676" s="9"/>
      <c r="U676" s="8">
        <v>0</v>
      </c>
      <c r="V676" s="9"/>
      <c r="W676" s="33">
        <v>15292</v>
      </c>
      <c r="X676" s="9"/>
      <c r="Y676" s="30">
        <v>22</v>
      </c>
      <c r="Z676" s="9"/>
      <c r="AA676" s="30">
        <v>0</v>
      </c>
      <c r="AB676" s="9"/>
      <c r="AC676" s="30">
        <v>1</v>
      </c>
      <c r="AD676" s="9"/>
      <c r="AE676" s="30">
        <v>1</v>
      </c>
      <c r="AF676" s="9"/>
      <c r="AG676" s="19">
        <v>0</v>
      </c>
      <c r="AI676" s="32">
        <v>24</v>
      </c>
      <c r="AK676" s="7" t="str">
        <f t="shared" si="10"/>
        <v>No</v>
      </c>
    </row>
    <row r="677" spans="1:37">
      <c r="A677" s="7" t="s">
        <v>637</v>
      </c>
      <c r="B677" s="7" t="s">
        <v>638</v>
      </c>
      <c r="C677" s="37" t="s">
        <v>42</v>
      </c>
      <c r="D677" s="296">
        <v>5053</v>
      </c>
      <c r="E677" s="297">
        <v>50053</v>
      </c>
      <c r="F677" s="27" t="s">
        <v>162</v>
      </c>
      <c r="G677" s="27" t="s">
        <v>158</v>
      </c>
      <c r="H677" s="35">
        <v>92742</v>
      </c>
      <c r="I677" s="35">
        <v>11</v>
      </c>
      <c r="J677" s="9" t="s">
        <v>7</v>
      </c>
      <c r="K677" s="9" t="s">
        <v>159</v>
      </c>
      <c r="L677" s="8">
        <v>8</v>
      </c>
      <c r="M677" s="8">
        <v>4712</v>
      </c>
      <c r="N677" s="9"/>
      <c r="O677" s="8">
        <v>1015</v>
      </c>
      <c r="P677" s="9"/>
      <c r="Q677" s="8">
        <v>1010</v>
      </c>
      <c r="R677" s="9"/>
      <c r="S677" s="8">
        <v>1564</v>
      </c>
      <c r="T677" s="9"/>
      <c r="U677" s="8">
        <v>0</v>
      </c>
      <c r="V677" s="9"/>
      <c r="W677" s="33">
        <v>8301</v>
      </c>
      <c r="X677" s="9"/>
      <c r="Y677" s="30">
        <v>6</v>
      </c>
      <c r="Z677" s="9"/>
      <c r="AA677" s="30">
        <v>1</v>
      </c>
      <c r="AB677" s="9"/>
      <c r="AC677" s="30">
        <v>1</v>
      </c>
      <c r="AD677" s="9"/>
      <c r="AE677" s="30">
        <v>2</v>
      </c>
      <c r="AF677" s="9"/>
      <c r="AG677" s="19">
        <v>0</v>
      </c>
      <c r="AI677" s="32">
        <v>10</v>
      </c>
      <c r="AK677" s="7" t="str">
        <f t="shared" si="10"/>
        <v>No</v>
      </c>
    </row>
    <row r="678" spans="1:37">
      <c r="A678" s="7" t="s">
        <v>637</v>
      </c>
      <c r="B678" s="7" t="s">
        <v>638</v>
      </c>
      <c r="C678" s="37" t="s">
        <v>42</v>
      </c>
      <c r="D678" s="296">
        <v>5053</v>
      </c>
      <c r="E678" s="297">
        <v>50053</v>
      </c>
      <c r="F678" s="27" t="s">
        <v>162</v>
      </c>
      <c r="G678" s="27" t="s">
        <v>158</v>
      </c>
      <c r="H678" s="35">
        <v>92742</v>
      </c>
      <c r="I678" s="35">
        <v>11</v>
      </c>
      <c r="J678" s="9" t="s">
        <v>10</v>
      </c>
      <c r="K678" s="9" t="s">
        <v>159</v>
      </c>
      <c r="L678" s="8">
        <v>3</v>
      </c>
      <c r="M678" s="8">
        <v>2019</v>
      </c>
      <c r="N678" s="9"/>
      <c r="O678" s="8">
        <v>1006</v>
      </c>
      <c r="P678" s="9"/>
      <c r="Q678" s="8">
        <v>0</v>
      </c>
      <c r="R678" s="9"/>
      <c r="S678" s="8">
        <v>0</v>
      </c>
      <c r="T678" s="9"/>
      <c r="U678" s="8">
        <v>0</v>
      </c>
      <c r="V678" s="9"/>
      <c r="W678" s="33">
        <v>3025</v>
      </c>
      <c r="X678" s="9"/>
      <c r="Y678" s="30">
        <v>2</v>
      </c>
      <c r="Z678" s="9"/>
      <c r="AA678" s="30">
        <v>1</v>
      </c>
      <c r="AB678" s="9"/>
      <c r="AC678" s="30">
        <v>0</v>
      </c>
      <c r="AD678" s="9"/>
      <c r="AE678" s="30">
        <v>0</v>
      </c>
      <c r="AF678" s="9"/>
      <c r="AG678" s="19">
        <v>0</v>
      </c>
      <c r="AI678" s="32">
        <v>3</v>
      </c>
      <c r="AK678" s="7" t="str">
        <f t="shared" si="10"/>
        <v>No</v>
      </c>
    </row>
    <row r="679" spans="1:37">
      <c r="A679" s="7" t="s">
        <v>305</v>
      </c>
      <c r="B679" s="7" t="s">
        <v>306</v>
      </c>
      <c r="C679" s="37" t="s">
        <v>70</v>
      </c>
      <c r="D679" s="296">
        <v>2006</v>
      </c>
      <c r="E679" s="297">
        <v>20006</v>
      </c>
      <c r="F679" s="27" t="s">
        <v>162</v>
      </c>
      <c r="G679" s="27" t="s">
        <v>158</v>
      </c>
      <c r="H679" s="35">
        <v>18351295</v>
      </c>
      <c r="I679" s="35">
        <v>11</v>
      </c>
      <c r="J679" s="9" t="s">
        <v>10</v>
      </c>
      <c r="K679" s="9" t="s">
        <v>159</v>
      </c>
      <c r="L679" s="8">
        <v>3</v>
      </c>
      <c r="M679" s="8">
        <v>6240</v>
      </c>
      <c r="N679" s="9"/>
      <c r="O679" s="8">
        <v>0</v>
      </c>
      <c r="P679" s="9"/>
      <c r="Q679" s="8">
        <v>1598</v>
      </c>
      <c r="R679" s="9"/>
      <c r="S679" s="8">
        <v>0</v>
      </c>
      <c r="T679" s="9"/>
      <c r="U679" s="8">
        <v>0</v>
      </c>
      <c r="V679" s="9"/>
      <c r="W679" s="33">
        <v>7838</v>
      </c>
      <c r="X679" s="9"/>
      <c r="Y679" s="30">
        <v>4</v>
      </c>
      <c r="Z679" s="9"/>
      <c r="AA679" s="30">
        <v>0</v>
      </c>
      <c r="AB679" s="9"/>
      <c r="AC679" s="30">
        <v>1</v>
      </c>
      <c r="AD679" s="9"/>
      <c r="AE679" s="30">
        <v>0</v>
      </c>
      <c r="AF679" s="9"/>
      <c r="AG679" s="19">
        <v>0</v>
      </c>
      <c r="AI679" s="32">
        <v>5</v>
      </c>
      <c r="AK679" s="7" t="str">
        <f t="shared" si="10"/>
        <v>No</v>
      </c>
    </row>
    <row r="680" spans="1:37">
      <c r="A680" s="7" t="s">
        <v>353</v>
      </c>
      <c r="B680" s="7" t="s">
        <v>292</v>
      </c>
      <c r="C680" s="37" t="s">
        <v>52</v>
      </c>
      <c r="D680" s="296">
        <v>5141</v>
      </c>
      <c r="E680" s="297">
        <v>50141</v>
      </c>
      <c r="F680" s="27" t="s">
        <v>165</v>
      </c>
      <c r="G680" s="27" t="s">
        <v>158</v>
      </c>
      <c r="H680" s="35">
        <v>3734090</v>
      </c>
      <c r="I680" s="35">
        <v>10</v>
      </c>
      <c r="J680" s="9" t="s">
        <v>34</v>
      </c>
      <c r="K680" s="9" t="s">
        <v>159</v>
      </c>
      <c r="L680" s="8">
        <v>10</v>
      </c>
      <c r="M680" s="8">
        <v>0</v>
      </c>
      <c r="N680" s="9"/>
      <c r="O680" s="8">
        <v>0</v>
      </c>
      <c r="P680" s="9"/>
      <c r="Q680" s="8">
        <v>0</v>
      </c>
      <c r="R680" s="9"/>
      <c r="S680" s="8">
        <v>2593</v>
      </c>
      <c r="T680" s="9"/>
      <c r="U680" s="8">
        <v>0</v>
      </c>
      <c r="V680" s="9"/>
      <c r="W680" s="33">
        <v>2593</v>
      </c>
      <c r="X680" s="9"/>
      <c r="Y680" s="30">
        <v>0</v>
      </c>
      <c r="Z680" s="9"/>
      <c r="AA680" s="30">
        <v>0</v>
      </c>
      <c r="AB680" s="9"/>
      <c r="AC680" s="30">
        <v>0</v>
      </c>
      <c r="AD680" s="9"/>
      <c r="AE680" s="30">
        <v>2</v>
      </c>
      <c r="AF680" s="9"/>
      <c r="AG680" s="19">
        <v>0</v>
      </c>
      <c r="AI680" s="32">
        <v>2</v>
      </c>
      <c r="AK680" s="7" t="str">
        <f t="shared" si="10"/>
        <v>No</v>
      </c>
    </row>
    <row r="681" spans="1:37">
      <c r="A681" s="7" t="s">
        <v>1148</v>
      </c>
      <c r="B681" s="7" t="s">
        <v>744</v>
      </c>
      <c r="C681" s="37" t="s">
        <v>79</v>
      </c>
      <c r="D681" s="296">
        <v>4175</v>
      </c>
      <c r="E681" s="297">
        <v>40175</v>
      </c>
      <c r="F681" s="27" t="s">
        <v>157</v>
      </c>
      <c r="G681" s="27" t="s">
        <v>158</v>
      </c>
      <c r="H681" s="35">
        <v>2148346</v>
      </c>
      <c r="I681" s="35">
        <v>10</v>
      </c>
      <c r="J681" s="9" t="s">
        <v>19</v>
      </c>
      <c r="K681" s="9" t="s">
        <v>159</v>
      </c>
      <c r="L681" s="8">
        <v>10</v>
      </c>
      <c r="M681" s="8">
        <v>0</v>
      </c>
      <c r="N681" s="9"/>
      <c r="O681" s="8">
        <v>0</v>
      </c>
      <c r="P681" s="9"/>
      <c r="Q681" s="8">
        <v>0</v>
      </c>
      <c r="R681" s="9"/>
      <c r="S681" s="8">
        <v>0</v>
      </c>
      <c r="T681" s="9"/>
      <c r="U681" s="8">
        <v>0</v>
      </c>
      <c r="V681" s="9"/>
      <c r="W681" s="33">
        <v>0</v>
      </c>
      <c r="X681" s="9"/>
      <c r="Y681" s="30">
        <v>0</v>
      </c>
      <c r="Z681" s="9"/>
      <c r="AA681" s="30">
        <v>0</v>
      </c>
      <c r="AB681" s="9"/>
      <c r="AC681" s="30">
        <v>0</v>
      </c>
      <c r="AD681" s="9"/>
      <c r="AE681" s="30">
        <v>0</v>
      </c>
      <c r="AF681" s="9"/>
      <c r="AG681" s="19">
        <v>0</v>
      </c>
      <c r="AI681" s="32">
        <v>0</v>
      </c>
      <c r="AK681" s="7" t="str">
        <f t="shared" si="10"/>
        <v>No</v>
      </c>
    </row>
    <row r="682" spans="1:37">
      <c r="A682" s="7" t="s">
        <v>1149</v>
      </c>
      <c r="B682" s="7" t="s">
        <v>1150</v>
      </c>
      <c r="C682" s="37" t="s">
        <v>32</v>
      </c>
      <c r="D682" s="296"/>
      <c r="E682" s="297">
        <v>40259</v>
      </c>
      <c r="F682" s="27" t="s">
        <v>187</v>
      </c>
      <c r="G682" s="27" t="s">
        <v>158</v>
      </c>
      <c r="H682" s="35">
        <v>2441770</v>
      </c>
      <c r="I682" s="35">
        <v>8</v>
      </c>
      <c r="J682" s="9" t="s">
        <v>7</v>
      </c>
      <c r="K682" s="9" t="s">
        <v>159</v>
      </c>
      <c r="L682" s="8">
        <v>8</v>
      </c>
      <c r="M682" s="8">
        <v>0</v>
      </c>
      <c r="N682" s="9"/>
      <c r="O682" s="8">
        <v>0</v>
      </c>
      <c r="P682" s="9"/>
      <c r="Q682" s="8">
        <v>0</v>
      </c>
      <c r="R682" s="9"/>
      <c r="S682" s="8">
        <v>0</v>
      </c>
      <c r="T682" s="9"/>
      <c r="U682" s="8">
        <v>0</v>
      </c>
      <c r="V682" s="9"/>
      <c r="W682" s="33">
        <v>0</v>
      </c>
      <c r="X682" s="9"/>
      <c r="Y682" s="30">
        <v>0</v>
      </c>
      <c r="Z682" s="9"/>
      <c r="AA682" s="30">
        <v>0</v>
      </c>
      <c r="AB682" s="9"/>
      <c r="AC682" s="30">
        <v>0</v>
      </c>
      <c r="AD682" s="9"/>
      <c r="AE682" s="30">
        <v>0</v>
      </c>
      <c r="AF682" s="9"/>
      <c r="AG682" s="19">
        <v>0</v>
      </c>
      <c r="AI682" s="32">
        <v>0</v>
      </c>
      <c r="AK682" s="7" t="str">
        <f t="shared" si="10"/>
        <v>No</v>
      </c>
    </row>
    <row r="683" spans="1:37">
      <c r="A683" s="7" t="s">
        <v>293</v>
      </c>
      <c r="B683" s="7" t="s">
        <v>294</v>
      </c>
      <c r="C683" s="37" t="s">
        <v>86</v>
      </c>
      <c r="D683" s="296">
        <v>3058</v>
      </c>
      <c r="E683" s="297">
        <v>30058</v>
      </c>
      <c r="F683" s="27" t="s">
        <v>162</v>
      </c>
      <c r="G683" s="27" t="s">
        <v>158</v>
      </c>
      <c r="H683" s="35">
        <v>4586770</v>
      </c>
      <c r="I683" s="35">
        <v>8</v>
      </c>
      <c r="J683" s="9" t="s">
        <v>7</v>
      </c>
      <c r="K683" s="9" t="s">
        <v>159</v>
      </c>
      <c r="L683" s="8">
        <v>8</v>
      </c>
      <c r="M683" s="8">
        <v>11031</v>
      </c>
      <c r="N683" s="9"/>
      <c r="O683" s="8">
        <v>75</v>
      </c>
      <c r="P683" s="9"/>
      <c r="Q683" s="8">
        <v>0</v>
      </c>
      <c r="R683" s="9"/>
      <c r="S683" s="8">
        <v>0</v>
      </c>
      <c r="T683" s="9"/>
      <c r="U683" s="8">
        <v>0</v>
      </c>
      <c r="V683" s="9"/>
      <c r="W683" s="33">
        <v>11106</v>
      </c>
      <c r="X683" s="9"/>
      <c r="Y683" s="30">
        <v>15</v>
      </c>
      <c r="Z683" s="9"/>
      <c r="AA683" s="30">
        <v>0.04</v>
      </c>
      <c r="AB683" s="9"/>
      <c r="AC683" s="30">
        <v>0</v>
      </c>
      <c r="AD683" s="9"/>
      <c r="AE683" s="30">
        <v>0</v>
      </c>
      <c r="AF683" s="9"/>
      <c r="AG683" s="19">
        <v>0</v>
      </c>
      <c r="AI683" s="32">
        <v>15.04</v>
      </c>
      <c r="AK683" s="7" t="str">
        <f t="shared" si="10"/>
        <v>No</v>
      </c>
    </row>
    <row r="684" spans="1:37">
      <c r="A684" s="7" t="s">
        <v>332</v>
      </c>
      <c r="B684" s="7" t="s">
        <v>333</v>
      </c>
      <c r="C684" s="37" t="s">
        <v>38</v>
      </c>
      <c r="D684" s="296">
        <v>7030</v>
      </c>
      <c r="E684" s="297">
        <v>70030</v>
      </c>
      <c r="F684" s="27" t="s">
        <v>162</v>
      </c>
      <c r="G684" s="27" t="s">
        <v>158</v>
      </c>
      <c r="H684" s="35">
        <v>106621</v>
      </c>
      <c r="I684" s="35">
        <v>7</v>
      </c>
      <c r="J684" s="9" t="s">
        <v>7</v>
      </c>
      <c r="K684" s="9" t="s">
        <v>159</v>
      </c>
      <c r="L684" s="8">
        <v>7</v>
      </c>
      <c r="M684" s="8">
        <v>9734</v>
      </c>
      <c r="N684" s="9"/>
      <c r="O684" s="8">
        <v>1200</v>
      </c>
      <c r="P684" s="9"/>
      <c r="Q684" s="8">
        <v>0</v>
      </c>
      <c r="R684" s="9"/>
      <c r="S684" s="8">
        <v>90</v>
      </c>
      <c r="T684" s="9"/>
      <c r="U684" s="8">
        <v>0</v>
      </c>
      <c r="V684" s="9"/>
      <c r="W684" s="33">
        <v>11024</v>
      </c>
      <c r="X684" s="9"/>
      <c r="Y684" s="30">
        <v>10</v>
      </c>
      <c r="Z684" s="9"/>
      <c r="AA684" s="30">
        <v>1</v>
      </c>
      <c r="AB684" s="9"/>
      <c r="AC684" s="30">
        <v>0</v>
      </c>
      <c r="AD684" s="9"/>
      <c r="AE684" s="30">
        <v>1</v>
      </c>
      <c r="AF684" s="9"/>
      <c r="AG684" s="19">
        <v>0</v>
      </c>
      <c r="AI684" s="32">
        <v>12</v>
      </c>
      <c r="AK684" s="7" t="str">
        <f t="shared" si="10"/>
        <v>No</v>
      </c>
    </row>
    <row r="685" spans="1:37">
      <c r="A685" s="7" t="s">
        <v>1151</v>
      </c>
      <c r="B685" s="7" t="s">
        <v>1152</v>
      </c>
      <c r="C685" s="37" t="s">
        <v>86</v>
      </c>
      <c r="D685" s="296">
        <v>3103</v>
      </c>
      <c r="E685" s="297">
        <v>30103</v>
      </c>
      <c r="F685" s="27" t="s">
        <v>173</v>
      </c>
      <c r="G685" s="27" t="s">
        <v>158</v>
      </c>
      <c r="H685" s="35">
        <v>4586770</v>
      </c>
      <c r="I685" s="35">
        <v>7</v>
      </c>
      <c r="J685" s="9" t="s">
        <v>18</v>
      </c>
      <c r="K685" s="9" t="s">
        <v>159</v>
      </c>
      <c r="L685" s="8">
        <v>7</v>
      </c>
      <c r="M685" s="8">
        <v>2468</v>
      </c>
      <c r="N685" s="9"/>
      <c r="O685" s="8">
        <v>0</v>
      </c>
      <c r="P685" s="9"/>
      <c r="Q685" s="8">
        <v>351</v>
      </c>
      <c r="R685" s="9"/>
      <c r="S685" s="8">
        <v>0</v>
      </c>
      <c r="T685" s="9"/>
      <c r="U685" s="8">
        <v>0</v>
      </c>
      <c r="V685" s="9"/>
      <c r="W685" s="33">
        <v>2819</v>
      </c>
      <c r="X685" s="9"/>
      <c r="Y685" s="30">
        <v>1.87</v>
      </c>
      <c r="Z685" s="9"/>
      <c r="AA685" s="30">
        <v>0</v>
      </c>
      <c r="AB685" s="9"/>
      <c r="AC685" s="30">
        <v>0.34</v>
      </c>
      <c r="AD685" s="9"/>
      <c r="AE685" s="30">
        <v>0</v>
      </c>
      <c r="AF685" s="9"/>
      <c r="AG685" s="19">
        <v>0</v>
      </c>
      <c r="AI685" s="32">
        <v>2.21</v>
      </c>
      <c r="AK685" s="7" t="str">
        <f t="shared" si="10"/>
        <v>No</v>
      </c>
    </row>
    <row r="686" spans="1:37">
      <c r="A686" s="7" t="s">
        <v>724</v>
      </c>
      <c r="B686" s="7" t="s">
        <v>535</v>
      </c>
      <c r="C686" s="37" t="s">
        <v>42</v>
      </c>
      <c r="D686" s="296">
        <v>5179</v>
      </c>
      <c r="E686" s="297">
        <v>50179</v>
      </c>
      <c r="F686" s="27" t="s">
        <v>187</v>
      </c>
      <c r="G686" s="27" t="s">
        <v>158</v>
      </c>
      <c r="H686" s="35">
        <v>8608208</v>
      </c>
      <c r="I686" s="35">
        <v>7</v>
      </c>
      <c r="J686" s="9" t="s">
        <v>10</v>
      </c>
      <c r="K686" s="9" t="s">
        <v>159</v>
      </c>
      <c r="L686" s="8">
        <v>7</v>
      </c>
      <c r="M686" s="8">
        <v>1881</v>
      </c>
      <c r="N686" s="9"/>
      <c r="O686" s="8">
        <v>0</v>
      </c>
      <c r="P686" s="9"/>
      <c r="Q686" s="8">
        <v>0</v>
      </c>
      <c r="R686" s="9"/>
      <c r="S686" s="8">
        <v>0</v>
      </c>
      <c r="T686" s="9"/>
      <c r="U686" s="8">
        <v>0</v>
      </c>
      <c r="V686" s="9"/>
      <c r="W686" s="33">
        <v>1881</v>
      </c>
      <c r="X686" s="9"/>
      <c r="Y686" s="30">
        <v>5</v>
      </c>
      <c r="Z686" s="9"/>
      <c r="AA686" s="30">
        <v>0</v>
      </c>
      <c r="AB686" s="9"/>
      <c r="AC686" s="30">
        <v>0</v>
      </c>
      <c r="AD686" s="9"/>
      <c r="AE686" s="30">
        <v>0</v>
      </c>
      <c r="AF686" s="9"/>
      <c r="AG686" s="19">
        <v>0</v>
      </c>
      <c r="AI686" s="32">
        <v>5</v>
      </c>
      <c r="AK686" s="7" t="str">
        <f t="shared" si="10"/>
        <v>No</v>
      </c>
    </row>
    <row r="687" spans="1:37">
      <c r="A687" s="7" t="s">
        <v>124</v>
      </c>
      <c r="B687" s="7" t="s">
        <v>479</v>
      </c>
      <c r="C687" s="37" t="s">
        <v>70</v>
      </c>
      <c r="D687" s="296">
        <v>2189</v>
      </c>
      <c r="E687" s="297">
        <v>20189</v>
      </c>
      <c r="F687" s="27" t="s">
        <v>173</v>
      </c>
      <c r="G687" s="27" t="s">
        <v>158</v>
      </c>
      <c r="H687" s="35">
        <v>18351295</v>
      </c>
      <c r="I687" s="35">
        <v>6</v>
      </c>
      <c r="J687" s="9" t="s">
        <v>19</v>
      </c>
      <c r="K687" s="9" t="s">
        <v>159</v>
      </c>
      <c r="L687" s="8">
        <v>6</v>
      </c>
      <c r="M687" s="8">
        <v>1872</v>
      </c>
      <c r="N687" s="9"/>
      <c r="O687" s="8">
        <v>0</v>
      </c>
      <c r="P687" s="9"/>
      <c r="Q687" s="8">
        <v>0</v>
      </c>
      <c r="R687" s="9"/>
      <c r="S687" s="8">
        <v>2246</v>
      </c>
      <c r="T687" s="9"/>
      <c r="U687" s="8">
        <v>0</v>
      </c>
      <c r="V687" s="9"/>
      <c r="W687" s="33">
        <v>4118</v>
      </c>
      <c r="X687" s="9"/>
      <c r="Y687" s="30">
        <v>2</v>
      </c>
      <c r="Z687" s="9"/>
      <c r="AA687" s="30">
        <v>0</v>
      </c>
      <c r="AB687" s="9"/>
      <c r="AC687" s="30">
        <v>0</v>
      </c>
      <c r="AD687" s="9"/>
      <c r="AE687" s="30">
        <v>2</v>
      </c>
      <c r="AF687" s="9"/>
      <c r="AG687" s="19">
        <v>0</v>
      </c>
      <c r="AI687" s="32">
        <v>4</v>
      </c>
      <c r="AK687" s="7" t="str">
        <f t="shared" si="10"/>
        <v>No</v>
      </c>
    </row>
    <row r="688" spans="1:37">
      <c r="A688" s="7" t="s">
        <v>775</v>
      </c>
      <c r="B688" s="7" t="s">
        <v>776</v>
      </c>
      <c r="C688" s="37" t="s">
        <v>46</v>
      </c>
      <c r="D688" s="296">
        <v>6127</v>
      </c>
      <c r="E688" s="297">
        <v>60127</v>
      </c>
      <c r="F688" s="27" t="s">
        <v>162</v>
      </c>
      <c r="G688" s="27" t="s">
        <v>158</v>
      </c>
      <c r="H688" s="35">
        <v>899703</v>
      </c>
      <c r="I688" s="35">
        <v>6</v>
      </c>
      <c r="J688" s="9" t="s">
        <v>10</v>
      </c>
      <c r="K688" s="9" t="s">
        <v>159</v>
      </c>
      <c r="L688" s="8">
        <v>4</v>
      </c>
      <c r="M688" s="8">
        <v>0</v>
      </c>
      <c r="N688" s="9"/>
      <c r="O688" s="8">
        <v>0</v>
      </c>
      <c r="P688" s="9"/>
      <c r="Q688" s="8">
        <v>0</v>
      </c>
      <c r="R688" s="9"/>
      <c r="S688" s="8">
        <v>0</v>
      </c>
      <c r="T688" s="9"/>
      <c r="U688" s="8">
        <v>0</v>
      </c>
      <c r="V688" s="9"/>
      <c r="W688" s="33">
        <v>0</v>
      </c>
      <c r="X688" s="9"/>
      <c r="Y688" s="30">
        <v>0</v>
      </c>
      <c r="Z688" s="9"/>
      <c r="AA688" s="30">
        <v>0</v>
      </c>
      <c r="AB688" s="9"/>
      <c r="AC688" s="30">
        <v>0</v>
      </c>
      <c r="AD688" s="9"/>
      <c r="AE688" s="30">
        <v>0</v>
      </c>
      <c r="AF688" s="9"/>
      <c r="AG688" s="19">
        <v>0</v>
      </c>
      <c r="AI688" s="32">
        <v>0</v>
      </c>
      <c r="AK688" s="7" t="str">
        <f t="shared" si="10"/>
        <v>No</v>
      </c>
    </row>
    <row r="689" spans="1:37">
      <c r="A689" s="7" t="s">
        <v>775</v>
      </c>
      <c r="B689" s="7" t="s">
        <v>776</v>
      </c>
      <c r="C689" s="37" t="s">
        <v>46</v>
      </c>
      <c r="D689" s="296">
        <v>6127</v>
      </c>
      <c r="E689" s="297">
        <v>60127</v>
      </c>
      <c r="F689" s="27" t="s">
        <v>162</v>
      </c>
      <c r="G689" s="27" t="s">
        <v>158</v>
      </c>
      <c r="H689" s="35">
        <v>899703</v>
      </c>
      <c r="I689" s="35">
        <v>6</v>
      </c>
      <c r="J689" s="9" t="s">
        <v>19</v>
      </c>
      <c r="K689" s="9" t="s">
        <v>159</v>
      </c>
      <c r="L689" s="8">
        <v>2</v>
      </c>
      <c r="M689" s="8">
        <v>0</v>
      </c>
      <c r="N689" s="9"/>
      <c r="O689" s="8">
        <v>0</v>
      </c>
      <c r="P689" s="9"/>
      <c r="Q689" s="8">
        <v>0</v>
      </c>
      <c r="R689" s="9"/>
      <c r="S689" s="8">
        <v>0</v>
      </c>
      <c r="T689" s="9"/>
      <c r="U689" s="8">
        <v>0</v>
      </c>
      <c r="V689" s="9"/>
      <c r="W689" s="33">
        <v>0</v>
      </c>
      <c r="X689" s="9"/>
      <c r="Y689" s="30">
        <v>0</v>
      </c>
      <c r="Z689" s="9"/>
      <c r="AA689" s="30">
        <v>0</v>
      </c>
      <c r="AB689" s="9"/>
      <c r="AC689" s="30">
        <v>0</v>
      </c>
      <c r="AD689" s="9"/>
      <c r="AE689" s="30">
        <v>0</v>
      </c>
      <c r="AF689" s="9"/>
      <c r="AG689" s="19">
        <v>0</v>
      </c>
      <c r="AI689" s="32">
        <v>0</v>
      </c>
      <c r="AK689" s="7" t="str">
        <f t="shared" si="10"/>
        <v>No</v>
      </c>
    </row>
    <row r="690" spans="1:37">
      <c r="A690" s="7" t="s">
        <v>15</v>
      </c>
      <c r="B690" s="7" t="s">
        <v>397</v>
      </c>
      <c r="C690" s="37" t="s">
        <v>13</v>
      </c>
      <c r="D690" s="296">
        <v>9140</v>
      </c>
      <c r="E690" s="297">
        <v>90140</v>
      </c>
      <c r="F690" s="27" t="s">
        <v>162</v>
      </c>
      <c r="G690" s="27" t="s">
        <v>158</v>
      </c>
      <c r="H690" s="35">
        <v>3629114</v>
      </c>
      <c r="I690" s="35">
        <v>5</v>
      </c>
      <c r="J690" s="9" t="s">
        <v>10</v>
      </c>
      <c r="K690" s="9" t="s">
        <v>159</v>
      </c>
      <c r="L690" s="8">
        <v>5</v>
      </c>
      <c r="M690" s="8">
        <v>2819</v>
      </c>
      <c r="N690" s="9"/>
      <c r="O690" s="8">
        <v>0</v>
      </c>
      <c r="P690" s="9"/>
      <c r="Q690" s="8">
        <v>0</v>
      </c>
      <c r="R690" s="9"/>
      <c r="S690" s="8">
        <v>0</v>
      </c>
      <c r="T690" s="9"/>
      <c r="U690" s="8">
        <v>0</v>
      </c>
      <c r="V690" s="9"/>
      <c r="W690" s="33">
        <v>2819</v>
      </c>
      <c r="X690" s="9"/>
      <c r="Y690" s="30">
        <v>2</v>
      </c>
      <c r="Z690" s="9"/>
      <c r="AA690" s="30">
        <v>0</v>
      </c>
      <c r="AB690" s="9"/>
      <c r="AC690" s="30">
        <v>0</v>
      </c>
      <c r="AD690" s="9"/>
      <c r="AE690" s="30">
        <v>0</v>
      </c>
      <c r="AF690" s="9"/>
      <c r="AG690" s="19">
        <v>0</v>
      </c>
      <c r="AI690" s="32">
        <v>2</v>
      </c>
      <c r="AK690" s="7" t="str">
        <f t="shared" si="10"/>
        <v>No</v>
      </c>
    </row>
    <row r="691" spans="1:37">
      <c r="A691" s="7" t="s">
        <v>749</v>
      </c>
      <c r="B691" s="7" t="s">
        <v>504</v>
      </c>
      <c r="C691" s="37" t="s">
        <v>57</v>
      </c>
      <c r="D691" s="296">
        <v>8107</v>
      </c>
      <c r="E691" s="297">
        <v>80107</v>
      </c>
      <c r="F691" s="27" t="s">
        <v>114</v>
      </c>
      <c r="G691" s="27" t="s">
        <v>158</v>
      </c>
      <c r="H691" s="35">
        <v>82157</v>
      </c>
      <c r="I691" s="35">
        <v>5</v>
      </c>
      <c r="J691" s="9" t="s">
        <v>7</v>
      </c>
      <c r="K691" s="9" t="s">
        <v>159</v>
      </c>
      <c r="L691" s="8">
        <v>5</v>
      </c>
      <c r="M691" s="8">
        <v>14809</v>
      </c>
      <c r="N691" s="9"/>
      <c r="O691" s="8">
        <v>322</v>
      </c>
      <c r="P691" s="9"/>
      <c r="Q691" s="8">
        <v>0</v>
      </c>
      <c r="R691" s="9"/>
      <c r="S691" s="8">
        <v>0</v>
      </c>
      <c r="T691" s="9"/>
      <c r="U691" s="8">
        <v>0</v>
      </c>
      <c r="V691" s="9"/>
      <c r="W691" s="33">
        <v>15131</v>
      </c>
      <c r="X691" s="9"/>
      <c r="Y691" s="30">
        <v>38.5</v>
      </c>
      <c r="Z691" s="9"/>
      <c r="AA691" s="30">
        <v>1.5</v>
      </c>
      <c r="AB691" s="9"/>
      <c r="AC691" s="30">
        <v>0</v>
      </c>
      <c r="AD691" s="9"/>
      <c r="AE691" s="30">
        <v>0</v>
      </c>
      <c r="AF691" s="9"/>
      <c r="AG691" s="19">
        <v>0</v>
      </c>
      <c r="AI691" s="32">
        <v>40</v>
      </c>
      <c r="AK691" s="7" t="str">
        <f t="shared" si="10"/>
        <v>No</v>
      </c>
    </row>
    <row r="692" spans="1:37">
      <c r="A692" s="7" t="s">
        <v>191</v>
      </c>
      <c r="B692" s="7" t="s">
        <v>192</v>
      </c>
      <c r="C692" s="37" t="s">
        <v>26</v>
      </c>
      <c r="D692" s="296">
        <v>8025</v>
      </c>
      <c r="E692" s="297">
        <v>80025</v>
      </c>
      <c r="F692" s="27" t="s">
        <v>162</v>
      </c>
      <c r="G692" s="27" t="s">
        <v>158</v>
      </c>
      <c r="H692" s="35">
        <v>264465</v>
      </c>
      <c r="I692" s="35">
        <v>5</v>
      </c>
      <c r="J692" s="9" t="s">
        <v>7</v>
      </c>
      <c r="K692" s="9" t="s">
        <v>159</v>
      </c>
      <c r="L692" s="8">
        <v>3</v>
      </c>
      <c r="M692" s="8">
        <v>28848</v>
      </c>
      <c r="N692" s="9"/>
      <c r="O692" s="8">
        <v>0</v>
      </c>
      <c r="P692" s="9"/>
      <c r="Q692" s="8">
        <v>0</v>
      </c>
      <c r="R692" s="9"/>
      <c r="S692" s="8">
        <v>1791</v>
      </c>
      <c r="T692" s="9"/>
      <c r="U692" s="8">
        <v>0</v>
      </c>
      <c r="V692" s="9"/>
      <c r="W692" s="33">
        <v>30639</v>
      </c>
      <c r="X692" s="9"/>
      <c r="Y692" s="30">
        <v>12</v>
      </c>
      <c r="Z692" s="9"/>
      <c r="AA692" s="30">
        <v>0</v>
      </c>
      <c r="AB692" s="9"/>
      <c r="AC692" s="30">
        <v>0</v>
      </c>
      <c r="AD692" s="9"/>
      <c r="AE692" s="30">
        <v>1</v>
      </c>
      <c r="AF692" s="9"/>
      <c r="AG692" s="19">
        <v>0</v>
      </c>
      <c r="AI692" s="32">
        <v>13</v>
      </c>
      <c r="AK692" s="7" t="str">
        <f t="shared" si="10"/>
        <v>No</v>
      </c>
    </row>
    <row r="693" spans="1:37">
      <c r="A693" s="7" t="s">
        <v>191</v>
      </c>
      <c r="B693" s="7" t="s">
        <v>192</v>
      </c>
      <c r="C693" s="37" t="s">
        <v>26</v>
      </c>
      <c r="D693" s="296">
        <v>8025</v>
      </c>
      <c r="E693" s="297">
        <v>80025</v>
      </c>
      <c r="F693" s="27" t="s">
        <v>162</v>
      </c>
      <c r="G693" s="27" t="s">
        <v>158</v>
      </c>
      <c r="H693" s="35">
        <v>264465</v>
      </c>
      <c r="I693" s="35">
        <v>5</v>
      </c>
      <c r="J693" s="9" t="s">
        <v>10</v>
      </c>
      <c r="K693" s="9" t="s">
        <v>159</v>
      </c>
      <c r="L693" s="8">
        <v>2</v>
      </c>
      <c r="M693" s="8">
        <v>6025</v>
      </c>
      <c r="N693" s="9"/>
      <c r="O693" s="8">
        <v>0</v>
      </c>
      <c r="P693" s="9"/>
      <c r="Q693" s="8">
        <v>0</v>
      </c>
      <c r="R693" s="9"/>
      <c r="S693" s="8">
        <v>1433</v>
      </c>
      <c r="T693" s="9"/>
      <c r="U693" s="8">
        <v>0</v>
      </c>
      <c r="V693" s="9"/>
      <c r="W693" s="33">
        <v>7458</v>
      </c>
      <c r="X693" s="9"/>
      <c r="Y693" s="30">
        <v>13</v>
      </c>
      <c r="Z693" s="9"/>
      <c r="AA693" s="30">
        <v>0</v>
      </c>
      <c r="AB693" s="9"/>
      <c r="AC693" s="30">
        <v>0</v>
      </c>
      <c r="AD693" s="9"/>
      <c r="AE693" s="30">
        <v>1</v>
      </c>
      <c r="AF693" s="9"/>
      <c r="AG693" s="19">
        <v>0</v>
      </c>
      <c r="AI693" s="32">
        <v>14</v>
      </c>
      <c r="AK693" s="7" t="str">
        <f t="shared" si="10"/>
        <v>No</v>
      </c>
    </row>
    <row r="694" spans="1:37">
      <c r="A694" s="7" t="s">
        <v>253</v>
      </c>
      <c r="B694" s="7" t="s">
        <v>254</v>
      </c>
      <c r="C694" s="37" t="s">
        <v>51</v>
      </c>
      <c r="D694" s="296">
        <v>1088</v>
      </c>
      <c r="E694" s="297">
        <v>10088</v>
      </c>
      <c r="F694" s="27" t="s">
        <v>165</v>
      </c>
      <c r="G694" s="27" t="s">
        <v>158</v>
      </c>
      <c r="H694" s="35">
        <v>203914</v>
      </c>
      <c r="I694" s="35">
        <v>4</v>
      </c>
      <c r="J694" s="9" t="s">
        <v>19</v>
      </c>
      <c r="K694" s="9" t="s">
        <v>159</v>
      </c>
      <c r="L694" s="8">
        <v>4</v>
      </c>
      <c r="M694" s="8">
        <v>23265</v>
      </c>
      <c r="N694" s="9"/>
      <c r="O694" s="8">
        <v>0</v>
      </c>
      <c r="P694" s="9"/>
      <c r="Q694" s="8">
        <v>0</v>
      </c>
      <c r="R694" s="9"/>
      <c r="S694" s="8">
        <v>0</v>
      </c>
      <c r="T694" s="9"/>
      <c r="U694" s="8">
        <v>0</v>
      </c>
      <c r="V694" s="9"/>
      <c r="W694" s="33">
        <v>23265</v>
      </c>
      <c r="X694" s="9"/>
      <c r="Y694" s="30">
        <v>42</v>
      </c>
      <c r="Z694" s="9"/>
      <c r="AA694" s="30">
        <v>0</v>
      </c>
      <c r="AB694" s="9"/>
      <c r="AC694" s="30">
        <v>0</v>
      </c>
      <c r="AD694" s="9"/>
      <c r="AE694" s="30">
        <v>0</v>
      </c>
      <c r="AF694" s="9"/>
      <c r="AG694" s="19">
        <v>0</v>
      </c>
      <c r="AI694" s="32">
        <v>42</v>
      </c>
      <c r="AK694" s="7" t="str">
        <f t="shared" si="10"/>
        <v>No</v>
      </c>
    </row>
    <row r="695" spans="1:37">
      <c r="A695" s="7" t="s">
        <v>360</v>
      </c>
      <c r="B695" s="7" t="s">
        <v>361</v>
      </c>
      <c r="C695" s="37" t="s">
        <v>42</v>
      </c>
      <c r="D695" s="296">
        <v>5042</v>
      </c>
      <c r="E695" s="297">
        <v>50042</v>
      </c>
      <c r="F695" s="27" t="s">
        <v>162</v>
      </c>
      <c r="G695" s="27" t="s">
        <v>158</v>
      </c>
      <c r="H695" s="35">
        <v>8608208</v>
      </c>
      <c r="I695" s="35">
        <v>4</v>
      </c>
      <c r="J695" s="9" t="s">
        <v>7</v>
      </c>
      <c r="K695" s="9" t="s">
        <v>159</v>
      </c>
      <c r="L695" s="8">
        <v>3</v>
      </c>
      <c r="M695" s="8">
        <v>0</v>
      </c>
      <c r="N695" s="9"/>
      <c r="O695" s="8">
        <v>0</v>
      </c>
      <c r="P695" s="9"/>
      <c r="Q695" s="8">
        <v>0</v>
      </c>
      <c r="R695" s="9"/>
      <c r="S695" s="8">
        <v>0</v>
      </c>
      <c r="T695" s="9"/>
      <c r="U695" s="8">
        <v>0</v>
      </c>
      <c r="V695" s="9"/>
      <c r="W695" s="33">
        <v>0</v>
      </c>
      <c r="X695" s="9"/>
      <c r="Y695" s="30">
        <v>0</v>
      </c>
      <c r="Z695" s="9"/>
      <c r="AA695" s="30">
        <v>0</v>
      </c>
      <c r="AB695" s="9"/>
      <c r="AC695" s="30">
        <v>0</v>
      </c>
      <c r="AD695" s="9"/>
      <c r="AE695" s="30">
        <v>0</v>
      </c>
      <c r="AF695" s="9"/>
      <c r="AG695" s="19">
        <v>0</v>
      </c>
      <c r="AI695" s="32">
        <v>0</v>
      </c>
      <c r="AK695" s="7" t="str">
        <f t="shared" si="10"/>
        <v>No</v>
      </c>
    </row>
    <row r="696" spans="1:37">
      <c r="A696" s="7" t="s">
        <v>360</v>
      </c>
      <c r="B696" s="7" t="s">
        <v>361</v>
      </c>
      <c r="C696" s="37" t="s">
        <v>42</v>
      </c>
      <c r="D696" s="296">
        <v>5042</v>
      </c>
      <c r="E696" s="297">
        <v>50042</v>
      </c>
      <c r="F696" s="27" t="s">
        <v>162</v>
      </c>
      <c r="G696" s="27" t="s">
        <v>158</v>
      </c>
      <c r="H696" s="35">
        <v>8608208</v>
      </c>
      <c r="I696" s="35">
        <v>4</v>
      </c>
      <c r="J696" s="9" t="s">
        <v>10</v>
      </c>
      <c r="K696" s="9" t="s">
        <v>159</v>
      </c>
      <c r="L696" s="8">
        <v>1</v>
      </c>
      <c r="M696" s="8">
        <v>0</v>
      </c>
      <c r="N696" s="9"/>
      <c r="O696" s="8">
        <v>0</v>
      </c>
      <c r="P696" s="9"/>
      <c r="Q696" s="8">
        <v>0</v>
      </c>
      <c r="R696" s="9"/>
      <c r="S696" s="8">
        <v>0</v>
      </c>
      <c r="T696" s="9"/>
      <c r="U696" s="8">
        <v>0</v>
      </c>
      <c r="V696" s="9"/>
      <c r="W696" s="33">
        <v>0</v>
      </c>
      <c r="X696" s="9"/>
      <c r="Y696" s="30">
        <v>0</v>
      </c>
      <c r="Z696" s="9"/>
      <c r="AA696" s="30">
        <v>0</v>
      </c>
      <c r="AB696" s="9"/>
      <c r="AC696" s="30">
        <v>0</v>
      </c>
      <c r="AD696" s="9"/>
      <c r="AE696" s="30">
        <v>0</v>
      </c>
      <c r="AF696" s="9"/>
      <c r="AG696" s="19">
        <v>0</v>
      </c>
      <c r="AI696" s="32">
        <v>0</v>
      </c>
      <c r="AK696" s="7" t="str">
        <f t="shared" si="10"/>
        <v>No</v>
      </c>
    </row>
    <row r="697" spans="1:37">
      <c r="A697" s="7" t="s">
        <v>780</v>
      </c>
      <c r="B697" s="7" t="s">
        <v>345</v>
      </c>
      <c r="C697" s="37" t="s">
        <v>84</v>
      </c>
      <c r="D697" s="296">
        <v>6133</v>
      </c>
      <c r="E697" s="297">
        <v>60133</v>
      </c>
      <c r="F697" s="27" t="s">
        <v>187</v>
      </c>
      <c r="G697" s="27" t="s">
        <v>158</v>
      </c>
      <c r="H697" s="35">
        <v>5121892</v>
      </c>
      <c r="I697" s="35">
        <v>3</v>
      </c>
      <c r="J697" s="9" t="s">
        <v>12</v>
      </c>
      <c r="K697" s="9" t="s">
        <v>159</v>
      </c>
      <c r="L697" s="8">
        <v>3</v>
      </c>
      <c r="M697" s="8">
        <v>6065</v>
      </c>
      <c r="N697" s="9"/>
      <c r="O697" s="8">
        <v>0</v>
      </c>
      <c r="P697" s="9"/>
      <c r="Q697" s="8">
        <v>0</v>
      </c>
      <c r="R697" s="9"/>
      <c r="S697" s="8">
        <v>1176</v>
      </c>
      <c r="T697" s="9"/>
      <c r="U697" s="8">
        <v>0</v>
      </c>
      <c r="V697" s="9"/>
      <c r="W697" s="33">
        <v>7241</v>
      </c>
      <c r="X697" s="9"/>
      <c r="Y697" s="30">
        <v>11</v>
      </c>
      <c r="Z697" s="9"/>
      <c r="AA697" s="30">
        <v>0</v>
      </c>
      <c r="AB697" s="9"/>
      <c r="AC697" s="30">
        <v>0</v>
      </c>
      <c r="AD697" s="9"/>
      <c r="AE697" s="30">
        <v>1</v>
      </c>
      <c r="AF697" s="9"/>
      <c r="AG697" s="19">
        <v>0</v>
      </c>
      <c r="AI697" s="32">
        <v>12</v>
      </c>
      <c r="AK697" s="7" t="str">
        <f t="shared" si="10"/>
        <v>No</v>
      </c>
    </row>
    <row r="698" spans="1:37">
      <c r="A698" s="7" t="s">
        <v>1102</v>
      </c>
      <c r="B698" s="7" t="s">
        <v>481</v>
      </c>
      <c r="C698" s="37" t="s">
        <v>36</v>
      </c>
      <c r="D698" s="296">
        <v>4230</v>
      </c>
      <c r="E698" s="297">
        <v>40230</v>
      </c>
      <c r="F698" s="27" t="s">
        <v>162</v>
      </c>
      <c r="G698" s="27" t="s">
        <v>158</v>
      </c>
      <c r="H698" s="35">
        <v>4515419</v>
      </c>
      <c r="I698" s="35">
        <v>3</v>
      </c>
      <c r="J698" s="9" t="s">
        <v>12</v>
      </c>
      <c r="K698" s="9" t="s">
        <v>159</v>
      </c>
      <c r="L698" s="8">
        <v>3</v>
      </c>
      <c r="M698" s="8">
        <v>939</v>
      </c>
      <c r="N698" s="9"/>
      <c r="O698" s="8">
        <v>0</v>
      </c>
      <c r="P698" s="9"/>
      <c r="Q698" s="8">
        <v>0</v>
      </c>
      <c r="R698" s="9"/>
      <c r="S698" s="8">
        <v>0</v>
      </c>
      <c r="T698" s="9"/>
      <c r="U698" s="8">
        <v>0</v>
      </c>
      <c r="V698" s="9"/>
      <c r="W698" s="33">
        <v>939</v>
      </c>
      <c r="X698" s="9"/>
      <c r="Y698" s="30">
        <v>1</v>
      </c>
      <c r="Z698" s="9"/>
      <c r="AA698" s="30">
        <v>0</v>
      </c>
      <c r="AB698" s="9"/>
      <c r="AC698" s="30">
        <v>0</v>
      </c>
      <c r="AD698" s="9"/>
      <c r="AE698" s="30">
        <v>0</v>
      </c>
      <c r="AF698" s="9"/>
      <c r="AG698" s="19">
        <v>0</v>
      </c>
      <c r="AI698" s="32">
        <v>1</v>
      </c>
      <c r="AK698" s="7" t="str">
        <f t="shared" si="10"/>
        <v>No</v>
      </c>
    </row>
    <row r="699" spans="1:37">
      <c r="A699" s="7" t="s">
        <v>237</v>
      </c>
      <c r="B699" s="7" t="s">
        <v>238</v>
      </c>
      <c r="C699" s="37" t="s">
        <v>73</v>
      </c>
      <c r="D699" s="296">
        <v>5143</v>
      </c>
      <c r="E699" s="297">
        <v>50143</v>
      </c>
      <c r="F699" s="27" t="s">
        <v>162</v>
      </c>
      <c r="G699" s="27" t="s">
        <v>158</v>
      </c>
      <c r="H699" s="35">
        <v>1780673</v>
      </c>
      <c r="I699" s="35">
        <v>2</v>
      </c>
      <c r="J699" s="9" t="s">
        <v>7</v>
      </c>
      <c r="K699" s="9" t="s">
        <v>159</v>
      </c>
      <c r="L699" s="8">
        <v>2</v>
      </c>
      <c r="M699" s="8">
        <v>6370</v>
      </c>
      <c r="N699" s="9"/>
      <c r="O699" s="8">
        <v>0</v>
      </c>
      <c r="P699" s="9"/>
      <c r="Q699" s="8">
        <v>0</v>
      </c>
      <c r="R699" s="9"/>
      <c r="S699" s="8">
        <v>0</v>
      </c>
      <c r="T699" s="9"/>
      <c r="U699" s="8">
        <v>0</v>
      </c>
      <c r="V699" s="9"/>
      <c r="W699" s="33">
        <v>6370</v>
      </c>
      <c r="X699" s="9"/>
      <c r="Y699" s="30">
        <v>6</v>
      </c>
      <c r="Z699" s="9"/>
      <c r="AA699" s="30">
        <v>0</v>
      </c>
      <c r="AB699" s="9"/>
      <c r="AC699" s="30">
        <v>0</v>
      </c>
      <c r="AD699" s="9"/>
      <c r="AE699" s="30">
        <v>0</v>
      </c>
      <c r="AF699" s="9"/>
      <c r="AG699" s="19">
        <v>0</v>
      </c>
      <c r="AI699" s="32">
        <v>6</v>
      </c>
      <c r="AK699" s="7" t="str">
        <f t="shared" si="10"/>
        <v>No</v>
      </c>
    </row>
    <row r="700" spans="1:37">
      <c r="A700" s="7" t="s">
        <v>1153</v>
      </c>
      <c r="B700" s="7" t="s">
        <v>549</v>
      </c>
      <c r="C700" s="37" t="s">
        <v>32</v>
      </c>
      <c r="D700" s="296"/>
      <c r="E700" s="297">
        <v>40258</v>
      </c>
      <c r="F700" s="27" t="s">
        <v>187</v>
      </c>
      <c r="G700" s="27" t="s">
        <v>158</v>
      </c>
      <c r="H700" s="35">
        <v>2441770</v>
      </c>
      <c r="I700" s="35">
        <v>2</v>
      </c>
      <c r="J700" s="9" t="s">
        <v>7</v>
      </c>
      <c r="K700" s="9" t="s">
        <v>159</v>
      </c>
      <c r="L700" s="8">
        <v>2</v>
      </c>
      <c r="M700" s="8">
        <v>5294</v>
      </c>
      <c r="N700" s="9"/>
      <c r="O700" s="8">
        <v>0</v>
      </c>
      <c r="P700" s="9"/>
      <c r="Q700" s="8">
        <v>804</v>
      </c>
      <c r="R700" s="9"/>
      <c r="S700" s="8">
        <v>0</v>
      </c>
      <c r="T700" s="9"/>
      <c r="U700" s="8">
        <v>0</v>
      </c>
      <c r="V700" s="9"/>
      <c r="W700" s="33">
        <v>6098</v>
      </c>
      <c r="X700" s="9"/>
      <c r="Y700" s="30">
        <v>7.25</v>
      </c>
      <c r="Z700" s="9"/>
      <c r="AA700" s="30">
        <v>0</v>
      </c>
      <c r="AB700" s="9"/>
      <c r="AC700" s="30">
        <v>2.25</v>
      </c>
      <c r="AD700" s="9"/>
      <c r="AE700" s="30">
        <v>0</v>
      </c>
      <c r="AF700" s="9"/>
      <c r="AG700" s="19">
        <v>0</v>
      </c>
      <c r="AI700" s="32">
        <v>9.5</v>
      </c>
      <c r="AK700" s="7" t="str">
        <f t="shared" si="10"/>
        <v>No</v>
      </c>
    </row>
  </sheetData>
  <autoFilter ref="A1:AK700">
    <sortState ref="A2:AK700">
      <sortCondition descending="1" ref="I1:I700"/>
    </sortState>
  </autoFilter>
  <conditionalFormatting sqref="A2:AK362 A365:AK700 B363:AK364 AK2:AK700">
    <cfRule type="expression" dxfId="142" priority="2">
      <formula>MOD(ROW(),2)=0</formula>
    </cfRule>
  </conditionalFormatting>
  <conditionalFormatting sqref="A363:A364">
    <cfRule type="expression" dxfId="141"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112" r:id="rId3" name="Drop Down 40">
              <controlPr defaultSize="0" autoLine="0" autoPict="0" macro="[0]!DropDown40_Change" altText="This drop-down menu shows or hides columns indicating the presence of &quot;questionable&quot; data.">
                <anchor moveWithCells="1">
                  <from>
                    <xdr:col>37</xdr:col>
                    <xdr:colOff>142875</xdr:colOff>
                    <xdr:row>0</xdr:row>
                    <xdr:rowOff>104775</xdr:rowOff>
                  </from>
                  <to>
                    <xdr:col>40</xdr:col>
                    <xdr:colOff>200025</xdr:colOff>
                    <xdr:row>0</xdr:row>
                    <xdr:rowOff>352425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G383"/>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3" customWidth="1"/>
    <col min="3" max="3" width="7.28515625" style="38" customWidth="1"/>
    <col min="4" max="4" width="8.85546875" style="298" customWidth="1"/>
    <col min="5" max="5" width="8.85546875" style="299" customWidth="1"/>
    <col min="6" max="6" width="19.85546875" style="28" customWidth="1"/>
    <col min="7" max="7" width="14.7109375" style="28" customWidth="1"/>
    <col min="8" max="8" width="13" style="36" customWidth="1"/>
    <col min="9" max="9" width="9.28515625" style="36" customWidth="1"/>
    <col min="10" max="10" width="11" style="293" bestFit="1" customWidth="1"/>
    <col min="11" max="11" width="12" style="14" bestFit="1" customWidth="1"/>
    <col min="12" max="12" width="19" style="6" hidden="1" customWidth="1"/>
    <col min="13" max="13" width="13.28515625" style="14" bestFit="1" customWidth="1"/>
    <col min="14" max="14" width="18.5703125" style="1" hidden="1" customWidth="1"/>
    <col min="15" max="15" width="13.28515625" style="14" bestFit="1" customWidth="1"/>
    <col min="16" max="16" width="18.5703125" style="1" hidden="1" customWidth="1"/>
    <col min="17" max="17" width="9.42578125" style="14" bestFit="1" customWidth="1"/>
    <col min="18" max="18" width="13.7109375" style="1" hidden="1" customWidth="1"/>
    <col min="19" max="19" width="8.5703125" style="14" bestFit="1" customWidth="1"/>
    <col min="20" max="20" width="13.7109375" style="1" hidden="1" customWidth="1"/>
    <col min="21" max="21" width="8.7109375" style="87" bestFit="1" customWidth="1"/>
    <col min="22" max="22" width="13.42578125" style="4" hidden="1" customWidth="1"/>
    <col min="23" max="23" width="10" style="20" customWidth="1"/>
    <col min="24" max="24" width="18.42578125" style="4" hidden="1" customWidth="1"/>
    <col min="25" max="25" width="16.28515625" style="31" bestFit="1" customWidth="1"/>
    <col min="26" max="26" width="19.85546875" style="4" hidden="1" customWidth="1"/>
    <col min="27" max="27" width="16.28515625" style="31" bestFit="1" customWidth="1"/>
    <col min="28" max="28" width="19.140625" style="4" hidden="1" customWidth="1"/>
    <col min="29" max="29" width="15" style="31" bestFit="1" customWidth="1"/>
    <col min="30" max="30" width="16.28515625" style="4" hidden="1" customWidth="1"/>
    <col min="31" max="31" width="13.5703125" style="81" bestFit="1" customWidth="1"/>
    <col min="32" max="32" width="16.28515625" style="206" hidden="1" customWidth="1"/>
    <col min="33" max="33" width="11" style="89" bestFit="1" customWidth="1"/>
    <col min="34" max="34" width="15.85546875" style="46" hidden="1" customWidth="1"/>
    <col min="35" max="35" width="9.85546875" style="49" customWidth="1"/>
    <col min="36" max="36" width="10.42578125" style="83" bestFit="1" customWidth="1"/>
    <col min="37" max="37" width="10.42578125" style="46" hidden="1" customWidth="1"/>
    <col min="38" max="38" width="12.140625" style="83" bestFit="1" customWidth="1"/>
    <col min="39" max="39" width="9.140625" style="46" hidden="1" customWidth="1"/>
    <col min="40" max="40" width="12.140625" style="83" bestFit="1" customWidth="1"/>
    <col min="41" max="41" width="9.140625" style="46" hidden="1" customWidth="1"/>
    <col min="42" max="42" width="9.140625" style="83" customWidth="1"/>
    <col min="43" max="43" width="9.140625" style="46" hidden="1" customWidth="1"/>
    <col min="44" max="44" width="9.42578125" style="83" bestFit="1" customWidth="1"/>
    <col min="45" max="45" width="9.140625" style="46" hidden="1" customWidth="1"/>
    <col min="46" max="46" width="10" style="204" customWidth="1"/>
    <col min="47" max="47" width="13.140625" style="46" hidden="1" customWidth="1"/>
    <col min="48" max="48" width="9.42578125" style="46" bestFit="1" customWidth="1"/>
    <col min="49" max="49" width="13.42578125" style="46" hidden="1" customWidth="1"/>
    <col min="50" max="50" width="11.140625" style="46" customWidth="1"/>
    <col min="51" max="51" width="9.140625" style="46" hidden="1" customWidth="1"/>
    <col min="52" max="52" width="11.140625" style="46" customWidth="1"/>
    <col min="53" max="53" width="9.140625" style="46" hidden="1" customWidth="1"/>
    <col min="54" max="54" width="9.42578125" style="46" bestFit="1" customWidth="1"/>
    <col min="55" max="55" width="9.140625" style="46" hidden="1" customWidth="1"/>
    <col min="56" max="56" width="9.42578125" style="46" bestFit="1" customWidth="1"/>
    <col min="57" max="57" width="9.140625" style="46" hidden="1" customWidth="1"/>
    <col min="58" max="58" width="9.42578125" style="209" bestFit="1" customWidth="1"/>
    <col min="59" max="59" width="9.140625" style="7" hidden="1" customWidth="1"/>
    <col min="60" max="60" width="12.42578125" style="45" bestFit="1" customWidth="1"/>
    <col min="61" max="61" width="11.5703125" style="83" bestFit="1" customWidth="1"/>
    <col min="62" max="62" width="17.28515625" style="46" hidden="1" customWidth="1"/>
    <col min="63" max="63" width="13.28515625" style="83" bestFit="1" customWidth="1"/>
    <col min="64" max="64" width="18.5703125" style="46" hidden="1" customWidth="1"/>
    <col min="65" max="65" width="13.28515625" style="83" bestFit="1" customWidth="1"/>
    <col min="66" max="66" width="18.5703125" style="46" hidden="1" customWidth="1"/>
    <col min="67" max="67" width="11.85546875" style="83" bestFit="1" customWidth="1"/>
    <col min="68" max="68" width="13.7109375" style="46" hidden="1" customWidth="1"/>
    <col min="69" max="69" width="11" style="83" bestFit="1" customWidth="1"/>
    <col min="70" max="70" width="13.7109375" style="46" hidden="1" customWidth="1"/>
    <col min="71" max="71" width="9.5703125" style="85" bestFit="1" customWidth="1"/>
    <col min="72" max="72" width="13.7109375" style="46" hidden="1" customWidth="1"/>
    <col min="73" max="73" width="16.28515625" style="46" bestFit="1" customWidth="1"/>
    <col min="74" max="74" width="20.42578125" style="46" hidden="1" customWidth="1"/>
    <col min="75" max="75" width="16.28515625" style="46" bestFit="1" customWidth="1"/>
    <col min="76" max="76" width="22.7109375" style="46" hidden="1" customWidth="1"/>
    <col min="77" max="77" width="16.28515625" style="46" bestFit="1" customWidth="1"/>
    <col min="78" max="78" width="22.140625" style="46" hidden="1" customWidth="1"/>
    <col min="79" max="79" width="18" style="46" bestFit="1" customWidth="1"/>
    <col min="80" max="80" width="18" style="46" hidden="1" customWidth="1"/>
    <col min="81" max="81" width="16.140625" style="46" bestFit="1" customWidth="1"/>
    <col min="82" max="82" width="16.5703125" style="46" hidden="1" customWidth="1"/>
    <col min="83" max="83" width="11" style="209" bestFit="1" customWidth="1"/>
    <col min="84" max="84" width="9.140625" style="7" hidden="1" customWidth="1"/>
    <col min="85" max="85" width="11.42578125" style="42" bestFit="1" customWidth="1"/>
    <col min="86" max="86" width="12" style="41" bestFit="1" customWidth="1"/>
    <col min="87" max="87" width="18.42578125" style="41" hidden="1" customWidth="1"/>
    <col min="88" max="88" width="13.140625" style="41" bestFit="1" customWidth="1"/>
    <col min="89" max="89" width="19.85546875" style="41" hidden="1" customWidth="1"/>
    <col min="90" max="90" width="13.140625" style="41" bestFit="1" customWidth="1"/>
    <col min="91" max="91" width="9.140625" style="41" hidden="1" customWidth="1"/>
    <col min="92" max="92" width="10.42578125" style="41" bestFit="1" customWidth="1"/>
    <col min="93" max="93" width="9.140625" style="41" hidden="1" customWidth="1"/>
    <col min="94" max="94" width="11.85546875" style="43" bestFit="1" customWidth="1"/>
    <col min="95" max="95" width="9.140625" style="7" hidden="1" customWidth="1"/>
    <col min="96" max="96" width="9.85546875" style="40" bestFit="1" customWidth="1"/>
    <col min="97" max="97" width="12" style="39" bestFit="1" customWidth="1"/>
    <col min="98" max="98" width="16.85546875" style="39" hidden="1" customWidth="1"/>
    <col min="99" max="99" width="13.28515625" style="39" bestFit="1" customWidth="1"/>
    <col min="100" max="100" width="18.140625" style="39" hidden="1" customWidth="1"/>
    <col min="101" max="101" width="13.28515625" style="39" bestFit="1" customWidth="1"/>
    <col min="102" max="102" width="18.140625" style="39" hidden="1" customWidth="1"/>
    <col min="103" max="103" width="9.42578125" style="39" bestFit="1" customWidth="1"/>
    <col min="104" max="104" width="13.7109375" style="39" hidden="1" customWidth="1"/>
    <col min="105" max="105" width="11" style="44" bestFit="1" customWidth="1"/>
    <col min="106" max="106" width="15.42578125" style="7" hidden="1" customWidth="1"/>
    <col min="107" max="107" width="12.5703125" style="7" hidden="1" customWidth="1"/>
    <col min="108" max="109" width="9.140625" style="7"/>
    <col min="110" max="110" width="9.140625" style="7" customWidth="1"/>
    <col min="111" max="111" width="9.140625" style="7" hidden="1" customWidth="1"/>
    <col min="112" max="113" width="9.140625" style="7" customWidth="1"/>
    <col min="114" max="16384" width="9.140625" style="7"/>
  </cols>
  <sheetData>
    <row r="1" spans="1:111" s="207" customFormat="1" ht="42.95" customHeight="1">
      <c r="A1" s="50" t="s">
        <v>1</v>
      </c>
      <c r="B1" s="51" t="s">
        <v>113</v>
      </c>
      <c r="C1" s="52" t="s">
        <v>0</v>
      </c>
      <c r="D1" s="294" t="s">
        <v>1115</v>
      </c>
      <c r="E1" s="295" t="s">
        <v>1116</v>
      </c>
      <c r="F1" s="53" t="s">
        <v>822</v>
      </c>
      <c r="G1" s="51" t="s">
        <v>118</v>
      </c>
      <c r="H1" s="77" t="s">
        <v>127</v>
      </c>
      <c r="I1" s="77" t="s">
        <v>132</v>
      </c>
      <c r="J1" s="291" t="s">
        <v>786</v>
      </c>
      <c r="K1" s="54" t="s">
        <v>134</v>
      </c>
      <c r="L1" s="54" t="s">
        <v>907</v>
      </c>
      <c r="M1" s="55" t="s">
        <v>135</v>
      </c>
      <c r="N1" s="55" t="s">
        <v>908</v>
      </c>
      <c r="O1" s="55" t="s">
        <v>136</v>
      </c>
      <c r="P1" s="55" t="s">
        <v>909</v>
      </c>
      <c r="Q1" s="55" t="s">
        <v>796</v>
      </c>
      <c r="R1" s="55" t="s">
        <v>910</v>
      </c>
      <c r="S1" s="55" t="s">
        <v>138</v>
      </c>
      <c r="T1" s="55" t="s">
        <v>911</v>
      </c>
      <c r="U1" s="55" t="s">
        <v>116</v>
      </c>
      <c r="V1" s="55" t="s">
        <v>912</v>
      </c>
      <c r="W1" s="78" t="s">
        <v>797</v>
      </c>
      <c r="X1" s="55" t="s">
        <v>913</v>
      </c>
      <c r="Y1" s="78" t="s">
        <v>798</v>
      </c>
      <c r="Z1" s="56" t="s">
        <v>914</v>
      </c>
      <c r="AA1" s="78" t="s">
        <v>799</v>
      </c>
      <c r="AB1" s="56" t="s">
        <v>915</v>
      </c>
      <c r="AC1" s="78" t="s">
        <v>800</v>
      </c>
      <c r="AD1" s="56" t="s">
        <v>916</v>
      </c>
      <c r="AE1" s="79" t="s">
        <v>801</v>
      </c>
      <c r="AF1" s="57" t="s">
        <v>917</v>
      </c>
      <c r="AG1" s="79" t="s">
        <v>117</v>
      </c>
      <c r="AH1" s="57" t="s">
        <v>918</v>
      </c>
      <c r="AI1" s="58" t="s">
        <v>787</v>
      </c>
      <c r="AJ1" s="82" t="s">
        <v>1017</v>
      </c>
      <c r="AK1" s="59" t="s">
        <v>1018</v>
      </c>
      <c r="AL1" s="84" t="s">
        <v>1019</v>
      </c>
      <c r="AM1" s="59" t="s">
        <v>1020</v>
      </c>
      <c r="AN1" s="84" t="s">
        <v>1021</v>
      </c>
      <c r="AO1" s="59" t="s">
        <v>1022</v>
      </c>
      <c r="AP1" s="84" t="s">
        <v>1023</v>
      </c>
      <c r="AQ1" s="59" t="s">
        <v>1024</v>
      </c>
      <c r="AR1" s="84" t="s">
        <v>1025</v>
      </c>
      <c r="AS1" s="59" t="s">
        <v>1026</v>
      </c>
      <c r="AT1" s="203" t="s">
        <v>1027</v>
      </c>
      <c r="AU1" s="59" t="s">
        <v>1028</v>
      </c>
      <c r="AV1" s="59" t="s">
        <v>1029</v>
      </c>
      <c r="AW1" s="59" t="s">
        <v>1030</v>
      </c>
      <c r="AX1" s="59" t="s">
        <v>1031</v>
      </c>
      <c r="AY1" s="59" t="s">
        <v>1032</v>
      </c>
      <c r="AZ1" s="59" t="s">
        <v>1033</v>
      </c>
      <c r="BA1" s="59" t="s">
        <v>1034</v>
      </c>
      <c r="BB1" s="59" t="s">
        <v>1035</v>
      </c>
      <c r="BC1" s="59" t="s">
        <v>1036</v>
      </c>
      <c r="BD1" s="59" t="s">
        <v>1037</v>
      </c>
      <c r="BE1" s="59" t="s">
        <v>1038</v>
      </c>
      <c r="BF1" s="208" t="s">
        <v>1039</v>
      </c>
      <c r="BG1" s="208" t="s">
        <v>1040</v>
      </c>
      <c r="BH1" s="61" t="s">
        <v>788</v>
      </c>
      <c r="BI1" s="86" t="s">
        <v>1041</v>
      </c>
      <c r="BJ1" s="61" t="s">
        <v>1042</v>
      </c>
      <c r="BK1" s="86" t="s">
        <v>1043</v>
      </c>
      <c r="BL1" s="61" t="s">
        <v>1044</v>
      </c>
      <c r="BM1" s="86" t="s">
        <v>1045</v>
      </c>
      <c r="BN1" s="61" t="s">
        <v>1046</v>
      </c>
      <c r="BO1" s="86" t="s">
        <v>1047</v>
      </c>
      <c r="BP1" s="61" t="s">
        <v>1048</v>
      </c>
      <c r="BQ1" s="86" t="s">
        <v>1049</v>
      </c>
      <c r="BR1" s="61" t="s">
        <v>1050</v>
      </c>
      <c r="BS1" s="86" t="s">
        <v>1051</v>
      </c>
      <c r="BT1" s="61" t="s">
        <v>1052</v>
      </c>
      <c r="BU1" s="61" t="s">
        <v>1053</v>
      </c>
      <c r="BV1" s="61" t="s">
        <v>1054</v>
      </c>
      <c r="BW1" s="61" t="s">
        <v>1055</v>
      </c>
      <c r="BX1" s="61" t="s">
        <v>1056</v>
      </c>
      <c r="BY1" s="61" t="s">
        <v>1057</v>
      </c>
      <c r="BZ1" s="61" t="s">
        <v>1058</v>
      </c>
      <c r="CA1" s="61" t="s">
        <v>1059</v>
      </c>
      <c r="CB1" s="61" t="s">
        <v>1060</v>
      </c>
      <c r="CC1" s="61" t="s">
        <v>1061</v>
      </c>
      <c r="CD1" s="61" t="s">
        <v>1062</v>
      </c>
      <c r="CE1" s="210" t="s">
        <v>1063</v>
      </c>
      <c r="CF1" s="60" t="s">
        <v>1064</v>
      </c>
      <c r="CG1" s="62" t="s">
        <v>789</v>
      </c>
      <c r="CH1" s="63" t="s">
        <v>802</v>
      </c>
      <c r="CI1" s="63" t="s">
        <v>919</v>
      </c>
      <c r="CJ1" s="63" t="s">
        <v>803</v>
      </c>
      <c r="CK1" s="63" t="s">
        <v>920</v>
      </c>
      <c r="CL1" s="63" t="s">
        <v>804</v>
      </c>
      <c r="CM1" s="63" t="s">
        <v>921</v>
      </c>
      <c r="CN1" s="63" t="s">
        <v>805</v>
      </c>
      <c r="CO1" s="63" t="s">
        <v>922</v>
      </c>
      <c r="CP1" s="63" t="s">
        <v>806</v>
      </c>
      <c r="CQ1" s="63" t="s">
        <v>923</v>
      </c>
      <c r="CR1" s="60" t="s">
        <v>790</v>
      </c>
      <c r="CS1" s="64" t="s">
        <v>807</v>
      </c>
      <c r="CT1" s="64" t="s">
        <v>924</v>
      </c>
      <c r="CU1" s="64" t="s">
        <v>808</v>
      </c>
      <c r="CV1" s="64" t="s">
        <v>925</v>
      </c>
      <c r="CW1" s="64" t="s">
        <v>809</v>
      </c>
      <c r="CX1" s="64" t="s">
        <v>926</v>
      </c>
      <c r="CY1" s="64" t="s">
        <v>810</v>
      </c>
      <c r="CZ1" s="64" t="s">
        <v>927</v>
      </c>
      <c r="DA1" s="64" t="s">
        <v>811</v>
      </c>
      <c r="DB1" s="60" t="s">
        <v>928</v>
      </c>
      <c r="DC1" s="60" t="s">
        <v>929</v>
      </c>
      <c r="DG1" s="207">
        <f>IF(DG4=1,1,0)</f>
        <v>1</v>
      </c>
    </row>
    <row r="2" spans="1:111">
      <c r="A2" s="7" t="s">
        <v>518</v>
      </c>
      <c r="B2" s="7" t="s">
        <v>479</v>
      </c>
      <c r="C2" s="37" t="s">
        <v>70</v>
      </c>
      <c r="D2" s="296">
        <v>2008</v>
      </c>
      <c r="E2" s="297">
        <v>20008</v>
      </c>
      <c r="F2" s="27" t="s">
        <v>240</v>
      </c>
      <c r="G2" s="27" t="s">
        <v>158</v>
      </c>
      <c r="H2" s="35">
        <v>18351295</v>
      </c>
      <c r="I2" s="35">
        <v>11004</v>
      </c>
      <c r="J2" s="292"/>
      <c r="K2" s="8">
        <v>43001921</v>
      </c>
      <c r="L2" s="8"/>
      <c r="M2" s="8">
        <v>16258253</v>
      </c>
      <c r="N2" s="9"/>
      <c r="O2" s="8">
        <v>20017886</v>
      </c>
      <c r="P2" s="9"/>
      <c r="Q2" s="8">
        <v>6215747</v>
      </c>
      <c r="R2" s="9"/>
      <c r="S2" s="8">
        <v>8222704</v>
      </c>
      <c r="T2" s="9"/>
      <c r="U2" s="33">
        <v>93716511</v>
      </c>
      <c r="V2" s="9"/>
      <c r="W2" s="30">
        <v>20865</v>
      </c>
      <c r="X2" s="9"/>
      <c r="Y2" s="30">
        <v>9029</v>
      </c>
      <c r="Z2" s="9"/>
      <c r="AA2" s="30">
        <v>10791</v>
      </c>
      <c r="AB2" s="9"/>
      <c r="AC2" s="30">
        <v>3485</v>
      </c>
      <c r="AD2" s="9"/>
      <c r="AE2" s="80">
        <v>4042</v>
      </c>
      <c r="AF2" s="46"/>
      <c r="AG2" s="88">
        <v>48212</v>
      </c>
      <c r="AH2" s="48"/>
      <c r="AJ2" s="83">
        <v>42827229</v>
      </c>
      <c r="AL2" s="83">
        <v>16258253</v>
      </c>
      <c r="AN2" s="83">
        <v>20011395</v>
      </c>
      <c r="AP2" s="83">
        <v>6133092</v>
      </c>
      <c r="AR2" s="83">
        <v>8222704</v>
      </c>
      <c r="AT2" s="204">
        <v>93452673</v>
      </c>
      <c r="AV2" s="46">
        <v>20616</v>
      </c>
      <c r="AX2" s="46">
        <v>9029</v>
      </c>
      <c r="AZ2" s="46">
        <v>10783</v>
      </c>
      <c r="BB2" s="46">
        <v>3315</v>
      </c>
      <c r="BD2" s="46">
        <v>4042</v>
      </c>
      <c r="BF2" s="209">
        <v>48212</v>
      </c>
      <c r="BI2" s="83">
        <v>174692</v>
      </c>
      <c r="BK2" s="83">
        <v>0</v>
      </c>
      <c r="BM2" s="83">
        <v>6491</v>
      </c>
      <c r="BO2" s="83">
        <v>82655</v>
      </c>
      <c r="BQ2" s="83">
        <v>0</v>
      </c>
      <c r="BS2" s="85">
        <v>263838</v>
      </c>
      <c r="BU2" s="46">
        <v>249</v>
      </c>
      <c r="BW2" s="46">
        <v>0</v>
      </c>
      <c r="BY2" s="46">
        <v>8</v>
      </c>
      <c r="CA2" s="46">
        <v>170</v>
      </c>
      <c r="CC2" s="46">
        <v>0</v>
      </c>
      <c r="CE2" s="209">
        <v>427</v>
      </c>
      <c r="CH2" s="41">
        <v>1763107221</v>
      </c>
      <c r="CJ2" s="41">
        <v>586402034</v>
      </c>
      <c r="CL2" s="41">
        <v>787440756</v>
      </c>
      <c r="CN2" s="41">
        <v>411986072</v>
      </c>
      <c r="CP2" s="43">
        <v>3548936083</v>
      </c>
      <c r="CS2" s="39">
        <v>41.000700000000002</v>
      </c>
      <c r="CU2" s="39">
        <v>36.067999999999998</v>
      </c>
      <c r="CW2" s="39">
        <v>18.311800000000002</v>
      </c>
      <c r="CY2" s="39">
        <v>66.281000000000006</v>
      </c>
      <c r="DA2" s="44">
        <v>37.8688</v>
      </c>
      <c r="DC2" s="1" t="str">
        <f>IF(DB2&amp;CZ2&amp;CX2&amp;CV2&amp;CT2&amp;CQ2&amp;CO2&amp;CM2&amp;CK2&amp;CI2&amp;CF2&amp;CD2&amp;CB2&amp;BZ2&amp;BX2&amp;BV2&amp;BT2&amp;BR2&amp;BP2&amp;BN2&amp;BL2&amp;BJ2&amp;BG2&amp;BE2&amp;BC2&amp;BA2&amp;AY2&amp;AW2&amp;AS2&amp;AQ2&amp;AO2&amp;AM2&amp;AK2&amp;AH2&amp;AF2&amp;AD2&amp;AB2&amp;Z2&amp;X2&amp;V2&amp;T2&amp;R2&amp;P2&amp;N2&amp;L2&lt;&gt;"","Yes","No")</f>
        <v>No</v>
      </c>
      <c r="DG2" s="7" t="s">
        <v>1011</v>
      </c>
    </row>
    <row r="3" spans="1:111">
      <c r="A3" s="7" t="s">
        <v>516</v>
      </c>
      <c r="B3" s="7" t="s">
        <v>515</v>
      </c>
      <c r="C3" s="37" t="s">
        <v>63</v>
      </c>
      <c r="D3" s="296">
        <v>2080</v>
      </c>
      <c r="E3" s="297">
        <v>20080</v>
      </c>
      <c r="F3" s="27" t="s">
        <v>401</v>
      </c>
      <c r="G3" s="27" t="s">
        <v>158</v>
      </c>
      <c r="H3" s="35">
        <v>18351295</v>
      </c>
      <c r="I3" s="35">
        <v>4056</v>
      </c>
      <c r="J3" s="292"/>
      <c r="K3" s="8">
        <v>10343224</v>
      </c>
      <c r="L3" s="8"/>
      <c r="M3" s="8">
        <v>4378456</v>
      </c>
      <c r="N3" s="9"/>
      <c r="O3" s="8">
        <v>1460404</v>
      </c>
      <c r="P3" s="9"/>
      <c r="Q3" s="8">
        <v>2768843</v>
      </c>
      <c r="R3" s="9"/>
      <c r="S3" s="8">
        <v>775241</v>
      </c>
      <c r="T3" s="9"/>
      <c r="U3" s="33">
        <v>19726168</v>
      </c>
      <c r="V3" s="9"/>
      <c r="W3" s="30">
        <v>5661</v>
      </c>
      <c r="X3" s="9"/>
      <c r="Y3" s="30">
        <v>2525</v>
      </c>
      <c r="Z3" s="9"/>
      <c r="AA3" s="30">
        <v>743</v>
      </c>
      <c r="AB3" s="9"/>
      <c r="AC3" s="30">
        <v>1630</v>
      </c>
      <c r="AD3" s="9"/>
      <c r="AE3" s="80">
        <v>503</v>
      </c>
      <c r="AF3" s="46"/>
      <c r="AG3" s="88">
        <v>11062</v>
      </c>
      <c r="AH3" s="47"/>
      <c r="AJ3" s="83">
        <v>9916539</v>
      </c>
      <c r="AL3" s="83">
        <v>4378456</v>
      </c>
      <c r="AN3" s="83">
        <v>1460404</v>
      </c>
      <c r="AP3" s="83">
        <v>2686746</v>
      </c>
      <c r="AR3" s="83">
        <v>772363</v>
      </c>
      <c r="AT3" s="204">
        <v>19214508</v>
      </c>
      <c r="AV3" s="46">
        <v>5375</v>
      </c>
      <c r="AX3" s="46">
        <v>2525</v>
      </c>
      <c r="AZ3" s="46">
        <v>743</v>
      </c>
      <c r="BB3" s="46">
        <v>1570</v>
      </c>
      <c r="BD3" s="46">
        <v>497</v>
      </c>
      <c r="BF3" s="209">
        <v>11062</v>
      </c>
      <c r="BI3" s="83">
        <v>426685</v>
      </c>
      <c r="BK3" s="83">
        <v>0</v>
      </c>
      <c r="BM3" s="83">
        <v>0</v>
      </c>
      <c r="BO3" s="83">
        <v>82097</v>
      </c>
      <c r="BQ3" s="83">
        <v>2878</v>
      </c>
      <c r="BS3" s="85">
        <v>511660</v>
      </c>
      <c r="BU3" s="46">
        <v>286</v>
      </c>
      <c r="BW3" s="46">
        <v>0</v>
      </c>
      <c r="BY3" s="46">
        <v>0</v>
      </c>
      <c r="CA3" s="46">
        <v>60</v>
      </c>
      <c r="CC3" s="46">
        <v>6</v>
      </c>
      <c r="CE3" s="209">
        <v>352</v>
      </c>
      <c r="CH3" s="41">
        <v>376831854</v>
      </c>
      <c r="CJ3" s="41">
        <v>143435370</v>
      </c>
      <c r="CL3" s="41">
        <v>59021428</v>
      </c>
      <c r="CN3" s="41">
        <v>131206992</v>
      </c>
      <c r="CP3" s="43">
        <v>710495644</v>
      </c>
      <c r="CS3" s="39">
        <v>36.432699999999997</v>
      </c>
      <c r="CU3" s="39">
        <v>32.759300000000003</v>
      </c>
      <c r="CW3" s="39">
        <v>5.7062999999999997</v>
      </c>
      <c r="CY3" s="39">
        <v>47.386899999999997</v>
      </c>
      <c r="DA3" s="44">
        <v>36.017899999999997</v>
      </c>
      <c r="DC3" s="1" t="str">
        <f t="shared" ref="DC3:DC66" si="0">IF(DB3&amp;CZ3&amp;CX3&amp;CV3&amp;CT3&amp;CQ3&amp;CO3&amp;CM3&amp;CK3&amp;CI3&amp;CF3&amp;CD3&amp;CB3&amp;BZ3&amp;BX3&amp;BV3&amp;BT3&amp;BR3&amp;BP3&amp;BN3&amp;BL3&amp;BJ3&amp;BG3&amp;BE3&amp;BC3&amp;BA3&amp;AY3&amp;AW3&amp;AS3&amp;AQ3&amp;AO3&amp;AM3&amp;AK3&amp;AH3&amp;AF3&amp;AD3&amp;AB3&amp;Z3&amp;X3&amp;V3&amp;T3&amp;R3&amp;P3&amp;N3&amp;L3&lt;&gt;"","Yes","No")</f>
        <v>No</v>
      </c>
      <c r="DG3" s="7" t="s">
        <v>1012</v>
      </c>
    </row>
    <row r="4" spans="1:111">
      <c r="A4" s="7" t="s">
        <v>454</v>
      </c>
      <c r="B4" s="7" t="s">
        <v>455</v>
      </c>
      <c r="C4" s="37" t="s">
        <v>17</v>
      </c>
      <c r="D4" s="296">
        <v>9154</v>
      </c>
      <c r="E4" s="297">
        <v>90154</v>
      </c>
      <c r="F4" s="27" t="s">
        <v>165</v>
      </c>
      <c r="G4" s="27" t="s">
        <v>158</v>
      </c>
      <c r="H4" s="35">
        <v>12150996</v>
      </c>
      <c r="I4" s="35">
        <v>3544</v>
      </c>
      <c r="J4" s="292"/>
      <c r="K4" s="8">
        <v>10565265</v>
      </c>
      <c r="L4" s="8"/>
      <c r="M4" s="8">
        <v>4233868</v>
      </c>
      <c r="N4" s="9"/>
      <c r="O4" s="8">
        <v>1063709</v>
      </c>
      <c r="P4" s="9"/>
      <c r="Q4" s="8">
        <v>1861881</v>
      </c>
      <c r="R4" s="9"/>
      <c r="S4" s="8">
        <v>0</v>
      </c>
      <c r="T4" s="9"/>
      <c r="U4" s="33">
        <v>17724723</v>
      </c>
      <c r="V4" s="9"/>
      <c r="W4" s="30">
        <v>5095</v>
      </c>
      <c r="X4" s="9"/>
      <c r="Y4" s="30">
        <v>2059</v>
      </c>
      <c r="Z4" s="9"/>
      <c r="AA4" s="30">
        <v>560</v>
      </c>
      <c r="AB4" s="9"/>
      <c r="AC4" s="30">
        <v>965</v>
      </c>
      <c r="AD4" s="9"/>
      <c r="AE4" s="80">
        <v>0</v>
      </c>
      <c r="AF4" s="46"/>
      <c r="AG4" s="88">
        <v>8679</v>
      </c>
      <c r="AH4" s="47"/>
      <c r="AJ4" s="83">
        <v>9957680</v>
      </c>
      <c r="AL4" s="83">
        <v>4233868</v>
      </c>
      <c r="AN4" s="83">
        <v>1063709</v>
      </c>
      <c r="AP4" s="83">
        <v>1860641</v>
      </c>
      <c r="AR4" s="83">
        <v>0</v>
      </c>
      <c r="AT4" s="204">
        <v>17115898</v>
      </c>
      <c r="AV4" s="46">
        <v>4583</v>
      </c>
      <c r="AX4" s="46">
        <v>2059</v>
      </c>
      <c r="AZ4" s="46">
        <v>560</v>
      </c>
      <c r="BB4" s="46">
        <v>964</v>
      </c>
      <c r="BD4" s="46">
        <v>0</v>
      </c>
      <c r="BF4" s="209">
        <v>8679</v>
      </c>
      <c r="BI4" s="83">
        <v>607585</v>
      </c>
      <c r="BK4" s="83">
        <v>0</v>
      </c>
      <c r="BM4" s="83">
        <v>0</v>
      </c>
      <c r="BO4" s="83">
        <v>1240</v>
      </c>
      <c r="BQ4" s="83">
        <v>0</v>
      </c>
      <c r="BS4" s="85">
        <v>608825</v>
      </c>
      <c r="BU4" s="46">
        <v>512</v>
      </c>
      <c r="BW4" s="46">
        <v>0</v>
      </c>
      <c r="BY4" s="46">
        <v>0</v>
      </c>
      <c r="CA4" s="46">
        <v>1</v>
      </c>
      <c r="CC4" s="46">
        <v>0</v>
      </c>
      <c r="CE4" s="209">
        <v>513</v>
      </c>
      <c r="CH4" s="41">
        <v>291744651</v>
      </c>
      <c r="CJ4" s="41">
        <v>128486460</v>
      </c>
      <c r="CL4" s="41">
        <v>34181362</v>
      </c>
      <c r="CN4" s="41">
        <v>71691100</v>
      </c>
      <c r="CP4" s="43">
        <v>526103573</v>
      </c>
      <c r="CS4" s="39">
        <v>27.613600000000002</v>
      </c>
      <c r="CU4" s="39">
        <v>30.347300000000001</v>
      </c>
      <c r="CW4" s="39">
        <v>3.2353000000000001</v>
      </c>
      <c r="CY4" s="39">
        <v>38.5047</v>
      </c>
      <c r="DA4" s="44">
        <v>29.681899999999999</v>
      </c>
      <c r="DC4" s="1" t="str">
        <f t="shared" si="0"/>
        <v>No</v>
      </c>
      <c r="DG4" s="7">
        <v>1</v>
      </c>
    </row>
    <row r="5" spans="1:111">
      <c r="A5" s="7" t="s">
        <v>680</v>
      </c>
      <c r="B5" s="7" t="s">
        <v>681</v>
      </c>
      <c r="C5" s="37" t="s">
        <v>30</v>
      </c>
      <c r="D5" s="296">
        <v>3030</v>
      </c>
      <c r="E5" s="297">
        <v>30030</v>
      </c>
      <c r="F5" s="27" t="s">
        <v>165</v>
      </c>
      <c r="G5" s="27" t="s">
        <v>158</v>
      </c>
      <c r="H5" s="35">
        <v>4586770</v>
      </c>
      <c r="I5" s="35">
        <v>3172</v>
      </c>
      <c r="J5" s="292"/>
      <c r="K5" s="8">
        <v>11174013</v>
      </c>
      <c r="L5" s="8"/>
      <c r="M5" s="8">
        <v>4130372</v>
      </c>
      <c r="N5" s="9"/>
      <c r="O5" s="8">
        <v>5195935</v>
      </c>
      <c r="P5" s="9"/>
      <c r="Q5" s="8">
        <v>2510578</v>
      </c>
      <c r="R5" s="9"/>
      <c r="S5" s="8">
        <v>2286439</v>
      </c>
      <c r="T5" s="9"/>
      <c r="U5" s="33">
        <v>25297337</v>
      </c>
      <c r="V5" s="9"/>
      <c r="W5" s="30">
        <v>6869</v>
      </c>
      <c r="X5" s="9"/>
      <c r="Y5" s="30">
        <v>2367</v>
      </c>
      <c r="Z5" s="9"/>
      <c r="AA5" s="30">
        <v>3325</v>
      </c>
      <c r="AB5" s="9"/>
      <c r="AC5" s="30">
        <v>1577</v>
      </c>
      <c r="AD5" s="9"/>
      <c r="AE5" s="80">
        <v>1345</v>
      </c>
      <c r="AF5" s="46"/>
      <c r="AG5" s="88">
        <v>15483</v>
      </c>
      <c r="AH5" s="47"/>
      <c r="AJ5" s="83">
        <v>11107016</v>
      </c>
      <c r="AL5" s="83">
        <v>4107695</v>
      </c>
      <c r="AN5" s="83">
        <v>5181943</v>
      </c>
      <c r="AP5" s="83">
        <v>2494384</v>
      </c>
      <c r="AR5" s="83">
        <v>2286439</v>
      </c>
      <c r="AT5" s="204">
        <v>25177477</v>
      </c>
      <c r="AV5" s="46">
        <v>6776</v>
      </c>
      <c r="AX5" s="46">
        <v>2344</v>
      </c>
      <c r="AZ5" s="46">
        <v>3299</v>
      </c>
      <c r="BB5" s="46">
        <v>1566</v>
      </c>
      <c r="BD5" s="46">
        <v>1345</v>
      </c>
      <c r="BF5" s="209">
        <v>15483</v>
      </c>
      <c r="BI5" s="83">
        <v>66997</v>
      </c>
      <c r="BK5" s="83">
        <v>22677</v>
      </c>
      <c r="BM5" s="83">
        <v>13992</v>
      </c>
      <c r="BO5" s="83">
        <v>16194</v>
      </c>
      <c r="BQ5" s="83">
        <v>0</v>
      </c>
      <c r="BS5" s="85">
        <v>119860</v>
      </c>
      <c r="BU5" s="46">
        <v>93</v>
      </c>
      <c r="BW5" s="46">
        <v>23</v>
      </c>
      <c r="BY5" s="46">
        <v>26</v>
      </c>
      <c r="CA5" s="46">
        <v>11</v>
      </c>
      <c r="CC5" s="46">
        <v>0</v>
      </c>
      <c r="CE5" s="209">
        <v>153</v>
      </c>
      <c r="CH5" s="41">
        <v>369537327</v>
      </c>
      <c r="CJ5" s="41">
        <v>132584191</v>
      </c>
      <c r="CL5" s="41">
        <v>139662905</v>
      </c>
      <c r="CN5" s="41">
        <v>105361555</v>
      </c>
      <c r="CP5" s="43">
        <v>747145978</v>
      </c>
      <c r="CS5" s="39">
        <v>33.071100000000001</v>
      </c>
      <c r="CU5" s="39">
        <v>32.099800000000002</v>
      </c>
      <c r="CW5" s="39">
        <v>12.498900000000001</v>
      </c>
      <c r="CY5" s="39">
        <v>41.967100000000002</v>
      </c>
      <c r="DA5" s="44">
        <v>29.534600000000001</v>
      </c>
      <c r="DC5" s="1" t="str">
        <f t="shared" si="0"/>
        <v>No</v>
      </c>
    </row>
    <row r="6" spans="1:111">
      <c r="A6" s="7" t="s">
        <v>1117</v>
      </c>
      <c r="B6" s="7" t="s">
        <v>266</v>
      </c>
      <c r="C6" s="37" t="s">
        <v>89</v>
      </c>
      <c r="D6" s="296">
        <v>1</v>
      </c>
      <c r="E6" s="297">
        <v>1</v>
      </c>
      <c r="F6" s="27" t="s">
        <v>162</v>
      </c>
      <c r="G6" s="27" t="s">
        <v>158</v>
      </c>
      <c r="H6" s="35">
        <v>3059393</v>
      </c>
      <c r="I6" s="35">
        <v>2818</v>
      </c>
      <c r="J6" s="292"/>
      <c r="K6" s="8">
        <v>3947462</v>
      </c>
      <c r="L6" s="8"/>
      <c r="M6" s="8">
        <v>1004284</v>
      </c>
      <c r="N6" s="9"/>
      <c r="O6" s="8">
        <v>441732</v>
      </c>
      <c r="P6" s="9"/>
      <c r="Q6" s="8">
        <v>431556</v>
      </c>
      <c r="R6" s="9"/>
      <c r="S6" s="8">
        <v>137376</v>
      </c>
      <c r="T6" s="9"/>
      <c r="U6" s="33">
        <v>5962410</v>
      </c>
      <c r="V6" s="9"/>
      <c r="W6" s="30">
        <v>3029.84</v>
      </c>
      <c r="X6" s="9"/>
      <c r="Y6" s="30">
        <v>649.85</v>
      </c>
      <c r="Z6" s="9"/>
      <c r="AA6" s="30">
        <v>296.33</v>
      </c>
      <c r="AB6" s="9"/>
      <c r="AC6" s="30">
        <v>304.47000000000003</v>
      </c>
      <c r="AD6" s="9"/>
      <c r="AE6" s="80">
        <v>91.6</v>
      </c>
      <c r="AF6" s="46"/>
      <c r="AG6" s="88">
        <v>4372.09</v>
      </c>
      <c r="AH6" s="47"/>
      <c r="AJ6" s="83">
        <v>3550231</v>
      </c>
      <c r="AL6" s="83">
        <v>977615</v>
      </c>
      <c r="AN6" s="83">
        <v>422546</v>
      </c>
      <c r="AP6" s="83">
        <v>406454</v>
      </c>
      <c r="AR6" s="83">
        <v>131488</v>
      </c>
      <c r="AT6" s="204">
        <v>5488334</v>
      </c>
      <c r="AV6" s="46">
        <v>2256.0700000000002</v>
      </c>
      <c r="AX6" s="46">
        <v>598.36</v>
      </c>
      <c r="AZ6" s="46">
        <v>252.88</v>
      </c>
      <c r="BB6" s="46">
        <v>244.71</v>
      </c>
      <c r="BD6" s="46">
        <v>80.260000000000005</v>
      </c>
      <c r="BF6" s="209">
        <v>4372.09</v>
      </c>
      <c r="BI6" s="83">
        <v>397231</v>
      </c>
      <c r="BK6" s="83">
        <v>26669</v>
      </c>
      <c r="BM6" s="83">
        <v>19186</v>
      </c>
      <c r="BO6" s="83">
        <v>25102</v>
      </c>
      <c r="BQ6" s="83">
        <v>5888</v>
      </c>
      <c r="BS6" s="85">
        <v>474076</v>
      </c>
      <c r="BU6" s="46">
        <v>773.77</v>
      </c>
      <c r="BW6" s="46">
        <v>51.49</v>
      </c>
      <c r="BY6" s="46">
        <v>43.45</v>
      </c>
      <c r="CA6" s="46">
        <v>59.76</v>
      </c>
      <c r="CC6" s="46">
        <v>11.34</v>
      </c>
      <c r="CE6" s="209">
        <v>939.81</v>
      </c>
      <c r="CH6" s="41">
        <v>186528024</v>
      </c>
      <c r="CJ6" s="41">
        <v>49081366</v>
      </c>
      <c r="CL6" s="41">
        <v>20684955</v>
      </c>
      <c r="CN6" s="41">
        <v>24195997</v>
      </c>
      <c r="CP6" s="43">
        <v>280490342</v>
      </c>
      <c r="CS6" s="39">
        <v>47.252600000000001</v>
      </c>
      <c r="CU6" s="39">
        <v>48.872</v>
      </c>
      <c r="CW6" s="39">
        <v>5.2401</v>
      </c>
      <c r="CY6" s="39">
        <v>56.066899999999997</v>
      </c>
      <c r="DA6" s="44">
        <v>47.043100000000003</v>
      </c>
      <c r="DC6" s="1" t="str">
        <f t="shared" si="0"/>
        <v>No</v>
      </c>
    </row>
    <row r="7" spans="1:111">
      <c r="A7" s="7" t="s">
        <v>279</v>
      </c>
      <c r="B7" s="7" t="s">
        <v>280</v>
      </c>
      <c r="C7" s="37" t="s">
        <v>40</v>
      </c>
      <c r="D7" s="296">
        <v>5066</v>
      </c>
      <c r="E7" s="297">
        <v>50066</v>
      </c>
      <c r="F7" s="27" t="s">
        <v>165</v>
      </c>
      <c r="G7" s="27" t="s">
        <v>158</v>
      </c>
      <c r="H7" s="35">
        <v>8608208</v>
      </c>
      <c r="I7" s="35">
        <v>2712</v>
      </c>
      <c r="J7" s="292"/>
      <c r="K7" s="8">
        <v>12215891</v>
      </c>
      <c r="L7" s="8"/>
      <c r="M7" s="8">
        <v>3103150</v>
      </c>
      <c r="N7" s="9"/>
      <c r="O7" s="8">
        <v>2214454</v>
      </c>
      <c r="P7" s="9"/>
      <c r="Q7" s="8">
        <v>1172189</v>
      </c>
      <c r="R7" s="9"/>
      <c r="S7" s="8">
        <v>893698</v>
      </c>
      <c r="T7" s="9"/>
      <c r="U7" s="33">
        <v>19599382</v>
      </c>
      <c r="V7" s="9"/>
      <c r="W7" s="30">
        <v>6955</v>
      </c>
      <c r="X7" s="9"/>
      <c r="Y7" s="30">
        <v>1711</v>
      </c>
      <c r="Z7" s="9"/>
      <c r="AA7" s="30">
        <v>1251</v>
      </c>
      <c r="AB7" s="9"/>
      <c r="AC7" s="30">
        <v>672</v>
      </c>
      <c r="AD7" s="9"/>
      <c r="AE7" s="80">
        <v>503</v>
      </c>
      <c r="AF7" s="46"/>
      <c r="AG7" s="88">
        <v>11092</v>
      </c>
      <c r="AH7" s="47"/>
      <c r="AJ7" s="83">
        <v>9771986</v>
      </c>
      <c r="AL7" s="83">
        <v>3103150</v>
      </c>
      <c r="AN7" s="83">
        <v>2213391</v>
      </c>
      <c r="AP7" s="83">
        <v>1155528</v>
      </c>
      <c r="AR7" s="83">
        <v>893698</v>
      </c>
      <c r="AT7" s="204">
        <v>17137753</v>
      </c>
      <c r="AV7" s="46">
        <v>5367</v>
      </c>
      <c r="AX7" s="46">
        <v>1711</v>
      </c>
      <c r="AZ7" s="46">
        <v>1250</v>
      </c>
      <c r="BB7" s="46">
        <v>647</v>
      </c>
      <c r="BD7" s="46">
        <v>503</v>
      </c>
      <c r="BF7" s="209">
        <v>11092</v>
      </c>
      <c r="BI7" s="83">
        <v>2443905</v>
      </c>
      <c r="BK7" s="83">
        <v>0</v>
      </c>
      <c r="BM7" s="83">
        <v>1063</v>
      </c>
      <c r="BO7" s="83">
        <v>16661</v>
      </c>
      <c r="BQ7" s="83">
        <v>0</v>
      </c>
      <c r="BS7" s="85">
        <v>2461629</v>
      </c>
      <c r="BU7" s="46">
        <v>1588</v>
      </c>
      <c r="BW7" s="46">
        <v>0</v>
      </c>
      <c r="BY7" s="46">
        <v>1</v>
      </c>
      <c r="CA7" s="46">
        <v>25</v>
      </c>
      <c r="CC7" s="46">
        <v>0</v>
      </c>
      <c r="CE7" s="209">
        <v>1614</v>
      </c>
      <c r="CH7" s="41">
        <v>371216403</v>
      </c>
      <c r="CJ7" s="41">
        <v>97868004</v>
      </c>
      <c r="CL7" s="41">
        <v>91181844</v>
      </c>
      <c r="CN7" s="41">
        <v>33955665</v>
      </c>
      <c r="CP7" s="43">
        <v>594221916</v>
      </c>
      <c r="CS7" s="39">
        <v>30.388000000000002</v>
      </c>
      <c r="CU7" s="39">
        <v>31.5383</v>
      </c>
      <c r="CW7" s="39">
        <v>7.4641999999999999</v>
      </c>
      <c r="CY7" s="39">
        <v>28.967700000000001</v>
      </c>
      <c r="DA7" s="44">
        <v>30.3184</v>
      </c>
      <c r="DC7" s="1" t="str">
        <f t="shared" si="0"/>
        <v>No</v>
      </c>
    </row>
    <row r="8" spans="1:111">
      <c r="A8" s="7" t="s">
        <v>470</v>
      </c>
      <c r="B8" s="7" t="s">
        <v>471</v>
      </c>
      <c r="C8" s="37" t="s">
        <v>47</v>
      </c>
      <c r="D8" s="296">
        <v>1003</v>
      </c>
      <c r="E8" s="297">
        <v>10003</v>
      </c>
      <c r="F8" s="27" t="s">
        <v>165</v>
      </c>
      <c r="G8" s="27" t="s">
        <v>158</v>
      </c>
      <c r="H8" s="35">
        <v>4181019</v>
      </c>
      <c r="I8" s="35">
        <v>2374</v>
      </c>
      <c r="J8" s="292"/>
      <c r="K8" s="8">
        <v>6591642</v>
      </c>
      <c r="L8" s="8"/>
      <c r="M8" s="8">
        <v>2115073</v>
      </c>
      <c r="N8" s="9"/>
      <c r="O8" s="8">
        <v>1740486</v>
      </c>
      <c r="P8" s="9"/>
      <c r="Q8" s="8">
        <v>1113158</v>
      </c>
      <c r="R8" s="9"/>
      <c r="S8" s="8">
        <v>79312</v>
      </c>
      <c r="T8" s="9"/>
      <c r="U8" s="33">
        <v>11639671</v>
      </c>
      <c r="V8" s="9"/>
      <c r="W8" s="30">
        <v>3669</v>
      </c>
      <c r="X8" s="9"/>
      <c r="Y8" s="30">
        <v>1155</v>
      </c>
      <c r="Z8" s="9"/>
      <c r="AA8" s="30">
        <v>963</v>
      </c>
      <c r="AB8" s="9"/>
      <c r="AC8" s="30">
        <v>599</v>
      </c>
      <c r="AD8" s="9"/>
      <c r="AE8" s="80">
        <v>44</v>
      </c>
      <c r="AF8" s="46"/>
      <c r="AG8" s="88">
        <v>6430</v>
      </c>
      <c r="AH8" s="47"/>
      <c r="AJ8" s="83">
        <v>5754391</v>
      </c>
      <c r="AL8" s="83">
        <v>2113857</v>
      </c>
      <c r="AN8" s="83">
        <v>1740486</v>
      </c>
      <c r="AP8" s="83">
        <v>1113158</v>
      </c>
      <c r="AR8" s="83">
        <v>79312</v>
      </c>
      <c r="AT8" s="204">
        <v>10801204</v>
      </c>
      <c r="AV8" s="46">
        <v>3088</v>
      </c>
      <c r="AX8" s="46">
        <v>1154</v>
      </c>
      <c r="AZ8" s="46">
        <v>963</v>
      </c>
      <c r="BB8" s="46">
        <v>599</v>
      </c>
      <c r="BD8" s="46">
        <v>44</v>
      </c>
      <c r="BF8" s="209">
        <v>6430</v>
      </c>
      <c r="BI8" s="83">
        <v>837251</v>
      </c>
      <c r="BK8" s="83">
        <v>1216</v>
      </c>
      <c r="BM8" s="83">
        <v>0</v>
      </c>
      <c r="BO8" s="83">
        <v>0</v>
      </c>
      <c r="BQ8" s="83">
        <v>0</v>
      </c>
      <c r="BS8" s="85">
        <v>838467</v>
      </c>
      <c r="BU8" s="46">
        <v>581</v>
      </c>
      <c r="BW8" s="46">
        <v>1</v>
      </c>
      <c r="BY8" s="46">
        <v>0</v>
      </c>
      <c r="CA8" s="46">
        <v>0</v>
      </c>
      <c r="CC8" s="46">
        <v>0</v>
      </c>
      <c r="CE8" s="209">
        <v>582</v>
      </c>
      <c r="CH8" s="41">
        <v>233195677</v>
      </c>
      <c r="CJ8" s="41">
        <v>91189307</v>
      </c>
      <c r="CL8" s="41">
        <v>64592592</v>
      </c>
      <c r="CN8" s="41">
        <v>42647919</v>
      </c>
      <c r="CP8" s="43">
        <v>431625495</v>
      </c>
      <c r="CS8" s="39">
        <v>35.377499999999998</v>
      </c>
      <c r="CU8" s="39">
        <v>43.113999999999997</v>
      </c>
      <c r="CW8" s="39">
        <v>9.7992000000000008</v>
      </c>
      <c r="CY8" s="39">
        <v>38.3125</v>
      </c>
      <c r="DA8" s="44">
        <v>37.082299999999996</v>
      </c>
      <c r="DC8" s="1" t="str">
        <f t="shared" si="0"/>
        <v>No</v>
      </c>
    </row>
    <row r="9" spans="1:111">
      <c r="A9" s="7" t="s">
        <v>614</v>
      </c>
      <c r="B9" s="7" t="s">
        <v>615</v>
      </c>
      <c r="C9" s="37" t="s">
        <v>77</v>
      </c>
      <c r="D9" s="296">
        <v>3019</v>
      </c>
      <c r="E9" s="297">
        <v>30019</v>
      </c>
      <c r="F9" s="27" t="s">
        <v>165</v>
      </c>
      <c r="G9" s="27" t="s">
        <v>158</v>
      </c>
      <c r="H9" s="35">
        <v>5441567</v>
      </c>
      <c r="I9" s="35">
        <v>2339</v>
      </c>
      <c r="J9" s="292"/>
      <c r="K9" s="8">
        <v>10577538</v>
      </c>
      <c r="L9" s="8"/>
      <c r="M9" s="8">
        <v>3172912</v>
      </c>
      <c r="N9" s="9"/>
      <c r="O9" s="8">
        <v>2586340</v>
      </c>
      <c r="P9" s="9"/>
      <c r="Q9" s="8">
        <v>1446651</v>
      </c>
      <c r="R9" s="9"/>
      <c r="S9" s="8">
        <v>1709211</v>
      </c>
      <c r="T9" s="9"/>
      <c r="U9" s="33">
        <v>19492652</v>
      </c>
      <c r="V9" s="9"/>
      <c r="W9" s="30">
        <v>4999</v>
      </c>
      <c r="X9" s="9"/>
      <c r="Y9" s="30">
        <v>1588</v>
      </c>
      <c r="Z9" s="9"/>
      <c r="AA9" s="30">
        <v>1243</v>
      </c>
      <c r="AB9" s="9"/>
      <c r="AC9" s="30">
        <v>777</v>
      </c>
      <c r="AD9" s="9"/>
      <c r="AE9" s="80">
        <v>803</v>
      </c>
      <c r="AF9" s="46"/>
      <c r="AG9" s="88">
        <v>9410</v>
      </c>
      <c r="AH9" s="47"/>
      <c r="AJ9" s="83">
        <v>10368352</v>
      </c>
      <c r="AL9" s="83">
        <v>3172912</v>
      </c>
      <c r="AN9" s="83">
        <v>2586340</v>
      </c>
      <c r="AP9" s="83">
        <v>1446651</v>
      </c>
      <c r="AR9" s="83">
        <v>1709211</v>
      </c>
      <c r="AT9" s="204">
        <v>19283466</v>
      </c>
      <c r="AV9" s="46">
        <v>4791</v>
      </c>
      <c r="AX9" s="46">
        <v>1588</v>
      </c>
      <c r="AZ9" s="46">
        <v>1243</v>
      </c>
      <c r="BB9" s="46">
        <v>777</v>
      </c>
      <c r="BD9" s="46">
        <v>803</v>
      </c>
      <c r="BF9" s="209">
        <v>9410</v>
      </c>
      <c r="BI9" s="83">
        <v>209186</v>
      </c>
      <c r="BK9" s="83">
        <v>0</v>
      </c>
      <c r="BM9" s="83">
        <v>0</v>
      </c>
      <c r="BO9" s="83">
        <v>0</v>
      </c>
      <c r="BQ9" s="83">
        <v>0</v>
      </c>
      <c r="BS9" s="85">
        <v>209186</v>
      </c>
      <c r="BU9" s="46">
        <v>208</v>
      </c>
      <c r="BW9" s="46">
        <v>0</v>
      </c>
      <c r="BY9" s="46">
        <v>0</v>
      </c>
      <c r="CA9" s="46">
        <v>0</v>
      </c>
      <c r="CC9" s="46">
        <v>0</v>
      </c>
      <c r="CE9" s="209">
        <v>208</v>
      </c>
      <c r="CH9" s="41">
        <v>307158757</v>
      </c>
      <c r="CJ9" s="41">
        <v>94419056</v>
      </c>
      <c r="CL9" s="41">
        <v>79079396</v>
      </c>
      <c r="CN9" s="41">
        <v>43848175</v>
      </c>
      <c r="CP9" s="43">
        <v>524505384</v>
      </c>
      <c r="CS9" s="39">
        <v>29.038799999999998</v>
      </c>
      <c r="CU9" s="39">
        <v>29.757899999999999</v>
      </c>
      <c r="CW9" s="39">
        <v>7.4762000000000004</v>
      </c>
      <c r="CY9" s="39">
        <v>30.310099999999998</v>
      </c>
      <c r="DA9" s="44">
        <v>26.907900000000001</v>
      </c>
      <c r="DC9" s="1" t="str">
        <f t="shared" si="0"/>
        <v>No</v>
      </c>
    </row>
    <row r="10" spans="1:111">
      <c r="A10" s="7" t="s">
        <v>1118</v>
      </c>
      <c r="B10" s="7" t="s">
        <v>488</v>
      </c>
      <c r="C10" s="37" t="s">
        <v>84</v>
      </c>
      <c r="D10" s="296">
        <v>6008</v>
      </c>
      <c r="E10" s="297">
        <v>60008</v>
      </c>
      <c r="F10" s="27" t="s">
        <v>165</v>
      </c>
      <c r="G10" s="27" t="s">
        <v>158</v>
      </c>
      <c r="H10" s="35">
        <v>4944332</v>
      </c>
      <c r="I10" s="35">
        <v>2206</v>
      </c>
      <c r="J10" s="292"/>
      <c r="K10" s="8">
        <v>4435194</v>
      </c>
      <c r="L10" s="8"/>
      <c r="M10" s="8">
        <v>1491885</v>
      </c>
      <c r="N10" s="9"/>
      <c r="O10" s="8">
        <v>547250</v>
      </c>
      <c r="P10" s="9"/>
      <c r="Q10" s="8">
        <v>881167</v>
      </c>
      <c r="R10" s="9"/>
      <c r="S10" s="8">
        <v>127420</v>
      </c>
      <c r="T10" s="9"/>
      <c r="U10" s="33">
        <v>7482916</v>
      </c>
      <c r="V10" s="9"/>
      <c r="W10" s="30">
        <v>2108.4499999999998</v>
      </c>
      <c r="X10" s="9"/>
      <c r="Y10" s="30">
        <v>729.93</v>
      </c>
      <c r="Z10" s="9"/>
      <c r="AA10" s="30">
        <v>266.43</v>
      </c>
      <c r="AB10" s="9"/>
      <c r="AC10" s="30">
        <v>458.36</v>
      </c>
      <c r="AD10" s="9"/>
      <c r="AE10" s="80">
        <v>65.819999999999993</v>
      </c>
      <c r="AF10" s="46"/>
      <c r="AG10" s="88">
        <v>3628.99</v>
      </c>
      <c r="AH10" s="47"/>
      <c r="AJ10" s="83">
        <v>4373729</v>
      </c>
      <c r="AL10" s="83">
        <v>1491885</v>
      </c>
      <c r="AN10" s="83">
        <v>547250</v>
      </c>
      <c r="AP10" s="83">
        <v>877933</v>
      </c>
      <c r="AR10" s="83">
        <v>127420</v>
      </c>
      <c r="AT10" s="204">
        <v>7418217</v>
      </c>
      <c r="AV10" s="46">
        <v>2054.4499999999998</v>
      </c>
      <c r="AX10" s="46">
        <v>729.93</v>
      </c>
      <c r="AZ10" s="46">
        <v>266.43</v>
      </c>
      <c r="BB10" s="46">
        <v>458.36</v>
      </c>
      <c r="BD10" s="46">
        <v>65.819999999999993</v>
      </c>
      <c r="BF10" s="209">
        <v>3628.99</v>
      </c>
      <c r="BI10" s="83">
        <v>61465</v>
      </c>
      <c r="BK10" s="83">
        <v>0</v>
      </c>
      <c r="BM10" s="83">
        <v>0</v>
      </c>
      <c r="BO10" s="83">
        <v>3234</v>
      </c>
      <c r="BQ10" s="83">
        <v>0</v>
      </c>
      <c r="BS10" s="85">
        <v>64699</v>
      </c>
      <c r="BU10" s="46">
        <v>54</v>
      </c>
      <c r="BW10" s="46">
        <v>0</v>
      </c>
      <c r="BY10" s="46">
        <v>0</v>
      </c>
      <c r="CA10" s="46">
        <v>0</v>
      </c>
      <c r="CC10" s="46">
        <v>0</v>
      </c>
      <c r="CE10" s="209">
        <v>54</v>
      </c>
      <c r="CH10" s="41">
        <v>92573938</v>
      </c>
      <c r="CJ10" s="41">
        <v>34184507</v>
      </c>
      <c r="CL10" s="41">
        <v>12153560</v>
      </c>
      <c r="CN10" s="41">
        <v>26414232</v>
      </c>
      <c r="CP10" s="43">
        <v>165326237</v>
      </c>
      <c r="CS10" s="39">
        <v>20.872599999999998</v>
      </c>
      <c r="CU10" s="39">
        <v>22.913599999999999</v>
      </c>
      <c r="CW10" s="39">
        <v>2.7403</v>
      </c>
      <c r="CY10" s="39">
        <v>29.976400000000002</v>
      </c>
      <c r="DA10" s="44">
        <v>22.093800000000002</v>
      </c>
      <c r="DC10" s="1" t="str">
        <f t="shared" si="0"/>
        <v>No</v>
      </c>
    </row>
    <row r="11" spans="1:111">
      <c r="A11" s="7" t="s">
        <v>465</v>
      </c>
      <c r="B11" s="7" t="s">
        <v>466</v>
      </c>
      <c r="C11" s="37" t="s">
        <v>48</v>
      </c>
      <c r="D11" s="296">
        <v>3034</v>
      </c>
      <c r="E11" s="297">
        <v>30034</v>
      </c>
      <c r="F11" s="27" t="s">
        <v>157</v>
      </c>
      <c r="G11" s="27" t="s">
        <v>158</v>
      </c>
      <c r="H11" s="35">
        <v>2203663</v>
      </c>
      <c r="I11" s="35">
        <v>1634</v>
      </c>
      <c r="J11" s="292"/>
      <c r="K11" s="8">
        <v>3940096</v>
      </c>
      <c r="L11" s="8"/>
      <c r="M11" s="8">
        <v>1213390</v>
      </c>
      <c r="N11" s="9"/>
      <c r="O11" s="8">
        <v>514049</v>
      </c>
      <c r="P11" s="9"/>
      <c r="Q11" s="8">
        <v>914136</v>
      </c>
      <c r="R11" s="9"/>
      <c r="S11" s="8">
        <v>79835</v>
      </c>
      <c r="T11" s="9"/>
      <c r="U11" s="33">
        <v>6661506</v>
      </c>
      <c r="V11" s="9"/>
      <c r="W11" s="30">
        <v>1892</v>
      </c>
      <c r="X11" s="9"/>
      <c r="Y11" s="30">
        <v>561</v>
      </c>
      <c r="Z11" s="9"/>
      <c r="AA11" s="30">
        <v>215</v>
      </c>
      <c r="AB11" s="9"/>
      <c r="AC11" s="30">
        <v>501</v>
      </c>
      <c r="AD11" s="9"/>
      <c r="AE11" s="80">
        <v>50</v>
      </c>
      <c r="AF11" s="46"/>
      <c r="AG11" s="88">
        <v>3219</v>
      </c>
      <c r="AH11" s="47"/>
      <c r="AJ11" s="83">
        <v>3920599</v>
      </c>
      <c r="AL11" s="83">
        <v>1213390</v>
      </c>
      <c r="AN11" s="83">
        <v>514049</v>
      </c>
      <c r="AP11" s="83">
        <v>896179</v>
      </c>
      <c r="AR11" s="83">
        <v>79835</v>
      </c>
      <c r="AT11" s="204">
        <v>6624052</v>
      </c>
      <c r="AV11" s="46">
        <v>1876</v>
      </c>
      <c r="AX11" s="46">
        <v>561</v>
      </c>
      <c r="AZ11" s="46">
        <v>215</v>
      </c>
      <c r="BB11" s="46">
        <v>487</v>
      </c>
      <c r="BD11" s="46">
        <v>50</v>
      </c>
      <c r="BF11" s="209">
        <v>3219</v>
      </c>
      <c r="BI11" s="83">
        <v>19497</v>
      </c>
      <c r="BK11" s="83">
        <v>0</v>
      </c>
      <c r="BM11" s="83">
        <v>0</v>
      </c>
      <c r="BO11" s="83">
        <v>17957</v>
      </c>
      <c r="BQ11" s="83">
        <v>0</v>
      </c>
      <c r="BS11" s="85">
        <v>37454</v>
      </c>
      <c r="BU11" s="46">
        <v>16</v>
      </c>
      <c r="BW11" s="46">
        <v>0</v>
      </c>
      <c r="BY11" s="46">
        <v>0</v>
      </c>
      <c r="CA11" s="46">
        <v>14</v>
      </c>
      <c r="CC11" s="46">
        <v>0</v>
      </c>
      <c r="CE11" s="209">
        <v>30</v>
      </c>
      <c r="CH11" s="41">
        <v>99736810</v>
      </c>
      <c r="CJ11" s="41">
        <v>26845476</v>
      </c>
      <c r="CL11" s="41">
        <v>15630832</v>
      </c>
      <c r="CN11" s="41">
        <v>23046390</v>
      </c>
      <c r="CP11" s="43">
        <v>165259508</v>
      </c>
      <c r="CS11" s="39">
        <v>25.313300000000002</v>
      </c>
      <c r="CU11" s="39">
        <v>22.124400000000001</v>
      </c>
      <c r="CW11" s="39">
        <v>3.9670999999999998</v>
      </c>
      <c r="CY11" s="39">
        <v>25.211099999999998</v>
      </c>
      <c r="DA11" s="44">
        <v>24.8081</v>
      </c>
      <c r="DC11" s="1" t="str">
        <f t="shared" si="0"/>
        <v>No</v>
      </c>
    </row>
    <row r="12" spans="1:111">
      <c r="A12" s="7" t="s">
        <v>540</v>
      </c>
      <c r="B12" s="7" t="s">
        <v>541</v>
      </c>
      <c r="C12" s="37" t="s">
        <v>40</v>
      </c>
      <c r="D12" s="296">
        <v>5113</v>
      </c>
      <c r="E12" s="297">
        <v>50113</v>
      </c>
      <c r="F12" s="27" t="s">
        <v>165</v>
      </c>
      <c r="G12" s="27" t="s">
        <v>158</v>
      </c>
      <c r="H12" s="35">
        <v>8608208</v>
      </c>
      <c r="I12" s="35">
        <v>1619</v>
      </c>
      <c r="J12" s="292"/>
      <c r="K12" s="8">
        <v>1981867</v>
      </c>
      <c r="L12" s="8"/>
      <c r="M12" s="8">
        <v>512521</v>
      </c>
      <c r="N12" s="9"/>
      <c r="O12" s="8">
        <v>49323</v>
      </c>
      <c r="P12" s="9"/>
      <c r="Q12" s="8">
        <v>333137</v>
      </c>
      <c r="R12" s="9"/>
      <c r="S12" s="8">
        <v>16228</v>
      </c>
      <c r="T12" s="9"/>
      <c r="U12" s="33">
        <v>2893076</v>
      </c>
      <c r="V12" s="9"/>
      <c r="W12" s="30">
        <v>1148.0999999999999</v>
      </c>
      <c r="X12" s="9"/>
      <c r="Y12" s="30">
        <v>271.89999999999998</v>
      </c>
      <c r="Z12" s="9"/>
      <c r="AA12" s="30">
        <v>26.9</v>
      </c>
      <c r="AB12" s="9"/>
      <c r="AC12" s="30">
        <v>183.1</v>
      </c>
      <c r="AD12" s="9"/>
      <c r="AE12" s="80">
        <v>8.27</v>
      </c>
      <c r="AF12" s="46"/>
      <c r="AG12" s="88">
        <v>1638.27</v>
      </c>
      <c r="AH12" s="47"/>
      <c r="AJ12" s="83">
        <v>1775672</v>
      </c>
      <c r="AL12" s="83">
        <v>507914</v>
      </c>
      <c r="AN12" s="83">
        <v>43990</v>
      </c>
      <c r="AP12" s="83">
        <v>300486</v>
      </c>
      <c r="AR12" s="83">
        <v>15260</v>
      </c>
      <c r="AT12" s="204">
        <v>2643322</v>
      </c>
      <c r="AV12" s="46">
        <v>982.1</v>
      </c>
      <c r="AX12" s="46">
        <v>266.89999999999998</v>
      </c>
      <c r="AZ12" s="46">
        <v>23.9</v>
      </c>
      <c r="BB12" s="46">
        <v>162.1</v>
      </c>
      <c r="BD12" s="46">
        <v>7.34</v>
      </c>
      <c r="BF12" s="209">
        <v>1638.27</v>
      </c>
      <c r="BI12" s="83">
        <v>206195</v>
      </c>
      <c r="BK12" s="83">
        <v>4607</v>
      </c>
      <c r="BM12" s="83">
        <v>5333</v>
      </c>
      <c r="BO12" s="83">
        <v>32651</v>
      </c>
      <c r="BQ12" s="83">
        <v>968</v>
      </c>
      <c r="BS12" s="85">
        <v>249754</v>
      </c>
      <c r="BU12" s="46">
        <v>166</v>
      </c>
      <c r="BW12" s="46">
        <v>5</v>
      </c>
      <c r="BY12" s="46">
        <v>3</v>
      </c>
      <c r="CA12" s="46">
        <v>21</v>
      </c>
      <c r="CC12" s="46">
        <v>0.93</v>
      </c>
      <c r="CE12" s="209">
        <v>195.93</v>
      </c>
      <c r="CH12" s="41">
        <v>54682173</v>
      </c>
      <c r="CJ12" s="41">
        <v>14106076</v>
      </c>
      <c r="CL12" s="41">
        <v>1335183</v>
      </c>
      <c r="CN12" s="41">
        <v>11350338</v>
      </c>
      <c r="CP12" s="43">
        <v>81473770</v>
      </c>
      <c r="CS12" s="39">
        <v>27.591200000000001</v>
      </c>
      <c r="CU12" s="39">
        <v>27.5229</v>
      </c>
      <c r="CW12" s="39">
        <v>0.67369999999999997</v>
      </c>
      <c r="CY12" s="39">
        <v>34.071100000000001</v>
      </c>
      <c r="DA12" s="44">
        <v>28.1616</v>
      </c>
      <c r="DC12" s="1" t="str">
        <f t="shared" si="0"/>
        <v>No</v>
      </c>
    </row>
    <row r="13" spans="1:111">
      <c r="A13" s="7" t="s">
        <v>536</v>
      </c>
      <c r="B13" s="7" t="s">
        <v>537</v>
      </c>
      <c r="C13" s="37" t="s">
        <v>17</v>
      </c>
      <c r="D13" s="296">
        <v>9036</v>
      </c>
      <c r="E13" s="297">
        <v>90036</v>
      </c>
      <c r="F13" s="27" t="s">
        <v>165</v>
      </c>
      <c r="G13" s="27" t="s">
        <v>158</v>
      </c>
      <c r="H13" s="35">
        <v>12150996</v>
      </c>
      <c r="I13" s="35">
        <v>1558</v>
      </c>
      <c r="J13" s="292"/>
      <c r="K13" s="8">
        <v>1433349</v>
      </c>
      <c r="L13" s="8"/>
      <c r="M13" s="8">
        <v>321776</v>
      </c>
      <c r="N13" s="9"/>
      <c r="O13" s="8">
        <v>18435</v>
      </c>
      <c r="P13" s="9"/>
      <c r="Q13" s="8">
        <v>204153</v>
      </c>
      <c r="R13" s="9"/>
      <c r="S13" s="8">
        <v>0</v>
      </c>
      <c r="T13" s="9"/>
      <c r="U13" s="33">
        <v>1977713</v>
      </c>
      <c r="V13" s="9"/>
      <c r="W13" s="30">
        <v>725.96</v>
      </c>
      <c r="X13" s="9"/>
      <c r="Y13" s="30">
        <v>170.26</v>
      </c>
      <c r="Z13" s="9"/>
      <c r="AA13" s="30">
        <v>9.66</v>
      </c>
      <c r="AB13" s="9"/>
      <c r="AC13" s="30">
        <v>113.27</v>
      </c>
      <c r="AD13" s="9"/>
      <c r="AE13" s="80">
        <v>0</v>
      </c>
      <c r="AF13" s="46"/>
      <c r="AG13" s="88">
        <v>1019.15</v>
      </c>
      <c r="AH13" s="47"/>
      <c r="AJ13" s="83">
        <v>1402887</v>
      </c>
      <c r="AL13" s="83">
        <v>320624</v>
      </c>
      <c r="AN13" s="83">
        <v>18130</v>
      </c>
      <c r="AP13" s="83">
        <v>194285</v>
      </c>
      <c r="AR13" s="83">
        <v>0</v>
      </c>
      <c r="AT13" s="204">
        <v>1935926</v>
      </c>
      <c r="AV13" s="46">
        <v>710.06</v>
      </c>
      <c r="AX13" s="46">
        <v>168.84</v>
      </c>
      <c r="AZ13" s="46">
        <v>9.24</v>
      </c>
      <c r="BB13" s="46">
        <v>105.65</v>
      </c>
      <c r="BD13" s="46">
        <v>0</v>
      </c>
      <c r="BF13" s="209">
        <v>1019.15</v>
      </c>
      <c r="BI13" s="83">
        <v>30462</v>
      </c>
      <c r="BK13" s="83">
        <v>1152</v>
      </c>
      <c r="BM13" s="83">
        <v>305</v>
      </c>
      <c r="BO13" s="83">
        <v>9868</v>
      </c>
      <c r="BQ13" s="83">
        <v>0</v>
      </c>
      <c r="BS13" s="85">
        <v>41787</v>
      </c>
      <c r="BU13" s="46">
        <v>15.9</v>
      </c>
      <c r="BW13" s="46">
        <v>1.42</v>
      </c>
      <c r="BY13" s="46">
        <v>0.42</v>
      </c>
      <c r="CA13" s="46">
        <v>7.62</v>
      </c>
      <c r="CC13" s="46">
        <v>0</v>
      </c>
      <c r="CE13" s="209">
        <v>25.36</v>
      </c>
      <c r="CH13" s="41">
        <v>38196103</v>
      </c>
      <c r="CJ13" s="41">
        <v>9642676</v>
      </c>
      <c r="CL13" s="41">
        <v>597299</v>
      </c>
      <c r="CN13" s="41">
        <v>8073499</v>
      </c>
      <c r="CP13" s="43">
        <v>56509577</v>
      </c>
      <c r="CS13" s="39">
        <v>26.648199999999999</v>
      </c>
      <c r="CU13" s="39">
        <v>29.966999999999999</v>
      </c>
      <c r="CW13" s="39">
        <v>0.41670000000000001</v>
      </c>
      <c r="CY13" s="39">
        <v>39.546300000000002</v>
      </c>
      <c r="DA13" s="44">
        <v>28.5732</v>
      </c>
      <c r="DC13" s="1" t="str">
        <f t="shared" si="0"/>
        <v>No</v>
      </c>
    </row>
    <row r="14" spans="1:111">
      <c r="A14" s="7" t="s">
        <v>562</v>
      </c>
      <c r="B14" s="7" t="s">
        <v>563</v>
      </c>
      <c r="C14" s="37" t="s">
        <v>26</v>
      </c>
      <c r="D14" s="296">
        <v>8006</v>
      </c>
      <c r="E14" s="297">
        <v>80006</v>
      </c>
      <c r="F14" s="27" t="s">
        <v>165</v>
      </c>
      <c r="G14" s="27" t="s">
        <v>158</v>
      </c>
      <c r="H14" s="35">
        <v>2374203</v>
      </c>
      <c r="I14" s="35">
        <v>1435</v>
      </c>
      <c r="J14" s="292"/>
      <c r="K14" s="8">
        <v>3310358</v>
      </c>
      <c r="L14" s="8"/>
      <c r="M14" s="8">
        <v>1099510</v>
      </c>
      <c r="N14" s="9"/>
      <c r="O14" s="8">
        <v>575625</v>
      </c>
      <c r="P14" s="9"/>
      <c r="Q14" s="8">
        <v>888939</v>
      </c>
      <c r="R14" s="9"/>
      <c r="S14" s="8">
        <v>110490</v>
      </c>
      <c r="T14" s="9"/>
      <c r="U14" s="33">
        <v>5984922</v>
      </c>
      <c r="V14" s="9"/>
      <c r="W14" s="30">
        <v>1627</v>
      </c>
      <c r="X14" s="9"/>
      <c r="Y14" s="30">
        <v>505</v>
      </c>
      <c r="Z14" s="9"/>
      <c r="AA14" s="30">
        <v>227</v>
      </c>
      <c r="AB14" s="9"/>
      <c r="AC14" s="30">
        <v>432</v>
      </c>
      <c r="AD14" s="9"/>
      <c r="AE14" s="80">
        <v>64.2</v>
      </c>
      <c r="AF14" s="46"/>
      <c r="AG14" s="88">
        <v>2855.2</v>
      </c>
      <c r="AH14" s="47"/>
      <c r="AJ14" s="83">
        <v>3072183</v>
      </c>
      <c r="AL14" s="83">
        <v>1099510</v>
      </c>
      <c r="AN14" s="83">
        <v>575625</v>
      </c>
      <c r="AP14" s="83">
        <v>877475</v>
      </c>
      <c r="AR14" s="83">
        <v>110490</v>
      </c>
      <c r="AT14" s="204">
        <v>5735283</v>
      </c>
      <c r="AV14" s="46">
        <v>1406</v>
      </c>
      <c r="AX14" s="46">
        <v>505</v>
      </c>
      <c r="AZ14" s="46">
        <v>227</v>
      </c>
      <c r="BB14" s="46">
        <v>419</v>
      </c>
      <c r="BD14" s="46">
        <v>64.2</v>
      </c>
      <c r="BF14" s="209">
        <v>2855.2</v>
      </c>
      <c r="BI14" s="83">
        <v>238175</v>
      </c>
      <c r="BK14" s="83">
        <v>0</v>
      </c>
      <c r="BM14" s="83">
        <v>0</v>
      </c>
      <c r="BO14" s="83">
        <v>11464</v>
      </c>
      <c r="BQ14" s="83">
        <v>0</v>
      </c>
      <c r="BS14" s="85">
        <v>249639</v>
      </c>
      <c r="BU14" s="46">
        <v>221</v>
      </c>
      <c r="BW14" s="46">
        <v>0</v>
      </c>
      <c r="BY14" s="46">
        <v>0</v>
      </c>
      <c r="CA14" s="46">
        <v>13</v>
      </c>
      <c r="CC14" s="46">
        <v>0</v>
      </c>
      <c r="CE14" s="209">
        <v>234</v>
      </c>
      <c r="CH14" s="41">
        <v>69568505</v>
      </c>
      <c r="CJ14" s="41">
        <v>25655782</v>
      </c>
      <c r="CL14" s="41">
        <v>14682959</v>
      </c>
      <c r="CN14" s="41">
        <v>31288422</v>
      </c>
      <c r="CP14" s="43">
        <v>141195668</v>
      </c>
      <c r="CS14" s="39">
        <v>21.0154</v>
      </c>
      <c r="CU14" s="39">
        <v>23.3338</v>
      </c>
      <c r="CW14" s="39">
        <v>4.4355000000000002</v>
      </c>
      <c r="CY14" s="39">
        <v>35.197499999999998</v>
      </c>
      <c r="DA14" s="44">
        <v>23.591899999999999</v>
      </c>
      <c r="DC14" s="1" t="str">
        <f t="shared" si="0"/>
        <v>No</v>
      </c>
    </row>
    <row r="15" spans="1:111">
      <c r="A15" s="7" t="s">
        <v>493</v>
      </c>
      <c r="B15" s="7" t="s">
        <v>494</v>
      </c>
      <c r="C15" s="37" t="s">
        <v>32</v>
      </c>
      <c r="D15" s="296">
        <v>4034</v>
      </c>
      <c r="E15" s="297">
        <v>40034</v>
      </c>
      <c r="F15" s="27" t="s">
        <v>162</v>
      </c>
      <c r="G15" s="27" t="s">
        <v>158</v>
      </c>
      <c r="H15" s="35">
        <v>5502379</v>
      </c>
      <c r="I15" s="35">
        <v>1181</v>
      </c>
      <c r="J15" s="292"/>
      <c r="K15" s="8">
        <v>3932209</v>
      </c>
      <c r="L15" s="8"/>
      <c r="M15" s="8">
        <v>1522243</v>
      </c>
      <c r="N15" s="9"/>
      <c r="O15" s="8">
        <v>641644</v>
      </c>
      <c r="P15" s="9"/>
      <c r="Q15" s="8">
        <v>667543</v>
      </c>
      <c r="R15" s="9"/>
      <c r="S15" s="8">
        <v>38092</v>
      </c>
      <c r="T15" s="9"/>
      <c r="U15" s="33">
        <v>6801731</v>
      </c>
      <c r="V15" s="9"/>
      <c r="W15" s="30">
        <v>2379</v>
      </c>
      <c r="X15" s="9"/>
      <c r="Y15" s="30">
        <v>749</v>
      </c>
      <c r="Z15" s="9"/>
      <c r="AA15" s="30">
        <v>345</v>
      </c>
      <c r="AB15" s="9"/>
      <c r="AC15" s="30">
        <v>325</v>
      </c>
      <c r="AD15" s="9"/>
      <c r="AE15" s="80">
        <v>17</v>
      </c>
      <c r="AF15" s="46"/>
      <c r="AG15" s="88">
        <v>3815</v>
      </c>
      <c r="AH15" s="47"/>
      <c r="AJ15" s="83">
        <v>3452087</v>
      </c>
      <c r="AL15" s="83">
        <v>1522243</v>
      </c>
      <c r="AN15" s="83">
        <v>605986</v>
      </c>
      <c r="AP15" s="83">
        <v>667314</v>
      </c>
      <c r="AR15" s="83">
        <v>38092</v>
      </c>
      <c r="AT15" s="204">
        <v>6285722</v>
      </c>
      <c r="AV15" s="46">
        <v>2043</v>
      </c>
      <c r="AX15" s="46">
        <v>749</v>
      </c>
      <c r="AZ15" s="46">
        <v>293</v>
      </c>
      <c r="BB15" s="46">
        <v>324</v>
      </c>
      <c r="BD15" s="46">
        <v>17</v>
      </c>
      <c r="BF15" s="209">
        <v>3815</v>
      </c>
      <c r="BI15" s="83">
        <v>480122</v>
      </c>
      <c r="BK15" s="83">
        <v>0</v>
      </c>
      <c r="BM15" s="83">
        <v>35658</v>
      </c>
      <c r="BO15" s="83">
        <v>229</v>
      </c>
      <c r="BQ15" s="83">
        <v>0</v>
      </c>
      <c r="BS15" s="85">
        <v>516009</v>
      </c>
      <c r="BU15" s="46">
        <v>336</v>
      </c>
      <c r="BW15" s="46">
        <v>0</v>
      </c>
      <c r="BY15" s="46">
        <v>52</v>
      </c>
      <c r="CA15" s="46">
        <v>1</v>
      </c>
      <c r="CC15" s="46">
        <v>0</v>
      </c>
      <c r="CE15" s="209">
        <v>389</v>
      </c>
      <c r="CH15" s="41">
        <v>150942932</v>
      </c>
      <c r="CJ15" s="41">
        <v>45717560</v>
      </c>
      <c r="CL15" s="41">
        <v>16575184</v>
      </c>
      <c r="CN15" s="41">
        <v>27556359</v>
      </c>
      <c r="CP15" s="43">
        <v>240792035</v>
      </c>
      <c r="CS15" s="39">
        <v>38.386299999999999</v>
      </c>
      <c r="CU15" s="39">
        <v>30.033000000000001</v>
      </c>
      <c r="CW15" s="39">
        <v>4.2152000000000003</v>
      </c>
      <c r="CY15" s="39">
        <v>41.280299999999997</v>
      </c>
      <c r="DA15" s="44">
        <v>35.401600000000002</v>
      </c>
      <c r="DC15" s="1" t="str">
        <f t="shared" si="0"/>
        <v>No</v>
      </c>
    </row>
    <row r="16" spans="1:111">
      <c r="A16" s="7" t="s">
        <v>478</v>
      </c>
      <c r="B16" s="7" t="s">
        <v>479</v>
      </c>
      <c r="C16" s="37" t="s">
        <v>70</v>
      </c>
      <c r="D16" s="296">
        <v>2078</v>
      </c>
      <c r="E16" s="297">
        <v>20078</v>
      </c>
      <c r="F16" s="27" t="s">
        <v>240</v>
      </c>
      <c r="G16" s="27" t="s">
        <v>158</v>
      </c>
      <c r="H16" s="35">
        <v>18351295</v>
      </c>
      <c r="I16" s="35">
        <v>1175</v>
      </c>
      <c r="J16" s="292"/>
      <c r="K16" s="8">
        <v>3697556</v>
      </c>
      <c r="L16" s="8"/>
      <c r="M16" s="8">
        <v>2740059</v>
      </c>
      <c r="N16" s="9"/>
      <c r="O16" s="8">
        <v>3470029</v>
      </c>
      <c r="P16" s="9"/>
      <c r="Q16" s="8">
        <v>912253</v>
      </c>
      <c r="R16" s="9"/>
      <c r="S16" s="8">
        <v>695226</v>
      </c>
      <c r="T16" s="9"/>
      <c r="U16" s="33">
        <v>11515123</v>
      </c>
      <c r="V16" s="9"/>
      <c r="W16" s="30">
        <v>1716</v>
      </c>
      <c r="X16" s="9"/>
      <c r="Y16" s="30">
        <v>1723</v>
      </c>
      <c r="Z16" s="9"/>
      <c r="AA16" s="30">
        <v>2081</v>
      </c>
      <c r="AB16" s="9"/>
      <c r="AC16" s="30">
        <v>476</v>
      </c>
      <c r="AD16" s="9"/>
      <c r="AE16" s="80">
        <v>381</v>
      </c>
      <c r="AF16" s="46"/>
      <c r="AG16" s="88">
        <v>6377</v>
      </c>
      <c r="AH16" s="47"/>
      <c r="AJ16" s="83">
        <v>3697556</v>
      </c>
      <c r="AL16" s="83">
        <v>2740059</v>
      </c>
      <c r="AN16" s="83">
        <v>3470029</v>
      </c>
      <c r="AP16" s="83">
        <v>912253</v>
      </c>
      <c r="AR16" s="83">
        <v>695226</v>
      </c>
      <c r="AT16" s="204">
        <v>11515123</v>
      </c>
      <c r="AV16" s="46">
        <v>1716</v>
      </c>
      <c r="AX16" s="46">
        <v>1723</v>
      </c>
      <c r="AZ16" s="46">
        <v>2081</v>
      </c>
      <c r="BB16" s="46">
        <v>476</v>
      </c>
      <c r="BD16" s="46">
        <v>381</v>
      </c>
      <c r="BF16" s="209">
        <v>6377</v>
      </c>
      <c r="BI16" s="83">
        <v>0</v>
      </c>
      <c r="BK16" s="83">
        <v>0</v>
      </c>
      <c r="BM16" s="83">
        <v>0</v>
      </c>
      <c r="BO16" s="83">
        <v>0</v>
      </c>
      <c r="BQ16" s="83">
        <v>0</v>
      </c>
      <c r="BS16" s="85">
        <v>0</v>
      </c>
      <c r="BU16" s="46">
        <v>0</v>
      </c>
      <c r="BW16" s="46">
        <v>0</v>
      </c>
      <c r="BY16" s="46">
        <v>0</v>
      </c>
      <c r="CA16" s="46">
        <v>0</v>
      </c>
      <c r="CC16" s="46">
        <v>0</v>
      </c>
      <c r="CE16" s="209">
        <v>0</v>
      </c>
      <c r="CH16" s="41">
        <v>168011886</v>
      </c>
      <c r="CJ16" s="41">
        <v>106090901</v>
      </c>
      <c r="CL16" s="41">
        <v>141361528</v>
      </c>
      <c r="CN16" s="41">
        <v>40510592</v>
      </c>
      <c r="CP16" s="43">
        <v>455974907</v>
      </c>
      <c r="CS16" s="39">
        <v>45.438600000000001</v>
      </c>
      <c r="CU16" s="39">
        <v>38.718499999999999</v>
      </c>
      <c r="CW16" s="39">
        <v>38.231099999999998</v>
      </c>
      <c r="CY16" s="39">
        <v>44.407200000000003</v>
      </c>
      <c r="DA16" s="44">
        <v>39.597900000000003</v>
      </c>
      <c r="DC16" s="1" t="str">
        <f t="shared" si="0"/>
        <v>No</v>
      </c>
    </row>
    <row r="17" spans="1:107">
      <c r="A17" s="7" t="s">
        <v>723</v>
      </c>
      <c r="B17" s="7" t="s">
        <v>479</v>
      </c>
      <c r="C17" s="37" t="s">
        <v>70</v>
      </c>
      <c r="D17" s="296">
        <v>2188</v>
      </c>
      <c r="E17" s="297">
        <v>20188</v>
      </c>
      <c r="F17" s="27" t="s">
        <v>240</v>
      </c>
      <c r="G17" s="27" t="s">
        <v>158</v>
      </c>
      <c r="H17" s="35">
        <v>18351295</v>
      </c>
      <c r="I17" s="35">
        <v>1093</v>
      </c>
      <c r="J17" s="292"/>
      <c r="K17" s="8">
        <v>5975300</v>
      </c>
      <c r="L17" s="8"/>
      <c r="M17" s="8">
        <v>2382377</v>
      </c>
      <c r="N17" s="9"/>
      <c r="O17" s="8">
        <v>207907</v>
      </c>
      <c r="P17" s="9"/>
      <c r="Q17" s="8">
        <v>250421</v>
      </c>
      <c r="R17" s="9"/>
      <c r="S17" s="8">
        <v>49886</v>
      </c>
      <c r="T17" s="9"/>
      <c r="U17" s="33">
        <v>8865891</v>
      </c>
      <c r="V17" s="9"/>
      <c r="W17" s="30">
        <v>2783</v>
      </c>
      <c r="X17" s="9"/>
      <c r="Y17" s="30">
        <v>1070</v>
      </c>
      <c r="Z17" s="9"/>
      <c r="AA17" s="30">
        <v>85</v>
      </c>
      <c r="AB17" s="9"/>
      <c r="AC17" s="30">
        <v>181</v>
      </c>
      <c r="AD17" s="9"/>
      <c r="AE17" s="80">
        <v>24</v>
      </c>
      <c r="AF17" s="46"/>
      <c r="AG17" s="88">
        <v>4143</v>
      </c>
      <c r="AH17" s="47"/>
      <c r="AJ17" s="83">
        <v>5941823</v>
      </c>
      <c r="AL17" s="83">
        <v>2382377</v>
      </c>
      <c r="AN17" s="83">
        <v>207907</v>
      </c>
      <c r="AP17" s="83">
        <v>248788</v>
      </c>
      <c r="AR17" s="83">
        <v>49886</v>
      </c>
      <c r="AT17" s="204">
        <v>8830781</v>
      </c>
      <c r="AV17" s="46">
        <v>2716</v>
      </c>
      <c r="AX17" s="46">
        <v>1070</v>
      </c>
      <c r="AZ17" s="46">
        <v>85</v>
      </c>
      <c r="BB17" s="46">
        <v>179</v>
      </c>
      <c r="BD17" s="46">
        <v>24</v>
      </c>
      <c r="BF17" s="209">
        <v>4143</v>
      </c>
      <c r="BI17" s="83">
        <v>33477</v>
      </c>
      <c r="BK17" s="83">
        <v>0</v>
      </c>
      <c r="BM17" s="83">
        <v>0</v>
      </c>
      <c r="BO17" s="83">
        <v>1633</v>
      </c>
      <c r="BQ17" s="83">
        <v>0</v>
      </c>
      <c r="BS17" s="85">
        <v>35110</v>
      </c>
      <c r="BU17" s="46">
        <v>67</v>
      </c>
      <c r="BW17" s="46">
        <v>0</v>
      </c>
      <c r="BY17" s="46">
        <v>0</v>
      </c>
      <c r="CA17" s="46">
        <v>2</v>
      </c>
      <c r="CC17" s="46">
        <v>0</v>
      </c>
      <c r="CE17" s="209">
        <v>69</v>
      </c>
      <c r="CH17" s="41">
        <v>172906819</v>
      </c>
      <c r="CJ17" s="41">
        <v>71960666</v>
      </c>
      <c r="CL17" s="41">
        <v>5995050</v>
      </c>
      <c r="CN17" s="41">
        <v>13026440</v>
      </c>
      <c r="CP17" s="43">
        <v>263888975</v>
      </c>
      <c r="CS17" s="39">
        <v>28.936900000000001</v>
      </c>
      <c r="CU17" s="39">
        <v>30.205400000000001</v>
      </c>
      <c r="CW17" s="39">
        <v>1.0033000000000001</v>
      </c>
      <c r="CY17" s="39">
        <v>52.0182</v>
      </c>
      <c r="DA17" s="44">
        <v>29.764500000000002</v>
      </c>
      <c r="DC17" s="1" t="str">
        <f t="shared" si="0"/>
        <v>No</v>
      </c>
    </row>
    <row r="18" spans="1:107">
      <c r="A18" s="7" t="s">
        <v>671</v>
      </c>
      <c r="B18" s="7" t="s">
        <v>672</v>
      </c>
      <c r="C18" s="37" t="s">
        <v>85</v>
      </c>
      <c r="D18" s="296">
        <v>8001</v>
      </c>
      <c r="E18" s="297">
        <v>80001</v>
      </c>
      <c r="F18" s="27" t="s">
        <v>165</v>
      </c>
      <c r="G18" s="27" t="s">
        <v>158</v>
      </c>
      <c r="H18" s="35">
        <v>1021243</v>
      </c>
      <c r="I18" s="35">
        <v>1087</v>
      </c>
      <c r="J18" s="292"/>
      <c r="K18" s="8">
        <v>2418729</v>
      </c>
      <c r="L18" s="8"/>
      <c r="M18" s="8">
        <v>802825</v>
      </c>
      <c r="N18" s="9"/>
      <c r="O18" s="8">
        <v>726015</v>
      </c>
      <c r="P18" s="9"/>
      <c r="Q18" s="8">
        <v>577258</v>
      </c>
      <c r="R18" s="9"/>
      <c r="S18" s="8">
        <v>73263</v>
      </c>
      <c r="T18" s="9"/>
      <c r="U18" s="33">
        <v>4598090</v>
      </c>
      <c r="V18" s="9"/>
      <c r="W18" s="30">
        <v>1300.9000000000001</v>
      </c>
      <c r="X18" s="9"/>
      <c r="Y18" s="30">
        <v>413</v>
      </c>
      <c r="Z18" s="9"/>
      <c r="AA18" s="30">
        <v>398.9</v>
      </c>
      <c r="AB18" s="9"/>
      <c r="AC18" s="30">
        <v>329</v>
      </c>
      <c r="AD18" s="9"/>
      <c r="AE18" s="80">
        <v>65.400000000000006</v>
      </c>
      <c r="AF18" s="46"/>
      <c r="AG18" s="88">
        <v>2507.1999999999998</v>
      </c>
      <c r="AH18" s="47"/>
      <c r="AJ18" s="83">
        <v>2331645</v>
      </c>
      <c r="AL18" s="83">
        <v>802331</v>
      </c>
      <c r="AN18" s="83">
        <v>701678</v>
      </c>
      <c r="AP18" s="83">
        <v>556079</v>
      </c>
      <c r="AR18" s="83">
        <v>73263</v>
      </c>
      <c r="AT18" s="204">
        <v>4464996</v>
      </c>
      <c r="AV18" s="46">
        <v>1188.0999999999999</v>
      </c>
      <c r="AX18" s="46">
        <v>412</v>
      </c>
      <c r="AZ18" s="46">
        <v>368</v>
      </c>
      <c r="BB18" s="46">
        <v>298</v>
      </c>
      <c r="BD18" s="46">
        <v>65.400000000000006</v>
      </c>
      <c r="BF18" s="209">
        <v>2507.1999999999998</v>
      </c>
      <c r="BI18" s="83">
        <v>87084</v>
      </c>
      <c r="BK18" s="83">
        <v>494</v>
      </c>
      <c r="BM18" s="83">
        <v>24337</v>
      </c>
      <c r="BO18" s="83">
        <v>21179</v>
      </c>
      <c r="BQ18" s="83">
        <v>0</v>
      </c>
      <c r="BS18" s="85">
        <v>133094</v>
      </c>
      <c r="BU18" s="46">
        <v>112.8</v>
      </c>
      <c r="BW18" s="46">
        <v>1</v>
      </c>
      <c r="BY18" s="46">
        <v>30.9</v>
      </c>
      <c r="CA18" s="46">
        <v>31</v>
      </c>
      <c r="CC18" s="46">
        <v>0</v>
      </c>
      <c r="CE18" s="209">
        <v>175.7</v>
      </c>
      <c r="CH18" s="41">
        <v>50540225</v>
      </c>
      <c r="CJ18" s="41">
        <v>19516396</v>
      </c>
      <c r="CL18" s="41">
        <v>14660232</v>
      </c>
      <c r="CN18" s="41">
        <v>21807532</v>
      </c>
      <c r="CP18" s="43">
        <v>106524385</v>
      </c>
      <c r="CS18" s="39">
        <v>20.895399999999999</v>
      </c>
      <c r="CU18" s="39">
        <v>24.309699999999999</v>
      </c>
      <c r="CW18" s="39">
        <v>6.0610999999999997</v>
      </c>
      <c r="CY18" s="39">
        <v>37.777799999999999</v>
      </c>
      <c r="DA18" s="44">
        <v>23.167100000000001</v>
      </c>
      <c r="DC18" s="1" t="str">
        <f t="shared" si="0"/>
        <v>No</v>
      </c>
    </row>
    <row r="19" spans="1:107">
      <c r="A19" s="7" t="s">
        <v>344</v>
      </c>
      <c r="B19" s="7" t="s">
        <v>345</v>
      </c>
      <c r="C19" s="37" t="s">
        <v>84</v>
      </c>
      <c r="D19" s="296">
        <v>6056</v>
      </c>
      <c r="E19" s="297">
        <v>60056</v>
      </c>
      <c r="F19" s="27" t="s">
        <v>165</v>
      </c>
      <c r="G19" s="27" t="s">
        <v>158</v>
      </c>
      <c r="H19" s="35">
        <v>5121892</v>
      </c>
      <c r="I19" s="35">
        <v>1069</v>
      </c>
      <c r="J19" s="292"/>
      <c r="K19" s="8">
        <v>4700962</v>
      </c>
      <c r="L19" s="8"/>
      <c r="M19" s="8">
        <v>1215424</v>
      </c>
      <c r="N19" s="9"/>
      <c r="O19" s="8">
        <v>741774</v>
      </c>
      <c r="P19" s="9"/>
      <c r="Q19" s="8">
        <v>703403</v>
      </c>
      <c r="R19" s="9"/>
      <c r="S19" s="8">
        <v>70008</v>
      </c>
      <c r="T19" s="9"/>
      <c r="U19" s="33">
        <v>7431571</v>
      </c>
      <c r="V19" s="9"/>
      <c r="W19" s="30">
        <v>2338</v>
      </c>
      <c r="X19" s="9"/>
      <c r="Y19" s="30">
        <v>638</v>
      </c>
      <c r="Z19" s="9"/>
      <c r="AA19" s="30">
        <v>410</v>
      </c>
      <c r="AB19" s="9"/>
      <c r="AC19" s="30">
        <v>414</v>
      </c>
      <c r="AD19" s="9"/>
      <c r="AE19" s="80">
        <v>41</v>
      </c>
      <c r="AF19" s="46"/>
      <c r="AG19" s="88">
        <v>3841</v>
      </c>
      <c r="AH19" s="47"/>
      <c r="AJ19" s="83">
        <v>4591494</v>
      </c>
      <c r="AL19" s="83">
        <v>1207040</v>
      </c>
      <c r="AN19" s="83">
        <v>735941</v>
      </c>
      <c r="AP19" s="83">
        <v>693766</v>
      </c>
      <c r="AR19" s="83">
        <v>68227</v>
      </c>
      <c r="AT19" s="204">
        <v>7296468</v>
      </c>
      <c r="AV19" s="46">
        <v>2227</v>
      </c>
      <c r="AX19" s="46">
        <v>630</v>
      </c>
      <c r="AZ19" s="46">
        <v>405</v>
      </c>
      <c r="BB19" s="46">
        <v>399</v>
      </c>
      <c r="BD19" s="46">
        <v>39</v>
      </c>
      <c r="BF19" s="209">
        <v>3841</v>
      </c>
      <c r="BI19" s="83">
        <v>109468</v>
      </c>
      <c r="BK19" s="83">
        <v>8384</v>
      </c>
      <c r="BM19" s="83">
        <v>5833</v>
      </c>
      <c r="BO19" s="83">
        <v>9637</v>
      </c>
      <c r="BQ19" s="83">
        <v>1781</v>
      </c>
      <c r="BS19" s="85">
        <v>135103</v>
      </c>
      <c r="BU19" s="46">
        <v>111</v>
      </c>
      <c r="BW19" s="46">
        <v>8</v>
      </c>
      <c r="BY19" s="46">
        <v>5</v>
      </c>
      <c r="CA19" s="46">
        <v>15</v>
      </c>
      <c r="CC19" s="46">
        <v>2</v>
      </c>
      <c r="CE19" s="209">
        <v>141</v>
      </c>
      <c r="CH19" s="41">
        <v>114120322</v>
      </c>
      <c r="CJ19" s="41">
        <v>40239166</v>
      </c>
      <c r="CL19" s="41">
        <v>22098998</v>
      </c>
      <c r="CN19" s="41">
        <v>30389499</v>
      </c>
      <c r="CP19" s="43">
        <v>206847985</v>
      </c>
      <c r="CS19" s="39">
        <v>24.276</v>
      </c>
      <c r="CU19" s="39">
        <v>33.107100000000003</v>
      </c>
      <c r="CW19" s="39">
        <v>4.7009999999999996</v>
      </c>
      <c r="CY19" s="39">
        <v>43.203499999999998</v>
      </c>
      <c r="DA19" s="44">
        <v>27.8337</v>
      </c>
      <c r="DC19" s="1" t="str">
        <f t="shared" si="0"/>
        <v>No</v>
      </c>
    </row>
    <row r="20" spans="1:107">
      <c r="A20" s="7" t="s">
        <v>522</v>
      </c>
      <c r="B20" s="7" t="s">
        <v>280</v>
      </c>
      <c r="C20" s="37" t="s">
        <v>40</v>
      </c>
      <c r="D20" s="296">
        <v>5118</v>
      </c>
      <c r="E20" s="297">
        <v>50118</v>
      </c>
      <c r="F20" s="27" t="s">
        <v>165</v>
      </c>
      <c r="G20" s="27" t="s">
        <v>158</v>
      </c>
      <c r="H20" s="35">
        <v>8608208</v>
      </c>
      <c r="I20" s="35">
        <v>1061</v>
      </c>
      <c r="J20" s="292"/>
      <c r="K20" s="8">
        <v>3582260</v>
      </c>
      <c r="L20" s="8"/>
      <c r="M20" s="8">
        <v>2353720</v>
      </c>
      <c r="N20" s="9"/>
      <c r="O20" s="8">
        <v>1768162</v>
      </c>
      <c r="P20" s="9"/>
      <c r="Q20" s="8">
        <v>780435</v>
      </c>
      <c r="R20" s="9"/>
      <c r="S20" s="8">
        <v>951600</v>
      </c>
      <c r="T20" s="9"/>
      <c r="U20" s="33">
        <v>9436177</v>
      </c>
      <c r="V20" s="9"/>
      <c r="W20" s="30">
        <v>1714</v>
      </c>
      <c r="X20" s="9"/>
      <c r="Y20" s="30">
        <v>1304</v>
      </c>
      <c r="Z20" s="9"/>
      <c r="AA20" s="30">
        <v>898</v>
      </c>
      <c r="AB20" s="9"/>
      <c r="AC20" s="30">
        <v>423</v>
      </c>
      <c r="AD20" s="9"/>
      <c r="AE20" s="80">
        <v>488</v>
      </c>
      <c r="AF20" s="46"/>
      <c r="AG20" s="88">
        <v>4827</v>
      </c>
      <c r="AH20" s="47"/>
      <c r="AJ20" s="83">
        <v>3582260</v>
      </c>
      <c r="AL20" s="83">
        <v>2353720</v>
      </c>
      <c r="AN20" s="83">
        <v>1768162</v>
      </c>
      <c r="AP20" s="83">
        <v>780435</v>
      </c>
      <c r="AR20" s="83">
        <v>951600</v>
      </c>
      <c r="AT20" s="204">
        <v>9436177</v>
      </c>
      <c r="AV20" s="46">
        <v>1714</v>
      </c>
      <c r="AX20" s="46">
        <v>1304</v>
      </c>
      <c r="AZ20" s="46">
        <v>898</v>
      </c>
      <c r="BB20" s="46">
        <v>423</v>
      </c>
      <c r="BD20" s="46">
        <v>488</v>
      </c>
      <c r="BF20" s="209">
        <v>4827</v>
      </c>
      <c r="BI20" s="83">
        <v>0</v>
      </c>
      <c r="BK20" s="83">
        <v>0</v>
      </c>
      <c r="BM20" s="83">
        <v>0</v>
      </c>
      <c r="BO20" s="83">
        <v>0</v>
      </c>
      <c r="BQ20" s="83">
        <v>0</v>
      </c>
      <c r="BS20" s="85">
        <v>0</v>
      </c>
      <c r="BU20" s="46">
        <v>0</v>
      </c>
      <c r="BW20" s="46">
        <v>0</v>
      </c>
      <c r="BY20" s="46">
        <v>0</v>
      </c>
      <c r="CA20" s="46">
        <v>0</v>
      </c>
      <c r="CC20" s="46">
        <v>0</v>
      </c>
      <c r="CE20" s="209">
        <v>0</v>
      </c>
      <c r="CH20" s="41">
        <v>128925179</v>
      </c>
      <c r="CJ20" s="41">
        <v>75280971</v>
      </c>
      <c r="CL20" s="41">
        <v>56577110</v>
      </c>
      <c r="CN20" s="41">
        <v>28857093</v>
      </c>
      <c r="CP20" s="43">
        <v>289640353</v>
      </c>
      <c r="CS20" s="39">
        <v>35.989899999999999</v>
      </c>
      <c r="CU20" s="39">
        <v>31.983799999999999</v>
      </c>
      <c r="CW20" s="39">
        <v>15.793699999999999</v>
      </c>
      <c r="CY20" s="39">
        <v>36.975700000000003</v>
      </c>
      <c r="DA20" s="44">
        <v>30.694700000000001</v>
      </c>
      <c r="DC20" s="1" t="str">
        <f t="shared" si="0"/>
        <v>No</v>
      </c>
    </row>
    <row r="21" spans="1:107">
      <c r="A21" s="7" t="s">
        <v>452</v>
      </c>
      <c r="B21" s="7" t="s">
        <v>453</v>
      </c>
      <c r="C21" s="37" t="s">
        <v>70</v>
      </c>
      <c r="D21" s="296">
        <v>2100</v>
      </c>
      <c r="E21" s="297">
        <v>20100</v>
      </c>
      <c r="F21" s="27" t="s">
        <v>240</v>
      </c>
      <c r="G21" s="27" t="s">
        <v>158</v>
      </c>
      <c r="H21" s="35">
        <v>18351295</v>
      </c>
      <c r="I21" s="35">
        <v>1020</v>
      </c>
      <c r="J21" s="292"/>
      <c r="K21" s="8">
        <v>4693521</v>
      </c>
      <c r="L21" s="8"/>
      <c r="M21" s="8">
        <v>4432342</v>
      </c>
      <c r="N21" s="9"/>
      <c r="O21" s="8">
        <v>2893860</v>
      </c>
      <c r="P21" s="9"/>
      <c r="Q21" s="8">
        <v>857786</v>
      </c>
      <c r="R21" s="9"/>
      <c r="S21" s="8">
        <v>2444976</v>
      </c>
      <c r="T21" s="9"/>
      <c r="U21" s="33">
        <v>15322485</v>
      </c>
      <c r="V21" s="9"/>
      <c r="W21" s="30">
        <v>2179</v>
      </c>
      <c r="X21" s="9"/>
      <c r="Y21" s="30">
        <v>2054</v>
      </c>
      <c r="Z21" s="9"/>
      <c r="AA21" s="30">
        <v>1483</v>
      </c>
      <c r="AB21" s="9"/>
      <c r="AC21" s="30">
        <v>454</v>
      </c>
      <c r="AD21" s="9"/>
      <c r="AE21" s="80">
        <v>944</v>
      </c>
      <c r="AF21" s="46"/>
      <c r="AG21" s="88">
        <v>7114</v>
      </c>
      <c r="AH21" s="47"/>
      <c r="AJ21" s="83">
        <v>4693521</v>
      </c>
      <c r="AL21" s="83">
        <v>4432342</v>
      </c>
      <c r="AN21" s="83">
        <v>2893860</v>
      </c>
      <c r="AP21" s="83">
        <v>857786</v>
      </c>
      <c r="AR21" s="83">
        <v>2444976</v>
      </c>
      <c r="AT21" s="204">
        <v>15322485</v>
      </c>
      <c r="AV21" s="46">
        <v>2179</v>
      </c>
      <c r="AX21" s="46">
        <v>2054</v>
      </c>
      <c r="AZ21" s="46">
        <v>1483</v>
      </c>
      <c r="BB21" s="46">
        <v>454</v>
      </c>
      <c r="BD21" s="46">
        <v>944</v>
      </c>
      <c r="BF21" s="209">
        <v>7114</v>
      </c>
      <c r="BI21" s="83">
        <v>0</v>
      </c>
      <c r="BK21" s="83">
        <v>0</v>
      </c>
      <c r="BM21" s="83">
        <v>0</v>
      </c>
      <c r="BO21" s="83">
        <v>0</v>
      </c>
      <c r="BQ21" s="83">
        <v>0</v>
      </c>
      <c r="BS21" s="85">
        <v>0</v>
      </c>
      <c r="BU21" s="46">
        <v>0</v>
      </c>
      <c r="BW21" s="46">
        <v>0</v>
      </c>
      <c r="BY21" s="46">
        <v>0</v>
      </c>
      <c r="CA21" s="46">
        <v>0</v>
      </c>
      <c r="CC21" s="46">
        <v>0</v>
      </c>
      <c r="CE21" s="209">
        <v>0</v>
      </c>
      <c r="CH21" s="41">
        <v>181678875</v>
      </c>
      <c r="CJ21" s="41">
        <v>181076500</v>
      </c>
      <c r="CL21" s="41">
        <v>110896298</v>
      </c>
      <c r="CN21" s="41">
        <v>36815849</v>
      </c>
      <c r="CP21" s="43">
        <v>510467522</v>
      </c>
      <c r="CS21" s="39">
        <v>38.708399999999997</v>
      </c>
      <c r="CU21" s="39">
        <v>40.853499999999997</v>
      </c>
      <c r="CW21" s="39">
        <v>23.627500000000001</v>
      </c>
      <c r="CY21" s="39">
        <v>42.919600000000003</v>
      </c>
      <c r="DA21" s="44">
        <v>33.314900000000002</v>
      </c>
      <c r="DC21" s="1" t="str">
        <f t="shared" si="0"/>
        <v>No</v>
      </c>
    </row>
    <row r="22" spans="1:107">
      <c r="A22" s="7" t="s">
        <v>480</v>
      </c>
      <c r="B22" s="7" t="s">
        <v>481</v>
      </c>
      <c r="C22" s="37" t="s">
        <v>36</v>
      </c>
      <c r="D22" s="296">
        <v>4022</v>
      </c>
      <c r="E22" s="297">
        <v>40022</v>
      </c>
      <c r="F22" s="27" t="s">
        <v>165</v>
      </c>
      <c r="G22" s="27" t="s">
        <v>158</v>
      </c>
      <c r="H22" s="35">
        <v>4515419</v>
      </c>
      <c r="I22" s="35">
        <v>1011</v>
      </c>
      <c r="J22" s="292"/>
      <c r="K22" s="8">
        <v>5243229</v>
      </c>
      <c r="L22" s="8"/>
      <c r="M22" s="8">
        <v>1448503</v>
      </c>
      <c r="N22" s="9"/>
      <c r="O22" s="8">
        <v>1141518</v>
      </c>
      <c r="P22" s="9"/>
      <c r="Q22" s="8">
        <v>1507829</v>
      </c>
      <c r="R22" s="9"/>
      <c r="S22" s="8">
        <v>35647</v>
      </c>
      <c r="T22" s="9"/>
      <c r="U22" s="33">
        <v>9376726</v>
      </c>
      <c r="V22" s="9"/>
      <c r="W22" s="30">
        <v>2745.99</v>
      </c>
      <c r="X22" s="9"/>
      <c r="Y22" s="30">
        <v>642</v>
      </c>
      <c r="Z22" s="9"/>
      <c r="AA22" s="30">
        <v>565.99</v>
      </c>
      <c r="AB22" s="9"/>
      <c r="AC22" s="30">
        <v>690.01</v>
      </c>
      <c r="AD22" s="9"/>
      <c r="AE22" s="80">
        <v>16.36</v>
      </c>
      <c r="AF22" s="46"/>
      <c r="AG22" s="88">
        <v>4660.3500000000004</v>
      </c>
      <c r="AH22" s="47"/>
      <c r="AJ22" s="83">
        <v>4913162</v>
      </c>
      <c r="AL22" s="83">
        <v>1448503</v>
      </c>
      <c r="AN22" s="83">
        <v>1141518</v>
      </c>
      <c r="AP22" s="83">
        <v>1507829</v>
      </c>
      <c r="AR22" s="83">
        <v>35647</v>
      </c>
      <c r="AT22" s="204">
        <v>9046659</v>
      </c>
      <c r="AV22" s="46">
        <v>2487</v>
      </c>
      <c r="AX22" s="46">
        <v>642</v>
      </c>
      <c r="AZ22" s="46">
        <v>565.99</v>
      </c>
      <c r="BB22" s="46">
        <v>690.01</v>
      </c>
      <c r="BD22" s="46">
        <v>16.36</v>
      </c>
      <c r="BF22" s="209">
        <v>4660.3500000000004</v>
      </c>
      <c r="BI22" s="83">
        <v>330067</v>
      </c>
      <c r="BK22" s="83">
        <v>0</v>
      </c>
      <c r="BM22" s="83">
        <v>0</v>
      </c>
      <c r="BO22" s="83">
        <v>0</v>
      </c>
      <c r="BQ22" s="83">
        <v>0</v>
      </c>
      <c r="BS22" s="85">
        <v>330067</v>
      </c>
      <c r="BU22" s="46">
        <v>258.99</v>
      </c>
      <c r="BW22" s="46">
        <v>0</v>
      </c>
      <c r="BY22" s="46">
        <v>0</v>
      </c>
      <c r="CA22" s="46">
        <v>0</v>
      </c>
      <c r="CC22" s="46">
        <v>0</v>
      </c>
      <c r="CE22" s="209">
        <v>258.99</v>
      </c>
      <c r="CH22" s="41">
        <v>111205359</v>
      </c>
      <c r="CJ22" s="41">
        <v>31888205</v>
      </c>
      <c r="CL22" s="41">
        <v>29364989</v>
      </c>
      <c r="CN22" s="41">
        <v>47411364</v>
      </c>
      <c r="CP22" s="43">
        <v>219869917</v>
      </c>
      <c r="CS22" s="39">
        <v>21.209299999999999</v>
      </c>
      <c r="CU22" s="39">
        <v>22.014600000000002</v>
      </c>
      <c r="CW22" s="39">
        <v>5.6006</v>
      </c>
      <c r="CY22" s="39">
        <v>31.4435</v>
      </c>
      <c r="DA22" s="44">
        <v>23.448499999999999</v>
      </c>
      <c r="DC22" s="1" t="str">
        <f t="shared" si="0"/>
        <v>No</v>
      </c>
    </row>
    <row r="23" spans="1:107">
      <c r="A23" s="7" t="s">
        <v>586</v>
      </c>
      <c r="B23" s="7" t="s">
        <v>386</v>
      </c>
      <c r="C23" s="37" t="s">
        <v>17</v>
      </c>
      <c r="D23" s="296">
        <v>9015</v>
      </c>
      <c r="E23" s="297">
        <v>90015</v>
      </c>
      <c r="F23" s="27" t="s">
        <v>162</v>
      </c>
      <c r="G23" s="27" t="s">
        <v>158</v>
      </c>
      <c r="H23" s="35">
        <v>3281212</v>
      </c>
      <c r="I23" s="35">
        <v>985</v>
      </c>
      <c r="J23" s="292"/>
      <c r="K23" s="8">
        <v>5867593</v>
      </c>
      <c r="L23" s="8"/>
      <c r="M23" s="8">
        <v>1653837</v>
      </c>
      <c r="N23" s="9"/>
      <c r="O23" s="8">
        <v>703504</v>
      </c>
      <c r="P23" s="9"/>
      <c r="Q23" s="8">
        <v>463867</v>
      </c>
      <c r="R23" s="9"/>
      <c r="S23" s="8">
        <v>0</v>
      </c>
      <c r="T23" s="9"/>
      <c r="U23" s="33">
        <v>8688801</v>
      </c>
      <c r="V23" s="9"/>
      <c r="W23" s="30">
        <v>2973</v>
      </c>
      <c r="X23" s="9"/>
      <c r="Y23" s="30">
        <v>842</v>
      </c>
      <c r="Z23" s="9"/>
      <c r="AA23" s="30">
        <v>357</v>
      </c>
      <c r="AB23" s="9"/>
      <c r="AC23" s="30">
        <v>298</v>
      </c>
      <c r="AD23" s="9"/>
      <c r="AE23" s="80">
        <v>0</v>
      </c>
      <c r="AF23" s="46"/>
      <c r="AG23" s="88">
        <v>4470</v>
      </c>
      <c r="AH23" s="47"/>
      <c r="AJ23" s="83">
        <v>5867593</v>
      </c>
      <c r="AL23" s="83">
        <v>1653837</v>
      </c>
      <c r="AN23" s="83">
        <v>703504</v>
      </c>
      <c r="AP23" s="83">
        <v>463867</v>
      </c>
      <c r="AR23" s="83">
        <v>0</v>
      </c>
      <c r="AT23" s="204">
        <v>8688801</v>
      </c>
      <c r="AV23" s="46">
        <v>2973</v>
      </c>
      <c r="AX23" s="46">
        <v>842</v>
      </c>
      <c r="AZ23" s="46">
        <v>357</v>
      </c>
      <c r="BB23" s="46">
        <v>298</v>
      </c>
      <c r="BD23" s="46">
        <v>0</v>
      </c>
      <c r="BF23" s="209">
        <v>4470</v>
      </c>
      <c r="BI23" s="83">
        <v>0</v>
      </c>
      <c r="BK23" s="83">
        <v>0</v>
      </c>
      <c r="BM23" s="83">
        <v>0</v>
      </c>
      <c r="BO23" s="83">
        <v>0</v>
      </c>
      <c r="BQ23" s="83">
        <v>0</v>
      </c>
      <c r="BS23" s="85">
        <v>0</v>
      </c>
      <c r="BU23" s="46">
        <v>0</v>
      </c>
      <c r="BW23" s="46">
        <v>0</v>
      </c>
      <c r="BY23" s="46">
        <v>0</v>
      </c>
      <c r="CA23" s="46">
        <v>0</v>
      </c>
      <c r="CC23" s="46">
        <v>0</v>
      </c>
      <c r="CE23" s="209">
        <v>0</v>
      </c>
      <c r="CH23" s="41">
        <v>192777271</v>
      </c>
      <c r="CJ23" s="41">
        <v>73233314</v>
      </c>
      <c r="CL23" s="41">
        <v>32878184</v>
      </c>
      <c r="CN23" s="41">
        <v>18967226</v>
      </c>
      <c r="CP23" s="43">
        <v>317855995</v>
      </c>
      <c r="CS23" s="39">
        <v>32.854599999999998</v>
      </c>
      <c r="CU23" s="39">
        <v>44.280900000000003</v>
      </c>
      <c r="CW23" s="39">
        <v>5.6033999999999997</v>
      </c>
      <c r="CY23" s="39">
        <v>40.889400000000002</v>
      </c>
      <c r="DA23" s="44">
        <v>36.582299999999996</v>
      </c>
      <c r="DC23" s="1" t="str">
        <f t="shared" si="0"/>
        <v>No</v>
      </c>
    </row>
    <row r="24" spans="1:107">
      <c r="A24" s="7" t="s">
        <v>667</v>
      </c>
      <c r="B24" s="7" t="s">
        <v>254</v>
      </c>
      <c r="C24" s="37" t="s">
        <v>76</v>
      </c>
      <c r="D24" s="296">
        <v>8</v>
      </c>
      <c r="E24" s="297">
        <v>8</v>
      </c>
      <c r="F24" s="27" t="s">
        <v>165</v>
      </c>
      <c r="G24" s="27" t="s">
        <v>158</v>
      </c>
      <c r="H24" s="35">
        <v>1849898</v>
      </c>
      <c r="I24" s="35">
        <v>950</v>
      </c>
      <c r="J24" s="292"/>
      <c r="K24" s="8">
        <v>3089882</v>
      </c>
      <c r="L24" s="8"/>
      <c r="M24" s="8">
        <v>907779</v>
      </c>
      <c r="N24" s="9"/>
      <c r="O24" s="8">
        <v>358549</v>
      </c>
      <c r="P24" s="9"/>
      <c r="Q24" s="8">
        <v>487226</v>
      </c>
      <c r="R24" s="9"/>
      <c r="S24" s="8">
        <v>168395</v>
      </c>
      <c r="T24" s="9"/>
      <c r="U24" s="33">
        <v>5011831</v>
      </c>
      <c r="V24" s="9"/>
      <c r="W24" s="30">
        <v>1676.5</v>
      </c>
      <c r="X24" s="9"/>
      <c r="Y24" s="30">
        <v>477</v>
      </c>
      <c r="Z24" s="9"/>
      <c r="AA24" s="30">
        <v>198</v>
      </c>
      <c r="AB24" s="9"/>
      <c r="AC24" s="30">
        <v>257</v>
      </c>
      <c r="AD24" s="9"/>
      <c r="AE24" s="80">
        <v>96</v>
      </c>
      <c r="AF24" s="46"/>
      <c r="AG24" s="88">
        <v>2704.5</v>
      </c>
      <c r="AH24" s="47"/>
      <c r="AJ24" s="83">
        <v>2600920</v>
      </c>
      <c r="AL24" s="83">
        <v>907779</v>
      </c>
      <c r="AN24" s="83">
        <v>358549</v>
      </c>
      <c r="AP24" s="83">
        <v>473359</v>
      </c>
      <c r="AR24" s="83">
        <v>163739</v>
      </c>
      <c r="AT24" s="204">
        <v>4504346</v>
      </c>
      <c r="AV24" s="46">
        <v>1330.5</v>
      </c>
      <c r="AX24" s="46">
        <v>477</v>
      </c>
      <c r="AZ24" s="46">
        <v>198</v>
      </c>
      <c r="BB24" s="46">
        <v>248</v>
      </c>
      <c r="BD24" s="46">
        <v>91</v>
      </c>
      <c r="BF24" s="209">
        <v>2704.5</v>
      </c>
      <c r="BI24" s="83">
        <v>488962</v>
      </c>
      <c r="BK24" s="83">
        <v>0</v>
      </c>
      <c r="BM24" s="83">
        <v>0</v>
      </c>
      <c r="BO24" s="83">
        <v>13867</v>
      </c>
      <c r="BQ24" s="83">
        <v>4656</v>
      </c>
      <c r="BS24" s="85">
        <v>507485</v>
      </c>
      <c r="BU24" s="46">
        <v>346</v>
      </c>
      <c r="BW24" s="46">
        <v>0</v>
      </c>
      <c r="BY24" s="46">
        <v>0</v>
      </c>
      <c r="CA24" s="46">
        <v>9</v>
      </c>
      <c r="CC24" s="46">
        <v>5</v>
      </c>
      <c r="CE24" s="209">
        <v>360</v>
      </c>
      <c r="CH24" s="41">
        <v>89978486</v>
      </c>
      <c r="CJ24" s="41">
        <v>27054082</v>
      </c>
      <c r="CL24" s="41">
        <v>12026229</v>
      </c>
      <c r="CN24" s="41">
        <v>18157506</v>
      </c>
      <c r="CP24" s="43">
        <v>147216303</v>
      </c>
      <c r="CS24" s="39">
        <v>29.1204</v>
      </c>
      <c r="CU24" s="39">
        <v>29.802499999999998</v>
      </c>
      <c r="CW24" s="39">
        <v>3.8921000000000001</v>
      </c>
      <c r="CY24" s="39">
        <v>37.267099999999999</v>
      </c>
      <c r="DA24" s="44">
        <v>29.373799999999999</v>
      </c>
      <c r="DC24" s="1" t="str">
        <f t="shared" si="0"/>
        <v>No</v>
      </c>
    </row>
    <row r="25" spans="1:107">
      <c r="A25" s="7" t="s">
        <v>554</v>
      </c>
      <c r="B25" s="7" t="s">
        <v>555</v>
      </c>
      <c r="C25" s="37" t="s">
        <v>77</v>
      </c>
      <c r="D25" s="296">
        <v>3022</v>
      </c>
      <c r="E25" s="297">
        <v>30022</v>
      </c>
      <c r="F25" s="27" t="s">
        <v>165</v>
      </c>
      <c r="G25" s="27" t="s">
        <v>158</v>
      </c>
      <c r="H25" s="35">
        <v>1733853</v>
      </c>
      <c r="I25" s="35">
        <v>939</v>
      </c>
      <c r="J25" s="292"/>
      <c r="K25" s="8">
        <v>2970225</v>
      </c>
      <c r="L25" s="8"/>
      <c r="M25" s="8">
        <v>1250960</v>
      </c>
      <c r="N25" s="9"/>
      <c r="O25" s="8">
        <v>528489</v>
      </c>
      <c r="P25" s="9"/>
      <c r="Q25" s="8">
        <v>471210</v>
      </c>
      <c r="R25" s="9"/>
      <c r="S25" s="8">
        <v>47825</v>
      </c>
      <c r="T25" s="9"/>
      <c r="U25" s="33">
        <v>5268709</v>
      </c>
      <c r="V25" s="9"/>
      <c r="W25" s="30">
        <v>1451.6</v>
      </c>
      <c r="X25" s="9"/>
      <c r="Y25" s="30">
        <v>581.79999999999995</v>
      </c>
      <c r="Z25" s="9"/>
      <c r="AA25" s="30">
        <v>245.7</v>
      </c>
      <c r="AB25" s="9"/>
      <c r="AC25" s="30">
        <v>216.7</v>
      </c>
      <c r="AD25" s="9"/>
      <c r="AE25" s="80">
        <v>25</v>
      </c>
      <c r="AF25" s="46"/>
      <c r="AG25" s="88">
        <v>2520.8000000000002</v>
      </c>
      <c r="AH25" s="47"/>
      <c r="AJ25" s="83">
        <v>2970225</v>
      </c>
      <c r="AL25" s="83">
        <v>1250960</v>
      </c>
      <c r="AN25" s="83">
        <v>528489</v>
      </c>
      <c r="AP25" s="83">
        <v>471210</v>
      </c>
      <c r="AR25" s="83">
        <v>47825</v>
      </c>
      <c r="AT25" s="204">
        <v>5268709</v>
      </c>
      <c r="AV25" s="46">
        <v>1451.6</v>
      </c>
      <c r="AX25" s="46">
        <v>581.79999999999995</v>
      </c>
      <c r="AZ25" s="46">
        <v>245.7</v>
      </c>
      <c r="BB25" s="46">
        <v>216.7</v>
      </c>
      <c r="BD25" s="46">
        <v>25</v>
      </c>
      <c r="BF25" s="209">
        <v>2520.8000000000002</v>
      </c>
      <c r="BI25" s="83">
        <v>0</v>
      </c>
      <c r="BK25" s="83">
        <v>0</v>
      </c>
      <c r="BM25" s="83">
        <v>0</v>
      </c>
      <c r="BO25" s="83">
        <v>0</v>
      </c>
      <c r="BQ25" s="83">
        <v>0</v>
      </c>
      <c r="BS25" s="85">
        <v>0</v>
      </c>
      <c r="BU25" s="46">
        <v>0</v>
      </c>
      <c r="BW25" s="46">
        <v>0</v>
      </c>
      <c r="BY25" s="46">
        <v>0</v>
      </c>
      <c r="CA25" s="46">
        <v>0</v>
      </c>
      <c r="CC25" s="46">
        <v>0</v>
      </c>
      <c r="CE25" s="209">
        <v>0</v>
      </c>
      <c r="CH25" s="41">
        <v>79960155</v>
      </c>
      <c r="CJ25" s="41">
        <v>37316303</v>
      </c>
      <c r="CL25" s="41">
        <v>15923621</v>
      </c>
      <c r="CN25" s="41">
        <v>16333247</v>
      </c>
      <c r="CP25" s="43">
        <v>149533326</v>
      </c>
      <c r="CS25" s="39">
        <v>26.9206</v>
      </c>
      <c r="CU25" s="39">
        <v>29.830100000000002</v>
      </c>
      <c r="CW25" s="39">
        <v>5.3611000000000004</v>
      </c>
      <c r="CY25" s="39">
        <v>34.662399999999998</v>
      </c>
      <c r="DA25" s="44">
        <v>28.381399999999999</v>
      </c>
      <c r="DC25" s="1" t="str">
        <f t="shared" si="0"/>
        <v>No</v>
      </c>
    </row>
    <row r="26" spans="1:107">
      <c r="A26" s="7" t="s">
        <v>1119</v>
      </c>
      <c r="B26" s="7" t="s">
        <v>477</v>
      </c>
      <c r="C26" s="37" t="s">
        <v>54</v>
      </c>
      <c r="D26" s="296">
        <v>5027</v>
      </c>
      <c r="E26" s="297">
        <v>50027</v>
      </c>
      <c r="F26" s="27" t="s">
        <v>240</v>
      </c>
      <c r="G26" s="27" t="s">
        <v>158</v>
      </c>
      <c r="H26" s="35">
        <v>2650890</v>
      </c>
      <c r="I26" s="35">
        <v>843</v>
      </c>
      <c r="J26" s="292"/>
      <c r="K26" s="8">
        <v>4493674</v>
      </c>
      <c r="L26" s="8"/>
      <c r="M26" s="8">
        <v>1006168</v>
      </c>
      <c r="N26" s="9"/>
      <c r="O26" s="8">
        <v>421811</v>
      </c>
      <c r="P26" s="9"/>
      <c r="Q26" s="8">
        <v>917814</v>
      </c>
      <c r="R26" s="9"/>
      <c r="S26" s="8">
        <v>199325</v>
      </c>
      <c r="T26" s="9"/>
      <c r="U26" s="33">
        <v>7038792</v>
      </c>
      <c r="V26" s="9"/>
      <c r="W26" s="30">
        <v>2304.4</v>
      </c>
      <c r="X26" s="9"/>
      <c r="Y26" s="30">
        <v>495</v>
      </c>
      <c r="Z26" s="9"/>
      <c r="AA26" s="30">
        <v>206.7</v>
      </c>
      <c r="AB26" s="9"/>
      <c r="AC26" s="30">
        <v>449.2</v>
      </c>
      <c r="AD26" s="9"/>
      <c r="AE26" s="80">
        <v>98.9</v>
      </c>
      <c r="AF26" s="46"/>
      <c r="AG26" s="88">
        <v>3554.2</v>
      </c>
      <c r="AH26" s="47"/>
      <c r="AJ26" s="83">
        <v>3895582</v>
      </c>
      <c r="AL26" s="83">
        <v>1005658</v>
      </c>
      <c r="AN26" s="83">
        <v>420731</v>
      </c>
      <c r="AP26" s="83">
        <v>905453</v>
      </c>
      <c r="AR26" s="83">
        <v>186964</v>
      </c>
      <c r="AT26" s="204">
        <v>6414388</v>
      </c>
      <c r="AV26" s="46">
        <v>1918.6</v>
      </c>
      <c r="AX26" s="46">
        <v>494.6</v>
      </c>
      <c r="AZ26" s="46">
        <v>205.6</v>
      </c>
      <c r="BB26" s="46">
        <v>441</v>
      </c>
      <c r="BD26" s="46">
        <v>91</v>
      </c>
      <c r="BF26" s="209">
        <v>3554.2</v>
      </c>
      <c r="BI26" s="83">
        <v>598092</v>
      </c>
      <c r="BK26" s="83">
        <v>510</v>
      </c>
      <c r="BM26" s="83">
        <v>1080</v>
      </c>
      <c r="BO26" s="83">
        <v>12361</v>
      </c>
      <c r="BQ26" s="83">
        <v>12361</v>
      </c>
      <c r="BS26" s="85">
        <v>624404</v>
      </c>
      <c r="BU26" s="46">
        <v>385.8</v>
      </c>
      <c r="BW26" s="46">
        <v>0.4</v>
      </c>
      <c r="BY26" s="46">
        <v>1.1000000000000001</v>
      </c>
      <c r="CA26" s="46">
        <v>8.1999999999999993</v>
      </c>
      <c r="CC26" s="46">
        <v>7.9</v>
      </c>
      <c r="CE26" s="209">
        <v>403.4</v>
      </c>
      <c r="CH26" s="41">
        <v>107763604</v>
      </c>
      <c r="CJ26" s="41">
        <v>29253361</v>
      </c>
      <c r="CL26" s="41">
        <v>12754079</v>
      </c>
      <c r="CN26" s="41">
        <v>25877093</v>
      </c>
      <c r="CP26" s="43">
        <v>175648137</v>
      </c>
      <c r="CS26" s="39">
        <v>23.981200000000001</v>
      </c>
      <c r="CU26" s="39">
        <v>29.074000000000002</v>
      </c>
      <c r="CW26" s="39">
        <v>2.8382000000000001</v>
      </c>
      <c r="CY26" s="39">
        <v>28.194299999999998</v>
      </c>
      <c r="DA26" s="44">
        <v>24.9543</v>
      </c>
      <c r="DC26" s="1" t="str">
        <f t="shared" si="0"/>
        <v>No</v>
      </c>
    </row>
    <row r="27" spans="1:107">
      <c r="A27" s="7" t="s">
        <v>673</v>
      </c>
      <c r="B27" s="7" t="s">
        <v>674</v>
      </c>
      <c r="C27" s="37" t="s">
        <v>84</v>
      </c>
      <c r="D27" s="296">
        <v>6011</v>
      </c>
      <c r="E27" s="297">
        <v>60011</v>
      </c>
      <c r="F27" s="27" t="s">
        <v>165</v>
      </c>
      <c r="G27" s="27" t="s">
        <v>158</v>
      </c>
      <c r="H27" s="35">
        <v>1758210</v>
      </c>
      <c r="I27" s="35">
        <v>816</v>
      </c>
      <c r="J27" s="292"/>
      <c r="K27" s="8">
        <v>2743345</v>
      </c>
      <c r="L27" s="8"/>
      <c r="M27" s="8">
        <v>551732</v>
      </c>
      <c r="N27" s="9"/>
      <c r="O27" s="8">
        <v>155133</v>
      </c>
      <c r="P27" s="9"/>
      <c r="Q27" s="8">
        <v>411215</v>
      </c>
      <c r="R27" s="9"/>
      <c r="S27" s="8">
        <v>0</v>
      </c>
      <c r="T27" s="9"/>
      <c r="U27" s="33">
        <v>3861425</v>
      </c>
      <c r="V27" s="9"/>
      <c r="W27" s="30">
        <v>1379.1</v>
      </c>
      <c r="X27" s="9"/>
      <c r="Y27" s="30">
        <v>305.14</v>
      </c>
      <c r="Z27" s="9"/>
      <c r="AA27" s="30">
        <v>84.79</v>
      </c>
      <c r="AB27" s="9"/>
      <c r="AC27" s="30">
        <v>239.29</v>
      </c>
      <c r="AD27" s="9"/>
      <c r="AE27" s="80">
        <v>0</v>
      </c>
      <c r="AF27" s="46"/>
      <c r="AG27" s="88">
        <v>2008.32</v>
      </c>
      <c r="AH27" s="47"/>
      <c r="AJ27" s="83">
        <v>2510514</v>
      </c>
      <c r="AL27" s="83">
        <v>551732</v>
      </c>
      <c r="AN27" s="83">
        <v>155133</v>
      </c>
      <c r="AP27" s="83">
        <v>395260</v>
      </c>
      <c r="AR27" s="83">
        <v>0</v>
      </c>
      <c r="AT27" s="204">
        <v>3612639</v>
      </c>
      <c r="AV27" s="46">
        <v>1173.44</v>
      </c>
      <c r="AX27" s="46">
        <v>305.14</v>
      </c>
      <c r="AZ27" s="46">
        <v>84.79</v>
      </c>
      <c r="BB27" s="46">
        <v>224.38</v>
      </c>
      <c r="BD27" s="46">
        <v>0</v>
      </c>
      <c r="BF27" s="209">
        <v>2008.32</v>
      </c>
      <c r="BI27" s="83">
        <v>232831</v>
      </c>
      <c r="BK27" s="83">
        <v>0</v>
      </c>
      <c r="BM27" s="83">
        <v>0</v>
      </c>
      <c r="BO27" s="83">
        <v>15955</v>
      </c>
      <c r="BQ27" s="83">
        <v>0</v>
      </c>
      <c r="BS27" s="85">
        <v>248786</v>
      </c>
      <c r="BU27" s="46">
        <v>205.66</v>
      </c>
      <c r="BW27" s="46">
        <v>0</v>
      </c>
      <c r="BY27" s="46">
        <v>0</v>
      </c>
      <c r="CA27" s="46">
        <v>14.91</v>
      </c>
      <c r="CC27" s="46">
        <v>0</v>
      </c>
      <c r="CE27" s="209">
        <v>220.57</v>
      </c>
      <c r="CH27" s="41">
        <v>56021179</v>
      </c>
      <c r="CJ27" s="41">
        <v>13134806</v>
      </c>
      <c r="CL27" s="41">
        <v>4189197</v>
      </c>
      <c r="CN27" s="41">
        <v>13069393</v>
      </c>
      <c r="CP27" s="43">
        <v>86414575</v>
      </c>
      <c r="CS27" s="39">
        <v>20.4208</v>
      </c>
      <c r="CU27" s="39">
        <v>23.8065</v>
      </c>
      <c r="CW27" s="39">
        <v>1.5269999999999999</v>
      </c>
      <c r="CY27" s="39">
        <v>31.782399999999999</v>
      </c>
      <c r="DA27" s="44">
        <v>22.378900000000002</v>
      </c>
      <c r="DC27" s="1" t="str">
        <f t="shared" si="0"/>
        <v>No</v>
      </c>
    </row>
    <row r="28" spans="1:107">
      <c r="A28" s="7" t="s">
        <v>583</v>
      </c>
      <c r="B28" s="7" t="s">
        <v>584</v>
      </c>
      <c r="C28" s="37" t="s">
        <v>17</v>
      </c>
      <c r="D28" s="296">
        <v>9026</v>
      </c>
      <c r="E28" s="297">
        <v>90026</v>
      </c>
      <c r="F28" s="27" t="s">
        <v>165</v>
      </c>
      <c r="G28" s="27" t="s">
        <v>158</v>
      </c>
      <c r="H28" s="35">
        <v>2956746</v>
      </c>
      <c r="I28" s="35">
        <v>765</v>
      </c>
      <c r="J28" s="292"/>
      <c r="K28" s="8">
        <v>1692369</v>
      </c>
      <c r="L28" s="8"/>
      <c r="M28" s="8">
        <v>475497</v>
      </c>
      <c r="N28" s="9"/>
      <c r="O28" s="8">
        <v>252583</v>
      </c>
      <c r="P28" s="9"/>
      <c r="Q28" s="8">
        <v>52698</v>
      </c>
      <c r="R28" s="9"/>
      <c r="S28" s="8">
        <v>0</v>
      </c>
      <c r="T28" s="9"/>
      <c r="U28" s="33">
        <v>2473147</v>
      </c>
      <c r="V28" s="9"/>
      <c r="W28" s="30">
        <v>917</v>
      </c>
      <c r="X28" s="9"/>
      <c r="Y28" s="30">
        <v>255</v>
      </c>
      <c r="Z28" s="9"/>
      <c r="AA28" s="30">
        <v>120</v>
      </c>
      <c r="AB28" s="9"/>
      <c r="AC28" s="30">
        <v>29</v>
      </c>
      <c r="AD28" s="9"/>
      <c r="AE28" s="80">
        <v>0</v>
      </c>
      <c r="AF28" s="46"/>
      <c r="AG28" s="88">
        <v>1321</v>
      </c>
      <c r="AH28" s="47"/>
      <c r="AJ28" s="83">
        <v>1497744</v>
      </c>
      <c r="AL28" s="83">
        <v>475497</v>
      </c>
      <c r="AN28" s="83">
        <v>252583</v>
      </c>
      <c r="AP28" s="83">
        <v>48786</v>
      </c>
      <c r="AR28" s="83">
        <v>0</v>
      </c>
      <c r="AT28" s="204">
        <v>2274610</v>
      </c>
      <c r="AV28" s="46">
        <v>770</v>
      </c>
      <c r="AX28" s="46">
        <v>255</v>
      </c>
      <c r="AZ28" s="46">
        <v>120</v>
      </c>
      <c r="BB28" s="46">
        <v>25</v>
      </c>
      <c r="BD28" s="46">
        <v>0</v>
      </c>
      <c r="BF28" s="209">
        <v>1321</v>
      </c>
      <c r="BI28" s="83">
        <v>194625</v>
      </c>
      <c r="BK28" s="83">
        <v>0</v>
      </c>
      <c r="BM28" s="83">
        <v>0</v>
      </c>
      <c r="BO28" s="83">
        <v>3912</v>
      </c>
      <c r="BQ28" s="83">
        <v>0</v>
      </c>
      <c r="BS28" s="85">
        <v>198537</v>
      </c>
      <c r="BU28" s="46">
        <v>147</v>
      </c>
      <c r="BW28" s="46">
        <v>0</v>
      </c>
      <c r="BY28" s="46">
        <v>0</v>
      </c>
      <c r="CA28" s="46">
        <v>4</v>
      </c>
      <c r="CC28" s="46">
        <v>0</v>
      </c>
      <c r="CE28" s="209">
        <v>151</v>
      </c>
      <c r="CH28" s="41">
        <v>38109710</v>
      </c>
      <c r="CJ28" s="41">
        <v>13358604</v>
      </c>
      <c r="CL28" s="41">
        <v>5825067</v>
      </c>
      <c r="CN28" s="41">
        <v>1993859</v>
      </c>
      <c r="CP28" s="43">
        <v>59287240</v>
      </c>
      <c r="CS28" s="39">
        <v>22.518599999999999</v>
      </c>
      <c r="CU28" s="39">
        <v>28.094000000000001</v>
      </c>
      <c r="CW28" s="39">
        <v>3.4420000000000002</v>
      </c>
      <c r="CY28" s="39">
        <v>37.835599999999999</v>
      </c>
      <c r="DA28" s="44">
        <v>23.9724</v>
      </c>
      <c r="DC28" s="1" t="str">
        <f t="shared" si="0"/>
        <v>No</v>
      </c>
    </row>
    <row r="29" spans="1:107">
      <c r="A29" s="7" t="s">
        <v>1113</v>
      </c>
      <c r="B29" s="7" t="s">
        <v>197</v>
      </c>
      <c r="C29" s="37" t="s">
        <v>17</v>
      </c>
      <c r="D29" s="296">
        <v>9014</v>
      </c>
      <c r="E29" s="297">
        <v>90014</v>
      </c>
      <c r="F29" s="27" t="s">
        <v>165</v>
      </c>
      <c r="G29" s="27" t="s">
        <v>158</v>
      </c>
      <c r="H29" s="35">
        <v>3281212</v>
      </c>
      <c r="I29" s="35">
        <v>702</v>
      </c>
      <c r="J29" s="292"/>
      <c r="K29" s="8">
        <v>2073876</v>
      </c>
      <c r="L29" s="8"/>
      <c r="M29" s="8">
        <v>581927</v>
      </c>
      <c r="N29" s="9"/>
      <c r="O29" s="8">
        <v>71542</v>
      </c>
      <c r="P29" s="9"/>
      <c r="Q29" s="8">
        <v>409288</v>
      </c>
      <c r="R29" s="9"/>
      <c r="S29" s="8">
        <v>0</v>
      </c>
      <c r="T29" s="9"/>
      <c r="U29" s="33">
        <v>3136633</v>
      </c>
      <c r="V29" s="9"/>
      <c r="W29" s="30">
        <v>1440</v>
      </c>
      <c r="X29" s="9"/>
      <c r="Y29" s="30">
        <v>341</v>
      </c>
      <c r="Z29" s="9"/>
      <c r="AA29" s="30">
        <v>42</v>
      </c>
      <c r="AB29" s="9"/>
      <c r="AC29" s="30">
        <v>264</v>
      </c>
      <c r="AD29" s="9"/>
      <c r="AE29" s="80">
        <v>0</v>
      </c>
      <c r="AF29" s="46"/>
      <c r="AG29" s="88">
        <v>2087</v>
      </c>
      <c r="AH29" s="47"/>
      <c r="AJ29" s="83">
        <v>2064378</v>
      </c>
      <c r="AL29" s="83">
        <v>580420</v>
      </c>
      <c r="AN29" s="83">
        <v>71542</v>
      </c>
      <c r="AP29" s="83">
        <v>402942</v>
      </c>
      <c r="AR29" s="83">
        <v>0</v>
      </c>
      <c r="AT29" s="204">
        <v>3119282</v>
      </c>
      <c r="AV29" s="46">
        <v>1434</v>
      </c>
      <c r="AX29" s="46">
        <v>340</v>
      </c>
      <c r="AZ29" s="46">
        <v>42</v>
      </c>
      <c r="BB29" s="46">
        <v>260</v>
      </c>
      <c r="BD29" s="46">
        <v>0</v>
      </c>
      <c r="BF29" s="209">
        <v>2087</v>
      </c>
      <c r="BI29" s="83">
        <v>9498</v>
      </c>
      <c r="BK29" s="83">
        <v>1507</v>
      </c>
      <c r="BM29" s="83">
        <v>0</v>
      </c>
      <c r="BO29" s="83">
        <v>6346</v>
      </c>
      <c r="BQ29" s="83">
        <v>0</v>
      </c>
      <c r="BS29" s="85">
        <v>17351</v>
      </c>
      <c r="BU29" s="46">
        <v>6</v>
      </c>
      <c r="BW29" s="46">
        <v>1</v>
      </c>
      <c r="BY29" s="46">
        <v>0</v>
      </c>
      <c r="CA29" s="46">
        <v>4</v>
      </c>
      <c r="CC29" s="46">
        <v>0</v>
      </c>
      <c r="CE29" s="209">
        <v>11</v>
      </c>
      <c r="CH29" s="41">
        <v>78056977</v>
      </c>
      <c r="CJ29" s="41">
        <v>19684034</v>
      </c>
      <c r="CL29" s="41">
        <v>4018281</v>
      </c>
      <c r="CN29" s="41">
        <v>19287441</v>
      </c>
      <c r="CP29" s="43">
        <v>121046733</v>
      </c>
      <c r="CS29" s="39">
        <v>37.638199999999998</v>
      </c>
      <c r="CU29" s="39">
        <v>33.825600000000001</v>
      </c>
      <c r="CW29" s="39">
        <v>1.9376</v>
      </c>
      <c r="CY29" s="39">
        <v>47.124400000000001</v>
      </c>
      <c r="DA29" s="44">
        <v>38.591299999999997</v>
      </c>
      <c r="DC29" s="1" t="str">
        <f t="shared" si="0"/>
        <v>No</v>
      </c>
    </row>
    <row r="30" spans="1:107">
      <c r="A30" s="7" t="s">
        <v>591</v>
      </c>
      <c r="B30" s="7" t="s">
        <v>592</v>
      </c>
      <c r="C30" s="37" t="s">
        <v>17</v>
      </c>
      <c r="D30" s="296">
        <v>9013</v>
      </c>
      <c r="E30" s="297">
        <v>90013</v>
      </c>
      <c r="F30" s="27" t="s">
        <v>165</v>
      </c>
      <c r="G30" s="27" t="s">
        <v>158</v>
      </c>
      <c r="H30" s="35">
        <v>1664496</v>
      </c>
      <c r="I30" s="35">
        <v>686</v>
      </c>
      <c r="J30" s="292"/>
      <c r="K30" s="8">
        <v>2202870</v>
      </c>
      <c r="L30" s="8"/>
      <c r="M30" s="8">
        <v>797518</v>
      </c>
      <c r="N30" s="9"/>
      <c r="O30" s="8">
        <v>347337</v>
      </c>
      <c r="P30" s="9"/>
      <c r="Q30" s="8">
        <v>324412</v>
      </c>
      <c r="R30" s="9"/>
      <c r="S30" s="8">
        <v>373352</v>
      </c>
      <c r="T30" s="9"/>
      <c r="U30" s="33">
        <v>4045489</v>
      </c>
      <c r="V30" s="9"/>
      <c r="W30" s="30">
        <v>1203</v>
      </c>
      <c r="X30" s="9"/>
      <c r="Y30" s="30">
        <v>415</v>
      </c>
      <c r="Z30" s="9"/>
      <c r="AA30" s="30">
        <v>180</v>
      </c>
      <c r="AB30" s="9"/>
      <c r="AC30" s="30">
        <v>193</v>
      </c>
      <c r="AD30" s="9"/>
      <c r="AE30" s="80">
        <v>236</v>
      </c>
      <c r="AF30" s="46"/>
      <c r="AG30" s="88">
        <v>2227</v>
      </c>
      <c r="AH30" s="47"/>
      <c r="AJ30" s="83">
        <v>2202870</v>
      </c>
      <c r="AL30" s="83">
        <v>797518</v>
      </c>
      <c r="AN30" s="83">
        <v>347337</v>
      </c>
      <c r="AP30" s="83">
        <v>324412</v>
      </c>
      <c r="AR30" s="83">
        <v>373352</v>
      </c>
      <c r="AT30" s="204">
        <v>4045489</v>
      </c>
      <c r="AV30" s="46">
        <v>1203</v>
      </c>
      <c r="AX30" s="46">
        <v>415</v>
      </c>
      <c r="AZ30" s="46">
        <v>180</v>
      </c>
      <c r="BB30" s="46">
        <v>193</v>
      </c>
      <c r="BD30" s="46">
        <v>236</v>
      </c>
      <c r="BF30" s="209">
        <v>2227</v>
      </c>
      <c r="BI30" s="83">
        <v>0</v>
      </c>
      <c r="BK30" s="83">
        <v>0</v>
      </c>
      <c r="BM30" s="83">
        <v>0</v>
      </c>
      <c r="BO30" s="83">
        <v>0</v>
      </c>
      <c r="BQ30" s="83">
        <v>0</v>
      </c>
      <c r="BS30" s="85">
        <v>0</v>
      </c>
      <c r="BU30" s="46">
        <v>0</v>
      </c>
      <c r="BW30" s="46">
        <v>0</v>
      </c>
      <c r="BY30" s="46">
        <v>0</v>
      </c>
      <c r="CA30" s="46">
        <v>0</v>
      </c>
      <c r="CC30" s="46">
        <v>0</v>
      </c>
      <c r="CE30" s="209">
        <v>0</v>
      </c>
      <c r="CH30" s="41">
        <v>82385131</v>
      </c>
      <c r="CJ30" s="41">
        <v>36271151</v>
      </c>
      <c r="CL30" s="41">
        <v>11292188</v>
      </c>
      <c r="CN30" s="41">
        <v>16553113</v>
      </c>
      <c r="CP30" s="43">
        <v>146501583</v>
      </c>
      <c r="CS30" s="39">
        <v>37.399000000000001</v>
      </c>
      <c r="CU30" s="39">
        <v>45.48</v>
      </c>
      <c r="CW30" s="39">
        <v>5.1261000000000001</v>
      </c>
      <c r="CY30" s="39">
        <v>51.024999999999999</v>
      </c>
      <c r="DA30" s="44">
        <v>36.2136</v>
      </c>
      <c r="DC30" s="1" t="str">
        <f t="shared" si="0"/>
        <v>No</v>
      </c>
    </row>
    <row r="31" spans="1:107">
      <c r="A31" s="7" t="s">
        <v>608</v>
      </c>
      <c r="B31" s="7" t="s">
        <v>367</v>
      </c>
      <c r="C31" s="37" t="s">
        <v>89</v>
      </c>
      <c r="D31" s="296">
        <v>29</v>
      </c>
      <c r="E31" s="297">
        <v>29</v>
      </c>
      <c r="F31" s="27" t="s">
        <v>165</v>
      </c>
      <c r="G31" s="27" t="s">
        <v>158</v>
      </c>
      <c r="H31" s="35">
        <v>3059393</v>
      </c>
      <c r="I31" s="35">
        <v>609</v>
      </c>
      <c r="J31" s="292"/>
      <c r="K31" s="8">
        <v>769997</v>
      </c>
      <c r="L31" s="8"/>
      <c r="M31" s="8">
        <v>134031</v>
      </c>
      <c r="N31" s="9"/>
      <c r="O31" s="8">
        <v>22772</v>
      </c>
      <c r="P31" s="9"/>
      <c r="Q31" s="8">
        <v>163733</v>
      </c>
      <c r="R31" s="9"/>
      <c r="S31" s="8">
        <v>19638</v>
      </c>
      <c r="T31" s="9"/>
      <c r="U31" s="33">
        <v>1110171</v>
      </c>
      <c r="V31" s="9"/>
      <c r="W31" s="30">
        <v>422.5</v>
      </c>
      <c r="X31" s="9"/>
      <c r="Y31" s="30">
        <v>83.2</v>
      </c>
      <c r="Z31" s="9"/>
      <c r="AA31" s="30">
        <v>14.8</v>
      </c>
      <c r="AB31" s="9"/>
      <c r="AC31" s="30">
        <v>98.4</v>
      </c>
      <c r="AD31" s="9"/>
      <c r="AE31" s="80">
        <v>10.8</v>
      </c>
      <c r="AF31" s="46"/>
      <c r="AG31" s="88">
        <v>629.70000000000005</v>
      </c>
      <c r="AH31" s="47"/>
      <c r="AJ31" s="83">
        <v>754376</v>
      </c>
      <c r="AL31" s="83">
        <v>134031</v>
      </c>
      <c r="AN31" s="83">
        <v>22772</v>
      </c>
      <c r="AP31" s="83">
        <v>161867</v>
      </c>
      <c r="AR31" s="83">
        <v>19638</v>
      </c>
      <c r="AT31" s="204">
        <v>1092684</v>
      </c>
      <c r="AV31" s="46">
        <v>408</v>
      </c>
      <c r="AX31" s="46">
        <v>83.2</v>
      </c>
      <c r="AZ31" s="46">
        <v>14.8</v>
      </c>
      <c r="BB31" s="46">
        <v>95.7</v>
      </c>
      <c r="BD31" s="46">
        <v>10.8</v>
      </c>
      <c r="BF31" s="209">
        <v>629.70000000000005</v>
      </c>
      <c r="BI31" s="83">
        <v>15621</v>
      </c>
      <c r="BK31" s="83">
        <v>0</v>
      </c>
      <c r="BM31" s="83">
        <v>0</v>
      </c>
      <c r="BO31" s="83">
        <v>1866</v>
      </c>
      <c r="BQ31" s="83">
        <v>0</v>
      </c>
      <c r="BS31" s="85">
        <v>17487</v>
      </c>
      <c r="BU31" s="46">
        <v>14.5</v>
      </c>
      <c r="BW31" s="46">
        <v>0</v>
      </c>
      <c r="BY31" s="46">
        <v>0</v>
      </c>
      <c r="CA31" s="46">
        <v>2.7</v>
      </c>
      <c r="CC31" s="46">
        <v>0</v>
      </c>
      <c r="CE31" s="209">
        <v>17.2</v>
      </c>
      <c r="CH31" s="41">
        <v>23359794</v>
      </c>
      <c r="CJ31" s="41">
        <v>4708343</v>
      </c>
      <c r="CL31" s="41">
        <v>680437</v>
      </c>
      <c r="CN31" s="41">
        <v>6850322</v>
      </c>
      <c r="CP31" s="43">
        <v>35598896</v>
      </c>
      <c r="CS31" s="39">
        <v>30.337499999999999</v>
      </c>
      <c r="CU31" s="39">
        <v>35.128799999999998</v>
      </c>
      <c r="CW31" s="39">
        <v>0.88370000000000004</v>
      </c>
      <c r="CY31" s="39">
        <v>41.8384</v>
      </c>
      <c r="DA31" s="44">
        <v>32.066099999999999</v>
      </c>
      <c r="DC31" s="1" t="str">
        <f t="shared" si="0"/>
        <v>No</v>
      </c>
    </row>
    <row r="32" spans="1:107">
      <c r="A32" s="7" t="s">
        <v>259</v>
      </c>
      <c r="B32" s="7" t="s">
        <v>260</v>
      </c>
      <c r="C32" s="37" t="s">
        <v>32</v>
      </c>
      <c r="D32" s="296">
        <v>4035</v>
      </c>
      <c r="E32" s="297">
        <v>40035</v>
      </c>
      <c r="F32" s="27" t="s">
        <v>165</v>
      </c>
      <c r="G32" s="27" t="s">
        <v>158</v>
      </c>
      <c r="H32" s="35">
        <v>1510516</v>
      </c>
      <c r="I32" s="35">
        <v>581</v>
      </c>
      <c r="J32" s="292"/>
      <c r="K32" s="8">
        <v>1542763</v>
      </c>
      <c r="L32" s="8"/>
      <c r="M32" s="8">
        <v>290652</v>
      </c>
      <c r="N32" s="9"/>
      <c r="O32" s="8">
        <v>70622</v>
      </c>
      <c r="P32" s="9"/>
      <c r="Q32" s="8">
        <v>205795</v>
      </c>
      <c r="R32" s="9"/>
      <c r="S32" s="8">
        <v>0</v>
      </c>
      <c r="T32" s="9"/>
      <c r="U32" s="33">
        <v>2109832</v>
      </c>
      <c r="V32" s="9"/>
      <c r="W32" s="30">
        <v>748</v>
      </c>
      <c r="X32" s="9"/>
      <c r="Y32" s="30">
        <v>134</v>
      </c>
      <c r="Z32" s="9"/>
      <c r="AA32" s="30">
        <v>38</v>
      </c>
      <c r="AB32" s="9"/>
      <c r="AC32" s="30">
        <v>103</v>
      </c>
      <c r="AD32" s="9"/>
      <c r="AE32" s="80">
        <v>0</v>
      </c>
      <c r="AF32" s="46"/>
      <c r="AG32" s="88">
        <v>1023</v>
      </c>
      <c r="AH32" s="47"/>
      <c r="AJ32" s="83">
        <v>1510903</v>
      </c>
      <c r="AL32" s="83">
        <v>288218</v>
      </c>
      <c r="AN32" s="83">
        <v>70622</v>
      </c>
      <c r="AP32" s="83">
        <v>201706</v>
      </c>
      <c r="AR32" s="83">
        <v>0</v>
      </c>
      <c r="AT32" s="204">
        <v>2071449</v>
      </c>
      <c r="AV32" s="46">
        <v>719</v>
      </c>
      <c r="AX32" s="46">
        <v>132</v>
      </c>
      <c r="AZ32" s="46">
        <v>38</v>
      </c>
      <c r="BB32" s="46">
        <v>99</v>
      </c>
      <c r="BD32" s="46">
        <v>0</v>
      </c>
      <c r="BF32" s="209">
        <v>1023</v>
      </c>
      <c r="BI32" s="83">
        <v>31860</v>
      </c>
      <c r="BK32" s="83">
        <v>2434</v>
      </c>
      <c r="BM32" s="83">
        <v>0</v>
      </c>
      <c r="BO32" s="83">
        <v>4089</v>
      </c>
      <c r="BQ32" s="83">
        <v>0</v>
      </c>
      <c r="BS32" s="85">
        <v>38383</v>
      </c>
      <c r="BU32" s="46">
        <v>29</v>
      </c>
      <c r="BW32" s="46">
        <v>2</v>
      </c>
      <c r="BY32" s="46">
        <v>0</v>
      </c>
      <c r="CA32" s="46">
        <v>4</v>
      </c>
      <c r="CC32" s="46">
        <v>0</v>
      </c>
      <c r="CE32" s="209">
        <v>35</v>
      </c>
      <c r="CH32" s="41">
        <v>29994359</v>
      </c>
      <c r="CJ32" s="41">
        <v>6489760</v>
      </c>
      <c r="CL32" s="41">
        <v>1271065</v>
      </c>
      <c r="CN32" s="41">
        <v>4879591</v>
      </c>
      <c r="CP32" s="43">
        <v>42634775</v>
      </c>
      <c r="CS32" s="39">
        <v>19.442</v>
      </c>
      <c r="CU32" s="39">
        <v>22.328299999999999</v>
      </c>
      <c r="CW32" s="39">
        <v>0.82389999999999997</v>
      </c>
      <c r="CY32" s="39">
        <v>23.710899999999999</v>
      </c>
      <c r="DA32" s="44">
        <v>20.207699999999999</v>
      </c>
      <c r="DC32" s="1" t="str">
        <f t="shared" si="0"/>
        <v>No</v>
      </c>
    </row>
    <row r="33" spans="1:107">
      <c r="A33" s="7" t="s">
        <v>768</v>
      </c>
      <c r="B33" s="7" t="s">
        <v>769</v>
      </c>
      <c r="C33" s="37" t="s">
        <v>17</v>
      </c>
      <c r="D33" s="296">
        <v>9230</v>
      </c>
      <c r="E33" s="297">
        <v>90230</v>
      </c>
      <c r="F33" s="27" t="s">
        <v>162</v>
      </c>
      <c r="G33" s="27" t="s">
        <v>158</v>
      </c>
      <c r="H33" s="35">
        <v>87941</v>
      </c>
      <c r="I33" s="35">
        <v>548</v>
      </c>
      <c r="J33" s="292"/>
      <c r="K33" s="8">
        <v>9630</v>
      </c>
      <c r="L33" s="8"/>
      <c r="M33" s="8">
        <v>10774</v>
      </c>
      <c r="N33" s="9"/>
      <c r="O33" s="8">
        <v>0</v>
      </c>
      <c r="P33" s="9"/>
      <c r="Q33" s="8">
        <v>33257</v>
      </c>
      <c r="R33" s="9"/>
      <c r="S33" s="8">
        <v>0</v>
      </c>
      <c r="T33" s="9"/>
      <c r="U33" s="33">
        <v>53661</v>
      </c>
      <c r="V33" s="9"/>
      <c r="W33" s="30">
        <v>4.6500000000000004</v>
      </c>
      <c r="X33" s="9"/>
      <c r="Y33" s="30">
        <v>5</v>
      </c>
      <c r="Z33" s="9"/>
      <c r="AA33" s="30">
        <v>0</v>
      </c>
      <c r="AB33" s="9"/>
      <c r="AC33" s="30">
        <v>16.29</v>
      </c>
      <c r="AD33" s="9"/>
      <c r="AE33" s="80">
        <v>0</v>
      </c>
      <c r="AF33" s="46"/>
      <c r="AG33" s="88">
        <v>25.94</v>
      </c>
      <c r="AH33" s="47"/>
      <c r="AJ33" s="83">
        <v>8272</v>
      </c>
      <c r="AL33" s="83">
        <v>10774</v>
      </c>
      <c r="AN33" s="83">
        <v>0</v>
      </c>
      <c r="AP33" s="83">
        <v>30586</v>
      </c>
      <c r="AR33" s="83">
        <v>0</v>
      </c>
      <c r="AT33" s="204">
        <v>49632</v>
      </c>
      <c r="AV33" s="46">
        <v>4</v>
      </c>
      <c r="AX33" s="46">
        <v>5</v>
      </c>
      <c r="AZ33" s="46">
        <v>0</v>
      </c>
      <c r="BB33" s="46">
        <v>15</v>
      </c>
      <c r="BD33" s="46">
        <v>0</v>
      </c>
      <c r="BF33" s="209">
        <v>25.94</v>
      </c>
      <c r="BI33" s="83">
        <v>1358</v>
      </c>
      <c r="BK33" s="83">
        <v>0</v>
      </c>
      <c r="BM33" s="83">
        <v>0</v>
      </c>
      <c r="BO33" s="83">
        <v>2671</v>
      </c>
      <c r="BQ33" s="83">
        <v>0</v>
      </c>
      <c r="BS33" s="85">
        <v>4029</v>
      </c>
      <c r="BU33" s="46">
        <v>0.65</v>
      </c>
      <c r="BW33" s="46">
        <v>0</v>
      </c>
      <c r="BY33" s="46">
        <v>0</v>
      </c>
      <c r="CA33" s="46">
        <v>1.29</v>
      </c>
      <c r="CC33" s="46">
        <v>0</v>
      </c>
      <c r="CE33" s="209">
        <v>1.94</v>
      </c>
      <c r="CH33" s="41">
        <v>193315</v>
      </c>
      <c r="CJ33" s="41">
        <v>205503</v>
      </c>
      <c r="CL33" s="41">
        <v>0</v>
      </c>
      <c r="CN33" s="41">
        <v>897728</v>
      </c>
      <c r="CP33" s="43">
        <v>1296546</v>
      </c>
      <c r="CS33" s="39">
        <v>20.074200000000001</v>
      </c>
      <c r="CU33" s="39">
        <v>19.074000000000002</v>
      </c>
      <c r="CW33" s="39">
        <v>0</v>
      </c>
      <c r="CY33" s="39">
        <v>26.9937</v>
      </c>
      <c r="DA33" s="44">
        <v>24.161799999999999</v>
      </c>
      <c r="DC33" s="1" t="str">
        <f t="shared" si="0"/>
        <v>No</v>
      </c>
    </row>
    <row r="34" spans="1:107">
      <c r="A34" s="7" t="s">
        <v>585</v>
      </c>
      <c r="B34" s="7" t="s">
        <v>197</v>
      </c>
      <c r="C34" s="37" t="s">
        <v>17</v>
      </c>
      <c r="D34" s="296">
        <v>9003</v>
      </c>
      <c r="E34" s="297">
        <v>90003</v>
      </c>
      <c r="F34" s="27" t="s">
        <v>165</v>
      </c>
      <c r="G34" s="27" t="s">
        <v>158</v>
      </c>
      <c r="H34" s="35">
        <v>3281212</v>
      </c>
      <c r="I34" s="35">
        <v>545</v>
      </c>
      <c r="J34" s="292"/>
      <c r="K34" s="8">
        <v>2330089</v>
      </c>
      <c r="L34" s="8"/>
      <c r="M34" s="8">
        <v>1128975</v>
      </c>
      <c r="N34" s="9"/>
      <c r="O34" s="8">
        <v>1431508</v>
      </c>
      <c r="P34" s="9"/>
      <c r="Q34" s="8">
        <v>795627</v>
      </c>
      <c r="R34" s="9"/>
      <c r="S34" s="8">
        <v>782959</v>
      </c>
      <c r="T34" s="9"/>
      <c r="U34" s="33">
        <v>6469158</v>
      </c>
      <c r="V34" s="9"/>
      <c r="W34" s="30">
        <v>1222.25</v>
      </c>
      <c r="X34" s="9"/>
      <c r="Y34" s="30">
        <v>596.54999999999995</v>
      </c>
      <c r="Z34" s="9"/>
      <c r="AA34" s="30">
        <v>728.15</v>
      </c>
      <c r="AB34" s="9"/>
      <c r="AC34" s="30">
        <v>432.6</v>
      </c>
      <c r="AD34" s="9"/>
      <c r="AE34" s="80">
        <v>366.7</v>
      </c>
      <c r="AF34" s="46"/>
      <c r="AG34" s="88">
        <v>3346.25</v>
      </c>
      <c r="AH34" s="47"/>
      <c r="AJ34" s="83">
        <v>2230250</v>
      </c>
      <c r="AL34" s="83">
        <v>1124586</v>
      </c>
      <c r="AN34" s="83">
        <v>1411106</v>
      </c>
      <c r="AP34" s="83">
        <v>785679</v>
      </c>
      <c r="AR34" s="83">
        <v>782959</v>
      </c>
      <c r="AT34" s="204">
        <v>6334580</v>
      </c>
      <c r="AV34" s="46">
        <v>1125.75</v>
      </c>
      <c r="AX34" s="46">
        <v>591.54999999999995</v>
      </c>
      <c r="AZ34" s="46">
        <v>715.4</v>
      </c>
      <c r="BB34" s="46">
        <v>426.6</v>
      </c>
      <c r="BD34" s="46">
        <v>366.7</v>
      </c>
      <c r="BF34" s="209">
        <v>3346.25</v>
      </c>
      <c r="BI34" s="83">
        <v>99839</v>
      </c>
      <c r="BK34" s="83">
        <v>4389</v>
      </c>
      <c r="BM34" s="83">
        <v>20402</v>
      </c>
      <c r="BO34" s="83">
        <v>9948</v>
      </c>
      <c r="BQ34" s="83">
        <v>0</v>
      </c>
      <c r="BS34" s="85">
        <v>134578</v>
      </c>
      <c r="BU34" s="46">
        <v>96.5</v>
      </c>
      <c r="BW34" s="46">
        <v>5</v>
      </c>
      <c r="BY34" s="46">
        <v>12.75</v>
      </c>
      <c r="CA34" s="46">
        <v>6</v>
      </c>
      <c r="CC34" s="46">
        <v>0</v>
      </c>
      <c r="CE34" s="209">
        <v>120.25</v>
      </c>
      <c r="CH34" s="41">
        <v>108984175</v>
      </c>
      <c r="CJ34" s="41">
        <v>49902992</v>
      </c>
      <c r="CL34" s="41">
        <v>56213556</v>
      </c>
      <c r="CN34" s="41">
        <v>39903175</v>
      </c>
      <c r="CP34" s="43">
        <v>255003898</v>
      </c>
      <c r="CS34" s="39">
        <v>46.772500000000001</v>
      </c>
      <c r="CU34" s="39">
        <v>44.201999999999998</v>
      </c>
      <c r="CW34" s="39">
        <v>24.1251</v>
      </c>
      <c r="CY34" s="39">
        <v>50.153100000000002</v>
      </c>
      <c r="DA34" s="44">
        <v>39.418399999999998</v>
      </c>
      <c r="DC34" s="1" t="str">
        <f t="shared" si="0"/>
        <v>No</v>
      </c>
    </row>
    <row r="35" spans="1:107">
      <c r="A35" s="7" t="s">
        <v>639</v>
      </c>
      <c r="B35" s="7" t="s">
        <v>640</v>
      </c>
      <c r="C35" s="37" t="s">
        <v>73</v>
      </c>
      <c r="D35" s="296">
        <v>5015</v>
      </c>
      <c r="E35" s="297">
        <v>50015</v>
      </c>
      <c r="F35" s="27" t="s">
        <v>165</v>
      </c>
      <c r="G35" s="27" t="s">
        <v>158</v>
      </c>
      <c r="H35" s="35">
        <v>1780673</v>
      </c>
      <c r="I35" s="35">
        <v>545</v>
      </c>
      <c r="J35" s="292"/>
      <c r="K35" s="8">
        <v>2860080</v>
      </c>
      <c r="L35" s="8"/>
      <c r="M35" s="8">
        <v>849921</v>
      </c>
      <c r="N35" s="9"/>
      <c r="O35" s="8">
        <v>551931</v>
      </c>
      <c r="P35" s="9"/>
      <c r="Q35" s="8">
        <v>551566</v>
      </c>
      <c r="R35" s="9"/>
      <c r="S35" s="8">
        <v>0</v>
      </c>
      <c r="T35" s="9"/>
      <c r="U35" s="33">
        <v>4813498</v>
      </c>
      <c r="V35" s="9"/>
      <c r="W35" s="30">
        <v>1315.98</v>
      </c>
      <c r="X35" s="9"/>
      <c r="Y35" s="30">
        <v>402</v>
      </c>
      <c r="Z35" s="9"/>
      <c r="AA35" s="30">
        <v>242</v>
      </c>
      <c r="AB35" s="9"/>
      <c r="AC35" s="30">
        <v>295.98</v>
      </c>
      <c r="AD35" s="9"/>
      <c r="AE35" s="80">
        <v>0</v>
      </c>
      <c r="AF35" s="46"/>
      <c r="AG35" s="88">
        <v>2255.96</v>
      </c>
      <c r="AH35" s="47"/>
      <c r="AJ35" s="83">
        <v>2622690</v>
      </c>
      <c r="AL35" s="83">
        <v>808959</v>
      </c>
      <c r="AN35" s="83">
        <v>548504</v>
      </c>
      <c r="AP35" s="83">
        <v>545758</v>
      </c>
      <c r="AR35" s="83">
        <v>0</v>
      </c>
      <c r="AT35" s="204">
        <v>4525911</v>
      </c>
      <c r="AV35" s="46">
        <v>1130.99</v>
      </c>
      <c r="AX35" s="46">
        <v>374</v>
      </c>
      <c r="AZ35" s="46">
        <v>240</v>
      </c>
      <c r="BB35" s="46">
        <v>285</v>
      </c>
      <c r="BD35" s="46">
        <v>0</v>
      </c>
      <c r="BF35" s="209">
        <v>2255.96</v>
      </c>
      <c r="BI35" s="83">
        <v>237390</v>
      </c>
      <c r="BK35" s="83">
        <v>40962</v>
      </c>
      <c r="BM35" s="83">
        <v>3427</v>
      </c>
      <c r="BO35" s="83">
        <v>5808</v>
      </c>
      <c r="BQ35" s="83">
        <v>0</v>
      </c>
      <c r="BS35" s="85">
        <v>287587</v>
      </c>
      <c r="BU35" s="46">
        <v>184.99</v>
      </c>
      <c r="BW35" s="46">
        <v>28</v>
      </c>
      <c r="BY35" s="46">
        <v>2</v>
      </c>
      <c r="CA35" s="46">
        <v>10.98</v>
      </c>
      <c r="CC35" s="46">
        <v>0</v>
      </c>
      <c r="CE35" s="209">
        <v>225.97</v>
      </c>
      <c r="CH35" s="41">
        <v>62952180</v>
      </c>
      <c r="CJ35" s="41">
        <v>21511511</v>
      </c>
      <c r="CL35" s="41">
        <v>12856441</v>
      </c>
      <c r="CN35" s="41">
        <v>18453116</v>
      </c>
      <c r="CP35" s="43">
        <v>115773248</v>
      </c>
      <c r="CS35" s="39">
        <v>22.0106</v>
      </c>
      <c r="CU35" s="39">
        <v>25.31</v>
      </c>
      <c r="CW35" s="39">
        <v>4.4950999999999999</v>
      </c>
      <c r="CY35" s="39">
        <v>33.4559</v>
      </c>
      <c r="DA35" s="44">
        <v>24.0518</v>
      </c>
      <c r="DC35" s="1" t="str">
        <f t="shared" si="0"/>
        <v>No</v>
      </c>
    </row>
    <row r="36" spans="1:107">
      <c r="A36" s="7" t="s">
        <v>53</v>
      </c>
      <c r="B36" s="7" t="s">
        <v>767</v>
      </c>
      <c r="C36" s="37" t="s">
        <v>52</v>
      </c>
      <c r="D36" s="296">
        <v>5193</v>
      </c>
      <c r="E36" s="297">
        <v>50193</v>
      </c>
      <c r="F36" s="27" t="s">
        <v>243</v>
      </c>
      <c r="G36" s="27" t="s">
        <v>158</v>
      </c>
      <c r="H36" s="35">
        <v>3734090</v>
      </c>
      <c r="I36" s="35">
        <v>537</v>
      </c>
      <c r="J36" s="292"/>
      <c r="K36" s="8">
        <v>0</v>
      </c>
      <c r="L36" s="8"/>
      <c r="M36" s="8">
        <v>0</v>
      </c>
      <c r="N36" s="9"/>
      <c r="O36" s="8">
        <v>0</v>
      </c>
      <c r="P36" s="9"/>
      <c r="Q36" s="8">
        <v>8579</v>
      </c>
      <c r="R36" s="9"/>
      <c r="S36" s="8">
        <v>0</v>
      </c>
      <c r="T36" s="9"/>
      <c r="U36" s="33">
        <v>8579</v>
      </c>
      <c r="V36" s="9"/>
      <c r="W36" s="30">
        <v>0</v>
      </c>
      <c r="X36" s="9"/>
      <c r="Y36" s="30">
        <v>0</v>
      </c>
      <c r="Z36" s="9"/>
      <c r="AA36" s="30">
        <v>0</v>
      </c>
      <c r="AB36" s="9"/>
      <c r="AC36" s="30">
        <v>7</v>
      </c>
      <c r="AD36" s="9"/>
      <c r="AE36" s="80">
        <v>0</v>
      </c>
      <c r="AF36" s="46"/>
      <c r="AG36" s="88">
        <v>7</v>
      </c>
      <c r="AH36" s="47"/>
      <c r="AJ36" s="83">
        <v>0</v>
      </c>
      <c r="AL36" s="83">
        <v>0</v>
      </c>
      <c r="AN36" s="83">
        <v>0</v>
      </c>
      <c r="AP36" s="83">
        <v>8579</v>
      </c>
      <c r="AR36" s="83">
        <v>0</v>
      </c>
      <c r="AT36" s="204">
        <v>8579</v>
      </c>
      <c r="AV36" s="46">
        <v>0</v>
      </c>
      <c r="AX36" s="46">
        <v>0</v>
      </c>
      <c r="AZ36" s="46">
        <v>0</v>
      </c>
      <c r="BB36" s="46">
        <v>7</v>
      </c>
      <c r="BD36" s="46">
        <v>0</v>
      </c>
      <c r="BF36" s="209">
        <v>7</v>
      </c>
      <c r="BI36" s="83">
        <v>0</v>
      </c>
      <c r="BK36" s="83">
        <v>0</v>
      </c>
      <c r="BM36" s="83">
        <v>0</v>
      </c>
      <c r="BO36" s="83">
        <v>0</v>
      </c>
      <c r="BQ36" s="83">
        <v>0</v>
      </c>
      <c r="BS36" s="85">
        <v>0</v>
      </c>
      <c r="BU36" s="46">
        <v>0</v>
      </c>
      <c r="BW36" s="46">
        <v>0</v>
      </c>
      <c r="BY36" s="46">
        <v>0</v>
      </c>
      <c r="CA36" s="46">
        <v>0</v>
      </c>
      <c r="CC36" s="46">
        <v>0</v>
      </c>
      <c r="CE36" s="209">
        <v>0</v>
      </c>
      <c r="CH36" s="41">
        <v>0</v>
      </c>
      <c r="CJ36" s="41">
        <v>0</v>
      </c>
      <c r="CL36" s="41">
        <v>0</v>
      </c>
      <c r="CN36" s="41">
        <v>289762</v>
      </c>
      <c r="CP36" s="43">
        <v>289762</v>
      </c>
      <c r="CY36" s="39">
        <v>33.775700000000001</v>
      </c>
      <c r="DA36" s="44">
        <v>33.775700000000001</v>
      </c>
      <c r="DC36" s="1" t="str">
        <f t="shared" si="0"/>
        <v>No</v>
      </c>
    </row>
    <row r="37" spans="1:107">
      <c r="A37" s="7" t="s">
        <v>546</v>
      </c>
      <c r="B37" s="7" t="s">
        <v>547</v>
      </c>
      <c r="C37" s="37" t="s">
        <v>89</v>
      </c>
      <c r="D37" s="296">
        <v>3</v>
      </c>
      <c r="E37" s="297">
        <v>3</v>
      </c>
      <c r="F37" s="27" t="s">
        <v>165</v>
      </c>
      <c r="G37" s="27" t="s">
        <v>158</v>
      </c>
      <c r="H37" s="35">
        <v>3059393</v>
      </c>
      <c r="I37" s="35">
        <v>533</v>
      </c>
      <c r="J37" s="292"/>
      <c r="K37" s="8">
        <v>714080</v>
      </c>
      <c r="L37" s="8"/>
      <c r="M37" s="8">
        <v>96311</v>
      </c>
      <c r="N37" s="9"/>
      <c r="O37" s="8">
        <v>46599</v>
      </c>
      <c r="P37" s="9"/>
      <c r="Q37" s="8">
        <v>159035</v>
      </c>
      <c r="R37" s="9"/>
      <c r="S37" s="8">
        <v>0</v>
      </c>
      <c r="T37" s="9"/>
      <c r="U37" s="33">
        <v>1016025</v>
      </c>
      <c r="V37" s="9"/>
      <c r="W37" s="30">
        <v>376.19</v>
      </c>
      <c r="X37" s="9"/>
      <c r="Y37" s="30">
        <v>55</v>
      </c>
      <c r="Z37" s="9"/>
      <c r="AA37" s="30">
        <v>26.33</v>
      </c>
      <c r="AB37" s="9"/>
      <c r="AC37" s="30">
        <v>92.35</v>
      </c>
      <c r="AD37" s="9"/>
      <c r="AE37" s="80">
        <v>0</v>
      </c>
      <c r="AF37" s="46"/>
      <c r="AG37" s="88">
        <v>549.87</v>
      </c>
      <c r="AH37" s="47"/>
      <c r="AJ37" s="83">
        <v>617009</v>
      </c>
      <c r="AL37" s="83">
        <v>96311</v>
      </c>
      <c r="AN37" s="83">
        <v>46599</v>
      </c>
      <c r="AP37" s="83">
        <v>153720</v>
      </c>
      <c r="AR37" s="83">
        <v>0</v>
      </c>
      <c r="AT37" s="204">
        <v>913639</v>
      </c>
      <c r="AV37" s="46">
        <v>328.2</v>
      </c>
      <c r="AX37" s="46">
        <v>55</v>
      </c>
      <c r="AZ37" s="46">
        <v>26.33</v>
      </c>
      <c r="BB37" s="46">
        <v>88.42</v>
      </c>
      <c r="BD37" s="46">
        <v>0</v>
      </c>
      <c r="BF37" s="209">
        <v>549.87</v>
      </c>
      <c r="BI37" s="83">
        <v>97071</v>
      </c>
      <c r="BK37" s="83">
        <v>0</v>
      </c>
      <c r="BM37" s="83">
        <v>0</v>
      </c>
      <c r="BO37" s="83">
        <v>5315</v>
      </c>
      <c r="BQ37" s="83">
        <v>0</v>
      </c>
      <c r="BS37" s="85">
        <v>102386</v>
      </c>
      <c r="BU37" s="46">
        <v>47.99</v>
      </c>
      <c r="BW37" s="46">
        <v>0</v>
      </c>
      <c r="BY37" s="46">
        <v>0</v>
      </c>
      <c r="CA37" s="46">
        <v>3.93</v>
      </c>
      <c r="CC37" s="46">
        <v>0</v>
      </c>
      <c r="CE37" s="209">
        <v>51.92</v>
      </c>
      <c r="CH37" s="41">
        <v>21865810</v>
      </c>
      <c r="CJ37" s="41">
        <v>2923853</v>
      </c>
      <c r="CL37" s="41">
        <v>1386939</v>
      </c>
      <c r="CN37" s="41">
        <v>6095242</v>
      </c>
      <c r="CP37" s="43">
        <v>32271844</v>
      </c>
      <c r="CS37" s="39">
        <v>30.620999999999999</v>
      </c>
      <c r="CU37" s="39">
        <v>30.358499999999999</v>
      </c>
      <c r="CW37" s="39">
        <v>1.9422999999999999</v>
      </c>
      <c r="CY37" s="39">
        <v>38.3264</v>
      </c>
      <c r="DA37" s="44">
        <v>31.762799999999999</v>
      </c>
      <c r="DC37" s="1" t="str">
        <f t="shared" si="0"/>
        <v>No</v>
      </c>
    </row>
    <row r="38" spans="1:107">
      <c r="A38" s="7" t="s">
        <v>349</v>
      </c>
      <c r="B38" s="7" t="s">
        <v>350</v>
      </c>
      <c r="C38" s="37" t="s">
        <v>31</v>
      </c>
      <c r="D38" s="296">
        <v>3075</v>
      </c>
      <c r="E38" s="297">
        <v>30075</v>
      </c>
      <c r="F38" s="27" t="s">
        <v>165</v>
      </c>
      <c r="G38" s="27" t="s">
        <v>158</v>
      </c>
      <c r="H38" s="35">
        <v>5441567</v>
      </c>
      <c r="I38" s="35">
        <v>481</v>
      </c>
      <c r="J38" s="292"/>
      <c r="K38" s="8">
        <v>1454581</v>
      </c>
      <c r="L38" s="8"/>
      <c r="M38" s="8">
        <v>240239</v>
      </c>
      <c r="N38" s="9"/>
      <c r="O38" s="8">
        <v>18738</v>
      </c>
      <c r="P38" s="9"/>
      <c r="Q38" s="8">
        <v>229239</v>
      </c>
      <c r="R38" s="9"/>
      <c r="S38" s="8">
        <v>0</v>
      </c>
      <c r="T38" s="9"/>
      <c r="U38" s="33">
        <v>1942797</v>
      </c>
      <c r="V38" s="9"/>
      <c r="W38" s="30">
        <v>679</v>
      </c>
      <c r="X38" s="9"/>
      <c r="Y38" s="30">
        <v>128</v>
      </c>
      <c r="Z38" s="9"/>
      <c r="AA38" s="30">
        <v>13</v>
      </c>
      <c r="AB38" s="9"/>
      <c r="AC38" s="30">
        <v>144</v>
      </c>
      <c r="AD38" s="9"/>
      <c r="AE38" s="80">
        <v>0</v>
      </c>
      <c r="AF38" s="46"/>
      <c r="AG38" s="88">
        <v>964</v>
      </c>
      <c r="AH38" s="47"/>
      <c r="AJ38" s="83">
        <v>1427934</v>
      </c>
      <c r="AL38" s="83">
        <v>240239</v>
      </c>
      <c r="AN38" s="83">
        <v>18738</v>
      </c>
      <c r="AP38" s="83">
        <v>225606</v>
      </c>
      <c r="AR38" s="83">
        <v>0</v>
      </c>
      <c r="AT38" s="204">
        <v>1912517</v>
      </c>
      <c r="AV38" s="46">
        <v>659</v>
      </c>
      <c r="AX38" s="46">
        <v>128</v>
      </c>
      <c r="AZ38" s="46">
        <v>13</v>
      </c>
      <c r="BB38" s="46">
        <v>141</v>
      </c>
      <c r="BD38" s="46">
        <v>0</v>
      </c>
      <c r="BF38" s="209">
        <v>964</v>
      </c>
      <c r="BI38" s="83">
        <v>26647</v>
      </c>
      <c r="BK38" s="83">
        <v>0</v>
      </c>
      <c r="BM38" s="83">
        <v>0</v>
      </c>
      <c r="BO38" s="83">
        <v>3633</v>
      </c>
      <c r="BQ38" s="83">
        <v>0</v>
      </c>
      <c r="BS38" s="85">
        <v>30280</v>
      </c>
      <c r="BU38" s="46">
        <v>20</v>
      </c>
      <c r="BW38" s="46">
        <v>0</v>
      </c>
      <c r="BY38" s="46">
        <v>0</v>
      </c>
      <c r="CA38" s="46">
        <v>3</v>
      </c>
      <c r="CC38" s="46">
        <v>0</v>
      </c>
      <c r="CE38" s="209">
        <v>23</v>
      </c>
      <c r="CH38" s="41">
        <v>29601770</v>
      </c>
      <c r="CJ38" s="41">
        <v>5493617</v>
      </c>
      <c r="CL38" s="41">
        <v>405886</v>
      </c>
      <c r="CN38" s="41">
        <v>5614174</v>
      </c>
      <c r="CP38" s="43">
        <v>41115447</v>
      </c>
      <c r="CS38" s="39">
        <v>20.3507</v>
      </c>
      <c r="CU38" s="39">
        <v>22.8673</v>
      </c>
      <c r="CW38" s="39">
        <v>0.27900000000000003</v>
      </c>
      <c r="CY38" s="39">
        <v>24.490500000000001</v>
      </c>
      <c r="DA38" s="44">
        <v>21.163</v>
      </c>
      <c r="DC38" s="1" t="str">
        <f t="shared" si="0"/>
        <v>No</v>
      </c>
    </row>
    <row r="39" spans="1:107">
      <c r="A39" s="7" t="s">
        <v>217</v>
      </c>
      <c r="B39" s="7" t="s">
        <v>218</v>
      </c>
      <c r="C39" s="37" t="s">
        <v>55</v>
      </c>
      <c r="D39" s="296">
        <v>7006</v>
      </c>
      <c r="E39" s="297">
        <v>70006</v>
      </c>
      <c r="F39" s="27" t="s">
        <v>165</v>
      </c>
      <c r="G39" s="27" t="s">
        <v>158</v>
      </c>
      <c r="H39" s="35">
        <v>2150706</v>
      </c>
      <c r="I39" s="35">
        <v>480</v>
      </c>
      <c r="J39" s="292"/>
      <c r="K39" s="8">
        <v>2926746</v>
      </c>
      <c r="L39" s="8"/>
      <c r="M39" s="8">
        <v>600069</v>
      </c>
      <c r="N39" s="9"/>
      <c r="O39" s="8">
        <v>362918</v>
      </c>
      <c r="P39" s="9"/>
      <c r="Q39" s="8">
        <v>429346</v>
      </c>
      <c r="R39" s="9"/>
      <c r="S39" s="8">
        <v>42562</v>
      </c>
      <c r="T39" s="9"/>
      <c r="U39" s="33">
        <v>4361641</v>
      </c>
      <c r="V39" s="9"/>
      <c r="W39" s="30">
        <v>1559</v>
      </c>
      <c r="X39" s="9"/>
      <c r="Y39" s="30">
        <v>307</v>
      </c>
      <c r="Z39" s="9"/>
      <c r="AA39" s="30">
        <v>184.99</v>
      </c>
      <c r="AB39" s="9"/>
      <c r="AC39" s="30">
        <v>267</v>
      </c>
      <c r="AD39" s="9"/>
      <c r="AE39" s="80">
        <v>23.47</v>
      </c>
      <c r="AF39" s="46"/>
      <c r="AG39" s="88">
        <v>2341.46</v>
      </c>
      <c r="AH39" s="47"/>
      <c r="AJ39" s="83">
        <v>2830013</v>
      </c>
      <c r="AL39" s="83">
        <v>600069</v>
      </c>
      <c r="AN39" s="83">
        <v>362918</v>
      </c>
      <c r="AP39" s="83">
        <v>409246</v>
      </c>
      <c r="AR39" s="83">
        <v>42562</v>
      </c>
      <c r="AT39" s="204">
        <v>4244808</v>
      </c>
      <c r="AV39" s="46">
        <v>1379.01</v>
      </c>
      <c r="AX39" s="46">
        <v>307</v>
      </c>
      <c r="AZ39" s="46">
        <v>184.99</v>
      </c>
      <c r="BB39" s="46">
        <v>242</v>
      </c>
      <c r="BD39" s="46">
        <v>23.47</v>
      </c>
      <c r="BF39" s="209">
        <v>2341.46</v>
      </c>
      <c r="BI39" s="83">
        <v>96733</v>
      </c>
      <c r="BK39" s="83">
        <v>0</v>
      </c>
      <c r="BM39" s="83">
        <v>0</v>
      </c>
      <c r="BO39" s="83">
        <v>20100</v>
      </c>
      <c r="BQ39" s="83">
        <v>0</v>
      </c>
      <c r="BS39" s="85">
        <v>116833</v>
      </c>
      <c r="BU39" s="46">
        <v>179.99</v>
      </c>
      <c r="BW39" s="46">
        <v>0</v>
      </c>
      <c r="BY39" s="46">
        <v>0</v>
      </c>
      <c r="CA39" s="46">
        <v>25</v>
      </c>
      <c r="CC39" s="46">
        <v>0</v>
      </c>
      <c r="CE39" s="209">
        <v>204.99</v>
      </c>
      <c r="CH39" s="41">
        <v>64152337</v>
      </c>
      <c r="CJ39" s="41">
        <v>16321997</v>
      </c>
      <c r="CL39" s="41">
        <v>10674473</v>
      </c>
      <c r="CN39" s="41">
        <v>12900884</v>
      </c>
      <c r="CP39" s="43">
        <v>104049691</v>
      </c>
      <c r="CS39" s="39">
        <v>21.9193</v>
      </c>
      <c r="CU39" s="39">
        <v>27.200199999999999</v>
      </c>
      <c r="CW39" s="39">
        <v>3.6472000000000002</v>
      </c>
      <c r="CY39" s="39">
        <v>30.047799999999999</v>
      </c>
      <c r="DA39" s="44">
        <v>23.855599999999999</v>
      </c>
      <c r="DC39" s="1" t="str">
        <f t="shared" si="0"/>
        <v>No</v>
      </c>
    </row>
    <row r="40" spans="1:107">
      <c r="A40" s="7" t="s">
        <v>235</v>
      </c>
      <c r="B40" s="7" t="s">
        <v>236</v>
      </c>
      <c r="C40" s="37" t="s">
        <v>32</v>
      </c>
      <c r="D40" s="296">
        <v>4029</v>
      </c>
      <c r="E40" s="297">
        <v>40029</v>
      </c>
      <c r="F40" s="27" t="s">
        <v>162</v>
      </c>
      <c r="G40" s="27" t="s">
        <v>158</v>
      </c>
      <c r="H40" s="35">
        <v>5502379</v>
      </c>
      <c r="I40" s="35">
        <v>471</v>
      </c>
      <c r="J40" s="292"/>
      <c r="K40" s="8">
        <v>1620818</v>
      </c>
      <c r="L40" s="8"/>
      <c r="M40" s="8">
        <v>369000</v>
      </c>
      <c r="N40" s="9"/>
      <c r="O40" s="8">
        <v>19299</v>
      </c>
      <c r="P40" s="9"/>
      <c r="Q40" s="8">
        <v>192944</v>
      </c>
      <c r="R40" s="9"/>
      <c r="S40" s="8">
        <v>0</v>
      </c>
      <c r="T40" s="9"/>
      <c r="U40" s="33">
        <v>2202061</v>
      </c>
      <c r="V40" s="9"/>
      <c r="W40" s="30">
        <v>752</v>
      </c>
      <c r="X40" s="9"/>
      <c r="Y40" s="30">
        <v>180</v>
      </c>
      <c r="Z40" s="9"/>
      <c r="AA40" s="30">
        <v>13</v>
      </c>
      <c r="AB40" s="9"/>
      <c r="AC40" s="30">
        <v>110</v>
      </c>
      <c r="AD40" s="9"/>
      <c r="AE40" s="80">
        <v>0</v>
      </c>
      <c r="AF40" s="46"/>
      <c r="AG40" s="88">
        <v>1055</v>
      </c>
      <c r="AH40" s="47"/>
      <c r="AJ40" s="83">
        <v>1619766</v>
      </c>
      <c r="AL40" s="83">
        <v>369000</v>
      </c>
      <c r="AN40" s="83">
        <v>19299</v>
      </c>
      <c r="AP40" s="83">
        <v>190986</v>
      </c>
      <c r="AR40" s="83">
        <v>0</v>
      </c>
      <c r="AT40" s="204">
        <v>2199051</v>
      </c>
      <c r="AV40" s="46">
        <v>751</v>
      </c>
      <c r="AX40" s="46">
        <v>180</v>
      </c>
      <c r="AZ40" s="46">
        <v>13</v>
      </c>
      <c r="BB40" s="46">
        <v>107</v>
      </c>
      <c r="BD40" s="46">
        <v>0</v>
      </c>
      <c r="BF40" s="209">
        <v>1055</v>
      </c>
      <c r="BI40" s="83">
        <v>1052</v>
      </c>
      <c r="BK40" s="83">
        <v>0</v>
      </c>
      <c r="BM40" s="83">
        <v>0</v>
      </c>
      <c r="BO40" s="83">
        <v>1958</v>
      </c>
      <c r="BQ40" s="83">
        <v>0</v>
      </c>
      <c r="BS40" s="85">
        <v>3010</v>
      </c>
      <c r="BU40" s="46">
        <v>1</v>
      </c>
      <c r="BW40" s="46">
        <v>0</v>
      </c>
      <c r="BY40" s="46">
        <v>0</v>
      </c>
      <c r="CA40" s="46">
        <v>3</v>
      </c>
      <c r="CC40" s="46">
        <v>0</v>
      </c>
      <c r="CE40" s="209">
        <v>4</v>
      </c>
      <c r="CH40" s="41">
        <v>39501897</v>
      </c>
      <c r="CJ40" s="41">
        <v>11384693</v>
      </c>
      <c r="CL40" s="41">
        <v>499394</v>
      </c>
      <c r="CN40" s="41">
        <v>6355259</v>
      </c>
      <c r="CP40" s="43">
        <v>57741243</v>
      </c>
      <c r="CS40" s="39">
        <v>24.371600000000001</v>
      </c>
      <c r="CU40" s="39">
        <v>30.852799999999998</v>
      </c>
      <c r="CW40" s="39">
        <v>0.30809999999999998</v>
      </c>
      <c r="CY40" s="39">
        <v>32.938400000000001</v>
      </c>
      <c r="DA40" s="44">
        <v>26.221499999999999</v>
      </c>
      <c r="DC40" s="1" t="str">
        <f t="shared" si="0"/>
        <v>No</v>
      </c>
    </row>
    <row r="41" spans="1:107">
      <c r="A41" s="7" t="s">
        <v>291</v>
      </c>
      <c r="B41" s="7" t="s">
        <v>292</v>
      </c>
      <c r="C41" s="37" t="s">
        <v>52</v>
      </c>
      <c r="D41" s="296">
        <v>5119</v>
      </c>
      <c r="E41" s="297">
        <v>50119</v>
      </c>
      <c r="F41" s="27" t="s">
        <v>162</v>
      </c>
      <c r="G41" s="27" t="s">
        <v>158</v>
      </c>
      <c r="H41" s="35">
        <v>3734090</v>
      </c>
      <c r="I41" s="35">
        <v>456</v>
      </c>
      <c r="J41" s="292"/>
      <c r="K41" s="8">
        <v>1353366</v>
      </c>
      <c r="L41" s="8"/>
      <c r="M41" s="8">
        <v>464181</v>
      </c>
      <c r="N41" s="9"/>
      <c r="O41" s="8">
        <v>79509</v>
      </c>
      <c r="P41" s="9"/>
      <c r="Q41" s="8">
        <v>50552</v>
      </c>
      <c r="R41" s="9"/>
      <c r="S41" s="8">
        <v>0</v>
      </c>
      <c r="T41" s="9"/>
      <c r="U41" s="33">
        <v>1947608</v>
      </c>
      <c r="V41" s="9"/>
      <c r="W41" s="30">
        <v>597</v>
      </c>
      <c r="X41" s="9"/>
      <c r="Y41" s="30">
        <v>185</v>
      </c>
      <c r="Z41" s="9"/>
      <c r="AA41" s="30">
        <v>33</v>
      </c>
      <c r="AB41" s="9"/>
      <c r="AC41" s="30">
        <v>29</v>
      </c>
      <c r="AD41" s="9"/>
      <c r="AE41" s="80">
        <v>0</v>
      </c>
      <c r="AF41" s="46"/>
      <c r="AG41" s="88">
        <v>844</v>
      </c>
      <c r="AH41" s="47"/>
      <c r="AJ41" s="83">
        <v>1353366</v>
      </c>
      <c r="AL41" s="83">
        <v>464181</v>
      </c>
      <c r="AN41" s="83">
        <v>79509</v>
      </c>
      <c r="AP41" s="83">
        <v>50552</v>
      </c>
      <c r="AR41" s="83">
        <v>0</v>
      </c>
      <c r="AT41" s="204">
        <v>1947608</v>
      </c>
      <c r="AV41" s="46">
        <v>597</v>
      </c>
      <c r="AX41" s="46">
        <v>185</v>
      </c>
      <c r="AZ41" s="46">
        <v>33</v>
      </c>
      <c r="BB41" s="46">
        <v>29</v>
      </c>
      <c r="BD41" s="46">
        <v>0</v>
      </c>
      <c r="BF41" s="209">
        <v>844</v>
      </c>
      <c r="BI41" s="83">
        <v>0</v>
      </c>
      <c r="BK41" s="83">
        <v>0</v>
      </c>
      <c r="BM41" s="83">
        <v>0</v>
      </c>
      <c r="BO41" s="83">
        <v>0</v>
      </c>
      <c r="BQ41" s="83">
        <v>0</v>
      </c>
      <c r="BS41" s="85">
        <v>0</v>
      </c>
      <c r="BU41" s="46">
        <v>0</v>
      </c>
      <c r="BW41" s="46">
        <v>0</v>
      </c>
      <c r="BY41" s="46">
        <v>0</v>
      </c>
      <c r="CA41" s="46">
        <v>0</v>
      </c>
      <c r="CC41" s="46">
        <v>0</v>
      </c>
      <c r="CE41" s="209">
        <v>0</v>
      </c>
      <c r="CH41" s="41">
        <v>27724351</v>
      </c>
      <c r="CJ41" s="41">
        <v>12433172</v>
      </c>
      <c r="CL41" s="41">
        <v>1838828</v>
      </c>
      <c r="CN41" s="41">
        <v>1389069</v>
      </c>
      <c r="CP41" s="43">
        <v>43385420</v>
      </c>
      <c r="CS41" s="39">
        <v>20.485499999999998</v>
      </c>
      <c r="CU41" s="39">
        <v>26.7852</v>
      </c>
      <c r="CW41" s="39">
        <v>1.3587</v>
      </c>
      <c r="CY41" s="39">
        <v>27.478000000000002</v>
      </c>
      <c r="DA41" s="44">
        <v>22.276299999999999</v>
      </c>
      <c r="DC41" s="1" t="str">
        <f t="shared" si="0"/>
        <v>No</v>
      </c>
    </row>
    <row r="42" spans="1:107">
      <c r="A42" s="7" t="s">
        <v>213</v>
      </c>
      <c r="B42" s="7" t="s">
        <v>214</v>
      </c>
      <c r="C42" s="37" t="s">
        <v>89</v>
      </c>
      <c r="D42" s="296">
        <v>18</v>
      </c>
      <c r="E42" s="297">
        <v>18</v>
      </c>
      <c r="F42" s="27" t="s">
        <v>165</v>
      </c>
      <c r="G42" s="27" t="s">
        <v>158</v>
      </c>
      <c r="H42" s="35">
        <v>210975</v>
      </c>
      <c r="I42" s="35">
        <v>431</v>
      </c>
      <c r="J42" s="292"/>
      <c r="K42" s="8">
        <v>373787</v>
      </c>
      <c r="L42" s="8"/>
      <c r="M42" s="8">
        <v>51950</v>
      </c>
      <c r="N42" s="9"/>
      <c r="O42" s="8">
        <v>5446</v>
      </c>
      <c r="P42" s="9"/>
      <c r="Q42" s="8">
        <v>46802</v>
      </c>
      <c r="R42" s="9"/>
      <c r="S42" s="8">
        <v>0</v>
      </c>
      <c r="T42" s="9"/>
      <c r="U42" s="33">
        <v>477985</v>
      </c>
      <c r="V42" s="9"/>
      <c r="W42" s="30">
        <v>239</v>
      </c>
      <c r="X42" s="9"/>
      <c r="Y42" s="30">
        <v>29</v>
      </c>
      <c r="Z42" s="9"/>
      <c r="AA42" s="30">
        <v>4</v>
      </c>
      <c r="AB42" s="9"/>
      <c r="AC42" s="30">
        <v>30.99</v>
      </c>
      <c r="AD42" s="9"/>
      <c r="AE42" s="80">
        <v>0</v>
      </c>
      <c r="AF42" s="46"/>
      <c r="AG42" s="88">
        <v>302.99</v>
      </c>
      <c r="AH42" s="47"/>
      <c r="AJ42" s="83">
        <v>318163</v>
      </c>
      <c r="AL42" s="83">
        <v>51090</v>
      </c>
      <c r="AN42" s="83">
        <v>5255</v>
      </c>
      <c r="AP42" s="83">
        <v>39387</v>
      </c>
      <c r="AR42" s="83">
        <v>0</v>
      </c>
      <c r="AT42" s="204">
        <v>413895</v>
      </c>
      <c r="AV42" s="46">
        <v>172</v>
      </c>
      <c r="AX42" s="46">
        <v>28</v>
      </c>
      <c r="AZ42" s="46">
        <v>3</v>
      </c>
      <c r="BB42" s="46">
        <v>22.99</v>
      </c>
      <c r="BD42" s="46">
        <v>0</v>
      </c>
      <c r="BF42" s="209">
        <v>302.99</v>
      </c>
      <c r="BI42" s="83">
        <v>55624</v>
      </c>
      <c r="BK42" s="83">
        <v>860</v>
      </c>
      <c r="BM42" s="83">
        <v>191</v>
      </c>
      <c r="BO42" s="83">
        <v>7415</v>
      </c>
      <c r="BQ42" s="83">
        <v>0</v>
      </c>
      <c r="BS42" s="85">
        <v>64090</v>
      </c>
      <c r="BU42" s="46">
        <v>67</v>
      </c>
      <c r="BW42" s="46">
        <v>1</v>
      </c>
      <c r="BY42" s="46">
        <v>1</v>
      </c>
      <c r="CA42" s="46">
        <v>8</v>
      </c>
      <c r="CC42" s="46">
        <v>0</v>
      </c>
      <c r="CE42" s="209">
        <v>77</v>
      </c>
      <c r="CH42" s="41">
        <v>9675544</v>
      </c>
      <c r="CJ42" s="41">
        <v>1465590</v>
      </c>
      <c r="CL42" s="41">
        <v>130568</v>
      </c>
      <c r="CN42" s="41">
        <v>1534996</v>
      </c>
      <c r="CP42" s="43">
        <v>12806698</v>
      </c>
      <c r="CS42" s="39">
        <v>25.885200000000001</v>
      </c>
      <c r="CU42" s="39">
        <v>28.211500000000001</v>
      </c>
      <c r="CW42" s="39">
        <v>0.3493</v>
      </c>
      <c r="CY42" s="39">
        <v>32.797699999999999</v>
      </c>
      <c r="DA42" s="44">
        <v>26.793099999999999</v>
      </c>
      <c r="DC42" s="1" t="str">
        <f t="shared" si="0"/>
        <v>No</v>
      </c>
    </row>
    <row r="43" spans="1:107">
      <c r="A43" s="7" t="s">
        <v>542</v>
      </c>
      <c r="B43" s="7" t="s">
        <v>543</v>
      </c>
      <c r="C43" s="37" t="s">
        <v>32</v>
      </c>
      <c r="D43" s="296">
        <v>4037</v>
      </c>
      <c r="E43" s="297">
        <v>40037</v>
      </c>
      <c r="F43" s="27" t="s">
        <v>162</v>
      </c>
      <c r="G43" s="27" t="s">
        <v>158</v>
      </c>
      <c r="H43" s="35">
        <v>5502379</v>
      </c>
      <c r="I43" s="35">
        <v>424</v>
      </c>
      <c r="J43" s="292"/>
      <c r="K43" s="8">
        <v>705548</v>
      </c>
      <c r="L43" s="8"/>
      <c r="M43" s="8">
        <v>178881</v>
      </c>
      <c r="N43" s="9"/>
      <c r="O43" s="8">
        <v>6683</v>
      </c>
      <c r="P43" s="9"/>
      <c r="Q43" s="8">
        <v>126376</v>
      </c>
      <c r="R43" s="9"/>
      <c r="S43" s="8">
        <v>0</v>
      </c>
      <c r="T43" s="9"/>
      <c r="U43" s="33">
        <v>1017488</v>
      </c>
      <c r="V43" s="9"/>
      <c r="W43" s="30">
        <v>355</v>
      </c>
      <c r="X43" s="9"/>
      <c r="Y43" s="30">
        <v>90</v>
      </c>
      <c r="Z43" s="9"/>
      <c r="AA43" s="30">
        <v>3</v>
      </c>
      <c r="AB43" s="9"/>
      <c r="AC43" s="30">
        <v>70</v>
      </c>
      <c r="AD43" s="9"/>
      <c r="AE43" s="80">
        <v>0</v>
      </c>
      <c r="AF43" s="46"/>
      <c r="AG43" s="88">
        <v>518</v>
      </c>
      <c r="AH43" s="47"/>
      <c r="AJ43" s="83">
        <v>705548</v>
      </c>
      <c r="AL43" s="83">
        <v>178881</v>
      </c>
      <c r="AN43" s="83">
        <v>6683</v>
      </c>
      <c r="AP43" s="83">
        <v>126376</v>
      </c>
      <c r="AR43" s="83">
        <v>0</v>
      </c>
      <c r="AT43" s="204">
        <v>1017488</v>
      </c>
      <c r="AV43" s="46">
        <v>355</v>
      </c>
      <c r="AX43" s="46">
        <v>90</v>
      </c>
      <c r="AZ43" s="46">
        <v>3</v>
      </c>
      <c r="BB43" s="46">
        <v>70</v>
      </c>
      <c r="BD43" s="46">
        <v>0</v>
      </c>
      <c r="BF43" s="209">
        <v>518</v>
      </c>
      <c r="BI43" s="83">
        <v>0</v>
      </c>
      <c r="BK43" s="83">
        <v>0</v>
      </c>
      <c r="BM43" s="83">
        <v>0</v>
      </c>
      <c r="BO43" s="83">
        <v>0</v>
      </c>
      <c r="BQ43" s="83">
        <v>0</v>
      </c>
      <c r="BS43" s="85">
        <v>0</v>
      </c>
      <c r="BU43" s="46">
        <v>0</v>
      </c>
      <c r="BW43" s="46">
        <v>0</v>
      </c>
      <c r="BY43" s="46">
        <v>0</v>
      </c>
      <c r="CA43" s="46">
        <v>0</v>
      </c>
      <c r="CC43" s="46">
        <v>0</v>
      </c>
      <c r="CE43" s="209">
        <v>0</v>
      </c>
      <c r="CH43" s="41">
        <v>14801679</v>
      </c>
      <c r="CJ43" s="41">
        <v>4137297</v>
      </c>
      <c r="CL43" s="41">
        <v>228928</v>
      </c>
      <c r="CN43" s="41">
        <v>4428498</v>
      </c>
      <c r="CP43" s="43">
        <v>23596402</v>
      </c>
      <c r="CS43" s="39">
        <v>20.978999999999999</v>
      </c>
      <c r="CU43" s="39">
        <v>23.128799999999998</v>
      </c>
      <c r="CW43" s="39">
        <v>0.32450000000000001</v>
      </c>
      <c r="CY43" s="39">
        <v>35.042200000000001</v>
      </c>
      <c r="DA43" s="44">
        <v>23.190799999999999</v>
      </c>
      <c r="DC43" s="1" t="str">
        <f t="shared" si="0"/>
        <v>No</v>
      </c>
    </row>
    <row r="44" spans="1:107">
      <c r="A44" s="7" t="s">
        <v>273</v>
      </c>
      <c r="B44" s="7" t="s">
        <v>274</v>
      </c>
      <c r="C44" s="37" t="s">
        <v>58</v>
      </c>
      <c r="D44" s="296">
        <v>4008</v>
      </c>
      <c r="E44" s="297">
        <v>40008</v>
      </c>
      <c r="F44" s="27" t="s">
        <v>162</v>
      </c>
      <c r="G44" s="27" t="s">
        <v>158</v>
      </c>
      <c r="H44" s="35">
        <v>1249442</v>
      </c>
      <c r="I44" s="35">
        <v>421</v>
      </c>
      <c r="J44" s="292"/>
      <c r="K44" s="8">
        <v>1546412</v>
      </c>
      <c r="L44" s="8"/>
      <c r="M44" s="8">
        <v>411707</v>
      </c>
      <c r="N44" s="9"/>
      <c r="O44" s="8">
        <v>42308</v>
      </c>
      <c r="P44" s="9"/>
      <c r="Q44" s="8">
        <v>68374</v>
      </c>
      <c r="R44" s="9"/>
      <c r="S44" s="8">
        <v>0</v>
      </c>
      <c r="T44" s="9"/>
      <c r="U44" s="33">
        <v>2068801</v>
      </c>
      <c r="V44" s="9"/>
      <c r="W44" s="30">
        <v>881.5</v>
      </c>
      <c r="X44" s="9"/>
      <c r="Y44" s="30">
        <v>234</v>
      </c>
      <c r="Z44" s="9"/>
      <c r="AA44" s="30">
        <v>25</v>
      </c>
      <c r="AB44" s="9"/>
      <c r="AC44" s="30">
        <v>39</v>
      </c>
      <c r="AD44" s="9"/>
      <c r="AE44" s="80">
        <v>0</v>
      </c>
      <c r="AF44" s="46"/>
      <c r="AG44" s="88">
        <v>1179.5</v>
      </c>
      <c r="AH44" s="47"/>
      <c r="AJ44" s="83">
        <v>1445880</v>
      </c>
      <c r="AL44" s="83">
        <v>409490</v>
      </c>
      <c r="AN44" s="83">
        <v>42308</v>
      </c>
      <c r="AP44" s="83">
        <v>68374</v>
      </c>
      <c r="AR44" s="83">
        <v>0</v>
      </c>
      <c r="AT44" s="204">
        <v>1966052</v>
      </c>
      <c r="AV44" s="46">
        <v>786</v>
      </c>
      <c r="AX44" s="46">
        <v>232</v>
      </c>
      <c r="AZ44" s="46">
        <v>25</v>
      </c>
      <c r="BB44" s="46">
        <v>39</v>
      </c>
      <c r="BD44" s="46">
        <v>0</v>
      </c>
      <c r="BF44" s="209">
        <v>1179.5</v>
      </c>
      <c r="BI44" s="83">
        <v>100532</v>
      </c>
      <c r="BK44" s="83">
        <v>2217</v>
      </c>
      <c r="BM44" s="83">
        <v>0</v>
      </c>
      <c r="BO44" s="83">
        <v>0</v>
      </c>
      <c r="BQ44" s="83">
        <v>0</v>
      </c>
      <c r="BS44" s="85">
        <v>102749</v>
      </c>
      <c r="BU44" s="46">
        <v>95.5</v>
      </c>
      <c r="BW44" s="46">
        <v>2</v>
      </c>
      <c r="BY44" s="46">
        <v>0</v>
      </c>
      <c r="CA44" s="46">
        <v>0</v>
      </c>
      <c r="CC44" s="46">
        <v>0</v>
      </c>
      <c r="CE44" s="209">
        <v>97.5</v>
      </c>
      <c r="CH44" s="41">
        <v>37091854</v>
      </c>
      <c r="CJ44" s="41">
        <v>10537235</v>
      </c>
      <c r="CL44" s="41">
        <v>1068405</v>
      </c>
      <c r="CN44" s="41">
        <v>5355399</v>
      </c>
      <c r="CP44" s="43">
        <v>54052893</v>
      </c>
      <c r="CS44" s="39">
        <v>23.985800000000001</v>
      </c>
      <c r="CU44" s="39">
        <v>25.594000000000001</v>
      </c>
      <c r="CW44" s="39">
        <v>0.69089999999999996</v>
      </c>
      <c r="CY44" s="39">
        <v>78.325100000000006</v>
      </c>
      <c r="DA44" s="44">
        <v>26.127600000000001</v>
      </c>
      <c r="DC44" s="1" t="str">
        <f t="shared" si="0"/>
        <v>No</v>
      </c>
    </row>
    <row r="45" spans="1:107">
      <c r="A45" s="7" t="s">
        <v>499</v>
      </c>
      <c r="B45" s="7" t="s">
        <v>500</v>
      </c>
      <c r="C45" s="37" t="s">
        <v>93</v>
      </c>
      <c r="D45" s="296">
        <v>5008</v>
      </c>
      <c r="E45" s="297">
        <v>50008</v>
      </c>
      <c r="F45" s="27" t="s">
        <v>162</v>
      </c>
      <c r="G45" s="27" t="s">
        <v>158</v>
      </c>
      <c r="H45" s="35">
        <v>1376476</v>
      </c>
      <c r="I45" s="35">
        <v>421</v>
      </c>
      <c r="J45" s="292"/>
      <c r="K45" s="8">
        <v>1896577</v>
      </c>
      <c r="L45" s="8"/>
      <c r="M45" s="8">
        <v>289502</v>
      </c>
      <c r="N45" s="9"/>
      <c r="O45" s="8">
        <v>32847</v>
      </c>
      <c r="P45" s="9"/>
      <c r="Q45" s="8">
        <v>128386</v>
      </c>
      <c r="R45" s="9"/>
      <c r="S45" s="8">
        <v>0</v>
      </c>
      <c r="T45" s="9"/>
      <c r="U45" s="33">
        <v>2347312</v>
      </c>
      <c r="V45" s="9"/>
      <c r="W45" s="30">
        <v>768.5</v>
      </c>
      <c r="X45" s="9"/>
      <c r="Y45" s="30">
        <v>152.9</v>
      </c>
      <c r="Z45" s="9"/>
      <c r="AA45" s="30">
        <v>13.8</v>
      </c>
      <c r="AB45" s="9"/>
      <c r="AC45" s="30">
        <v>77.5</v>
      </c>
      <c r="AD45" s="9"/>
      <c r="AE45" s="80">
        <v>0</v>
      </c>
      <c r="AF45" s="46"/>
      <c r="AG45" s="88">
        <v>1012.7</v>
      </c>
      <c r="AH45" s="47"/>
      <c r="AJ45" s="83">
        <v>1896577</v>
      </c>
      <c r="AL45" s="83">
        <v>289502</v>
      </c>
      <c r="AN45" s="83">
        <v>32847</v>
      </c>
      <c r="AP45" s="83">
        <v>128386</v>
      </c>
      <c r="AR45" s="83">
        <v>0</v>
      </c>
      <c r="AT45" s="204">
        <v>2347312</v>
      </c>
      <c r="AV45" s="46">
        <v>768.5</v>
      </c>
      <c r="AX45" s="46">
        <v>152.9</v>
      </c>
      <c r="AZ45" s="46">
        <v>13.8</v>
      </c>
      <c r="BB45" s="46">
        <v>77.5</v>
      </c>
      <c r="BD45" s="46">
        <v>0</v>
      </c>
      <c r="BF45" s="209">
        <v>1012.7</v>
      </c>
      <c r="BI45" s="83">
        <v>0</v>
      </c>
      <c r="BK45" s="83">
        <v>0</v>
      </c>
      <c r="BM45" s="83">
        <v>0</v>
      </c>
      <c r="BO45" s="83">
        <v>0</v>
      </c>
      <c r="BQ45" s="83">
        <v>0</v>
      </c>
      <c r="BS45" s="85">
        <v>0</v>
      </c>
      <c r="BU45" s="46">
        <v>0</v>
      </c>
      <c r="BW45" s="46">
        <v>0</v>
      </c>
      <c r="BY45" s="46">
        <v>0</v>
      </c>
      <c r="CA45" s="46">
        <v>0</v>
      </c>
      <c r="CC45" s="46">
        <v>0</v>
      </c>
      <c r="CE45" s="209">
        <v>0</v>
      </c>
      <c r="CH45" s="41">
        <v>44260830</v>
      </c>
      <c r="CJ45" s="41">
        <v>7281418</v>
      </c>
      <c r="CL45" s="41">
        <v>1150732</v>
      </c>
      <c r="CN45" s="41">
        <v>4002742</v>
      </c>
      <c r="CP45" s="43">
        <v>56695722</v>
      </c>
      <c r="CS45" s="39">
        <v>23.337199999999999</v>
      </c>
      <c r="CU45" s="39">
        <v>25.151499999999999</v>
      </c>
      <c r="CW45" s="39">
        <v>0.60670000000000002</v>
      </c>
      <c r="CY45" s="39">
        <v>31.177399999999999</v>
      </c>
      <c r="DA45" s="44">
        <v>24.153500000000001</v>
      </c>
      <c r="DC45" s="1" t="str">
        <f t="shared" si="0"/>
        <v>No</v>
      </c>
    </row>
    <row r="46" spans="1:107">
      <c r="A46" s="7" t="s">
        <v>16</v>
      </c>
      <c r="B46" s="7" t="s">
        <v>675</v>
      </c>
      <c r="C46" s="37" t="s">
        <v>13</v>
      </c>
      <c r="D46" s="296">
        <v>9169</v>
      </c>
      <c r="E46" s="297">
        <v>90169</v>
      </c>
      <c r="F46" s="27" t="s">
        <v>243</v>
      </c>
      <c r="G46" s="27" t="s">
        <v>158</v>
      </c>
      <c r="H46" s="35">
        <v>3629114</v>
      </c>
      <c r="I46" s="35">
        <v>397</v>
      </c>
      <c r="J46" s="292"/>
      <c r="K46" s="8">
        <v>0</v>
      </c>
      <c r="L46" s="8"/>
      <c r="M46" s="8">
        <v>0</v>
      </c>
      <c r="N46" s="9"/>
      <c r="O46" s="8">
        <v>0</v>
      </c>
      <c r="P46" s="9"/>
      <c r="Q46" s="8">
        <v>12451</v>
      </c>
      <c r="R46" s="9"/>
      <c r="S46" s="8">
        <v>0</v>
      </c>
      <c r="T46" s="9"/>
      <c r="U46" s="33">
        <v>12451</v>
      </c>
      <c r="V46" s="9"/>
      <c r="W46" s="30">
        <v>0</v>
      </c>
      <c r="X46" s="9"/>
      <c r="Y46" s="30">
        <v>0</v>
      </c>
      <c r="Z46" s="9"/>
      <c r="AA46" s="30">
        <v>0</v>
      </c>
      <c r="AB46" s="9"/>
      <c r="AC46" s="30">
        <v>9</v>
      </c>
      <c r="AD46" s="9"/>
      <c r="AE46" s="80">
        <v>0</v>
      </c>
      <c r="AF46" s="46"/>
      <c r="AG46" s="88">
        <v>9</v>
      </c>
      <c r="AH46" s="47"/>
      <c r="AJ46" s="83">
        <v>0</v>
      </c>
      <c r="AL46" s="83">
        <v>0</v>
      </c>
      <c r="AN46" s="83">
        <v>0</v>
      </c>
      <c r="AP46" s="83">
        <v>11245</v>
      </c>
      <c r="AR46" s="83">
        <v>0</v>
      </c>
      <c r="AT46" s="204">
        <v>11245</v>
      </c>
      <c r="AV46" s="46">
        <v>0</v>
      </c>
      <c r="AX46" s="46">
        <v>0</v>
      </c>
      <c r="AZ46" s="46">
        <v>0</v>
      </c>
      <c r="BB46" s="46">
        <v>6</v>
      </c>
      <c r="BD46" s="46">
        <v>0</v>
      </c>
      <c r="BF46" s="209">
        <v>9</v>
      </c>
      <c r="BI46" s="83">
        <v>0</v>
      </c>
      <c r="BK46" s="83">
        <v>0</v>
      </c>
      <c r="BM46" s="83">
        <v>0</v>
      </c>
      <c r="BO46" s="83">
        <v>1206</v>
      </c>
      <c r="BQ46" s="83">
        <v>0</v>
      </c>
      <c r="BS46" s="85">
        <v>1206</v>
      </c>
      <c r="BU46" s="46">
        <v>0</v>
      </c>
      <c r="BW46" s="46">
        <v>0</v>
      </c>
      <c r="BY46" s="46">
        <v>0</v>
      </c>
      <c r="CA46" s="46">
        <v>3</v>
      </c>
      <c r="CC46" s="46">
        <v>0</v>
      </c>
      <c r="CE46" s="209">
        <v>3</v>
      </c>
      <c r="CH46" s="41">
        <v>0</v>
      </c>
      <c r="CJ46" s="41">
        <v>0</v>
      </c>
      <c r="CL46" s="41">
        <v>0</v>
      </c>
      <c r="CN46" s="41">
        <v>256488</v>
      </c>
      <c r="CP46" s="43">
        <v>256488</v>
      </c>
      <c r="CY46" s="39">
        <v>20.599799999999998</v>
      </c>
      <c r="DA46" s="44">
        <v>20.599799999999998</v>
      </c>
      <c r="DC46" s="1" t="str">
        <f t="shared" si="0"/>
        <v>No</v>
      </c>
    </row>
    <row r="47" spans="1:107">
      <c r="A47" s="7" t="s">
        <v>575</v>
      </c>
      <c r="B47" s="7" t="s">
        <v>576</v>
      </c>
      <c r="C47" s="37" t="s">
        <v>17</v>
      </c>
      <c r="D47" s="296">
        <v>9009</v>
      </c>
      <c r="E47" s="297">
        <v>90009</v>
      </c>
      <c r="F47" s="27" t="s">
        <v>165</v>
      </c>
      <c r="G47" s="27" t="s">
        <v>158</v>
      </c>
      <c r="H47" s="35">
        <v>3281212</v>
      </c>
      <c r="I47" s="35">
        <v>371</v>
      </c>
      <c r="J47" s="292"/>
      <c r="K47" s="8">
        <v>674142</v>
      </c>
      <c r="L47" s="8"/>
      <c r="M47" s="8">
        <v>202449</v>
      </c>
      <c r="N47" s="9"/>
      <c r="O47" s="8">
        <v>10123</v>
      </c>
      <c r="P47" s="9"/>
      <c r="Q47" s="8">
        <v>172792</v>
      </c>
      <c r="R47" s="9"/>
      <c r="S47" s="8">
        <v>18098</v>
      </c>
      <c r="T47" s="9"/>
      <c r="U47" s="33">
        <v>1077604</v>
      </c>
      <c r="V47" s="9"/>
      <c r="W47" s="30">
        <v>385</v>
      </c>
      <c r="X47" s="9"/>
      <c r="Y47" s="30">
        <v>118</v>
      </c>
      <c r="Z47" s="9"/>
      <c r="AA47" s="30">
        <v>6</v>
      </c>
      <c r="AB47" s="9"/>
      <c r="AC47" s="30">
        <v>104</v>
      </c>
      <c r="AD47" s="9"/>
      <c r="AE47" s="80">
        <v>10</v>
      </c>
      <c r="AF47" s="46"/>
      <c r="AG47" s="88">
        <v>623</v>
      </c>
      <c r="AH47" s="47"/>
      <c r="AJ47" s="83">
        <v>594244</v>
      </c>
      <c r="AL47" s="83">
        <v>202449</v>
      </c>
      <c r="AN47" s="83">
        <v>10123</v>
      </c>
      <c r="AP47" s="83">
        <v>166500</v>
      </c>
      <c r="AR47" s="83">
        <v>18098</v>
      </c>
      <c r="AT47" s="204">
        <v>991414</v>
      </c>
      <c r="AV47" s="46">
        <v>310</v>
      </c>
      <c r="AX47" s="46">
        <v>118</v>
      </c>
      <c r="AZ47" s="46">
        <v>6</v>
      </c>
      <c r="BB47" s="46">
        <v>90</v>
      </c>
      <c r="BD47" s="46">
        <v>10</v>
      </c>
      <c r="BF47" s="209">
        <v>623</v>
      </c>
      <c r="BI47" s="83">
        <v>79898</v>
      </c>
      <c r="BK47" s="83">
        <v>0</v>
      </c>
      <c r="BM47" s="83">
        <v>0</v>
      </c>
      <c r="BO47" s="83">
        <v>6292</v>
      </c>
      <c r="BQ47" s="83">
        <v>0</v>
      </c>
      <c r="BS47" s="85">
        <v>86190</v>
      </c>
      <c r="BU47" s="46">
        <v>75</v>
      </c>
      <c r="BW47" s="46">
        <v>0</v>
      </c>
      <c r="BY47" s="46">
        <v>0</v>
      </c>
      <c r="CA47" s="46">
        <v>14</v>
      </c>
      <c r="CC47" s="46">
        <v>0</v>
      </c>
      <c r="CE47" s="209">
        <v>89</v>
      </c>
      <c r="CH47" s="41">
        <v>22847055</v>
      </c>
      <c r="CJ47" s="41">
        <v>6280206</v>
      </c>
      <c r="CL47" s="41">
        <v>420146</v>
      </c>
      <c r="CN47" s="41">
        <v>7917535</v>
      </c>
      <c r="CP47" s="43">
        <v>37464942</v>
      </c>
      <c r="CS47" s="39">
        <v>33.890599999999999</v>
      </c>
      <c r="CU47" s="39">
        <v>31.0212</v>
      </c>
      <c r="CW47" s="39">
        <v>0.62319999999999998</v>
      </c>
      <c r="CY47" s="39">
        <v>45.821199999999997</v>
      </c>
      <c r="DA47" s="44">
        <v>34.7669</v>
      </c>
      <c r="DC47" s="1" t="str">
        <f t="shared" si="0"/>
        <v>No</v>
      </c>
    </row>
    <row r="48" spans="1:107">
      <c r="A48" s="7" t="s">
        <v>265</v>
      </c>
      <c r="B48" s="7" t="s">
        <v>266</v>
      </c>
      <c r="C48" s="37" t="s">
        <v>89</v>
      </c>
      <c r="D48" s="296">
        <v>40</v>
      </c>
      <c r="E48" s="297">
        <v>40</v>
      </c>
      <c r="F48" s="27" t="s">
        <v>165</v>
      </c>
      <c r="G48" s="27" t="s">
        <v>158</v>
      </c>
      <c r="H48" s="35">
        <v>3059393</v>
      </c>
      <c r="I48" s="35">
        <v>371</v>
      </c>
      <c r="J48" s="292"/>
      <c r="K48" s="8">
        <v>993940</v>
      </c>
      <c r="L48" s="8"/>
      <c r="M48" s="8">
        <v>299219</v>
      </c>
      <c r="N48" s="9"/>
      <c r="O48" s="8">
        <v>224404</v>
      </c>
      <c r="P48" s="9"/>
      <c r="Q48" s="8">
        <v>223878</v>
      </c>
      <c r="R48" s="9"/>
      <c r="S48" s="8">
        <v>828183</v>
      </c>
      <c r="T48" s="9"/>
      <c r="U48" s="33">
        <v>2569624</v>
      </c>
      <c r="V48" s="9"/>
      <c r="W48" s="30">
        <v>611.35</v>
      </c>
      <c r="X48" s="9"/>
      <c r="Y48" s="30">
        <v>188.4</v>
      </c>
      <c r="Z48" s="9"/>
      <c r="AA48" s="30">
        <v>149.46</v>
      </c>
      <c r="AB48" s="9"/>
      <c r="AC48" s="30">
        <v>129.84</v>
      </c>
      <c r="AD48" s="9"/>
      <c r="AE48" s="80">
        <v>452.72</v>
      </c>
      <c r="AF48" s="46"/>
      <c r="AG48" s="88">
        <v>1531.77</v>
      </c>
      <c r="AH48" s="47"/>
      <c r="AJ48" s="83">
        <v>889235</v>
      </c>
      <c r="AL48" s="83">
        <v>292910</v>
      </c>
      <c r="AN48" s="83">
        <v>215527</v>
      </c>
      <c r="AP48" s="83">
        <v>221314</v>
      </c>
      <c r="AR48" s="83">
        <v>828183</v>
      </c>
      <c r="AT48" s="204">
        <v>2447169</v>
      </c>
      <c r="AV48" s="46">
        <v>513.96</v>
      </c>
      <c r="AX48" s="46">
        <v>174.69</v>
      </c>
      <c r="AZ48" s="46">
        <v>127.68</v>
      </c>
      <c r="BB48" s="46">
        <v>124.77</v>
      </c>
      <c r="BD48" s="46">
        <v>452.72</v>
      </c>
      <c r="BF48" s="209">
        <v>1531.77</v>
      </c>
      <c r="BI48" s="83">
        <v>104705</v>
      </c>
      <c r="BK48" s="83">
        <v>6309</v>
      </c>
      <c r="BM48" s="83">
        <v>8877</v>
      </c>
      <c r="BO48" s="83">
        <v>2564</v>
      </c>
      <c r="BQ48" s="83">
        <v>0</v>
      </c>
      <c r="BS48" s="85">
        <v>122455</v>
      </c>
      <c r="BU48" s="46">
        <v>97.39</v>
      </c>
      <c r="BW48" s="46">
        <v>13.71</v>
      </c>
      <c r="BY48" s="46">
        <v>21.78</v>
      </c>
      <c r="CA48" s="46">
        <v>5.07</v>
      </c>
      <c r="CC48" s="46">
        <v>0</v>
      </c>
      <c r="CE48" s="209">
        <v>137.94999999999999</v>
      </c>
      <c r="CH48" s="41">
        <v>39473899</v>
      </c>
      <c r="CJ48" s="41">
        <v>13346407</v>
      </c>
      <c r="CL48" s="41">
        <v>11199576</v>
      </c>
      <c r="CN48" s="41">
        <v>9146985</v>
      </c>
      <c r="CP48" s="43">
        <v>73166867</v>
      </c>
      <c r="CS48" s="39">
        <v>39.714599999999997</v>
      </c>
      <c r="CU48" s="39">
        <v>44.604100000000003</v>
      </c>
      <c r="CW48" s="39">
        <v>11.267899999999999</v>
      </c>
      <c r="CY48" s="39">
        <v>40.856999999999999</v>
      </c>
      <c r="DA48" s="44">
        <v>28.473800000000001</v>
      </c>
      <c r="DC48" s="1" t="str">
        <f t="shared" si="0"/>
        <v>No</v>
      </c>
    </row>
    <row r="49" spans="1:107">
      <c r="A49" s="7" t="s">
        <v>711</v>
      </c>
      <c r="B49" s="7" t="s">
        <v>712</v>
      </c>
      <c r="C49" s="37" t="s">
        <v>86</v>
      </c>
      <c r="D49" s="296">
        <v>3083</v>
      </c>
      <c r="E49" s="297">
        <v>30083</v>
      </c>
      <c r="F49" s="27" t="s">
        <v>165</v>
      </c>
      <c r="G49" s="27" t="s">
        <v>158</v>
      </c>
      <c r="H49" s="35">
        <v>1439666</v>
      </c>
      <c r="I49" s="35">
        <v>369</v>
      </c>
      <c r="J49" s="292"/>
      <c r="K49" s="8">
        <v>1143764</v>
      </c>
      <c r="L49" s="8"/>
      <c r="M49" s="8">
        <v>375254</v>
      </c>
      <c r="N49" s="9"/>
      <c r="O49" s="8">
        <v>49769</v>
      </c>
      <c r="P49" s="9"/>
      <c r="Q49" s="8">
        <v>280910</v>
      </c>
      <c r="R49" s="9"/>
      <c r="S49" s="8">
        <v>0</v>
      </c>
      <c r="T49" s="9"/>
      <c r="U49" s="33">
        <v>1849697</v>
      </c>
      <c r="V49" s="9"/>
      <c r="W49" s="30">
        <v>801.36</v>
      </c>
      <c r="X49" s="9"/>
      <c r="Y49" s="30">
        <v>212</v>
      </c>
      <c r="Z49" s="9"/>
      <c r="AA49" s="30">
        <v>28.4</v>
      </c>
      <c r="AB49" s="9"/>
      <c r="AC49" s="30">
        <v>170.18</v>
      </c>
      <c r="AD49" s="9"/>
      <c r="AE49" s="80">
        <v>0</v>
      </c>
      <c r="AF49" s="46"/>
      <c r="AG49" s="88">
        <v>1211.94</v>
      </c>
      <c r="AH49" s="47"/>
      <c r="AJ49" s="83">
        <v>1061988</v>
      </c>
      <c r="AL49" s="83">
        <v>371035</v>
      </c>
      <c r="AN49" s="83">
        <v>49055</v>
      </c>
      <c r="AP49" s="83">
        <v>275585</v>
      </c>
      <c r="AR49" s="83">
        <v>0</v>
      </c>
      <c r="AT49" s="204">
        <v>1757663</v>
      </c>
      <c r="AV49" s="46">
        <v>674.84</v>
      </c>
      <c r="AX49" s="46">
        <v>208</v>
      </c>
      <c r="AZ49" s="46">
        <v>27.44</v>
      </c>
      <c r="BB49" s="46">
        <v>159.61000000000001</v>
      </c>
      <c r="BD49" s="46">
        <v>0</v>
      </c>
      <c r="BF49" s="209">
        <v>1211.94</v>
      </c>
      <c r="BI49" s="83">
        <v>81776</v>
      </c>
      <c r="BK49" s="83">
        <v>4219</v>
      </c>
      <c r="BM49" s="83">
        <v>714</v>
      </c>
      <c r="BO49" s="83">
        <v>5325</v>
      </c>
      <c r="BQ49" s="83">
        <v>0</v>
      </c>
      <c r="BS49" s="85">
        <v>92034</v>
      </c>
      <c r="BU49" s="46">
        <v>126.52</v>
      </c>
      <c r="BW49" s="46">
        <v>4</v>
      </c>
      <c r="BY49" s="46">
        <v>0.96</v>
      </c>
      <c r="CA49" s="46">
        <v>10.57</v>
      </c>
      <c r="CC49" s="46">
        <v>0</v>
      </c>
      <c r="CE49" s="209">
        <v>142.05000000000001</v>
      </c>
      <c r="CH49" s="41">
        <v>26359600</v>
      </c>
      <c r="CJ49" s="41">
        <v>9883002</v>
      </c>
      <c r="CL49" s="41">
        <v>1188809</v>
      </c>
      <c r="CN49" s="41">
        <v>9708017</v>
      </c>
      <c r="CP49" s="43">
        <v>47139428</v>
      </c>
      <c r="CS49" s="39">
        <v>23.046399999999998</v>
      </c>
      <c r="CU49" s="39">
        <v>26.3368</v>
      </c>
      <c r="CW49" s="39">
        <v>1.0394000000000001</v>
      </c>
      <c r="CY49" s="39">
        <v>34.559199999999997</v>
      </c>
      <c r="DA49" s="44">
        <v>25.4849</v>
      </c>
      <c r="DC49" s="1" t="str">
        <f t="shared" si="0"/>
        <v>No</v>
      </c>
    </row>
    <row r="50" spans="1:107">
      <c r="A50" s="7" t="s">
        <v>261</v>
      </c>
      <c r="B50" s="7" t="s">
        <v>262</v>
      </c>
      <c r="C50" s="37" t="s">
        <v>73</v>
      </c>
      <c r="D50" s="296">
        <v>5016</v>
      </c>
      <c r="E50" s="297">
        <v>50016</v>
      </c>
      <c r="F50" s="27" t="s">
        <v>165</v>
      </c>
      <c r="G50" s="27" t="s">
        <v>158</v>
      </c>
      <c r="H50" s="35">
        <v>1368035</v>
      </c>
      <c r="I50" s="35">
        <v>359</v>
      </c>
      <c r="J50" s="292"/>
      <c r="K50" s="8">
        <v>1385376</v>
      </c>
      <c r="L50" s="8"/>
      <c r="M50" s="8">
        <v>291142</v>
      </c>
      <c r="N50" s="9"/>
      <c r="O50" s="8">
        <v>59019</v>
      </c>
      <c r="P50" s="9"/>
      <c r="Q50" s="8">
        <v>221188</v>
      </c>
      <c r="R50" s="9"/>
      <c r="S50" s="8">
        <v>0</v>
      </c>
      <c r="T50" s="9"/>
      <c r="U50" s="33">
        <v>1956725</v>
      </c>
      <c r="V50" s="9"/>
      <c r="W50" s="30">
        <v>721</v>
      </c>
      <c r="X50" s="9"/>
      <c r="Y50" s="30">
        <v>130</v>
      </c>
      <c r="Z50" s="9"/>
      <c r="AA50" s="30">
        <v>29</v>
      </c>
      <c r="AB50" s="9"/>
      <c r="AC50" s="30">
        <v>124</v>
      </c>
      <c r="AD50" s="9"/>
      <c r="AE50" s="80">
        <v>0</v>
      </c>
      <c r="AF50" s="46"/>
      <c r="AG50" s="88">
        <v>1004</v>
      </c>
      <c r="AH50" s="47"/>
      <c r="AJ50" s="83">
        <v>1373087</v>
      </c>
      <c r="AL50" s="83">
        <v>291142</v>
      </c>
      <c r="AN50" s="83">
        <v>59019</v>
      </c>
      <c r="AP50" s="83">
        <v>200004</v>
      </c>
      <c r="AR50" s="83">
        <v>0</v>
      </c>
      <c r="AT50" s="204">
        <v>1923252</v>
      </c>
      <c r="AV50" s="46">
        <v>713</v>
      </c>
      <c r="AX50" s="46">
        <v>130</v>
      </c>
      <c r="AZ50" s="46">
        <v>29</v>
      </c>
      <c r="BB50" s="46">
        <v>105</v>
      </c>
      <c r="BD50" s="46">
        <v>0</v>
      </c>
      <c r="BF50" s="209">
        <v>1004</v>
      </c>
      <c r="BI50" s="83">
        <v>12289</v>
      </c>
      <c r="BK50" s="83">
        <v>0</v>
      </c>
      <c r="BM50" s="83">
        <v>0</v>
      </c>
      <c r="BO50" s="83">
        <v>21184</v>
      </c>
      <c r="BQ50" s="83">
        <v>0</v>
      </c>
      <c r="BS50" s="85">
        <v>33473</v>
      </c>
      <c r="BU50" s="46">
        <v>8</v>
      </c>
      <c r="BW50" s="46">
        <v>0</v>
      </c>
      <c r="BY50" s="46">
        <v>0</v>
      </c>
      <c r="CA50" s="46">
        <v>19</v>
      </c>
      <c r="CC50" s="46">
        <v>0</v>
      </c>
      <c r="CE50" s="209">
        <v>27</v>
      </c>
      <c r="CH50" s="41">
        <v>34144468</v>
      </c>
      <c r="CJ50" s="41">
        <v>8486884</v>
      </c>
      <c r="CL50" s="41">
        <v>1674480</v>
      </c>
      <c r="CN50" s="41">
        <v>7183867</v>
      </c>
      <c r="CP50" s="43">
        <v>51489699</v>
      </c>
      <c r="CS50" s="39">
        <v>24.6464</v>
      </c>
      <c r="CU50" s="39">
        <v>29.150300000000001</v>
      </c>
      <c r="CW50" s="39">
        <v>1.2087000000000001</v>
      </c>
      <c r="CY50" s="39">
        <v>32.4786</v>
      </c>
      <c r="DA50" s="44">
        <v>26.3142</v>
      </c>
      <c r="DC50" s="1" t="str">
        <f t="shared" si="0"/>
        <v>No</v>
      </c>
    </row>
    <row r="51" spans="1:107">
      <c r="A51" s="7" t="s">
        <v>519</v>
      </c>
      <c r="B51" s="7" t="s">
        <v>520</v>
      </c>
      <c r="C51" s="37" t="s">
        <v>70</v>
      </c>
      <c r="D51" s="296">
        <v>2004</v>
      </c>
      <c r="E51" s="297">
        <v>20004</v>
      </c>
      <c r="F51" s="27" t="s">
        <v>165</v>
      </c>
      <c r="G51" s="27" t="s">
        <v>158</v>
      </c>
      <c r="H51" s="35">
        <v>935906</v>
      </c>
      <c r="I51" s="35">
        <v>352</v>
      </c>
      <c r="J51" s="292"/>
      <c r="K51" s="8">
        <v>1413689</v>
      </c>
      <c r="L51" s="8"/>
      <c r="M51" s="8">
        <v>435411</v>
      </c>
      <c r="N51" s="9"/>
      <c r="O51" s="8">
        <v>166470</v>
      </c>
      <c r="P51" s="9"/>
      <c r="Q51" s="8">
        <v>49821</v>
      </c>
      <c r="R51" s="9"/>
      <c r="S51" s="8">
        <v>978</v>
      </c>
      <c r="T51" s="9"/>
      <c r="U51" s="33">
        <v>2066369</v>
      </c>
      <c r="V51" s="9"/>
      <c r="W51" s="30">
        <v>731.5</v>
      </c>
      <c r="X51" s="9"/>
      <c r="Y51" s="30">
        <v>227.3</v>
      </c>
      <c r="Z51" s="9"/>
      <c r="AA51" s="30">
        <v>90.1</v>
      </c>
      <c r="AB51" s="9"/>
      <c r="AC51" s="30">
        <v>27.5</v>
      </c>
      <c r="AD51" s="9"/>
      <c r="AE51" s="80">
        <v>0.6</v>
      </c>
      <c r="AF51" s="46"/>
      <c r="AG51" s="88">
        <v>1077</v>
      </c>
      <c r="AH51" s="47"/>
      <c r="AJ51" s="83">
        <v>1413689</v>
      </c>
      <c r="AL51" s="83">
        <v>435411</v>
      </c>
      <c r="AN51" s="83">
        <v>166470</v>
      </c>
      <c r="AP51" s="83">
        <v>48973</v>
      </c>
      <c r="AR51" s="83">
        <v>978</v>
      </c>
      <c r="AT51" s="204">
        <v>2065521</v>
      </c>
      <c r="AV51" s="46">
        <v>731.5</v>
      </c>
      <c r="AX51" s="46">
        <v>227.3</v>
      </c>
      <c r="AZ51" s="46">
        <v>90.1</v>
      </c>
      <c r="BB51" s="46">
        <v>26.5</v>
      </c>
      <c r="BD51" s="46">
        <v>0.6</v>
      </c>
      <c r="BF51" s="209">
        <v>1077</v>
      </c>
      <c r="BI51" s="83">
        <v>0</v>
      </c>
      <c r="BK51" s="83">
        <v>0</v>
      </c>
      <c r="BM51" s="83">
        <v>0</v>
      </c>
      <c r="BO51" s="83">
        <v>848</v>
      </c>
      <c r="BQ51" s="83">
        <v>0</v>
      </c>
      <c r="BS51" s="85">
        <v>848</v>
      </c>
      <c r="BU51" s="46">
        <v>0</v>
      </c>
      <c r="BW51" s="46">
        <v>0</v>
      </c>
      <c r="BY51" s="46">
        <v>0</v>
      </c>
      <c r="CA51" s="46">
        <v>1</v>
      </c>
      <c r="CC51" s="46">
        <v>0</v>
      </c>
      <c r="CE51" s="209">
        <v>1</v>
      </c>
      <c r="CH51" s="41">
        <v>27550074</v>
      </c>
      <c r="CJ51" s="41">
        <v>9771350</v>
      </c>
      <c r="CL51" s="41">
        <v>4071431</v>
      </c>
      <c r="CN51" s="41">
        <v>1088969</v>
      </c>
      <c r="CP51" s="43">
        <v>42481824</v>
      </c>
      <c r="CS51" s="39">
        <v>19.488099999999999</v>
      </c>
      <c r="CU51" s="39">
        <v>22.441700000000001</v>
      </c>
      <c r="CW51" s="39">
        <v>2.88</v>
      </c>
      <c r="CY51" s="39">
        <v>21.857600000000001</v>
      </c>
      <c r="DA51" s="44">
        <v>20.558700000000002</v>
      </c>
      <c r="DC51" s="1" t="str">
        <f t="shared" si="0"/>
        <v>No</v>
      </c>
    </row>
    <row r="52" spans="1:107">
      <c r="A52" s="7" t="s">
        <v>616</v>
      </c>
      <c r="B52" s="7" t="s">
        <v>617</v>
      </c>
      <c r="C52" s="37" t="s">
        <v>73</v>
      </c>
      <c r="D52" s="296">
        <v>5012</v>
      </c>
      <c r="E52" s="297">
        <v>50012</v>
      </c>
      <c r="F52" s="27" t="s">
        <v>162</v>
      </c>
      <c r="G52" s="27" t="s">
        <v>158</v>
      </c>
      <c r="H52" s="35">
        <v>1624827</v>
      </c>
      <c r="I52" s="35">
        <v>350</v>
      </c>
      <c r="J52" s="292"/>
      <c r="K52" s="8">
        <v>1102343</v>
      </c>
      <c r="L52" s="8"/>
      <c r="M52" s="8">
        <v>332852</v>
      </c>
      <c r="N52" s="9"/>
      <c r="O52" s="8">
        <v>50859</v>
      </c>
      <c r="P52" s="9"/>
      <c r="Q52" s="8">
        <v>150059</v>
      </c>
      <c r="R52" s="9"/>
      <c r="S52" s="8">
        <v>0</v>
      </c>
      <c r="T52" s="9"/>
      <c r="U52" s="33">
        <v>1636113</v>
      </c>
      <c r="V52" s="9"/>
      <c r="W52" s="30">
        <v>505</v>
      </c>
      <c r="X52" s="9"/>
      <c r="Y52" s="30">
        <v>169</v>
      </c>
      <c r="Z52" s="9"/>
      <c r="AA52" s="30">
        <v>26</v>
      </c>
      <c r="AB52" s="9"/>
      <c r="AC52" s="30">
        <v>82</v>
      </c>
      <c r="AD52" s="9"/>
      <c r="AE52" s="80">
        <v>0</v>
      </c>
      <c r="AF52" s="46"/>
      <c r="AG52" s="88">
        <v>782</v>
      </c>
      <c r="AH52" s="47"/>
      <c r="AJ52" s="83">
        <v>1100378</v>
      </c>
      <c r="AL52" s="83">
        <v>332852</v>
      </c>
      <c r="AN52" s="83">
        <v>50859</v>
      </c>
      <c r="AP52" s="83">
        <v>146311</v>
      </c>
      <c r="AR52" s="83">
        <v>0</v>
      </c>
      <c r="AT52" s="204">
        <v>1630400</v>
      </c>
      <c r="AV52" s="46">
        <v>502</v>
      </c>
      <c r="AX52" s="46">
        <v>169</v>
      </c>
      <c r="AZ52" s="46">
        <v>26</v>
      </c>
      <c r="BB52" s="46">
        <v>80</v>
      </c>
      <c r="BD52" s="46">
        <v>0</v>
      </c>
      <c r="BF52" s="209">
        <v>782</v>
      </c>
      <c r="BI52" s="83">
        <v>1965</v>
      </c>
      <c r="BK52" s="83">
        <v>0</v>
      </c>
      <c r="BM52" s="83">
        <v>0</v>
      </c>
      <c r="BO52" s="83">
        <v>3748</v>
      </c>
      <c r="BQ52" s="83">
        <v>0</v>
      </c>
      <c r="BS52" s="85">
        <v>5713</v>
      </c>
      <c r="BU52" s="46">
        <v>3</v>
      </c>
      <c r="BW52" s="46">
        <v>0</v>
      </c>
      <c r="BY52" s="46">
        <v>0</v>
      </c>
      <c r="CA52" s="46">
        <v>2</v>
      </c>
      <c r="CC52" s="46">
        <v>0</v>
      </c>
      <c r="CE52" s="209">
        <v>5</v>
      </c>
      <c r="CH52" s="41">
        <v>26690871</v>
      </c>
      <c r="CJ52" s="41">
        <v>9376273</v>
      </c>
      <c r="CL52" s="41">
        <v>1391822</v>
      </c>
      <c r="CN52" s="41">
        <v>5903341</v>
      </c>
      <c r="CP52" s="43">
        <v>43362307</v>
      </c>
      <c r="CS52" s="39">
        <v>24.212900000000001</v>
      </c>
      <c r="CU52" s="39">
        <v>28.169499999999999</v>
      </c>
      <c r="CW52" s="39">
        <v>1.2625999999999999</v>
      </c>
      <c r="CY52" s="39">
        <v>39.3401</v>
      </c>
      <c r="DA52" s="44">
        <v>26.5032</v>
      </c>
      <c r="DC52" s="1" t="str">
        <f t="shared" si="0"/>
        <v>No</v>
      </c>
    </row>
    <row r="53" spans="1:107">
      <c r="A53" s="7" t="s">
        <v>443</v>
      </c>
      <c r="B53" s="7" t="s">
        <v>444</v>
      </c>
      <c r="C53" s="37" t="s">
        <v>76</v>
      </c>
      <c r="D53" s="296">
        <v>7</v>
      </c>
      <c r="E53" s="297">
        <v>7</v>
      </c>
      <c r="F53" s="27" t="s">
        <v>165</v>
      </c>
      <c r="G53" s="27" t="s">
        <v>158</v>
      </c>
      <c r="H53" s="35">
        <v>247421</v>
      </c>
      <c r="I53" s="35">
        <v>342</v>
      </c>
      <c r="J53" s="292"/>
      <c r="K53" s="8">
        <v>409452</v>
      </c>
      <c r="L53" s="8"/>
      <c r="M53" s="8">
        <v>78839</v>
      </c>
      <c r="N53" s="9"/>
      <c r="O53" s="8">
        <v>16106</v>
      </c>
      <c r="P53" s="9"/>
      <c r="Q53" s="8">
        <v>72006</v>
      </c>
      <c r="R53" s="9"/>
      <c r="S53" s="8">
        <v>9000</v>
      </c>
      <c r="T53" s="9"/>
      <c r="U53" s="33">
        <v>585403</v>
      </c>
      <c r="V53" s="9"/>
      <c r="W53" s="30">
        <v>186</v>
      </c>
      <c r="X53" s="9"/>
      <c r="Y53" s="30">
        <v>40.9</v>
      </c>
      <c r="Z53" s="9"/>
      <c r="AA53" s="30">
        <v>8.9</v>
      </c>
      <c r="AB53" s="9"/>
      <c r="AC53" s="30">
        <v>33.799999999999997</v>
      </c>
      <c r="AD53" s="9"/>
      <c r="AE53" s="80">
        <v>4.4000000000000004</v>
      </c>
      <c r="AF53" s="46"/>
      <c r="AG53" s="88">
        <v>274</v>
      </c>
      <c r="AH53" s="47"/>
      <c r="AJ53" s="83">
        <v>409452</v>
      </c>
      <c r="AL53" s="83">
        <v>78839</v>
      </c>
      <c r="AN53" s="83">
        <v>16106</v>
      </c>
      <c r="AP53" s="83">
        <v>69311</v>
      </c>
      <c r="AR53" s="83">
        <v>8685</v>
      </c>
      <c r="AT53" s="204">
        <v>582393</v>
      </c>
      <c r="AV53" s="46">
        <v>186</v>
      </c>
      <c r="AX53" s="46">
        <v>40.9</v>
      </c>
      <c r="AZ53" s="46">
        <v>8.9</v>
      </c>
      <c r="BB53" s="46">
        <v>32</v>
      </c>
      <c r="BD53" s="46">
        <v>4.2</v>
      </c>
      <c r="BF53" s="209">
        <v>274</v>
      </c>
      <c r="BI53" s="83">
        <v>0</v>
      </c>
      <c r="BK53" s="83">
        <v>0</v>
      </c>
      <c r="BM53" s="83">
        <v>0</v>
      </c>
      <c r="BO53" s="83">
        <v>2695</v>
      </c>
      <c r="BQ53" s="83">
        <v>315</v>
      </c>
      <c r="BS53" s="85">
        <v>3010</v>
      </c>
      <c r="BU53" s="46">
        <v>0</v>
      </c>
      <c r="BW53" s="46">
        <v>0</v>
      </c>
      <c r="BY53" s="46">
        <v>0</v>
      </c>
      <c r="CA53" s="46">
        <v>1.8</v>
      </c>
      <c r="CC53" s="46">
        <v>0.2</v>
      </c>
      <c r="CE53" s="209">
        <v>2</v>
      </c>
      <c r="CH53" s="41">
        <v>9916584</v>
      </c>
      <c r="CJ53" s="41">
        <v>2213534</v>
      </c>
      <c r="CL53" s="41">
        <v>280343</v>
      </c>
      <c r="CN53" s="41">
        <v>2014862</v>
      </c>
      <c r="CP53" s="43">
        <v>14425323</v>
      </c>
      <c r="CS53" s="39">
        <v>24.219200000000001</v>
      </c>
      <c r="CU53" s="39">
        <v>28.076599999999999</v>
      </c>
      <c r="CW53" s="39">
        <v>0.68469999999999998</v>
      </c>
      <c r="CY53" s="39">
        <v>27.9819</v>
      </c>
      <c r="DA53" s="44">
        <v>24.6417</v>
      </c>
      <c r="DC53" s="1" t="str">
        <f t="shared" si="0"/>
        <v>No</v>
      </c>
    </row>
    <row r="54" spans="1:107">
      <c r="A54" s="7" t="s">
        <v>1154</v>
      </c>
      <c r="B54" s="7" t="s">
        <v>317</v>
      </c>
      <c r="C54" s="37" t="s">
        <v>13</v>
      </c>
      <c r="D54" s="296">
        <v>9033</v>
      </c>
      <c r="E54" s="297">
        <v>90033</v>
      </c>
      <c r="F54" s="27" t="s">
        <v>162</v>
      </c>
      <c r="G54" s="27" t="s">
        <v>158</v>
      </c>
      <c r="H54" s="35">
        <v>843168</v>
      </c>
      <c r="I54" s="35">
        <v>336</v>
      </c>
      <c r="J54" s="292"/>
      <c r="K54" s="8">
        <v>1304371</v>
      </c>
      <c r="L54" s="8"/>
      <c r="M54" s="8">
        <v>208222</v>
      </c>
      <c r="N54" s="9"/>
      <c r="O54" s="8">
        <v>27687</v>
      </c>
      <c r="P54" s="9"/>
      <c r="Q54" s="8">
        <v>128216</v>
      </c>
      <c r="R54" s="9"/>
      <c r="S54" s="8">
        <v>0</v>
      </c>
      <c r="T54" s="9"/>
      <c r="U54" s="33">
        <v>1668496</v>
      </c>
      <c r="V54" s="9"/>
      <c r="W54" s="30">
        <v>732</v>
      </c>
      <c r="X54" s="9"/>
      <c r="Y54" s="30">
        <v>116.5</v>
      </c>
      <c r="Z54" s="9"/>
      <c r="AA54" s="30">
        <v>16.5</v>
      </c>
      <c r="AB54" s="9"/>
      <c r="AC54" s="30">
        <v>72.5</v>
      </c>
      <c r="AD54" s="9"/>
      <c r="AE54" s="80">
        <v>0</v>
      </c>
      <c r="AF54" s="46"/>
      <c r="AG54" s="88">
        <v>937.5</v>
      </c>
      <c r="AH54" s="47"/>
      <c r="AJ54" s="83">
        <v>1288638</v>
      </c>
      <c r="AL54" s="83">
        <v>208222</v>
      </c>
      <c r="AN54" s="83">
        <v>27687</v>
      </c>
      <c r="AP54" s="83">
        <v>128216</v>
      </c>
      <c r="AR54" s="83">
        <v>0</v>
      </c>
      <c r="AT54" s="204">
        <v>1652763</v>
      </c>
      <c r="AV54" s="46">
        <v>688</v>
      </c>
      <c r="AX54" s="46">
        <v>116.5</v>
      </c>
      <c r="AZ54" s="46">
        <v>16.5</v>
      </c>
      <c r="BB54" s="46">
        <v>72.5</v>
      </c>
      <c r="BD54" s="46">
        <v>0</v>
      </c>
      <c r="BF54" s="209">
        <v>937.5</v>
      </c>
      <c r="BI54" s="83">
        <v>15733</v>
      </c>
      <c r="BK54" s="83">
        <v>0</v>
      </c>
      <c r="BM54" s="83">
        <v>0</v>
      </c>
      <c r="BO54" s="83">
        <v>0</v>
      </c>
      <c r="BQ54" s="83">
        <v>0</v>
      </c>
      <c r="BS54" s="85">
        <v>15733</v>
      </c>
      <c r="BU54" s="46">
        <v>44</v>
      </c>
      <c r="BW54" s="46">
        <v>0</v>
      </c>
      <c r="BY54" s="46">
        <v>0</v>
      </c>
      <c r="CA54" s="46">
        <v>0</v>
      </c>
      <c r="CC54" s="46">
        <v>0</v>
      </c>
      <c r="CE54" s="209">
        <v>44</v>
      </c>
      <c r="CH54" s="41">
        <v>21508945</v>
      </c>
      <c r="CJ54" s="41">
        <v>4187641</v>
      </c>
      <c r="CL54" s="41">
        <v>482443</v>
      </c>
      <c r="CN54" s="41">
        <v>2670996</v>
      </c>
      <c r="CP54" s="43">
        <v>28850025</v>
      </c>
      <c r="CS54" s="39">
        <v>16.489899999999999</v>
      </c>
      <c r="CU54" s="39">
        <v>20.1114</v>
      </c>
      <c r="CW54" s="39">
        <v>0.36990000000000001</v>
      </c>
      <c r="CY54" s="39">
        <v>20.832000000000001</v>
      </c>
      <c r="DA54" s="44">
        <v>17.291</v>
      </c>
      <c r="DC54" s="1" t="str">
        <f t="shared" si="0"/>
        <v>No</v>
      </c>
    </row>
    <row r="55" spans="1:107">
      <c r="A55" s="7" t="s">
        <v>399</v>
      </c>
      <c r="B55" s="7" t="s">
        <v>400</v>
      </c>
      <c r="C55" s="37" t="s">
        <v>86</v>
      </c>
      <c r="D55" s="296">
        <v>3006</v>
      </c>
      <c r="E55" s="297">
        <v>30006</v>
      </c>
      <c r="F55" s="27" t="s">
        <v>401</v>
      </c>
      <c r="G55" s="27" t="s">
        <v>158</v>
      </c>
      <c r="H55" s="35">
        <v>953556</v>
      </c>
      <c r="I55" s="35">
        <v>330</v>
      </c>
      <c r="J55" s="292"/>
      <c r="K55" s="8">
        <v>537867</v>
      </c>
      <c r="L55" s="8"/>
      <c r="M55" s="8">
        <v>90766</v>
      </c>
      <c r="N55" s="9"/>
      <c r="O55" s="8">
        <v>36154</v>
      </c>
      <c r="P55" s="9"/>
      <c r="Q55" s="8">
        <v>122751</v>
      </c>
      <c r="R55" s="9"/>
      <c r="S55" s="8">
        <v>0</v>
      </c>
      <c r="T55" s="9"/>
      <c r="U55" s="33">
        <v>787538</v>
      </c>
      <c r="V55" s="9"/>
      <c r="W55" s="30">
        <v>293</v>
      </c>
      <c r="X55" s="9"/>
      <c r="Y55" s="30">
        <v>44</v>
      </c>
      <c r="Z55" s="9"/>
      <c r="AA55" s="30">
        <v>17</v>
      </c>
      <c r="AB55" s="9"/>
      <c r="AC55" s="30">
        <v>61</v>
      </c>
      <c r="AD55" s="9"/>
      <c r="AE55" s="80">
        <v>0</v>
      </c>
      <c r="AF55" s="46"/>
      <c r="AG55" s="88">
        <v>415</v>
      </c>
      <c r="AH55" s="47"/>
      <c r="AJ55" s="83">
        <v>525891</v>
      </c>
      <c r="AL55" s="83">
        <v>83806</v>
      </c>
      <c r="AN55" s="83">
        <v>36154</v>
      </c>
      <c r="AP55" s="83">
        <v>102530</v>
      </c>
      <c r="AR55" s="83">
        <v>0</v>
      </c>
      <c r="AT55" s="204">
        <v>748381</v>
      </c>
      <c r="AV55" s="46">
        <v>277</v>
      </c>
      <c r="AX55" s="46">
        <v>39</v>
      </c>
      <c r="AZ55" s="46">
        <v>17</v>
      </c>
      <c r="BB55" s="46">
        <v>48</v>
      </c>
      <c r="BD55" s="46">
        <v>0</v>
      </c>
      <c r="BF55" s="209">
        <v>415</v>
      </c>
      <c r="BI55" s="83">
        <v>11976</v>
      </c>
      <c r="BK55" s="83">
        <v>6960</v>
      </c>
      <c r="BM55" s="83">
        <v>0</v>
      </c>
      <c r="BO55" s="83">
        <v>20221</v>
      </c>
      <c r="BQ55" s="83">
        <v>0</v>
      </c>
      <c r="BS55" s="85">
        <v>39157</v>
      </c>
      <c r="BU55" s="46">
        <v>16</v>
      </c>
      <c r="BW55" s="46">
        <v>5</v>
      </c>
      <c r="BY55" s="46">
        <v>0</v>
      </c>
      <c r="CA55" s="46">
        <v>13</v>
      </c>
      <c r="CC55" s="46">
        <v>0</v>
      </c>
      <c r="CE55" s="209">
        <v>34</v>
      </c>
      <c r="CH55" s="41">
        <v>12114256</v>
      </c>
      <c r="CJ55" s="41">
        <v>1939129</v>
      </c>
      <c r="CL55" s="41">
        <v>711652</v>
      </c>
      <c r="CN55" s="41">
        <v>3112151</v>
      </c>
      <c r="CP55" s="43">
        <v>17877188</v>
      </c>
      <c r="CS55" s="39">
        <v>22.5228</v>
      </c>
      <c r="CU55" s="39">
        <v>21.364000000000001</v>
      </c>
      <c r="CW55" s="39">
        <v>1.3230999999999999</v>
      </c>
      <c r="CY55" s="39">
        <v>25.353400000000001</v>
      </c>
      <c r="DA55" s="44">
        <v>22.700099999999999</v>
      </c>
      <c r="DC55" s="1" t="str">
        <f t="shared" si="0"/>
        <v>No</v>
      </c>
    </row>
    <row r="56" spans="1:107">
      <c r="A56" s="7" t="s">
        <v>630</v>
      </c>
      <c r="B56" s="7" t="s">
        <v>292</v>
      </c>
      <c r="C56" s="37" t="s">
        <v>52</v>
      </c>
      <c r="D56" s="296">
        <v>5031</v>
      </c>
      <c r="E56" s="297">
        <v>50031</v>
      </c>
      <c r="F56" s="27" t="s">
        <v>165</v>
      </c>
      <c r="G56" s="27" t="s">
        <v>158</v>
      </c>
      <c r="H56" s="35">
        <v>3734090</v>
      </c>
      <c r="I56" s="35">
        <v>317</v>
      </c>
      <c r="J56" s="292"/>
      <c r="K56" s="8">
        <v>1248808</v>
      </c>
      <c r="L56" s="8"/>
      <c r="M56" s="8">
        <v>245738</v>
      </c>
      <c r="N56" s="9"/>
      <c r="O56" s="8">
        <v>38471</v>
      </c>
      <c r="P56" s="9"/>
      <c r="Q56" s="8">
        <v>182047</v>
      </c>
      <c r="R56" s="9"/>
      <c r="S56" s="8">
        <v>0</v>
      </c>
      <c r="T56" s="9"/>
      <c r="U56" s="33">
        <v>1715064</v>
      </c>
      <c r="V56" s="9"/>
      <c r="W56" s="30">
        <v>517</v>
      </c>
      <c r="X56" s="9"/>
      <c r="Y56" s="30">
        <v>129</v>
      </c>
      <c r="Z56" s="9"/>
      <c r="AA56" s="30">
        <v>21</v>
      </c>
      <c r="AB56" s="9"/>
      <c r="AC56" s="30">
        <v>108</v>
      </c>
      <c r="AD56" s="9"/>
      <c r="AE56" s="80">
        <v>0</v>
      </c>
      <c r="AF56" s="46"/>
      <c r="AG56" s="88">
        <v>775</v>
      </c>
      <c r="AH56" s="47"/>
      <c r="AJ56" s="83">
        <v>1248808</v>
      </c>
      <c r="AL56" s="83">
        <v>245738</v>
      </c>
      <c r="AN56" s="83">
        <v>38471</v>
      </c>
      <c r="AP56" s="83">
        <v>182047</v>
      </c>
      <c r="AR56" s="83">
        <v>0</v>
      </c>
      <c r="AT56" s="204">
        <v>1715064</v>
      </c>
      <c r="AV56" s="46">
        <v>517</v>
      </c>
      <c r="AX56" s="46">
        <v>129</v>
      </c>
      <c r="AZ56" s="46">
        <v>21</v>
      </c>
      <c r="BB56" s="46">
        <v>108</v>
      </c>
      <c r="BD56" s="46">
        <v>0</v>
      </c>
      <c r="BF56" s="209">
        <v>775</v>
      </c>
      <c r="BI56" s="83">
        <v>0</v>
      </c>
      <c r="BK56" s="83">
        <v>0</v>
      </c>
      <c r="BM56" s="83">
        <v>0</v>
      </c>
      <c r="BO56" s="83">
        <v>0</v>
      </c>
      <c r="BQ56" s="83">
        <v>0</v>
      </c>
      <c r="BS56" s="85">
        <v>0</v>
      </c>
      <c r="BU56" s="46">
        <v>0</v>
      </c>
      <c r="BW56" s="46">
        <v>0</v>
      </c>
      <c r="BY56" s="46">
        <v>0</v>
      </c>
      <c r="CA56" s="46">
        <v>0</v>
      </c>
      <c r="CC56" s="46">
        <v>0</v>
      </c>
      <c r="CE56" s="209">
        <v>0</v>
      </c>
      <c r="CH56" s="41">
        <v>21846195</v>
      </c>
      <c r="CJ56" s="41">
        <v>6148636</v>
      </c>
      <c r="CL56" s="41">
        <v>704031</v>
      </c>
      <c r="CN56" s="41">
        <v>4572595</v>
      </c>
      <c r="CP56" s="43">
        <v>33271457</v>
      </c>
      <c r="CS56" s="39">
        <v>17.493600000000001</v>
      </c>
      <c r="CU56" s="39">
        <v>25.021100000000001</v>
      </c>
      <c r="CW56" s="39">
        <v>0.56379999999999997</v>
      </c>
      <c r="CY56" s="39">
        <v>25.117699999999999</v>
      </c>
      <c r="DA56" s="44">
        <v>19.3995</v>
      </c>
      <c r="DC56" s="1" t="str">
        <f t="shared" si="0"/>
        <v>No</v>
      </c>
    </row>
    <row r="57" spans="1:107">
      <c r="A57" s="7" t="s">
        <v>661</v>
      </c>
      <c r="B57" s="7" t="s">
        <v>662</v>
      </c>
      <c r="C57" s="37" t="s">
        <v>45</v>
      </c>
      <c r="D57" s="296">
        <v>4018</v>
      </c>
      <c r="E57" s="297">
        <v>40018</v>
      </c>
      <c r="F57" s="27" t="s">
        <v>165</v>
      </c>
      <c r="G57" s="27" t="s">
        <v>158</v>
      </c>
      <c r="H57" s="35">
        <v>972546</v>
      </c>
      <c r="I57" s="35">
        <v>316</v>
      </c>
      <c r="J57" s="292"/>
      <c r="K57" s="8">
        <v>778942</v>
      </c>
      <c r="L57" s="8"/>
      <c r="M57" s="8">
        <v>201064</v>
      </c>
      <c r="N57" s="9"/>
      <c r="O57" s="8">
        <v>21975</v>
      </c>
      <c r="P57" s="9"/>
      <c r="Q57" s="8">
        <v>122390</v>
      </c>
      <c r="R57" s="9"/>
      <c r="S57" s="8">
        <v>0</v>
      </c>
      <c r="T57" s="9"/>
      <c r="U57" s="33">
        <v>1124371</v>
      </c>
      <c r="V57" s="9"/>
      <c r="W57" s="30">
        <v>409</v>
      </c>
      <c r="X57" s="9"/>
      <c r="Y57" s="30">
        <v>104</v>
      </c>
      <c r="Z57" s="9"/>
      <c r="AA57" s="30">
        <v>12</v>
      </c>
      <c r="AB57" s="9"/>
      <c r="AC57" s="30">
        <v>73</v>
      </c>
      <c r="AD57" s="9"/>
      <c r="AE57" s="80">
        <v>0</v>
      </c>
      <c r="AF57" s="46"/>
      <c r="AG57" s="88">
        <v>598</v>
      </c>
      <c r="AH57" s="47"/>
      <c r="AJ57" s="83">
        <v>759512</v>
      </c>
      <c r="AL57" s="83">
        <v>201064</v>
      </c>
      <c r="AN57" s="83">
        <v>21975</v>
      </c>
      <c r="AP57" s="83">
        <v>119953</v>
      </c>
      <c r="AR57" s="83">
        <v>0</v>
      </c>
      <c r="AT57" s="204">
        <v>1102504</v>
      </c>
      <c r="AV57" s="46">
        <v>393</v>
      </c>
      <c r="AX57" s="46">
        <v>104</v>
      </c>
      <c r="AZ57" s="46">
        <v>12</v>
      </c>
      <c r="BB57" s="46">
        <v>70</v>
      </c>
      <c r="BD57" s="46">
        <v>0</v>
      </c>
      <c r="BF57" s="209">
        <v>598</v>
      </c>
      <c r="BI57" s="83">
        <v>19430</v>
      </c>
      <c r="BK57" s="83">
        <v>0</v>
      </c>
      <c r="BM57" s="83">
        <v>0</v>
      </c>
      <c r="BO57" s="83">
        <v>2437</v>
      </c>
      <c r="BQ57" s="83">
        <v>0</v>
      </c>
      <c r="BS57" s="85">
        <v>21867</v>
      </c>
      <c r="BU57" s="46">
        <v>16</v>
      </c>
      <c r="BW57" s="46">
        <v>0</v>
      </c>
      <c r="BY57" s="46">
        <v>0</v>
      </c>
      <c r="CA57" s="46">
        <v>3</v>
      </c>
      <c r="CC57" s="46">
        <v>0</v>
      </c>
      <c r="CE57" s="209">
        <v>19</v>
      </c>
      <c r="CH57" s="41">
        <v>17966315</v>
      </c>
      <c r="CJ57" s="41">
        <v>4720830</v>
      </c>
      <c r="CL57" s="41">
        <v>535830</v>
      </c>
      <c r="CN57" s="41">
        <v>3380350</v>
      </c>
      <c r="CP57" s="43">
        <v>26603325</v>
      </c>
      <c r="CS57" s="39">
        <v>23.065000000000001</v>
      </c>
      <c r="CU57" s="39">
        <v>23.479199999999999</v>
      </c>
      <c r="CW57" s="39">
        <v>0.68789999999999996</v>
      </c>
      <c r="CY57" s="39">
        <v>27.619499999999999</v>
      </c>
      <c r="DA57" s="44">
        <v>23.660599999999999</v>
      </c>
      <c r="DC57" s="1" t="str">
        <f t="shared" si="0"/>
        <v>No</v>
      </c>
    </row>
    <row r="58" spans="1:107">
      <c r="A58" s="7" t="s">
        <v>620</v>
      </c>
      <c r="B58" s="7" t="s">
        <v>621</v>
      </c>
      <c r="C58" s="37" t="s">
        <v>89</v>
      </c>
      <c r="D58" s="296">
        <v>2</v>
      </c>
      <c r="E58" s="297">
        <v>2</v>
      </c>
      <c r="F58" s="27" t="s">
        <v>165</v>
      </c>
      <c r="G58" s="27" t="s">
        <v>158</v>
      </c>
      <c r="H58" s="35">
        <v>387847</v>
      </c>
      <c r="I58" s="35">
        <v>307</v>
      </c>
      <c r="J58" s="292"/>
      <c r="K58" s="8">
        <v>653080</v>
      </c>
      <c r="L58" s="8"/>
      <c r="M58" s="8">
        <v>126499</v>
      </c>
      <c r="N58" s="9"/>
      <c r="O58" s="8">
        <v>38122</v>
      </c>
      <c r="P58" s="9"/>
      <c r="Q58" s="8">
        <v>122160</v>
      </c>
      <c r="R58" s="9"/>
      <c r="S58" s="8">
        <v>1342</v>
      </c>
      <c r="T58" s="9"/>
      <c r="U58" s="33">
        <v>941203</v>
      </c>
      <c r="V58" s="9"/>
      <c r="W58" s="30">
        <v>411.1</v>
      </c>
      <c r="X58" s="9"/>
      <c r="Y58" s="30">
        <v>76.3</v>
      </c>
      <c r="Z58" s="9"/>
      <c r="AA58" s="30">
        <v>24</v>
      </c>
      <c r="AB58" s="9"/>
      <c r="AC58" s="30">
        <v>71.86</v>
      </c>
      <c r="AD58" s="9"/>
      <c r="AE58" s="80">
        <v>0.71</v>
      </c>
      <c r="AF58" s="46"/>
      <c r="AG58" s="88">
        <v>583.97</v>
      </c>
      <c r="AH58" s="47"/>
      <c r="AJ58" s="83">
        <v>621038</v>
      </c>
      <c r="AL58" s="83">
        <v>126499</v>
      </c>
      <c r="AN58" s="83">
        <v>38122</v>
      </c>
      <c r="AP58" s="83">
        <v>122160</v>
      </c>
      <c r="AR58" s="83">
        <v>1342</v>
      </c>
      <c r="AT58" s="204">
        <v>909161</v>
      </c>
      <c r="AV58" s="46">
        <v>367.1</v>
      </c>
      <c r="AX58" s="46">
        <v>76.3</v>
      </c>
      <c r="AZ58" s="46">
        <v>24</v>
      </c>
      <c r="BB58" s="46">
        <v>71.86</v>
      </c>
      <c r="BD58" s="46">
        <v>0.71</v>
      </c>
      <c r="BF58" s="209">
        <v>583.97</v>
      </c>
      <c r="BI58" s="83">
        <v>32042</v>
      </c>
      <c r="BK58" s="83">
        <v>0</v>
      </c>
      <c r="BM58" s="83">
        <v>0</v>
      </c>
      <c r="BO58" s="83">
        <v>0</v>
      </c>
      <c r="BQ58" s="83">
        <v>0</v>
      </c>
      <c r="BS58" s="85">
        <v>32042</v>
      </c>
      <c r="BU58" s="46">
        <v>44</v>
      </c>
      <c r="BW58" s="46">
        <v>0</v>
      </c>
      <c r="BY58" s="46">
        <v>0</v>
      </c>
      <c r="CA58" s="46">
        <v>0</v>
      </c>
      <c r="CC58" s="46">
        <v>0</v>
      </c>
      <c r="CE58" s="209">
        <v>44</v>
      </c>
      <c r="CH58" s="41">
        <v>17019596</v>
      </c>
      <c r="CJ58" s="41">
        <v>3369812</v>
      </c>
      <c r="CL58" s="41">
        <v>855440</v>
      </c>
      <c r="CN58" s="41">
        <v>4077541</v>
      </c>
      <c r="CP58" s="43">
        <v>25322389</v>
      </c>
      <c r="CS58" s="39">
        <v>26.060500000000001</v>
      </c>
      <c r="CU58" s="39">
        <v>26.638999999999999</v>
      </c>
      <c r="CW58" s="39">
        <v>1.3099000000000001</v>
      </c>
      <c r="CY58" s="39">
        <v>33.378700000000002</v>
      </c>
      <c r="DA58" s="44">
        <v>26.904299999999999</v>
      </c>
      <c r="DC58" s="1" t="str">
        <f t="shared" si="0"/>
        <v>No</v>
      </c>
    </row>
    <row r="59" spans="1:107">
      <c r="A59" s="7" t="s">
        <v>550</v>
      </c>
      <c r="B59" s="7" t="s">
        <v>551</v>
      </c>
      <c r="C59" s="37" t="s">
        <v>63</v>
      </c>
      <c r="D59" s="296">
        <v>2098</v>
      </c>
      <c r="E59" s="297">
        <v>20098</v>
      </c>
      <c r="F59" s="27" t="s">
        <v>165</v>
      </c>
      <c r="G59" s="27" t="s">
        <v>158</v>
      </c>
      <c r="H59" s="35">
        <v>18351295</v>
      </c>
      <c r="I59" s="35">
        <v>303</v>
      </c>
      <c r="J59" s="292"/>
      <c r="K59" s="8">
        <v>1138690</v>
      </c>
      <c r="L59" s="8"/>
      <c r="M59" s="8">
        <v>481437</v>
      </c>
      <c r="N59" s="9"/>
      <c r="O59" s="8">
        <v>973705</v>
      </c>
      <c r="P59" s="9"/>
      <c r="Q59" s="8">
        <v>137612</v>
      </c>
      <c r="R59" s="9"/>
      <c r="S59" s="8">
        <v>0</v>
      </c>
      <c r="T59" s="9"/>
      <c r="U59" s="33">
        <v>2731444</v>
      </c>
      <c r="V59" s="9"/>
      <c r="W59" s="30">
        <v>614</v>
      </c>
      <c r="X59" s="9"/>
      <c r="Y59" s="30">
        <v>270</v>
      </c>
      <c r="Z59" s="9"/>
      <c r="AA59" s="30">
        <v>516</v>
      </c>
      <c r="AB59" s="9"/>
      <c r="AC59" s="30">
        <v>85</v>
      </c>
      <c r="AD59" s="9"/>
      <c r="AE59" s="80">
        <v>0</v>
      </c>
      <c r="AF59" s="46"/>
      <c r="AG59" s="88">
        <v>1485</v>
      </c>
      <c r="AH59" s="47"/>
      <c r="AJ59" s="83">
        <v>1138690</v>
      </c>
      <c r="AL59" s="83">
        <v>481437</v>
      </c>
      <c r="AN59" s="83">
        <v>973705</v>
      </c>
      <c r="AP59" s="83">
        <v>137612</v>
      </c>
      <c r="AR59" s="83">
        <v>0</v>
      </c>
      <c r="AT59" s="204">
        <v>2731444</v>
      </c>
      <c r="AV59" s="46">
        <v>614</v>
      </c>
      <c r="AX59" s="46">
        <v>270</v>
      </c>
      <c r="AZ59" s="46">
        <v>516</v>
      </c>
      <c r="BB59" s="46">
        <v>85</v>
      </c>
      <c r="BD59" s="46">
        <v>0</v>
      </c>
      <c r="BF59" s="209">
        <v>1485</v>
      </c>
      <c r="BI59" s="83">
        <v>0</v>
      </c>
      <c r="BK59" s="83">
        <v>0</v>
      </c>
      <c r="BM59" s="83">
        <v>0</v>
      </c>
      <c r="BO59" s="83">
        <v>0</v>
      </c>
      <c r="BQ59" s="83">
        <v>0</v>
      </c>
      <c r="BS59" s="85">
        <v>0</v>
      </c>
      <c r="BU59" s="46">
        <v>0</v>
      </c>
      <c r="BW59" s="46">
        <v>0</v>
      </c>
      <c r="BY59" s="46">
        <v>0</v>
      </c>
      <c r="CA59" s="46">
        <v>0</v>
      </c>
      <c r="CC59" s="46">
        <v>0</v>
      </c>
      <c r="CE59" s="209">
        <v>0</v>
      </c>
      <c r="CH59" s="41">
        <v>66778866</v>
      </c>
      <c r="CJ59" s="41">
        <v>22194379</v>
      </c>
      <c r="CL59" s="41">
        <v>32047115</v>
      </c>
      <c r="CN59" s="41">
        <v>4933567</v>
      </c>
      <c r="CP59" s="43">
        <v>125953927</v>
      </c>
      <c r="CS59" s="39">
        <v>58.645299999999999</v>
      </c>
      <c r="CU59" s="39">
        <v>46.100299999999997</v>
      </c>
      <c r="CW59" s="39">
        <v>28.143799999999999</v>
      </c>
      <c r="CY59" s="39">
        <v>35.851300000000002</v>
      </c>
      <c r="DA59" s="44">
        <v>46.1126</v>
      </c>
      <c r="DC59" s="1" t="str">
        <f t="shared" si="0"/>
        <v>No</v>
      </c>
    </row>
    <row r="60" spans="1:107">
      <c r="A60" s="7" t="s">
        <v>432</v>
      </c>
      <c r="B60" s="7" t="s">
        <v>433</v>
      </c>
      <c r="C60" s="37" t="s">
        <v>55</v>
      </c>
      <c r="D60" s="296">
        <v>7005</v>
      </c>
      <c r="E60" s="297">
        <v>70005</v>
      </c>
      <c r="F60" s="27" t="s">
        <v>165</v>
      </c>
      <c r="G60" s="27" t="s">
        <v>158</v>
      </c>
      <c r="H60" s="35">
        <v>1519417</v>
      </c>
      <c r="I60" s="35">
        <v>298</v>
      </c>
      <c r="J60" s="292"/>
      <c r="K60" s="8">
        <v>897402</v>
      </c>
      <c r="L60" s="8"/>
      <c r="M60" s="8">
        <v>256773</v>
      </c>
      <c r="N60" s="9"/>
      <c r="O60" s="8">
        <v>63251</v>
      </c>
      <c r="P60" s="9"/>
      <c r="Q60" s="8">
        <v>194682</v>
      </c>
      <c r="R60" s="9"/>
      <c r="S60" s="8">
        <v>1984</v>
      </c>
      <c r="T60" s="9"/>
      <c r="U60" s="33">
        <v>1414092</v>
      </c>
      <c r="V60" s="9"/>
      <c r="W60" s="30">
        <v>489</v>
      </c>
      <c r="X60" s="9"/>
      <c r="Y60" s="30">
        <v>134.80000000000001</v>
      </c>
      <c r="Z60" s="9"/>
      <c r="AA60" s="30">
        <v>37.799999999999997</v>
      </c>
      <c r="AB60" s="9"/>
      <c r="AC60" s="30">
        <v>105.9</v>
      </c>
      <c r="AD60" s="9"/>
      <c r="AE60" s="80">
        <v>1</v>
      </c>
      <c r="AF60" s="46"/>
      <c r="AG60" s="88">
        <v>768.5</v>
      </c>
      <c r="AH60" s="47"/>
      <c r="AJ60" s="83">
        <v>796403</v>
      </c>
      <c r="AL60" s="83">
        <v>256008</v>
      </c>
      <c r="AN60" s="83">
        <v>63251</v>
      </c>
      <c r="AP60" s="83">
        <v>194682</v>
      </c>
      <c r="AR60" s="83">
        <v>1984</v>
      </c>
      <c r="AT60" s="204">
        <v>1312328</v>
      </c>
      <c r="AV60" s="46">
        <v>381.8</v>
      </c>
      <c r="AX60" s="46">
        <v>133.80000000000001</v>
      </c>
      <c r="AZ60" s="46">
        <v>37.799999999999997</v>
      </c>
      <c r="BB60" s="46">
        <v>105.9</v>
      </c>
      <c r="BD60" s="46">
        <v>1</v>
      </c>
      <c r="BF60" s="209">
        <v>768.5</v>
      </c>
      <c r="BI60" s="83">
        <v>100999</v>
      </c>
      <c r="BK60" s="83">
        <v>765</v>
      </c>
      <c r="BM60" s="83">
        <v>0</v>
      </c>
      <c r="BO60" s="83">
        <v>0</v>
      </c>
      <c r="BQ60" s="83">
        <v>0</v>
      </c>
      <c r="BS60" s="85">
        <v>101764</v>
      </c>
      <c r="BU60" s="46">
        <v>107.2</v>
      </c>
      <c r="BW60" s="46">
        <v>1</v>
      </c>
      <c r="BY60" s="46">
        <v>0</v>
      </c>
      <c r="CA60" s="46">
        <v>0</v>
      </c>
      <c r="CC60" s="46">
        <v>0</v>
      </c>
      <c r="CE60" s="209">
        <v>108.2</v>
      </c>
      <c r="CH60" s="41">
        <v>22336026</v>
      </c>
      <c r="CJ60" s="41">
        <v>6714005</v>
      </c>
      <c r="CL60" s="41">
        <v>1600732</v>
      </c>
      <c r="CN60" s="41">
        <v>5678671</v>
      </c>
      <c r="CP60" s="43">
        <v>36329434</v>
      </c>
      <c r="CS60" s="39">
        <v>24.889700000000001</v>
      </c>
      <c r="CU60" s="39">
        <v>26.147600000000001</v>
      </c>
      <c r="CW60" s="39">
        <v>1.7837000000000001</v>
      </c>
      <c r="CY60" s="39">
        <v>29.169</v>
      </c>
      <c r="DA60" s="44">
        <v>25.690999999999999</v>
      </c>
      <c r="DC60" s="1" t="str">
        <f t="shared" si="0"/>
        <v>No</v>
      </c>
    </row>
    <row r="61" spans="1:107">
      <c r="A61" s="7" t="s">
        <v>246</v>
      </c>
      <c r="B61" s="7" t="s">
        <v>247</v>
      </c>
      <c r="C61" s="37" t="s">
        <v>58</v>
      </c>
      <c r="D61" s="296">
        <v>4007</v>
      </c>
      <c r="E61" s="297">
        <v>40007</v>
      </c>
      <c r="F61" s="27" t="s">
        <v>162</v>
      </c>
      <c r="G61" s="27" t="s">
        <v>158</v>
      </c>
      <c r="H61" s="35">
        <v>884891</v>
      </c>
      <c r="I61" s="35">
        <v>298</v>
      </c>
      <c r="J61" s="292"/>
      <c r="K61" s="8">
        <v>379054</v>
      </c>
      <c r="L61" s="8"/>
      <c r="M61" s="8">
        <v>65025</v>
      </c>
      <c r="N61" s="9"/>
      <c r="O61" s="8">
        <v>7673</v>
      </c>
      <c r="P61" s="9"/>
      <c r="Q61" s="8">
        <v>24957</v>
      </c>
      <c r="R61" s="9"/>
      <c r="S61" s="8">
        <v>0</v>
      </c>
      <c r="T61" s="9"/>
      <c r="U61" s="33">
        <v>476709</v>
      </c>
      <c r="V61" s="9"/>
      <c r="W61" s="30">
        <v>178</v>
      </c>
      <c r="X61" s="9"/>
      <c r="Y61" s="30">
        <v>36</v>
      </c>
      <c r="Z61" s="9"/>
      <c r="AA61" s="30">
        <v>4</v>
      </c>
      <c r="AB61" s="9"/>
      <c r="AC61" s="30">
        <v>15</v>
      </c>
      <c r="AD61" s="9"/>
      <c r="AE61" s="80">
        <v>0</v>
      </c>
      <c r="AF61" s="46"/>
      <c r="AG61" s="88">
        <v>233</v>
      </c>
      <c r="AH61" s="47"/>
      <c r="AJ61" s="83">
        <v>379054</v>
      </c>
      <c r="AL61" s="83">
        <v>65025</v>
      </c>
      <c r="AN61" s="83">
        <v>7673</v>
      </c>
      <c r="AP61" s="83">
        <v>23497</v>
      </c>
      <c r="AR61" s="83">
        <v>0</v>
      </c>
      <c r="AT61" s="204">
        <v>475249</v>
      </c>
      <c r="AV61" s="46">
        <v>178</v>
      </c>
      <c r="AX61" s="46">
        <v>36</v>
      </c>
      <c r="AZ61" s="46">
        <v>4</v>
      </c>
      <c r="BB61" s="46">
        <v>13</v>
      </c>
      <c r="BD61" s="46">
        <v>0</v>
      </c>
      <c r="BF61" s="209">
        <v>233</v>
      </c>
      <c r="BI61" s="83">
        <v>0</v>
      </c>
      <c r="BK61" s="83">
        <v>0</v>
      </c>
      <c r="BM61" s="83">
        <v>0</v>
      </c>
      <c r="BO61" s="83">
        <v>1460</v>
      </c>
      <c r="BQ61" s="83">
        <v>0</v>
      </c>
      <c r="BS61" s="85">
        <v>1460</v>
      </c>
      <c r="BU61" s="46">
        <v>0</v>
      </c>
      <c r="BW61" s="46">
        <v>0</v>
      </c>
      <c r="BY61" s="46">
        <v>0</v>
      </c>
      <c r="CA61" s="46">
        <v>2</v>
      </c>
      <c r="CC61" s="46">
        <v>0</v>
      </c>
      <c r="CE61" s="209">
        <v>2</v>
      </c>
      <c r="CH61" s="41">
        <v>6990531</v>
      </c>
      <c r="CJ61" s="41">
        <v>1273211</v>
      </c>
      <c r="CL61" s="41">
        <v>58915</v>
      </c>
      <c r="CN61" s="41">
        <v>672224</v>
      </c>
      <c r="CP61" s="43">
        <v>8994881</v>
      </c>
      <c r="CS61" s="39">
        <v>18.442</v>
      </c>
      <c r="CU61" s="39">
        <v>19.580300000000001</v>
      </c>
      <c r="CW61" s="39">
        <v>0.15540000000000001</v>
      </c>
      <c r="CY61" s="39">
        <v>26.935300000000002</v>
      </c>
      <c r="DA61" s="44">
        <v>18.8687</v>
      </c>
      <c r="DC61" s="1" t="str">
        <f t="shared" si="0"/>
        <v>No</v>
      </c>
    </row>
    <row r="62" spans="1:107">
      <c r="A62" s="7" t="s">
        <v>548</v>
      </c>
      <c r="B62" s="7" t="s">
        <v>549</v>
      </c>
      <c r="C62" s="37" t="s">
        <v>32</v>
      </c>
      <c r="D62" s="296">
        <v>4027</v>
      </c>
      <c r="E62" s="297">
        <v>40027</v>
      </c>
      <c r="F62" s="27" t="s">
        <v>165</v>
      </c>
      <c r="G62" s="27" t="s">
        <v>158</v>
      </c>
      <c r="H62" s="35">
        <v>2441770</v>
      </c>
      <c r="I62" s="35">
        <v>295</v>
      </c>
      <c r="J62" s="292"/>
      <c r="K62" s="8">
        <v>844341</v>
      </c>
      <c r="L62" s="8"/>
      <c r="M62" s="8">
        <v>127380</v>
      </c>
      <c r="N62" s="9"/>
      <c r="O62" s="8">
        <v>64192</v>
      </c>
      <c r="P62" s="9"/>
      <c r="Q62" s="8">
        <v>152957</v>
      </c>
      <c r="R62" s="9"/>
      <c r="S62" s="8">
        <v>0</v>
      </c>
      <c r="T62" s="9"/>
      <c r="U62" s="33">
        <v>1188870</v>
      </c>
      <c r="V62" s="9"/>
      <c r="W62" s="30">
        <v>418</v>
      </c>
      <c r="X62" s="9"/>
      <c r="Y62" s="30">
        <v>64</v>
      </c>
      <c r="Z62" s="9"/>
      <c r="AA62" s="30">
        <v>31</v>
      </c>
      <c r="AB62" s="9"/>
      <c r="AC62" s="30">
        <v>86</v>
      </c>
      <c r="AD62" s="9"/>
      <c r="AE62" s="80">
        <v>0</v>
      </c>
      <c r="AF62" s="46"/>
      <c r="AG62" s="88">
        <v>599</v>
      </c>
      <c r="AH62" s="47"/>
      <c r="AJ62" s="83">
        <v>844259</v>
      </c>
      <c r="AL62" s="83">
        <v>127380</v>
      </c>
      <c r="AN62" s="83">
        <v>64143</v>
      </c>
      <c r="AP62" s="83">
        <v>152599</v>
      </c>
      <c r="AR62" s="83">
        <v>0</v>
      </c>
      <c r="AT62" s="204">
        <v>1188381</v>
      </c>
      <c r="AV62" s="46">
        <v>417</v>
      </c>
      <c r="AX62" s="46">
        <v>64</v>
      </c>
      <c r="AZ62" s="46">
        <v>30</v>
      </c>
      <c r="BB62" s="46">
        <v>82</v>
      </c>
      <c r="BD62" s="46">
        <v>0</v>
      </c>
      <c r="BF62" s="209">
        <v>599</v>
      </c>
      <c r="BI62" s="83">
        <v>82</v>
      </c>
      <c r="BK62" s="83">
        <v>0</v>
      </c>
      <c r="BM62" s="83">
        <v>49</v>
      </c>
      <c r="BO62" s="83">
        <v>358</v>
      </c>
      <c r="BQ62" s="83">
        <v>0</v>
      </c>
      <c r="BS62" s="85">
        <v>489</v>
      </c>
      <c r="BU62" s="46">
        <v>1</v>
      </c>
      <c r="BW62" s="46">
        <v>0</v>
      </c>
      <c r="BY62" s="46">
        <v>1</v>
      </c>
      <c r="CA62" s="46">
        <v>4</v>
      </c>
      <c r="CC62" s="46">
        <v>0</v>
      </c>
      <c r="CE62" s="209">
        <v>6</v>
      </c>
      <c r="CH62" s="41">
        <v>17351377</v>
      </c>
      <c r="CJ62" s="41">
        <v>3417971</v>
      </c>
      <c r="CL62" s="41">
        <v>575134</v>
      </c>
      <c r="CN62" s="41">
        <v>3428662</v>
      </c>
      <c r="CP62" s="43">
        <v>24773144</v>
      </c>
      <c r="CS62" s="39">
        <v>20.5502</v>
      </c>
      <c r="CU62" s="39">
        <v>26.832899999999999</v>
      </c>
      <c r="CW62" s="39">
        <v>0.68120000000000003</v>
      </c>
      <c r="CY62" s="39">
        <v>22.415900000000001</v>
      </c>
      <c r="DA62" s="44">
        <v>20.837599999999998</v>
      </c>
      <c r="DC62" s="1" t="str">
        <f t="shared" si="0"/>
        <v>No</v>
      </c>
    </row>
    <row r="63" spans="1:107">
      <c r="A63" s="7" t="s">
        <v>565</v>
      </c>
      <c r="B63" s="7" t="s">
        <v>566</v>
      </c>
      <c r="C63" s="37" t="s">
        <v>80</v>
      </c>
      <c r="D63" s="296">
        <v>1001</v>
      </c>
      <c r="E63" s="297">
        <v>10001</v>
      </c>
      <c r="F63" s="27" t="s">
        <v>165</v>
      </c>
      <c r="G63" s="27" t="s">
        <v>158</v>
      </c>
      <c r="H63" s="35">
        <v>1190956</v>
      </c>
      <c r="I63" s="35">
        <v>291</v>
      </c>
      <c r="J63" s="292"/>
      <c r="K63" s="8">
        <v>1111389</v>
      </c>
      <c r="L63" s="8"/>
      <c r="M63" s="8">
        <v>161114</v>
      </c>
      <c r="N63" s="9"/>
      <c r="O63" s="8">
        <v>72515</v>
      </c>
      <c r="P63" s="9"/>
      <c r="Q63" s="8">
        <v>157266</v>
      </c>
      <c r="R63" s="9"/>
      <c r="S63" s="8">
        <v>0</v>
      </c>
      <c r="T63" s="9"/>
      <c r="U63" s="33">
        <v>1502284</v>
      </c>
      <c r="V63" s="9"/>
      <c r="W63" s="30">
        <v>554</v>
      </c>
      <c r="X63" s="9"/>
      <c r="Y63" s="30">
        <v>85</v>
      </c>
      <c r="Z63" s="9"/>
      <c r="AA63" s="30">
        <v>43</v>
      </c>
      <c r="AB63" s="9"/>
      <c r="AC63" s="30">
        <v>90</v>
      </c>
      <c r="AD63" s="9"/>
      <c r="AE63" s="80">
        <v>0</v>
      </c>
      <c r="AF63" s="46"/>
      <c r="AG63" s="88">
        <v>772</v>
      </c>
      <c r="AH63" s="47"/>
      <c r="AJ63" s="83">
        <v>1111389</v>
      </c>
      <c r="AL63" s="83">
        <v>161114</v>
      </c>
      <c r="AN63" s="83">
        <v>72515</v>
      </c>
      <c r="AP63" s="83">
        <v>154134</v>
      </c>
      <c r="AR63" s="83">
        <v>0</v>
      </c>
      <c r="AT63" s="204">
        <v>1499152</v>
      </c>
      <c r="AV63" s="46">
        <v>554</v>
      </c>
      <c r="AX63" s="46">
        <v>85</v>
      </c>
      <c r="AZ63" s="46">
        <v>43</v>
      </c>
      <c r="BB63" s="46">
        <v>86</v>
      </c>
      <c r="BD63" s="46">
        <v>0</v>
      </c>
      <c r="BF63" s="209">
        <v>772</v>
      </c>
      <c r="BI63" s="83">
        <v>0</v>
      </c>
      <c r="BK63" s="83">
        <v>0</v>
      </c>
      <c r="BM63" s="83">
        <v>0</v>
      </c>
      <c r="BO63" s="83">
        <v>3132</v>
      </c>
      <c r="BQ63" s="83">
        <v>0</v>
      </c>
      <c r="BS63" s="85">
        <v>3132</v>
      </c>
      <c r="BU63" s="46">
        <v>0</v>
      </c>
      <c r="BW63" s="46">
        <v>0</v>
      </c>
      <c r="BY63" s="46">
        <v>0</v>
      </c>
      <c r="CA63" s="46">
        <v>4</v>
      </c>
      <c r="CC63" s="46">
        <v>0</v>
      </c>
      <c r="CE63" s="209">
        <v>4</v>
      </c>
      <c r="CH63" s="41">
        <v>30184423</v>
      </c>
      <c r="CJ63" s="41">
        <v>5381101</v>
      </c>
      <c r="CL63" s="41">
        <v>1418533</v>
      </c>
      <c r="CN63" s="41">
        <v>4660256</v>
      </c>
      <c r="CP63" s="43">
        <v>41644313</v>
      </c>
      <c r="CS63" s="39">
        <v>27.159199999999998</v>
      </c>
      <c r="CU63" s="39">
        <v>33.399299999999997</v>
      </c>
      <c r="CW63" s="39">
        <v>1.2764</v>
      </c>
      <c r="CY63" s="39">
        <v>29.632999999999999</v>
      </c>
      <c r="DA63" s="44">
        <v>27.720700000000001</v>
      </c>
      <c r="DC63" s="1" t="str">
        <f t="shared" si="0"/>
        <v>No</v>
      </c>
    </row>
    <row r="64" spans="1:107">
      <c r="A64" s="7" t="s">
        <v>419</v>
      </c>
      <c r="B64" s="7" t="s">
        <v>420</v>
      </c>
      <c r="C64" s="37" t="s">
        <v>89</v>
      </c>
      <c r="D64" s="296">
        <v>19</v>
      </c>
      <c r="E64" s="297">
        <v>19</v>
      </c>
      <c r="F64" s="27" t="s">
        <v>165</v>
      </c>
      <c r="G64" s="27" t="s">
        <v>158</v>
      </c>
      <c r="H64" s="35">
        <v>176617</v>
      </c>
      <c r="I64" s="35">
        <v>286</v>
      </c>
      <c r="J64" s="292"/>
      <c r="K64" s="8">
        <v>435742</v>
      </c>
      <c r="L64" s="8"/>
      <c r="M64" s="8">
        <v>72889</v>
      </c>
      <c r="N64" s="9"/>
      <c r="O64" s="8">
        <v>14805</v>
      </c>
      <c r="P64" s="9"/>
      <c r="Q64" s="8">
        <v>84519</v>
      </c>
      <c r="R64" s="9"/>
      <c r="S64" s="8">
        <v>0</v>
      </c>
      <c r="T64" s="9"/>
      <c r="U64" s="33">
        <v>607955</v>
      </c>
      <c r="V64" s="9"/>
      <c r="W64" s="30">
        <v>225</v>
      </c>
      <c r="X64" s="9"/>
      <c r="Y64" s="30">
        <v>40.99</v>
      </c>
      <c r="Z64" s="9"/>
      <c r="AA64" s="30">
        <v>8</v>
      </c>
      <c r="AB64" s="9"/>
      <c r="AC64" s="30">
        <v>47.95</v>
      </c>
      <c r="AD64" s="9"/>
      <c r="AE64" s="80">
        <v>0</v>
      </c>
      <c r="AF64" s="46"/>
      <c r="AG64" s="88">
        <v>321.94</v>
      </c>
      <c r="AH64" s="47"/>
      <c r="AJ64" s="83">
        <v>435742</v>
      </c>
      <c r="AL64" s="83">
        <v>72889</v>
      </c>
      <c r="AN64" s="83">
        <v>14805</v>
      </c>
      <c r="AP64" s="83">
        <v>84519</v>
      </c>
      <c r="AR64" s="83">
        <v>0</v>
      </c>
      <c r="AT64" s="204">
        <v>607955</v>
      </c>
      <c r="AV64" s="46">
        <v>225</v>
      </c>
      <c r="AX64" s="46">
        <v>40.99</v>
      </c>
      <c r="AZ64" s="46">
        <v>8</v>
      </c>
      <c r="BB64" s="46">
        <v>47.95</v>
      </c>
      <c r="BD64" s="46">
        <v>0</v>
      </c>
      <c r="BF64" s="209">
        <v>321.94</v>
      </c>
      <c r="BI64" s="83">
        <v>0</v>
      </c>
      <c r="BK64" s="83">
        <v>0</v>
      </c>
      <c r="BM64" s="83">
        <v>0</v>
      </c>
      <c r="BO64" s="83">
        <v>0</v>
      </c>
      <c r="BQ64" s="83">
        <v>0</v>
      </c>
      <c r="BS64" s="85">
        <v>0</v>
      </c>
      <c r="BU64" s="46">
        <v>0</v>
      </c>
      <c r="BW64" s="46">
        <v>0</v>
      </c>
      <c r="BY64" s="46">
        <v>0</v>
      </c>
      <c r="CA64" s="46">
        <v>0</v>
      </c>
      <c r="CC64" s="46">
        <v>0</v>
      </c>
      <c r="CE64" s="209">
        <v>0</v>
      </c>
      <c r="CH64" s="41">
        <v>11399674</v>
      </c>
      <c r="CJ64" s="41">
        <v>2161298</v>
      </c>
      <c r="CL64" s="41">
        <v>447475</v>
      </c>
      <c r="CN64" s="41">
        <v>2903700</v>
      </c>
      <c r="CP64" s="43">
        <v>16912147</v>
      </c>
      <c r="CS64" s="39">
        <v>26.1615</v>
      </c>
      <c r="CU64" s="39">
        <v>29.651900000000001</v>
      </c>
      <c r="CW64" s="39">
        <v>1.0268999999999999</v>
      </c>
      <c r="CY64" s="39">
        <v>34.355600000000003</v>
      </c>
      <c r="DA64" s="44">
        <v>27.818100000000001</v>
      </c>
      <c r="DC64" s="1" t="str">
        <f t="shared" si="0"/>
        <v>No</v>
      </c>
    </row>
    <row r="65" spans="1:107">
      <c r="A65" s="7" t="s">
        <v>49</v>
      </c>
      <c r="B65" s="7" t="s">
        <v>567</v>
      </c>
      <c r="C65" s="37" t="s">
        <v>48</v>
      </c>
      <c r="D65" s="296">
        <v>3051</v>
      </c>
      <c r="E65" s="297">
        <v>30051</v>
      </c>
      <c r="F65" s="27" t="s">
        <v>162</v>
      </c>
      <c r="G65" s="27" t="s">
        <v>158</v>
      </c>
      <c r="H65" s="35">
        <v>4586770</v>
      </c>
      <c r="I65" s="35">
        <v>282</v>
      </c>
      <c r="J65" s="292"/>
      <c r="K65" s="8">
        <v>1433895</v>
      </c>
      <c r="L65" s="8"/>
      <c r="M65" s="8">
        <v>139274</v>
      </c>
      <c r="N65" s="9"/>
      <c r="O65" s="8">
        <v>449</v>
      </c>
      <c r="P65" s="9"/>
      <c r="Q65" s="8">
        <v>223108</v>
      </c>
      <c r="R65" s="9"/>
      <c r="S65" s="8">
        <v>0</v>
      </c>
      <c r="T65" s="9"/>
      <c r="U65" s="33">
        <v>1796726</v>
      </c>
      <c r="V65" s="9"/>
      <c r="W65" s="30">
        <v>694</v>
      </c>
      <c r="X65" s="9"/>
      <c r="Y65" s="30">
        <v>84</v>
      </c>
      <c r="Z65" s="9"/>
      <c r="AA65" s="30">
        <v>1</v>
      </c>
      <c r="AB65" s="9"/>
      <c r="AC65" s="30">
        <v>129</v>
      </c>
      <c r="AD65" s="9"/>
      <c r="AE65" s="80">
        <v>0</v>
      </c>
      <c r="AF65" s="46"/>
      <c r="AG65" s="88">
        <v>908</v>
      </c>
      <c r="AH65" s="47"/>
      <c r="AJ65" s="83">
        <v>1409800</v>
      </c>
      <c r="AL65" s="83">
        <v>139274</v>
      </c>
      <c r="AN65" s="83">
        <v>0</v>
      </c>
      <c r="AP65" s="83">
        <v>221235</v>
      </c>
      <c r="AR65" s="83">
        <v>0</v>
      </c>
      <c r="AT65" s="204">
        <v>1770309</v>
      </c>
      <c r="AV65" s="46">
        <v>660</v>
      </c>
      <c r="AX65" s="46">
        <v>84</v>
      </c>
      <c r="AZ65" s="46">
        <v>0</v>
      </c>
      <c r="BB65" s="46">
        <v>127</v>
      </c>
      <c r="BD65" s="46">
        <v>0</v>
      </c>
      <c r="BF65" s="209">
        <v>908</v>
      </c>
      <c r="BI65" s="83">
        <v>24095</v>
      </c>
      <c r="BK65" s="83">
        <v>0</v>
      </c>
      <c r="BM65" s="83">
        <v>449</v>
      </c>
      <c r="BO65" s="83">
        <v>1873</v>
      </c>
      <c r="BQ65" s="83">
        <v>0</v>
      </c>
      <c r="BS65" s="85">
        <v>26417</v>
      </c>
      <c r="BU65" s="46">
        <v>34</v>
      </c>
      <c r="BW65" s="46">
        <v>0</v>
      </c>
      <c r="BY65" s="46">
        <v>1</v>
      </c>
      <c r="CA65" s="46">
        <v>2</v>
      </c>
      <c r="CC65" s="46">
        <v>0</v>
      </c>
      <c r="CE65" s="209">
        <v>37</v>
      </c>
      <c r="CH65" s="41">
        <v>37155268</v>
      </c>
      <c r="CJ65" s="41">
        <v>6765596</v>
      </c>
      <c r="CL65" s="41">
        <v>12690</v>
      </c>
      <c r="CN65" s="41">
        <v>8785186</v>
      </c>
      <c r="CP65" s="43">
        <v>52718740</v>
      </c>
      <c r="CS65" s="39">
        <v>25.912099999999999</v>
      </c>
      <c r="CU65" s="39">
        <v>48.577599999999997</v>
      </c>
      <c r="CW65" s="39">
        <v>8.8999999999999999E-3</v>
      </c>
      <c r="CY65" s="39">
        <v>39.376399999999997</v>
      </c>
      <c r="DA65" s="44">
        <v>29.3416</v>
      </c>
      <c r="DC65" s="1" t="str">
        <f t="shared" si="0"/>
        <v>No</v>
      </c>
    </row>
    <row r="66" spans="1:107">
      <c r="A66" s="7" t="s">
        <v>37</v>
      </c>
      <c r="B66" s="7" t="s">
        <v>481</v>
      </c>
      <c r="C66" s="37" t="s">
        <v>36</v>
      </c>
      <c r="D66" s="296">
        <v>4153</v>
      </c>
      <c r="E66" s="297">
        <v>40153</v>
      </c>
      <c r="F66" s="27" t="s">
        <v>243</v>
      </c>
      <c r="G66" s="27" t="s">
        <v>158</v>
      </c>
      <c r="H66" s="35">
        <v>4515419</v>
      </c>
      <c r="I66" s="35">
        <v>279</v>
      </c>
      <c r="J66" s="292"/>
      <c r="K66" s="8">
        <v>0</v>
      </c>
      <c r="L66" s="8"/>
      <c r="M66" s="8">
        <v>0</v>
      </c>
      <c r="N66" s="9"/>
      <c r="O66" s="8">
        <v>0</v>
      </c>
      <c r="P66" s="9"/>
      <c r="Q66" s="8">
        <v>11944</v>
      </c>
      <c r="R66" s="9"/>
      <c r="S66" s="8">
        <v>0</v>
      </c>
      <c r="T66" s="9"/>
      <c r="U66" s="33">
        <v>11944</v>
      </c>
      <c r="V66" s="9"/>
      <c r="W66" s="30">
        <v>0</v>
      </c>
      <c r="X66" s="9"/>
      <c r="Y66" s="30">
        <v>0</v>
      </c>
      <c r="Z66" s="9"/>
      <c r="AA66" s="30">
        <v>0</v>
      </c>
      <c r="AB66" s="9"/>
      <c r="AC66" s="30">
        <v>9</v>
      </c>
      <c r="AD66" s="9"/>
      <c r="AE66" s="80">
        <v>0</v>
      </c>
      <c r="AF66" s="46"/>
      <c r="AG66" s="88">
        <v>9</v>
      </c>
      <c r="AH66" s="47"/>
      <c r="AJ66" s="83">
        <v>0</v>
      </c>
      <c r="AL66" s="83">
        <v>0</v>
      </c>
      <c r="AN66" s="83">
        <v>0</v>
      </c>
      <c r="AP66" s="83">
        <v>8474</v>
      </c>
      <c r="AR66" s="83">
        <v>0</v>
      </c>
      <c r="AT66" s="204">
        <v>8474</v>
      </c>
      <c r="AV66" s="46">
        <v>0</v>
      </c>
      <c r="AX66" s="46">
        <v>0</v>
      </c>
      <c r="AZ66" s="46">
        <v>0</v>
      </c>
      <c r="BB66" s="46">
        <v>6</v>
      </c>
      <c r="BD66" s="46">
        <v>0</v>
      </c>
      <c r="BF66" s="209">
        <v>9</v>
      </c>
      <c r="BI66" s="83">
        <v>0</v>
      </c>
      <c r="BK66" s="83">
        <v>0</v>
      </c>
      <c r="BM66" s="83">
        <v>0</v>
      </c>
      <c r="BO66" s="83">
        <v>3470</v>
      </c>
      <c r="BQ66" s="83">
        <v>0</v>
      </c>
      <c r="BS66" s="85">
        <v>3470</v>
      </c>
      <c r="BU66" s="46">
        <v>0</v>
      </c>
      <c r="BW66" s="46">
        <v>0</v>
      </c>
      <c r="BY66" s="46">
        <v>0</v>
      </c>
      <c r="CA66" s="46">
        <v>3</v>
      </c>
      <c r="CC66" s="46">
        <v>0</v>
      </c>
      <c r="CE66" s="209">
        <v>3</v>
      </c>
      <c r="CH66" s="41">
        <v>0</v>
      </c>
      <c r="CJ66" s="41">
        <v>0</v>
      </c>
      <c r="CL66" s="41">
        <v>0</v>
      </c>
      <c r="CN66" s="41">
        <v>258884</v>
      </c>
      <c r="CP66" s="43">
        <v>258884</v>
      </c>
      <c r="CY66" s="39">
        <v>21.674800000000001</v>
      </c>
      <c r="DA66" s="44">
        <v>21.674800000000001</v>
      </c>
      <c r="DC66" s="1" t="str">
        <f t="shared" si="0"/>
        <v>No</v>
      </c>
    </row>
    <row r="67" spans="1:107">
      <c r="A67" s="7" t="s">
        <v>250</v>
      </c>
      <c r="B67" s="7" t="s">
        <v>199</v>
      </c>
      <c r="C67" s="37" t="s">
        <v>70</v>
      </c>
      <c r="D67" s="296">
        <v>2002</v>
      </c>
      <c r="E67" s="297">
        <v>20002</v>
      </c>
      <c r="F67" s="27" t="s">
        <v>165</v>
      </c>
      <c r="G67" s="27" t="s">
        <v>158</v>
      </c>
      <c r="H67" s="35">
        <v>594962</v>
      </c>
      <c r="I67" s="35">
        <v>277</v>
      </c>
      <c r="J67" s="292"/>
      <c r="K67" s="8">
        <v>818360</v>
      </c>
      <c r="L67" s="8"/>
      <c r="M67" s="8">
        <v>272167</v>
      </c>
      <c r="N67" s="9"/>
      <c r="O67" s="8">
        <v>26723</v>
      </c>
      <c r="P67" s="9"/>
      <c r="Q67" s="8">
        <v>118544</v>
      </c>
      <c r="R67" s="9"/>
      <c r="S67" s="8">
        <v>0</v>
      </c>
      <c r="T67" s="9"/>
      <c r="U67" s="33">
        <v>1235794</v>
      </c>
      <c r="V67" s="9"/>
      <c r="W67" s="30">
        <v>447</v>
      </c>
      <c r="X67" s="9"/>
      <c r="Y67" s="30">
        <v>128</v>
      </c>
      <c r="Z67" s="9"/>
      <c r="AA67" s="30">
        <v>13</v>
      </c>
      <c r="AB67" s="9"/>
      <c r="AC67" s="30">
        <v>65</v>
      </c>
      <c r="AD67" s="9"/>
      <c r="AE67" s="80">
        <v>0</v>
      </c>
      <c r="AF67" s="46"/>
      <c r="AG67" s="88">
        <v>653</v>
      </c>
      <c r="AH67" s="47"/>
      <c r="AJ67" s="83">
        <v>814150</v>
      </c>
      <c r="AL67" s="83">
        <v>272167</v>
      </c>
      <c r="AN67" s="83">
        <v>26723</v>
      </c>
      <c r="AP67" s="83">
        <v>116934</v>
      </c>
      <c r="AR67" s="83">
        <v>0</v>
      </c>
      <c r="AT67" s="204">
        <v>1229974</v>
      </c>
      <c r="AV67" s="46">
        <v>442</v>
      </c>
      <c r="AX67" s="46">
        <v>128</v>
      </c>
      <c r="AZ67" s="46">
        <v>13</v>
      </c>
      <c r="BB67" s="46">
        <v>63</v>
      </c>
      <c r="BD67" s="46">
        <v>0</v>
      </c>
      <c r="BF67" s="209">
        <v>653</v>
      </c>
      <c r="BI67" s="83">
        <v>4210</v>
      </c>
      <c r="BK67" s="83">
        <v>0</v>
      </c>
      <c r="BM67" s="83">
        <v>0</v>
      </c>
      <c r="BO67" s="83">
        <v>1610</v>
      </c>
      <c r="BQ67" s="83">
        <v>0</v>
      </c>
      <c r="BS67" s="85">
        <v>5820</v>
      </c>
      <c r="BU67" s="46">
        <v>5</v>
      </c>
      <c r="BW67" s="46">
        <v>0</v>
      </c>
      <c r="BY67" s="46">
        <v>0</v>
      </c>
      <c r="CA67" s="46">
        <v>2</v>
      </c>
      <c r="CC67" s="46">
        <v>0</v>
      </c>
      <c r="CE67" s="209">
        <v>7</v>
      </c>
      <c r="CH67" s="41">
        <v>24365841</v>
      </c>
      <c r="CJ67" s="41">
        <v>6821670</v>
      </c>
      <c r="CL67" s="41">
        <v>536167</v>
      </c>
      <c r="CN67" s="41">
        <v>4350311</v>
      </c>
      <c r="CP67" s="43">
        <v>36073989</v>
      </c>
      <c r="CS67" s="39">
        <v>29.774000000000001</v>
      </c>
      <c r="CU67" s="39">
        <v>25.064299999999999</v>
      </c>
      <c r="CW67" s="39">
        <v>0.6552</v>
      </c>
      <c r="CY67" s="39">
        <v>36.697899999999997</v>
      </c>
      <c r="DA67" s="44">
        <v>29.190899999999999</v>
      </c>
      <c r="DC67" s="1" t="str">
        <f t="shared" ref="DC67:DC130" si="1">IF(DB67&amp;CZ67&amp;CX67&amp;CV67&amp;CT67&amp;CQ67&amp;CO67&amp;CM67&amp;CK67&amp;CI67&amp;CF67&amp;CD67&amp;CB67&amp;BZ67&amp;BX67&amp;BV67&amp;BT67&amp;BR67&amp;BP67&amp;BN67&amp;BL67&amp;BJ67&amp;BG67&amp;BE67&amp;BC67&amp;BA67&amp;AY67&amp;AW67&amp;AS67&amp;AQ67&amp;AO67&amp;AM67&amp;AK67&amp;AH67&amp;AF67&amp;AD67&amp;AB67&amp;Z67&amp;X67&amp;V67&amp;T67&amp;R67&amp;P67&amp;N67&amp;L67&lt;&gt;"","Yes","No")</f>
        <v>No</v>
      </c>
    </row>
    <row r="68" spans="1:107">
      <c r="A68" s="7" t="s">
        <v>581</v>
      </c>
      <c r="B68" s="7" t="s">
        <v>582</v>
      </c>
      <c r="C68" s="37" t="s">
        <v>76</v>
      </c>
      <c r="D68" s="296">
        <v>25</v>
      </c>
      <c r="E68" s="297">
        <v>25</v>
      </c>
      <c r="F68" s="27" t="s">
        <v>165</v>
      </c>
      <c r="G68" s="27" t="s">
        <v>158</v>
      </c>
      <c r="H68" s="35">
        <v>236632</v>
      </c>
      <c r="I68" s="35">
        <v>276</v>
      </c>
      <c r="J68" s="292"/>
      <c r="K68" s="8">
        <v>246621</v>
      </c>
      <c r="L68" s="8"/>
      <c r="M68" s="8">
        <v>67755</v>
      </c>
      <c r="N68" s="9"/>
      <c r="O68" s="8">
        <v>16036</v>
      </c>
      <c r="P68" s="9"/>
      <c r="Q68" s="8">
        <v>46680</v>
      </c>
      <c r="R68" s="9"/>
      <c r="S68" s="8">
        <v>4074</v>
      </c>
      <c r="T68" s="9"/>
      <c r="U68" s="33">
        <v>381166</v>
      </c>
      <c r="V68" s="9"/>
      <c r="W68" s="30">
        <v>117</v>
      </c>
      <c r="X68" s="9"/>
      <c r="Y68" s="30">
        <v>26</v>
      </c>
      <c r="Z68" s="9"/>
      <c r="AA68" s="30">
        <v>8</v>
      </c>
      <c r="AB68" s="9"/>
      <c r="AC68" s="30">
        <v>29</v>
      </c>
      <c r="AD68" s="9"/>
      <c r="AE68" s="80">
        <v>1</v>
      </c>
      <c r="AF68" s="46"/>
      <c r="AG68" s="88">
        <v>181</v>
      </c>
      <c r="AH68" s="47"/>
      <c r="AJ68" s="83">
        <v>245834</v>
      </c>
      <c r="AL68" s="83">
        <v>67755</v>
      </c>
      <c r="AN68" s="83">
        <v>16036</v>
      </c>
      <c r="AP68" s="83">
        <v>45209</v>
      </c>
      <c r="AR68" s="83">
        <v>4074</v>
      </c>
      <c r="AT68" s="204">
        <v>378908</v>
      </c>
      <c r="AV68" s="46">
        <v>116</v>
      </c>
      <c r="AX68" s="46">
        <v>26</v>
      </c>
      <c r="AZ68" s="46">
        <v>8</v>
      </c>
      <c r="BB68" s="46">
        <v>28</v>
      </c>
      <c r="BD68" s="46">
        <v>1</v>
      </c>
      <c r="BF68" s="209">
        <v>181</v>
      </c>
      <c r="BI68" s="83">
        <v>787</v>
      </c>
      <c r="BK68" s="83">
        <v>0</v>
      </c>
      <c r="BM68" s="83">
        <v>0</v>
      </c>
      <c r="BO68" s="83">
        <v>1471</v>
      </c>
      <c r="BQ68" s="83">
        <v>0</v>
      </c>
      <c r="BS68" s="85">
        <v>2258</v>
      </c>
      <c r="BU68" s="46">
        <v>1</v>
      </c>
      <c r="BW68" s="46">
        <v>0</v>
      </c>
      <c r="BY68" s="46">
        <v>0</v>
      </c>
      <c r="CA68" s="46">
        <v>1</v>
      </c>
      <c r="CC68" s="46">
        <v>0</v>
      </c>
      <c r="CE68" s="209">
        <v>2</v>
      </c>
      <c r="CH68" s="41">
        <v>5532921</v>
      </c>
      <c r="CJ68" s="41">
        <v>1084763</v>
      </c>
      <c r="CL68" s="41">
        <v>258086</v>
      </c>
      <c r="CN68" s="41">
        <v>1672730</v>
      </c>
      <c r="CP68" s="43">
        <v>8548500</v>
      </c>
      <c r="CS68" s="39">
        <v>22.434899999999999</v>
      </c>
      <c r="CU68" s="39">
        <v>16.010100000000001</v>
      </c>
      <c r="CW68" s="39">
        <v>1.0465</v>
      </c>
      <c r="CY68" s="39">
        <v>35.834000000000003</v>
      </c>
      <c r="DA68" s="44">
        <v>22.427199999999999</v>
      </c>
      <c r="DC68" s="1" t="str">
        <f t="shared" si="1"/>
        <v>No</v>
      </c>
    </row>
    <row r="69" spans="1:107">
      <c r="A69" s="7" t="s">
        <v>568</v>
      </c>
      <c r="B69" s="7" t="s">
        <v>308</v>
      </c>
      <c r="C69" s="37" t="s">
        <v>17</v>
      </c>
      <c r="D69" s="296">
        <v>9031</v>
      </c>
      <c r="E69" s="297">
        <v>90031</v>
      </c>
      <c r="F69" s="27" t="s">
        <v>165</v>
      </c>
      <c r="G69" s="27" t="s">
        <v>158</v>
      </c>
      <c r="H69" s="35">
        <v>1932666</v>
      </c>
      <c r="I69" s="35">
        <v>274</v>
      </c>
      <c r="J69" s="292"/>
      <c r="K69" s="8">
        <v>563653</v>
      </c>
      <c r="L69" s="8"/>
      <c r="M69" s="8">
        <v>98082</v>
      </c>
      <c r="N69" s="9"/>
      <c r="O69" s="8">
        <v>21854</v>
      </c>
      <c r="P69" s="9"/>
      <c r="Q69" s="8">
        <v>83056</v>
      </c>
      <c r="R69" s="9"/>
      <c r="S69" s="8">
        <v>0</v>
      </c>
      <c r="T69" s="9"/>
      <c r="U69" s="33">
        <v>766645</v>
      </c>
      <c r="V69" s="9"/>
      <c r="W69" s="30">
        <v>291</v>
      </c>
      <c r="X69" s="9"/>
      <c r="Y69" s="30">
        <v>56</v>
      </c>
      <c r="Z69" s="9"/>
      <c r="AA69" s="30">
        <v>12</v>
      </c>
      <c r="AB69" s="9"/>
      <c r="AC69" s="30">
        <v>71</v>
      </c>
      <c r="AD69" s="9"/>
      <c r="AE69" s="80">
        <v>0</v>
      </c>
      <c r="AF69" s="46"/>
      <c r="AG69" s="88">
        <v>430</v>
      </c>
      <c r="AH69" s="47"/>
      <c r="AJ69" s="83">
        <v>550353</v>
      </c>
      <c r="AL69" s="83">
        <v>98082</v>
      </c>
      <c r="AN69" s="83">
        <v>21854</v>
      </c>
      <c r="AP69" s="83">
        <v>74224</v>
      </c>
      <c r="AR69" s="83">
        <v>0</v>
      </c>
      <c r="AT69" s="204">
        <v>744513</v>
      </c>
      <c r="AV69" s="46">
        <v>285</v>
      </c>
      <c r="AX69" s="46">
        <v>56</v>
      </c>
      <c r="AZ69" s="46">
        <v>12</v>
      </c>
      <c r="BB69" s="46">
        <v>52</v>
      </c>
      <c r="BD69" s="46">
        <v>0</v>
      </c>
      <c r="BF69" s="209">
        <v>430</v>
      </c>
      <c r="BI69" s="83">
        <v>13300</v>
      </c>
      <c r="BK69" s="83">
        <v>0</v>
      </c>
      <c r="BM69" s="83">
        <v>0</v>
      </c>
      <c r="BO69" s="83">
        <v>8832</v>
      </c>
      <c r="BQ69" s="83">
        <v>0</v>
      </c>
      <c r="BS69" s="85">
        <v>22132</v>
      </c>
      <c r="BU69" s="46">
        <v>6</v>
      </c>
      <c r="BW69" s="46">
        <v>0</v>
      </c>
      <c r="BY69" s="46">
        <v>0</v>
      </c>
      <c r="CA69" s="46">
        <v>19</v>
      </c>
      <c r="CC69" s="46">
        <v>0</v>
      </c>
      <c r="CE69" s="209">
        <v>25</v>
      </c>
      <c r="CH69" s="41">
        <v>12421439</v>
      </c>
      <c r="CJ69" s="41">
        <v>2907021</v>
      </c>
      <c r="CL69" s="41">
        <v>451508</v>
      </c>
      <c r="CN69" s="41">
        <v>3281644</v>
      </c>
      <c r="CP69" s="43">
        <v>19061612</v>
      </c>
      <c r="CS69" s="39">
        <v>22.037400000000002</v>
      </c>
      <c r="CU69" s="39">
        <v>29.6387</v>
      </c>
      <c r="CW69" s="39">
        <v>0.80100000000000005</v>
      </c>
      <c r="CY69" s="39">
        <v>39.511200000000002</v>
      </c>
      <c r="DA69" s="44">
        <v>24.863700000000001</v>
      </c>
      <c r="DC69" s="1" t="str">
        <f t="shared" si="1"/>
        <v>No</v>
      </c>
    </row>
    <row r="70" spans="1:107">
      <c r="A70" s="7" t="s">
        <v>529</v>
      </c>
      <c r="B70" s="7" t="s">
        <v>530</v>
      </c>
      <c r="C70" s="37" t="s">
        <v>17</v>
      </c>
      <c r="D70" s="296">
        <v>9029</v>
      </c>
      <c r="E70" s="297">
        <v>90029</v>
      </c>
      <c r="F70" s="27" t="s">
        <v>165</v>
      </c>
      <c r="G70" s="27" t="s">
        <v>158</v>
      </c>
      <c r="H70" s="35">
        <v>1932666</v>
      </c>
      <c r="I70" s="35">
        <v>266</v>
      </c>
      <c r="J70" s="292"/>
      <c r="K70" s="8">
        <v>794389</v>
      </c>
      <c r="L70" s="8"/>
      <c r="M70" s="8">
        <v>148932</v>
      </c>
      <c r="N70" s="9"/>
      <c r="O70" s="8">
        <v>38042</v>
      </c>
      <c r="P70" s="9"/>
      <c r="Q70" s="8">
        <v>141325</v>
      </c>
      <c r="R70" s="9"/>
      <c r="S70" s="8">
        <v>16696</v>
      </c>
      <c r="T70" s="9"/>
      <c r="U70" s="33">
        <v>1139384</v>
      </c>
      <c r="V70" s="9"/>
      <c r="W70" s="30">
        <v>445</v>
      </c>
      <c r="X70" s="9"/>
      <c r="Y70" s="30">
        <v>96</v>
      </c>
      <c r="Z70" s="9"/>
      <c r="AA70" s="30">
        <v>26</v>
      </c>
      <c r="AB70" s="9"/>
      <c r="AC70" s="30">
        <v>72</v>
      </c>
      <c r="AD70" s="9"/>
      <c r="AE70" s="80">
        <v>8</v>
      </c>
      <c r="AF70" s="46"/>
      <c r="AG70" s="88">
        <v>647</v>
      </c>
      <c r="AH70" s="47"/>
      <c r="AJ70" s="83">
        <v>786109</v>
      </c>
      <c r="AL70" s="83">
        <v>148932</v>
      </c>
      <c r="AN70" s="83">
        <v>38042</v>
      </c>
      <c r="AP70" s="83">
        <v>138886</v>
      </c>
      <c r="AR70" s="83">
        <v>16696</v>
      </c>
      <c r="AT70" s="204">
        <v>1128665</v>
      </c>
      <c r="AV70" s="46">
        <v>420</v>
      </c>
      <c r="AX70" s="46">
        <v>96</v>
      </c>
      <c r="AZ70" s="46">
        <v>26</v>
      </c>
      <c r="BB70" s="46">
        <v>69</v>
      </c>
      <c r="BD70" s="46">
        <v>8</v>
      </c>
      <c r="BF70" s="209">
        <v>647</v>
      </c>
      <c r="BI70" s="83">
        <v>8280</v>
      </c>
      <c r="BK70" s="83">
        <v>0</v>
      </c>
      <c r="BM70" s="83">
        <v>0</v>
      </c>
      <c r="BO70" s="83">
        <v>2439</v>
      </c>
      <c r="BQ70" s="83">
        <v>0</v>
      </c>
      <c r="BS70" s="85">
        <v>10719</v>
      </c>
      <c r="BU70" s="46">
        <v>25</v>
      </c>
      <c r="BW70" s="46">
        <v>0</v>
      </c>
      <c r="BY70" s="46">
        <v>0</v>
      </c>
      <c r="CA70" s="46">
        <v>3</v>
      </c>
      <c r="CC70" s="46">
        <v>0</v>
      </c>
      <c r="CE70" s="209">
        <v>28</v>
      </c>
      <c r="CH70" s="41">
        <v>18920807</v>
      </c>
      <c r="CJ70" s="41">
        <v>3632195</v>
      </c>
      <c r="CL70" s="41">
        <v>1137725</v>
      </c>
      <c r="CN70" s="41">
        <v>3009288</v>
      </c>
      <c r="CP70" s="43">
        <v>26700015</v>
      </c>
      <c r="CS70" s="39">
        <v>23.818100000000001</v>
      </c>
      <c r="CU70" s="39">
        <v>24.388300000000001</v>
      </c>
      <c r="CW70" s="39">
        <v>1.4321999999999999</v>
      </c>
      <c r="CY70" s="39">
        <v>21.293399999999998</v>
      </c>
      <c r="DA70" s="44">
        <v>23.433700000000002</v>
      </c>
      <c r="DC70" s="1" t="str">
        <f t="shared" si="1"/>
        <v>No</v>
      </c>
    </row>
    <row r="71" spans="1:107">
      <c r="A71" s="7" t="s">
        <v>647</v>
      </c>
      <c r="B71" s="7" t="s">
        <v>648</v>
      </c>
      <c r="C71" s="37" t="s">
        <v>73</v>
      </c>
      <c r="D71" s="296">
        <v>5022</v>
      </c>
      <c r="E71" s="297">
        <v>50022</v>
      </c>
      <c r="F71" s="27" t="s">
        <v>165</v>
      </c>
      <c r="G71" s="27" t="s">
        <v>158</v>
      </c>
      <c r="H71" s="35">
        <v>507643</v>
      </c>
      <c r="I71" s="35">
        <v>261</v>
      </c>
      <c r="J71" s="292"/>
      <c r="K71" s="8">
        <v>524336</v>
      </c>
      <c r="L71" s="8"/>
      <c r="M71" s="8">
        <v>71169</v>
      </c>
      <c r="N71" s="9"/>
      <c r="O71" s="8">
        <v>11671</v>
      </c>
      <c r="P71" s="9"/>
      <c r="Q71" s="8">
        <v>30748</v>
      </c>
      <c r="R71" s="9"/>
      <c r="S71" s="8">
        <v>1749</v>
      </c>
      <c r="T71" s="9"/>
      <c r="U71" s="33">
        <v>639673</v>
      </c>
      <c r="V71" s="9"/>
      <c r="W71" s="30">
        <v>252</v>
      </c>
      <c r="X71" s="9"/>
      <c r="Y71" s="30">
        <v>38</v>
      </c>
      <c r="Z71" s="9"/>
      <c r="AA71" s="30">
        <v>8</v>
      </c>
      <c r="AB71" s="9"/>
      <c r="AC71" s="30">
        <v>20</v>
      </c>
      <c r="AD71" s="9"/>
      <c r="AE71" s="80">
        <v>1</v>
      </c>
      <c r="AF71" s="46"/>
      <c r="AG71" s="88">
        <v>319</v>
      </c>
      <c r="AH71" s="47"/>
      <c r="AJ71" s="83">
        <v>484466</v>
      </c>
      <c r="AL71" s="83">
        <v>68922</v>
      </c>
      <c r="AN71" s="83">
        <v>8415</v>
      </c>
      <c r="AP71" s="83">
        <v>28266</v>
      </c>
      <c r="AR71" s="83">
        <v>1749</v>
      </c>
      <c r="AT71" s="204">
        <v>591818</v>
      </c>
      <c r="AV71" s="46">
        <v>222</v>
      </c>
      <c r="AX71" s="46">
        <v>36</v>
      </c>
      <c r="AZ71" s="46">
        <v>4</v>
      </c>
      <c r="BB71" s="46">
        <v>15</v>
      </c>
      <c r="BD71" s="46">
        <v>1</v>
      </c>
      <c r="BF71" s="209">
        <v>319</v>
      </c>
      <c r="BI71" s="83">
        <v>39870</v>
      </c>
      <c r="BK71" s="83">
        <v>2247</v>
      </c>
      <c r="BM71" s="83">
        <v>3256</v>
      </c>
      <c r="BO71" s="83">
        <v>2482</v>
      </c>
      <c r="BQ71" s="83">
        <v>0</v>
      </c>
      <c r="BS71" s="85">
        <v>47855</v>
      </c>
      <c r="BU71" s="46">
        <v>30</v>
      </c>
      <c r="BW71" s="46">
        <v>2</v>
      </c>
      <c r="BY71" s="46">
        <v>4</v>
      </c>
      <c r="CA71" s="46">
        <v>5</v>
      </c>
      <c r="CC71" s="46">
        <v>0</v>
      </c>
      <c r="CE71" s="209">
        <v>41</v>
      </c>
      <c r="CH71" s="41">
        <v>9989562</v>
      </c>
      <c r="CJ71" s="41">
        <v>1776518</v>
      </c>
      <c r="CL71" s="41">
        <v>223859</v>
      </c>
      <c r="CN71" s="41">
        <v>853324</v>
      </c>
      <c r="CP71" s="43">
        <v>12843263</v>
      </c>
      <c r="CS71" s="39">
        <v>19.0518</v>
      </c>
      <c r="CU71" s="39">
        <v>24.962</v>
      </c>
      <c r="CW71" s="39">
        <v>0.4269</v>
      </c>
      <c r="CY71" s="39">
        <v>27.752199999999998</v>
      </c>
      <c r="DA71" s="44">
        <v>20.0779</v>
      </c>
      <c r="DC71" s="1" t="str">
        <f t="shared" si="1"/>
        <v>No</v>
      </c>
    </row>
    <row r="72" spans="1:107">
      <c r="A72" s="7" t="s">
        <v>486</v>
      </c>
      <c r="B72" s="7" t="s">
        <v>487</v>
      </c>
      <c r="C72" s="37" t="s">
        <v>83</v>
      </c>
      <c r="D72" s="296">
        <v>4004</v>
      </c>
      <c r="E72" s="297">
        <v>40004</v>
      </c>
      <c r="F72" s="27" t="s">
        <v>165</v>
      </c>
      <c r="G72" s="27" t="s">
        <v>158</v>
      </c>
      <c r="H72" s="35">
        <v>969587</v>
      </c>
      <c r="I72" s="35">
        <v>260</v>
      </c>
      <c r="J72" s="292"/>
      <c r="K72" s="8">
        <v>972270</v>
      </c>
      <c r="L72" s="8"/>
      <c r="M72" s="8">
        <v>168040</v>
      </c>
      <c r="N72" s="9"/>
      <c r="O72" s="8">
        <v>105000</v>
      </c>
      <c r="P72" s="9"/>
      <c r="Q72" s="8">
        <v>80377</v>
      </c>
      <c r="R72" s="9"/>
      <c r="S72" s="8">
        <v>0</v>
      </c>
      <c r="T72" s="9"/>
      <c r="U72" s="33">
        <v>1325687</v>
      </c>
      <c r="V72" s="9" t="s">
        <v>119</v>
      </c>
      <c r="W72" s="30">
        <v>495</v>
      </c>
      <c r="X72" s="9"/>
      <c r="Y72" s="30">
        <v>83</v>
      </c>
      <c r="Z72" s="9"/>
      <c r="AA72" s="30">
        <v>44</v>
      </c>
      <c r="AB72" s="9"/>
      <c r="AC72" s="30">
        <v>48</v>
      </c>
      <c r="AD72" s="9"/>
      <c r="AE72" s="80">
        <v>0</v>
      </c>
      <c r="AF72" s="46"/>
      <c r="AG72" s="88">
        <v>670</v>
      </c>
      <c r="AH72" s="47" t="s">
        <v>119</v>
      </c>
      <c r="AJ72" s="83">
        <v>967075</v>
      </c>
      <c r="AL72" s="83">
        <v>168040</v>
      </c>
      <c r="AN72" s="83">
        <v>105000</v>
      </c>
      <c r="AP72" s="83">
        <v>77431</v>
      </c>
      <c r="AR72" s="83">
        <v>0</v>
      </c>
      <c r="AT72" s="204">
        <v>1317546</v>
      </c>
      <c r="AU72" s="46" t="s">
        <v>119</v>
      </c>
      <c r="AV72" s="46">
        <v>486</v>
      </c>
      <c r="AX72" s="46">
        <v>83</v>
      </c>
      <c r="AZ72" s="46">
        <v>44</v>
      </c>
      <c r="BB72" s="46">
        <v>41</v>
      </c>
      <c r="BD72" s="46">
        <v>0</v>
      </c>
      <c r="BF72" s="209">
        <v>670</v>
      </c>
      <c r="BG72" s="7" t="s">
        <v>119</v>
      </c>
      <c r="BI72" s="83">
        <v>5195</v>
      </c>
      <c r="BK72" s="83">
        <v>0</v>
      </c>
      <c r="BM72" s="83">
        <v>0</v>
      </c>
      <c r="BO72" s="83">
        <v>2946</v>
      </c>
      <c r="BQ72" s="83">
        <v>0</v>
      </c>
      <c r="BS72" s="85">
        <v>8141</v>
      </c>
      <c r="BU72" s="46">
        <v>9</v>
      </c>
      <c r="BW72" s="46">
        <v>0</v>
      </c>
      <c r="BY72" s="46">
        <v>0</v>
      </c>
      <c r="CA72" s="46">
        <v>7</v>
      </c>
      <c r="CC72" s="46">
        <v>0</v>
      </c>
      <c r="CE72" s="209">
        <v>16</v>
      </c>
      <c r="CH72" s="41">
        <v>19813243</v>
      </c>
      <c r="CI72" s="41" t="s">
        <v>119</v>
      </c>
      <c r="CJ72" s="41">
        <v>3806240</v>
      </c>
      <c r="CL72" s="41">
        <v>2240764</v>
      </c>
      <c r="CN72" s="41">
        <v>2724606</v>
      </c>
      <c r="CP72" s="43">
        <v>28584853</v>
      </c>
      <c r="CQ72" s="7" t="s">
        <v>119</v>
      </c>
      <c r="CS72" s="39">
        <v>20.378299999999999</v>
      </c>
      <c r="CT72" s="39" t="s">
        <v>119</v>
      </c>
      <c r="CU72" s="39">
        <v>22.6508</v>
      </c>
      <c r="CW72" s="39">
        <v>2.3047</v>
      </c>
      <c r="CY72" s="39">
        <v>33.897799999999997</v>
      </c>
      <c r="DA72" s="44">
        <v>21.5623</v>
      </c>
      <c r="DB72" s="7" t="s">
        <v>119</v>
      </c>
      <c r="DC72" s="1" t="str">
        <f t="shared" si="1"/>
        <v>Yes</v>
      </c>
    </row>
    <row r="73" spans="1:107">
      <c r="A73" s="7" t="s">
        <v>90</v>
      </c>
      <c r="B73" s="7" t="s">
        <v>436</v>
      </c>
      <c r="C73" s="37" t="s">
        <v>89</v>
      </c>
      <c r="D73" s="296">
        <v>20</v>
      </c>
      <c r="E73" s="297">
        <v>20</v>
      </c>
      <c r="F73" s="27" t="s">
        <v>165</v>
      </c>
      <c r="G73" s="27" t="s">
        <v>158</v>
      </c>
      <c r="H73" s="35">
        <v>198979</v>
      </c>
      <c r="I73" s="35">
        <v>257</v>
      </c>
      <c r="J73" s="292"/>
      <c r="K73" s="8">
        <v>360965</v>
      </c>
      <c r="L73" s="8"/>
      <c r="M73" s="8">
        <v>73971</v>
      </c>
      <c r="N73" s="9"/>
      <c r="O73" s="8">
        <v>23424</v>
      </c>
      <c r="P73" s="9"/>
      <c r="Q73" s="8">
        <v>63543</v>
      </c>
      <c r="R73" s="9"/>
      <c r="S73" s="8">
        <v>3841</v>
      </c>
      <c r="T73" s="9"/>
      <c r="U73" s="33">
        <v>525744</v>
      </c>
      <c r="V73" s="9"/>
      <c r="W73" s="30">
        <v>260</v>
      </c>
      <c r="X73" s="9"/>
      <c r="Y73" s="30">
        <v>43.03</v>
      </c>
      <c r="Z73" s="9"/>
      <c r="AA73" s="30">
        <v>13.76</v>
      </c>
      <c r="AB73" s="9"/>
      <c r="AC73" s="30">
        <v>39.450000000000003</v>
      </c>
      <c r="AD73" s="9"/>
      <c r="AE73" s="80">
        <v>1.84</v>
      </c>
      <c r="AF73" s="46"/>
      <c r="AG73" s="88">
        <v>358.08</v>
      </c>
      <c r="AH73" s="47"/>
      <c r="AJ73" s="83">
        <v>278671</v>
      </c>
      <c r="AL73" s="83">
        <v>73385</v>
      </c>
      <c r="AN73" s="83">
        <v>23424</v>
      </c>
      <c r="AP73" s="83">
        <v>58785</v>
      </c>
      <c r="AR73" s="83">
        <v>3333</v>
      </c>
      <c r="AT73" s="204">
        <v>437598</v>
      </c>
      <c r="AV73" s="46">
        <v>154</v>
      </c>
      <c r="AX73" s="46">
        <v>42.03</v>
      </c>
      <c r="AZ73" s="46">
        <v>13.76</v>
      </c>
      <c r="BB73" s="46">
        <v>34.86</v>
      </c>
      <c r="BD73" s="46">
        <v>1.84</v>
      </c>
      <c r="BF73" s="209">
        <v>358.08</v>
      </c>
      <c r="BI73" s="83">
        <v>82294</v>
      </c>
      <c r="BK73" s="83">
        <v>586</v>
      </c>
      <c r="BM73" s="83">
        <v>0</v>
      </c>
      <c r="BO73" s="83">
        <v>4758</v>
      </c>
      <c r="BQ73" s="83">
        <v>508</v>
      </c>
      <c r="BS73" s="85">
        <v>88146</v>
      </c>
      <c r="BU73" s="46">
        <v>106</v>
      </c>
      <c r="BW73" s="46">
        <v>1</v>
      </c>
      <c r="BY73" s="46">
        <v>0</v>
      </c>
      <c r="CA73" s="46">
        <v>4.59</v>
      </c>
      <c r="CC73" s="46">
        <v>0</v>
      </c>
      <c r="CE73" s="209">
        <v>111.59</v>
      </c>
      <c r="CH73" s="41">
        <v>10908496</v>
      </c>
      <c r="CJ73" s="41">
        <v>2613014</v>
      </c>
      <c r="CL73" s="41">
        <v>772260</v>
      </c>
      <c r="CN73" s="41">
        <v>2859153</v>
      </c>
      <c r="CP73" s="43">
        <v>17152923</v>
      </c>
      <c r="CS73" s="39">
        <v>30.220400000000001</v>
      </c>
      <c r="CU73" s="39">
        <v>35.324800000000003</v>
      </c>
      <c r="CW73" s="39">
        <v>2.1394000000000002</v>
      </c>
      <c r="CY73" s="39">
        <v>44.995600000000003</v>
      </c>
      <c r="DA73" s="44">
        <v>32.625999999999998</v>
      </c>
      <c r="DC73" s="1" t="str">
        <f t="shared" si="1"/>
        <v>No</v>
      </c>
    </row>
    <row r="74" spans="1:107">
      <c r="A74" s="7" t="s">
        <v>1120</v>
      </c>
      <c r="B74" s="7" t="s">
        <v>210</v>
      </c>
      <c r="C74" s="37" t="s">
        <v>70</v>
      </c>
      <c r="D74" s="296">
        <v>2113</v>
      </c>
      <c r="E74" s="297">
        <v>20113</v>
      </c>
      <c r="F74" s="27" t="s">
        <v>165</v>
      </c>
      <c r="G74" s="27" t="s">
        <v>158</v>
      </c>
      <c r="H74" s="35">
        <v>720572</v>
      </c>
      <c r="I74" s="35">
        <v>257</v>
      </c>
      <c r="J74" s="292"/>
      <c r="K74" s="8">
        <v>860617</v>
      </c>
      <c r="L74" s="8"/>
      <c r="M74" s="8">
        <v>221648</v>
      </c>
      <c r="N74" s="9"/>
      <c r="O74" s="8">
        <v>34989</v>
      </c>
      <c r="P74" s="9"/>
      <c r="Q74" s="8">
        <v>162994</v>
      </c>
      <c r="R74" s="9"/>
      <c r="S74" s="8">
        <v>0</v>
      </c>
      <c r="T74" s="9"/>
      <c r="U74" s="33">
        <v>1280248</v>
      </c>
      <c r="V74" s="9"/>
      <c r="W74" s="30">
        <v>466</v>
      </c>
      <c r="X74" s="9"/>
      <c r="Y74" s="30">
        <v>114</v>
      </c>
      <c r="Z74" s="9"/>
      <c r="AA74" s="30">
        <v>19</v>
      </c>
      <c r="AB74" s="9"/>
      <c r="AC74" s="30">
        <v>90</v>
      </c>
      <c r="AD74" s="9"/>
      <c r="AE74" s="80">
        <v>0</v>
      </c>
      <c r="AF74" s="46"/>
      <c r="AG74" s="88">
        <v>689</v>
      </c>
      <c r="AH74" s="47"/>
      <c r="AJ74" s="83">
        <v>766192</v>
      </c>
      <c r="AL74" s="83">
        <v>220879</v>
      </c>
      <c r="AN74" s="83">
        <v>34989</v>
      </c>
      <c r="AP74" s="83">
        <v>157689</v>
      </c>
      <c r="AR74" s="83">
        <v>0</v>
      </c>
      <c r="AT74" s="204">
        <v>1179749</v>
      </c>
      <c r="AV74" s="46">
        <v>401</v>
      </c>
      <c r="AX74" s="46">
        <v>113</v>
      </c>
      <c r="AZ74" s="46">
        <v>19</v>
      </c>
      <c r="BB74" s="46">
        <v>85</v>
      </c>
      <c r="BD74" s="46">
        <v>0</v>
      </c>
      <c r="BF74" s="209">
        <v>689</v>
      </c>
      <c r="BI74" s="83">
        <v>94425</v>
      </c>
      <c r="BK74" s="83">
        <v>769</v>
      </c>
      <c r="BM74" s="83">
        <v>0</v>
      </c>
      <c r="BO74" s="83">
        <v>5305</v>
      </c>
      <c r="BQ74" s="83">
        <v>0</v>
      </c>
      <c r="BS74" s="85">
        <v>100499</v>
      </c>
      <c r="BU74" s="46">
        <v>65</v>
      </c>
      <c r="BW74" s="46">
        <v>1</v>
      </c>
      <c r="BY74" s="46">
        <v>0</v>
      </c>
      <c r="CA74" s="46">
        <v>5</v>
      </c>
      <c r="CC74" s="46">
        <v>0</v>
      </c>
      <c r="CE74" s="209">
        <v>71</v>
      </c>
      <c r="CH74" s="41">
        <v>23406637</v>
      </c>
      <c r="CJ74" s="41">
        <v>6625574</v>
      </c>
      <c r="CL74" s="41">
        <v>659592</v>
      </c>
      <c r="CN74" s="41">
        <v>5661075</v>
      </c>
      <c r="CP74" s="43">
        <v>36352878</v>
      </c>
      <c r="CS74" s="39">
        <v>27.197500000000002</v>
      </c>
      <c r="CU74" s="39">
        <v>29.892299999999999</v>
      </c>
      <c r="CW74" s="39">
        <v>0.76639999999999997</v>
      </c>
      <c r="CY74" s="39">
        <v>34.7318</v>
      </c>
      <c r="DA74" s="44">
        <v>28.395199999999999</v>
      </c>
      <c r="DC74" s="1" t="str">
        <f t="shared" si="1"/>
        <v>No</v>
      </c>
    </row>
    <row r="75" spans="1:107">
      <c r="A75" s="7" t="s">
        <v>461</v>
      </c>
      <c r="B75" s="7" t="s">
        <v>462</v>
      </c>
      <c r="C75" s="37" t="s">
        <v>93</v>
      </c>
      <c r="D75" s="296">
        <v>5005</v>
      </c>
      <c r="E75" s="297">
        <v>50005</v>
      </c>
      <c r="F75" s="27" t="s">
        <v>162</v>
      </c>
      <c r="G75" s="27" t="s">
        <v>158</v>
      </c>
      <c r="H75" s="35">
        <v>401661</v>
      </c>
      <c r="I75" s="35">
        <v>254</v>
      </c>
      <c r="J75" s="292"/>
      <c r="K75" s="8">
        <v>618157</v>
      </c>
      <c r="L75" s="8"/>
      <c r="M75" s="8">
        <v>135144</v>
      </c>
      <c r="N75" s="9"/>
      <c r="O75" s="8">
        <v>17147</v>
      </c>
      <c r="P75" s="9"/>
      <c r="Q75" s="8">
        <v>72580</v>
      </c>
      <c r="R75" s="9"/>
      <c r="S75" s="8">
        <v>0</v>
      </c>
      <c r="T75" s="9"/>
      <c r="U75" s="33">
        <v>843028</v>
      </c>
      <c r="V75" s="9"/>
      <c r="W75" s="30">
        <v>355</v>
      </c>
      <c r="X75" s="9"/>
      <c r="Y75" s="30">
        <v>68</v>
      </c>
      <c r="Z75" s="9"/>
      <c r="AA75" s="30">
        <v>10.050000000000001</v>
      </c>
      <c r="AB75" s="9"/>
      <c r="AC75" s="30">
        <v>42</v>
      </c>
      <c r="AD75" s="9"/>
      <c r="AE75" s="80">
        <v>0</v>
      </c>
      <c r="AF75" s="46"/>
      <c r="AG75" s="88">
        <v>475.05</v>
      </c>
      <c r="AH75" s="47"/>
      <c r="AJ75" s="83">
        <v>599612</v>
      </c>
      <c r="AL75" s="83">
        <v>135144</v>
      </c>
      <c r="AN75" s="83">
        <v>17147</v>
      </c>
      <c r="AP75" s="83">
        <v>61911</v>
      </c>
      <c r="AR75" s="83">
        <v>0</v>
      </c>
      <c r="AT75" s="204">
        <v>813814</v>
      </c>
      <c r="AV75" s="46">
        <v>324</v>
      </c>
      <c r="AX75" s="46">
        <v>68</v>
      </c>
      <c r="AZ75" s="46">
        <v>10.050000000000001</v>
      </c>
      <c r="BB75" s="46">
        <v>35</v>
      </c>
      <c r="BD75" s="46">
        <v>0</v>
      </c>
      <c r="BF75" s="209">
        <v>475.05</v>
      </c>
      <c r="BI75" s="83">
        <v>18545</v>
      </c>
      <c r="BK75" s="83">
        <v>0</v>
      </c>
      <c r="BM75" s="83">
        <v>0</v>
      </c>
      <c r="BO75" s="83">
        <v>10669</v>
      </c>
      <c r="BQ75" s="83">
        <v>0</v>
      </c>
      <c r="BS75" s="85">
        <v>29214</v>
      </c>
      <c r="BU75" s="46">
        <v>31</v>
      </c>
      <c r="BW75" s="46">
        <v>0</v>
      </c>
      <c r="BY75" s="46">
        <v>0</v>
      </c>
      <c r="CA75" s="46">
        <v>7</v>
      </c>
      <c r="CC75" s="46">
        <v>0</v>
      </c>
      <c r="CE75" s="209">
        <v>38</v>
      </c>
      <c r="CH75" s="41">
        <v>16703855</v>
      </c>
      <c r="CJ75" s="41">
        <v>3787978</v>
      </c>
      <c r="CL75" s="41">
        <v>509262</v>
      </c>
      <c r="CN75" s="41">
        <v>2185025</v>
      </c>
      <c r="CP75" s="43">
        <v>23186120</v>
      </c>
      <c r="CS75" s="39">
        <v>27.021999999999998</v>
      </c>
      <c r="CU75" s="39">
        <v>28.029199999999999</v>
      </c>
      <c r="CW75" s="39">
        <v>0.82379999999999998</v>
      </c>
      <c r="CY75" s="39">
        <v>30.1051</v>
      </c>
      <c r="DA75" s="44">
        <v>27.503399999999999</v>
      </c>
      <c r="DC75" s="1" t="str">
        <f t="shared" si="1"/>
        <v>No</v>
      </c>
    </row>
    <row r="76" spans="1:107">
      <c r="A76" s="7" t="s">
        <v>35</v>
      </c>
      <c r="B76" s="7" t="s">
        <v>720</v>
      </c>
      <c r="C76" s="37" t="s">
        <v>32</v>
      </c>
      <c r="D76" s="296">
        <v>4152</v>
      </c>
      <c r="E76" s="297">
        <v>40152</v>
      </c>
      <c r="F76" s="27" t="s">
        <v>243</v>
      </c>
      <c r="G76" s="27" t="s">
        <v>158</v>
      </c>
      <c r="H76" s="35">
        <v>5502379</v>
      </c>
      <c r="I76" s="35">
        <v>254</v>
      </c>
      <c r="J76" s="292"/>
      <c r="K76" s="8">
        <v>0</v>
      </c>
      <c r="L76" s="8"/>
      <c r="M76" s="8">
        <v>0</v>
      </c>
      <c r="N76" s="9"/>
      <c r="O76" s="8">
        <v>0</v>
      </c>
      <c r="P76" s="9"/>
      <c r="Q76" s="8">
        <v>6798</v>
      </c>
      <c r="R76" s="9"/>
      <c r="S76" s="8">
        <v>0</v>
      </c>
      <c r="T76" s="9"/>
      <c r="U76" s="33">
        <v>6798</v>
      </c>
      <c r="V76" s="9"/>
      <c r="W76" s="30">
        <v>0</v>
      </c>
      <c r="X76" s="9"/>
      <c r="Y76" s="30">
        <v>0</v>
      </c>
      <c r="Z76" s="9"/>
      <c r="AA76" s="30">
        <v>0</v>
      </c>
      <c r="AB76" s="9"/>
      <c r="AC76" s="30">
        <v>5</v>
      </c>
      <c r="AD76" s="9"/>
      <c r="AE76" s="80">
        <v>0</v>
      </c>
      <c r="AF76" s="46"/>
      <c r="AG76" s="88">
        <v>5</v>
      </c>
      <c r="AH76" s="47"/>
      <c r="AJ76" s="83">
        <v>0</v>
      </c>
      <c r="AL76" s="83">
        <v>0</v>
      </c>
      <c r="AN76" s="83">
        <v>0</v>
      </c>
      <c r="AP76" s="83">
        <v>6105</v>
      </c>
      <c r="AR76" s="83">
        <v>0</v>
      </c>
      <c r="AT76" s="204">
        <v>6105</v>
      </c>
      <c r="AV76" s="46">
        <v>0</v>
      </c>
      <c r="AX76" s="46">
        <v>0</v>
      </c>
      <c r="AZ76" s="46">
        <v>0</v>
      </c>
      <c r="BB76" s="46">
        <v>4</v>
      </c>
      <c r="BD76" s="46">
        <v>0</v>
      </c>
      <c r="BF76" s="209">
        <v>5</v>
      </c>
      <c r="BI76" s="83">
        <v>0</v>
      </c>
      <c r="BK76" s="83">
        <v>0</v>
      </c>
      <c r="BM76" s="83">
        <v>0</v>
      </c>
      <c r="BO76" s="83">
        <v>693</v>
      </c>
      <c r="BQ76" s="83">
        <v>0</v>
      </c>
      <c r="BS76" s="85">
        <v>693</v>
      </c>
      <c r="BU76" s="46">
        <v>0</v>
      </c>
      <c r="BW76" s="46">
        <v>0</v>
      </c>
      <c r="BY76" s="46">
        <v>0</v>
      </c>
      <c r="CA76" s="46">
        <v>1</v>
      </c>
      <c r="CC76" s="46">
        <v>0</v>
      </c>
      <c r="CE76" s="209">
        <v>1</v>
      </c>
      <c r="CH76" s="41">
        <v>0</v>
      </c>
      <c r="CJ76" s="41">
        <v>0</v>
      </c>
      <c r="CL76" s="41">
        <v>0</v>
      </c>
      <c r="CN76" s="41">
        <v>219867</v>
      </c>
      <c r="CP76" s="43">
        <v>219867</v>
      </c>
      <c r="CY76" s="39">
        <v>32.3429</v>
      </c>
      <c r="DA76" s="44">
        <v>32.3429</v>
      </c>
      <c r="DC76" s="1" t="str">
        <f t="shared" si="1"/>
        <v>No</v>
      </c>
    </row>
    <row r="77" spans="1:107">
      <c r="A77" s="7" t="s">
        <v>424</v>
      </c>
      <c r="B77" s="7" t="s">
        <v>425</v>
      </c>
      <c r="C77" s="37" t="s">
        <v>32</v>
      </c>
      <c r="D77" s="296">
        <v>4040</v>
      </c>
      <c r="E77" s="297">
        <v>40040</v>
      </c>
      <c r="F77" s="27" t="s">
        <v>165</v>
      </c>
      <c r="G77" s="27" t="s">
        <v>158</v>
      </c>
      <c r="H77" s="35">
        <v>1065219</v>
      </c>
      <c r="I77" s="35">
        <v>244</v>
      </c>
      <c r="J77" s="292"/>
      <c r="K77" s="8">
        <v>888154</v>
      </c>
      <c r="L77" s="8"/>
      <c r="M77" s="8">
        <v>224309</v>
      </c>
      <c r="N77" s="9"/>
      <c r="O77" s="8">
        <v>50816</v>
      </c>
      <c r="P77" s="9"/>
      <c r="Q77" s="8">
        <v>260038</v>
      </c>
      <c r="R77" s="9"/>
      <c r="S77" s="8">
        <v>0</v>
      </c>
      <c r="T77" s="9"/>
      <c r="U77" s="33">
        <v>1423317</v>
      </c>
      <c r="V77" s="9"/>
      <c r="W77" s="30">
        <v>467</v>
      </c>
      <c r="X77" s="9"/>
      <c r="Y77" s="30">
        <v>115</v>
      </c>
      <c r="Z77" s="9"/>
      <c r="AA77" s="30">
        <v>25</v>
      </c>
      <c r="AB77" s="9"/>
      <c r="AC77" s="30">
        <v>145</v>
      </c>
      <c r="AD77" s="9"/>
      <c r="AE77" s="80">
        <v>0</v>
      </c>
      <c r="AF77" s="46"/>
      <c r="AG77" s="88">
        <v>752</v>
      </c>
      <c r="AH77" s="47"/>
      <c r="AJ77" s="83">
        <v>822079</v>
      </c>
      <c r="AL77" s="83">
        <v>222852</v>
      </c>
      <c r="AN77" s="83">
        <v>50816</v>
      </c>
      <c r="AP77" s="83">
        <v>229135</v>
      </c>
      <c r="AR77" s="83">
        <v>0</v>
      </c>
      <c r="AT77" s="204">
        <v>1324882</v>
      </c>
      <c r="AV77" s="46">
        <v>421</v>
      </c>
      <c r="AX77" s="46">
        <v>114</v>
      </c>
      <c r="AZ77" s="46">
        <v>25</v>
      </c>
      <c r="BB77" s="46">
        <v>121</v>
      </c>
      <c r="BD77" s="46">
        <v>0</v>
      </c>
      <c r="BF77" s="209">
        <v>752</v>
      </c>
      <c r="BI77" s="83">
        <v>66075</v>
      </c>
      <c r="BK77" s="83">
        <v>1457</v>
      </c>
      <c r="BM77" s="83">
        <v>0</v>
      </c>
      <c r="BO77" s="83">
        <v>30903</v>
      </c>
      <c r="BQ77" s="83">
        <v>0</v>
      </c>
      <c r="BS77" s="85">
        <v>98435</v>
      </c>
      <c r="BU77" s="46">
        <v>46</v>
      </c>
      <c r="BW77" s="46">
        <v>1</v>
      </c>
      <c r="BY77" s="46">
        <v>0</v>
      </c>
      <c r="CA77" s="46">
        <v>24</v>
      </c>
      <c r="CC77" s="46">
        <v>0</v>
      </c>
      <c r="CE77" s="209">
        <v>71</v>
      </c>
      <c r="CH77" s="41">
        <v>18232516</v>
      </c>
      <c r="CJ77" s="41">
        <v>5734021</v>
      </c>
      <c r="CL77" s="41">
        <v>1388725</v>
      </c>
      <c r="CN77" s="41">
        <v>8032906</v>
      </c>
      <c r="CP77" s="43">
        <v>33388168</v>
      </c>
      <c r="CS77" s="39">
        <v>20.528600000000001</v>
      </c>
      <c r="CU77" s="39">
        <v>25.562999999999999</v>
      </c>
      <c r="CW77" s="39">
        <v>1.5636000000000001</v>
      </c>
      <c r="CY77" s="39">
        <v>30.891300000000001</v>
      </c>
      <c r="DA77" s="44">
        <v>23.457999999999998</v>
      </c>
      <c r="DC77" s="1" t="str">
        <f t="shared" si="1"/>
        <v>No</v>
      </c>
    </row>
    <row r="78" spans="1:107">
      <c r="A78" s="7" t="s">
        <v>389</v>
      </c>
      <c r="B78" s="7" t="s">
        <v>390</v>
      </c>
      <c r="C78" s="37" t="s">
        <v>52</v>
      </c>
      <c r="D78" s="296">
        <v>5033</v>
      </c>
      <c r="E78" s="297">
        <v>50033</v>
      </c>
      <c r="F78" s="27" t="s">
        <v>165</v>
      </c>
      <c r="G78" s="27" t="s">
        <v>158</v>
      </c>
      <c r="H78" s="35">
        <v>569935</v>
      </c>
      <c r="I78" s="35">
        <v>241</v>
      </c>
      <c r="J78" s="292"/>
      <c r="K78" s="8">
        <v>547892</v>
      </c>
      <c r="L78" s="8"/>
      <c r="M78" s="8">
        <v>59154</v>
      </c>
      <c r="N78" s="9"/>
      <c r="O78" s="8">
        <v>18174</v>
      </c>
      <c r="P78" s="9"/>
      <c r="Q78" s="8">
        <v>72093</v>
      </c>
      <c r="R78" s="9"/>
      <c r="S78" s="8">
        <v>0</v>
      </c>
      <c r="T78" s="9"/>
      <c r="U78" s="33">
        <v>697313</v>
      </c>
      <c r="V78" s="9"/>
      <c r="W78" s="30">
        <v>279</v>
      </c>
      <c r="X78" s="9"/>
      <c r="Y78" s="30">
        <v>31.8</v>
      </c>
      <c r="Z78" s="9"/>
      <c r="AA78" s="30">
        <v>9.3000000000000007</v>
      </c>
      <c r="AB78" s="9"/>
      <c r="AC78" s="30">
        <v>37.9</v>
      </c>
      <c r="AD78" s="9"/>
      <c r="AE78" s="80">
        <v>0</v>
      </c>
      <c r="AF78" s="46"/>
      <c r="AG78" s="88">
        <v>358</v>
      </c>
      <c r="AH78" s="47"/>
      <c r="AJ78" s="83">
        <v>519799</v>
      </c>
      <c r="AL78" s="83">
        <v>59154</v>
      </c>
      <c r="AN78" s="83">
        <v>18174</v>
      </c>
      <c r="AP78" s="83">
        <v>70306</v>
      </c>
      <c r="AR78" s="83">
        <v>0</v>
      </c>
      <c r="AT78" s="204">
        <v>667433</v>
      </c>
      <c r="AV78" s="46">
        <v>269</v>
      </c>
      <c r="AX78" s="46">
        <v>31.8</v>
      </c>
      <c r="AZ78" s="46">
        <v>9.3000000000000007</v>
      </c>
      <c r="BB78" s="46">
        <v>35.9</v>
      </c>
      <c r="BD78" s="46">
        <v>0</v>
      </c>
      <c r="BF78" s="209">
        <v>358</v>
      </c>
      <c r="BI78" s="83">
        <v>28093</v>
      </c>
      <c r="BK78" s="83">
        <v>0</v>
      </c>
      <c r="BM78" s="83">
        <v>0</v>
      </c>
      <c r="BO78" s="83">
        <v>1787</v>
      </c>
      <c r="BQ78" s="83">
        <v>0</v>
      </c>
      <c r="BS78" s="85">
        <v>29880</v>
      </c>
      <c r="BU78" s="46">
        <v>10</v>
      </c>
      <c r="BW78" s="46">
        <v>0</v>
      </c>
      <c r="BY78" s="46">
        <v>0</v>
      </c>
      <c r="CA78" s="46">
        <v>2</v>
      </c>
      <c r="CC78" s="46">
        <v>0</v>
      </c>
      <c r="CE78" s="209">
        <v>12</v>
      </c>
      <c r="CH78" s="41">
        <v>12299333</v>
      </c>
      <c r="CJ78" s="41">
        <v>1648334</v>
      </c>
      <c r="CL78" s="41">
        <v>297727</v>
      </c>
      <c r="CN78" s="41">
        <v>1433410</v>
      </c>
      <c r="CP78" s="43">
        <v>15678804</v>
      </c>
      <c r="CS78" s="39">
        <v>22.448499999999999</v>
      </c>
      <c r="CU78" s="39">
        <v>27.865100000000002</v>
      </c>
      <c r="CW78" s="39">
        <v>0.54339999999999999</v>
      </c>
      <c r="CY78" s="39">
        <v>19.8828</v>
      </c>
      <c r="DA78" s="44">
        <v>22.4846</v>
      </c>
      <c r="DC78" s="1" t="str">
        <f t="shared" si="1"/>
        <v>No</v>
      </c>
    </row>
    <row r="79" spans="1:107">
      <c r="A79" s="7" t="s">
        <v>328</v>
      </c>
      <c r="B79" s="7" t="s">
        <v>329</v>
      </c>
      <c r="C79" s="37" t="s">
        <v>28</v>
      </c>
      <c r="D79" s="296">
        <v>1048</v>
      </c>
      <c r="E79" s="297">
        <v>10048</v>
      </c>
      <c r="F79" s="27" t="s">
        <v>157</v>
      </c>
      <c r="G79" s="27" t="s">
        <v>158</v>
      </c>
      <c r="H79" s="35">
        <v>924859</v>
      </c>
      <c r="I79" s="35">
        <v>232</v>
      </c>
      <c r="J79" s="292"/>
      <c r="K79" s="8">
        <v>1032168</v>
      </c>
      <c r="L79" s="8"/>
      <c r="M79" s="8">
        <v>278175</v>
      </c>
      <c r="N79" s="9"/>
      <c r="O79" s="8">
        <v>32891</v>
      </c>
      <c r="P79" s="9"/>
      <c r="Q79" s="8">
        <v>88882</v>
      </c>
      <c r="R79" s="9"/>
      <c r="S79" s="8">
        <v>0</v>
      </c>
      <c r="T79" s="9"/>
      <c r="U79" s="33">
        <v>1432116</v>
      </c>
      <c r="V79" s="9"/>
      <c r="W79" s="30">
        <v>503</v>
      </c>
      <c r="X79" s="9"/>
      <c r="Y79" s="30">
        <v>131</v>
      </c>
      <c r="Z79" s="9"/>
      <c r="AA79" s="30">
        <v>18.5</v>
      </c>
      <c r="AB79" s="9"/>
      <c r="AC79" s="30">
        <v>57</v>
      </c>
      <c r="AD79" s="9"/>
      <c r="AE79" s="80">
        <v>0</v>
      </c>
      <c r="AF79" s="46"/>
      <c r="AG79" s="88">
        <v>709.5</v>
      </c>
      <c r="AH79" s="47"/>
      <c r="AJ79" s="83">
        <v>1019695</v>
      </c>
      <c r="AL79" s="83">
        <v>278175</v>
      </c>
      <c r="AN79" s="83">
        <v>32891</v>
      </c>
      <c r="AP79" s="83">
        <v>82548</v>
      </c>
      <c r="AR79" s="83">
        <v>0</v>
      </c>
      <c r="AT79" s="204">
        <v>1413309</v>
      </c>
      <c r="AV79" s="46">
        <v>486</v>
      </c>
      <c r="AX79" s="46">
        <v>131</v>
      </c>
      <c r="AZ79" s="46">
        <v>18.5</v>
      </c>
      <c r="BB79" s="46">
        <v>47</v>
      </c>
      <c r="BD79" s="46">
        <v>0</v>
      </c>
      <c r="BF79" s="209">
        <v>709.5</v>
      </c>
      <c r="BI79" s="83">
        <v>12473</v>
      </c>
      <c r="BK79" s="83">
        <v>0</v>
      </c>
      <c r="BM79" s="83">
        <v>0</v>
      </c>
      <c r="BO79" s="83">
        <v>6334</v>
      </c>
      <c r="BQ79" s="83">
        <v>0</v>
      </c>
      <c r="BS79" s="85">
        <v>18807</v>
      </c>
      <c r="BU79" s="46">
        <v>17</v>
      </c>
      <c r="BW79" s="46">
        <v>0</v>
      </c>
      <c r="BY79" s="46">
        <v>0</v>
      </c>
      <c r="CA79" s="46">
        <v>10</v>
      </c>
      <c r="CC79" s="46">
        <v>0</v>
      </c>
      <c r="CE79" s="209">
        <v>27</v>
      </c>
      <c r="CH79" s="41">
        <v>27836569</v>
      </c>
      <c r="CJ79" s="41">
        <v>8014481</v>
      </c>
      <c r="CL79" s="41">
        <v>1040319</v>
      </c>
      <c r="CN79" s="41">
        <v>2624005</v>
      </c>
      <c r="CP79" s="43">
        <v>39515374</v>
      </c>
      <c r="CS79" s="39">
        <v>26.969000000000001</v>
      </c>
      <c r="CU79" s="39">
        <v>28.8109</v>
      </c>
      <c r="CW79" s="39">
        <v>1.0079</v>
      </c>
      <c r="CY79" s="39">
        <v>29.522300000000001</v>
      </c>
      <c r="DA79" s="44">
        <v>27.592300000000002</v>
      </c>
      <c r="DC79" s="1" t="str">
        <f t="shared" si="1"/>
        <v>No</v>
      </c>
    </row>
    <row r="80" spans="1:107">
      <c r="A80" s="7" t="s">
        <v>577</v>
      </c>
      <c r="B80" s="7" t="s">
        <v>578</v>
      </c>
      <c r="C80" s="37" t="s">
        <v>17</v>
      </c>
      <c r="D80" s="296">
        <v>9019</v>
      </c>
      <c r="E80" s="297">
        <v>90019</v>
      </c>
      <c r="F80" s="27" t="s">
        <v>165</v>
      </c>
      <c r="G80" s="27" t="s">
        <v>158</v>
      </c>
      <c r="H80" s="35">
        <v>1723634</v>
      </c>
      <c r="I80" s="35">
        <v>232</v>
      </c>
      <c r="J80" s="292"/>
      <c r="K80" s="8">
        <v>1025361</v>
      </c>
      <c r="L80" s="8"/>
      <c r="M80" s="8">
        <v>283219</v>
      </c>
      <c r="N80" s="9"/>
      <c r="O80" s="8">
        <v>117811</v>
      </c>
      <c r="P80" s="9"/>
      <c r="Q80" s="8">
        <v>262975</v>
      </c>
      <c r="R80" s="9"/>
      <c r="S80" s="8">
        <v>52878</v>
      </c>
      <c r="T80" s="9"/>
      <c r="U80" s="33">
        <v>1742244</v>
      </c>
      <c r="V80" s="9"/>
      <c r="W80" s="30">
        <v>559.1</v>
      </c>
      <c r="X80" s="9"/>
      <c r="Y80" s="30">
        <v>159</v>
      </c>
      <c r="Z80" s="9"/>
      <c r="AA80" s="30">
        <v>62</v>
      </c>
      <c r="AB80" s="9"/>
      <c r="AC80" s="30">
        <v>151.6</v>
      </c>
      <c r="AD80" s="9"/>
      <c r="AE80" s="80">
        <v>28</v>
      </c>
      <c r="AF80" s="46"/>
      <c r="AG80" s="88">
        <v>959.7</v>
      </c>
      <c r="AH80" s="47"/>
      <c r="AJ80" s="83">
        <v>1025361</v>
      </c>
      <c r="AL80" s="83">
        <v>283219</v>
      </c>
      <c r="AN80" s="83">
        <v>117811</v>
      </c>
      <c r="AP80" s="83">
        <v>262975</v>
      </c>
      <c r="AR80" s="83">
        <v>52878</v>
      </c>
      <c r="AT80" s="204">
        <v>1742244</v>
      </c>
      <c r="AV80" s="46">
        <v>559.1</v>
      </c>
      <c r="AX80" s="46">
        <v>159</v>
      </c>
      <c r="AZ80" s="46">
        <v>62</v>
      </c>
      <c r="BB80" s="46">
        <v>151.6</v>
      </c>
      <c r="BD80" s="46">
        <v>28</v>
      </c>
      <c r="BF80" s="209">
        <v>959.7</v>
      </c>
      <c r="BI80" s="83">
        <v>0</v>
      </c>
      <c r="BK80" s="83">
        <v>0</v>
      </c>
      <c r="BM80" s="83">
        <v>0</v>
      </c>
      <c r="BO80" s="83">
        <v>0</v>
      </c>
      <c r="BQ80" s="83">
        <v>0</v>
      </c>
      <c r="BS80" s="85">
        <v>0</v>
      </c>
      <c r="BU80" s="46">
        <v>0</v>
      </c>
      <c r="BW80" s="46">
        <v>0</v>
      </c>
      <c r="BY80" s="46">
        <v>0</v>
      </c>
      <c r="CA80" s="46">
        <v>0</v>
      </c>
      <c r="CC80" s="46">
        <v>0</v>
      </c>
      <c r="CE80" s="209">
        <v>0</v>
      </c>
      <c r="CH80" s="41">
        <v>29654512</v>
      </c>
      <c r="CJ80" s="41">
        <v>8866389</v>
      </c>
      <c r="CL80" s="41">
        <v>4322287</v>
      </c>
      <c r="CN80" s="41">
        <v>10740630</v>
      </c>
      <c r="CP80" s="43">
        <v>53583818</v>
      </c>
      <c r="CS80" s="39">
        <v>28.920999999999999</v>
      </c>
      <c r="CU80" s="39">
        <v>31.305800000000001</v>
      </c>
      <c r="CW80" s="39">
        <v>4.2153999999999998</v>
      </c>
      <c r="CY80" s="39">
        <v>40.842799999999997</v>
      </c>
      <c r="DA80" s="44">
        <v>30.755600000000001</v>
      </c>
      <c r="DC80" s="1" t="str">
        <f t="shared" si="1"/>
        <v>No</v>
      </c>
    </row>
    <row r="81" spans="1:107">
      <c r="A81" s="7" t="s">
        <v>351</v>
      </c>
      <c r="B81" s="7" t="s">
        <v>352</v>
      </c>
      <c r="C81" s="37" t="s">
        <v>38</v>
      </c>
      <c r="D81" s="296">
        <v>7010</v>
      </c>
      <c r="E81" s="297">
        <v>70010</v>
      </c>
      <c r="F81" s="27" t="s">
        <v>165</v>
      </c>
      <c r="G81" s="27" t="s">
        <v>158</v>
      </c>
      <c r="H81" s="35">
        <v>450070</v>
      </c>
      <c r="I81" s="35">
        <v>226</v>
      </c>
      <c r="J81" s="292"/>
      <c r="K81" s="8">
        <v>368467</v>
      </c>
      <c r="L81" s="8"/>
      <c r="M81" s="8">
        <v>79703</v>
      </c>
      <c r="N81" s="9"/>
      <c r="O81" s="8">
        <v>14955</v>
      </c>
      <c r="P81" s="9"/>
      <c r="Q81" s="8">
        <v>65774</v>
      </c>
      <c r="R81" s="9"/>
      <c r="S81" s="8">
        <v>0</v>
      </c>
      <c r="T81" s="9"/>
      <c r="U81" s="33">
        <v>528899</v>
      </c>
      <c r="V81" s="9"/>
      <c r="W81" s="30">
        <v>192</v>
      </c>
      <c r="X81" s="9"/>
      <c r="Y81" s="30">
        <v>40</v>
      </c>
      <c r="Z81" s="9"/>
      <c r="AA81" s="30">
        <v>20</v>
      </c>
      <c r="AB81" s="9"/>
      <c r="AC81" s="30">
        <v>38</v>
      </c>
      <c r="AD81" s="9"/>
      <c r="AE81" s="80">
        <v>0</v>
      </c>
      <c r="AF81" s="46"/>
      <c r="AG81" s="88">
        <v>290</v>
      </c>
      <c r="AH81" s="47"/>
      <c r="AJ81" s="83">
        <v>297147</v>
      </c>
      <c r="AL81" s="83">
        <v>79409</v>
      </c>
      <c r="AN81" s="83">
        <v>11722</v>
      </c>
      <c r="AP81" s="83">
        <v>56904</v>
      </c>
      <c r="AR81" s="83">
        <v>0</v>
      </c>
      <c r="AT81" s="204">
        <v>445182</v>
      </c>
      <c r="AV81" s="46">
        <v>139</v>
      </c>
      <c r="AX81" s="46">
        <v>39</v>
      </c>
      <c r="AZ81" s="46">
        <v>6</v>
      </c>
      <c r="BB81" s="46">
        <v>31</v>
      </c>
      <c r="BD81" s="46">
        <v>0</v>
      </c>
      <c r="BF81" s="209">
        <v>290</v>
      </c>
      <c r="BI81" s="83">
        <v>71320</v>
      </c>
      <c r="BK81" s="83">
        <v>294</v>
      </c>
      <c r="BM81" s="83">
        <v>3233</v>
      </c>
      <c r="BO81" s="83">
        <v>8870</v>
      </c>
      <c r="BQ81" s="83">
        <v>0</v>
      </c>
      <c r="BS81" s="85">
        <v>83717</v>
      </c>
      <c r="BU81" s="46">
        <v>53</v>
      </c>
      <c r="BW81" s="46">
        <v>1</v>
      </c>
      <c r="BY81" s="46">
        <v>14</v>
      </c>
      <c r="CA81" s="46">
        <v>7</v>
      </c>
      <c r="CC81" s="46">
        <v>0</v>
      </c>
      <c r="CE81" s="209">
        <v>75</v>
      </c>
      <c r="CH81" s="41">
        <v>8097330</v>
      </c>
      <c r="CJ81" s="41">
        <v>1906294</v>
      </c>
      <c r="CL81" s="41">
        <v>372096</v>
      </c>
      <c r="CN81" s="41">
        <v>2072747</v>
      </c>
      <c r="CP81" s="43">
        <v>12448467</v>
      </c>
      <c r="CS81" s="39">
        <v>21.9757</v>
      </c>
      <c r="CU81" s="39">
        <v>23.9175</v>
      </c>
      <c r="CW81" s="39">
        <v>1.0098</v>
      </c>
      <c r="CY81" s="39">
        <v>31.513200000000001</v>
      </c>
      <c r="DA81" s="44">
        <v>23.5366</v>
      </c>
      <c r="DC81" s="1" t="str">
        <f t="shared" si="1"/>
        <v>No</v>
      </c>
    </row>
    <row r="82" spans="1:107">
      <c r="A82" s="7" t="s">
        <v>64</v>
      </c>
      <c r="B82" s="7" t="s">
        <v>196</v>
      </c>
      <c r="C82" s="37" t="s">
        <v>63</v>
      </c>
      <c r="D82" s="296">
        <v>2122</v>
      </c>
      <c r="E82" s="297">
        <v>20122</v>
      </c>
      <c r="F82" s="27" t="s">
        <v>173</v>
      </c>
      <c r="G82" s="27" t="s">
        <v>158</v>
      </c>
      <c r="H82" s="35">
        <v>18351295</v>
      </c>
      <c r="I82" s="35">
        <v>225</v>
      </c>
      <c r="J82" s="292"/>
      <c r="K82" s="8">
        <v>268000</v>
      </c>
      <c r="L82" s="8"/>
      <c r="M82" s="8">
        <v>108233</v>
      </c>
      <c r="N82" s="9"/>
      <c r="O82" s="8">
        <v>0</v>
      </c>
      <c r="P82" s="9"/>
      <c r="Q82" s="8">
        <v>50601</v>
      </c>
      <c r="R82" s="9"/>
      <c r="S82" s="8">
        <v>0</v>
      </c>
      <c r="T82" s="9"/>
      <c r="U82" s="33">
        <v>426834</v>
      </c>
      <c r="V82" s="9"/>
      <c r="W82" s="30">
        <v>172</v>
      </c>
      <c r="X82" s="9"/>
      <c r="Y82" s="30">
        <v>52</v>
      </c>
      <c r="Z82" s="9"/>
      <c r="AA82" s="30">
        <v>0</v>
      </c>
      <c r="AB82" s="9"/>
      <c r="AC82" s="30">
        <v>25</v>
      </c>
      <c r="AD82" s="9"/>
      <c r="AE82" s="80">
        <v>0</v>
      </c>
      <c r="AF82" s="46"/>
      <c r="AG82" s="88">
        <v>249</v>
      </c>
      <c r="AH82" s="47"/>
      <c r="AJ82" s="83">
        <v>268000</v>
      </c>
      <c r="AL82" s="83">
        <v>108233</v>
      </c>
      <c r="AN82" s="83">
        <v>0</v>
      </c>
      <c r="AP82" s="83">
        <v>50601</v>
      </c>
      <c r="AR82" s="83">
        <v>0</v>
      </c>
      <c r="AT82" s="204">
        <v>426834</v>
      </c>
      <c r="AV82" s="46">
        <v>172</v>
      </c>
      <c r="AX82" s="46">
        <v>52</v>
      </c>
      <c r="AZ82" s="46">
        <v>0</v>
      </c>
      <c r="BB82" s="46">
        <v>25</v>
      </c>
      <c r="BD82" s="46">
        <v>0</v>
      </c>
      <c r="BF82" s="209">
        <v>249</v>
      </c>
      <c r="BI82" s="83">
        <v>0</v>
      </c>
      <c r="BK82" s="83">
        <v>0</v>
      </c>
      <c r="BM82" s="83">
        <v>0</v>
      </c>
      <c r="BO82" s="83">
        <v>0</v>
      </c>
      <c r="BQ82" s="83">
        <v>0</v>
      </c>
      <c r="BS82" s="85">
        <v>0</v>
      </c>
      <c r="BU82" s="46">
        <v>0</v>
      </c>
      <c r="BW82" s="46">
        <v>0</v>
      </c>
      <c r="BY82" s="46">
        <v>0</v>
      </c>
      <c r="CA82" s="46">
        <v>0</v>
      </c>
      <c r="CC82" s="46">
        <v>0</v>
      </c>
      <c r="CE82" s="209">
        <v>0</v>
      </c>
      <c r="CH82" s="41">
        <v>7607488</v>
      </c>
      <c r="CJ82" s="41">
        <v>2381140</v>
      </c>
      <c r="CL82" s="41">
        <v>0</v>
      </c>
      <c r="CN82" s="41">
        <v>1214433</v>
      </c>
      <c r="CP82" s="43">
        <v>11203061</v>
      </c>
      <c r="CS82" s="39">
        <v>28.386099999999999</v>
      </c>
      <c r="CU82" s="39">
        <v>22.0001</v>
      </c>
      <c r="CW82" s="39">
        <v>0</v>
      </c>
      <c r="CY82" s="39">
        <v>24.0002</v>
      </c>
      <c r="DA82" s="44">
        <v>26.2469</v>
      </c>
      <c r="DC82" s="1" t="str">
        <f t="shared" si="1"/>
        <v>No</v>
      </c>
    </row>
    <row r="83" spans="1:107">
      <c r="A83" s="7" t="s">
        <v>1121</v>
      </c>
      <c r="B83" s="7" t="s">
        <v>239</v>
      </c>
      <c r="C83" s="37" t="s">
        <v>70</v>
      </c>
      <c r="D83" s="296">
        <v>2018</v>
      </c>
      <c r="E83" s="297">
        <v>20018</v>
      </c>
      <c r="F83" s="27" t="s">
        <v>165</v>
      </c>
      <c r="G83" s="27" t="s">
        <v>158</v>
      </c>
      <c r="H83" s="35">
        <v>412317</v>
      </c>
      <c r="I83" s="35">
        <v>208</v>
      </c>
      <c r="J83" s="292"/>
      <c r="K83" s="8">
        <v>763077</v>
      </c>
      <c r="L83" s="8"/>
      <c r="M83" s="8">
        <v>206177</v>
      </c>
      <c r="N83" s="9"/>
      <c r="O83" s="8">
        <v>44663</v>
      </c>
      <c r="P83" s="9"/>
      <c r="Q83" s="8">
        <v>65611</v>
      </c>
      <c r="R83" s="9"/>
      <c r="S83" s="8">
        <v>0</v>
      </c>
      <c r="T83" s="9"/>
      <c r="U83" s="33">
        <v>1079528</v>
      </c>
      <c r="V83" s="9"/>
      <c r="W83" s="30">
        <v>705</v>
      </c>
      <c r="X83" s="9"/>
      <c r="Y83" s="30">
        <v>105</v>
      </c>
      <c r="Z83" s="9"/>
      <c r="AA83" s="30">
        <v>32</v>
      </c>
      <c r="AB83" s="9"/>
      <c r="AC83" s="30">
        <v>50</v>
      </c>
      <c r="AD83" s="9"/>
      <c r="AE83" s="80">
        <v>0</v>
      </c>
      <c r="AF83" s="46"/>
      <c r="AG83" s="88">
        <v>892</v>
      </c>
      <c r="AH83" s="47"/>
      <c r="AJ83" s="83">
        <v>678502</v>
      </c>
      <c r="AL83" s="83">
        <v>206177</v>
      </c>
      <c r="AN83" s="83">
        <v>39768</v>
      </c>
      <c r="AP83" s="83">
        <v>52460</v>
      </c>
      <c r="AR83" s="83">
        <v>0</v>
      </c>
      <c r="AT83" s="204">
        <v>976907</v>
      </c>
      <c r="AV83" s="46">
        <v>543</v>
      </c>
      <c r="AX83" s="46">
        <v>105</v>
      </c>
      <c r="AZ83" s="46">
        <v>19</v>
      </c>
      <c r="BB83" s="46">
        <v>28</v>
      </c>
      <c r="BD83" s="46">
        <v>0</v>
      </c>
      <c r="BF83" s="209">
        <v>892</v>
      </c>
      <c r="BI83" s="83">
        <v>84575</v>
      </c>
      <c r="BK83" s="83">
        <v>0</v>
      </c>
      <c r="BM83" s="83">
        <v>4895</v>
      </c>
      <c r="BO83" s="83">
        <v>13151</v>
      </c>
      <c r="BQ83" s="83">
        <v>0</v>
      </c>
      <c r="BS83" s="85">
        <v>102621</v>
      </c>
      <c r="BU83" s="46">
        <v>162</v>
      </c>
      <c r="BW83" s="46">
        <v>0</v>
      </c>
      <c r="BY83" s="46">
        <v>13</v>
      </c>
      <c r="CA83" s="46">
        <v>22</v>
      </c>
      <c r="CC83" s="46">
        <v>0</v>
      </c>
      <c r="CE83" s="209">
        <v>197</v>
      </c>
      <c r="CH83" s="41">
        <v>16519651</v>
      </c>
      <c r="CJ83" s="41">
        <v>4820128</v>
      </c>
      <c r="CL83" s="41">
        <v>1017827</v>
      </c>
      <c r="CN83" s="41">
        <v>1987074</v>
      </c>
      <c r="CP83" s="43">
        <v>24344680</v>
      </c>
      <c r="CS83" s="39">
        <v>21.648700000000002</v>
      </c>
      <c r="CU83" s="39">
        <v>23.378599999999999</v>
      </c>
      <c r="CW83" s="39">
        <v>1.3338000000000001</v>
      </c>
      <c r="CY83" s="39">
        <v>30.285699999999999</v>
      </c>
      <c r="DA83" s="44">
        <v>22.551200000000001</v>
      </c>
      <c r="DC83" s="1" t="str">
        <f t="shared" si="1"/>
        <v>No</v>
      </c>
    </row>
    <row r="84" spans="1:107">
      <c r="A84" s="7" t="s">
        <v>1122</v>
      </c>
      <c r="B84" s="7" t="s">
        <v>474</v>
      </c>
      <c r="C84" s="37" t="s">
        <v>73</v>
      </c>
      <c r="D84" s="296">
        <v>5010</v>
      </c>
      <c r="E84" s="297">
        <v>50010</v>
      </c>
      <c r="F84" s="27" t="s">
        <v>165</v>
      </c>
      <c r="G84" s="27" t="s">
        <v>158</v>
      </c>
      <c r="H84" s="35">
        <v>569499</v>
      </c>
      <c r="I84" s="35">
        <v>208</v>
      </c>
      <c r="J84" s="292"/>
      <c r="K84" s="8">
        <v>579725</v>
      </c>
      <c r="L84" s="8"/>
      <c r="M84" s="8">
        <v>120996</v>
      </c>
      <c r="N84" s="9"/>
      <c r="O84" s="8">
        <v>4616</v>
      </c>
      <c r="P84" s="9"/>
      <c r="Q84" s="8">
        <v>112658</v>
      </c>
      <c r="R84" s="9"/>
      <c r="S84" s="8">
        <v>0</v>
      </c>
      <c r="T84" s="9"/>
      <c r="U84" s="33">
        <v>817995</v>
      </c>
      <c r="V84" s="9"/>
      <c r="W84" s="30">
        <v>290.01</v>
      </c>
      <c r="X84" s="9"/>
      <c r="Y84" s="30">
        <v>58.15</v>
      </c>
      <c r="Z84" s="9"/>
      <c r="AA84" s="30">
        <v>2.96</v>
      </c>
      <c r="AB84" s="9"/>
      <c r="AC84" s="30">
        <v>57.79</v>
      </c>
      <c r="AD84" s="9"/>
      <c r="AE84" s="80">
        <v>0</v>
      </c>
      <c r="AF84" s="46"/>
      <c r="AG84" s="88">
        <v>408.91</v>
      </c>
      <c r="AH84" s="47"/>
      <c r="AJ84" s="83">
        <v>515427</v>
      </c>
      <c r="AL84" s="83">
        <v>120996</v>
      </c>
      <c r="AN84" s="83">
        <v>4616</v>
      </c>
      <c r="AP84" s="83">
        <v>108130</v>
      </c>
      <c r="AR84" s="83">
        <v>0</v>
      </c>
      <c r="AT84" s="204">
        <v>749169</v>
      </c>
      <c r="AV84" s="46">
        <v>249.01</v>
      </c>
      <c r="AX84" s="46">
        <v>58.15</v>
      </c>
      <c r="AZ84" s="46">
        <v>2.96</v>
      </c>
      <c r="BB84" s="46">
        <v>54.03</v>
      </c>
      <c r="BD84" s="46">
        <v>0</v>
      </c>
      <c r="BF84" s="209">
        <v>408.91</v>
      </c>
      <c r="BI84" s="83">
        <v>64298</v>
      </c>
      <c r="BK84" s="83">
        <v>0</v>
      </c>
      <c r="BM84" s="83">
        <v>0</v>
      </c>
      <c r="BO84" s="83">
        <v>4528</v>
      </c>
      <c r="BQ84" s="83">
        <v>0</v>
      </c>
      <c r="BS84" s="85">
        <v>68826</v>
      </c>
      <c r="BU84" s="46">
        <v>41</v>
      </c>
      <c r="BW84" s="46">
        <v>0</v>
      </c>
      <c r="BY84" s="46">
        <v>0</v>
      </c>
      <c r="CA84" s="46">
        <v>3.76</v>
      </c>
      <c r="CC84" s="46">
        <v>0</v>
      </c>
      <c r="CE84" s="209">
        <v>44.76</v>
      </c>
      <c r="CH84" s="41">
        <v>15550016</v>
      </c>
      <c r="CJ84" s="41">
        <v>3419291</v>
      </c>
      <c r="CL84" s="41">
        <v>106144</v>
      </c>
      <c r="CN84" s="41">
        <v>3010901</v>
      </c>
      <c r="CP84" s="43">
        <v>22086352</v>
      </c>
      <c r="CS84" s="39">
        <v>26.8231</v>
      </c>
      <c r="CU84" s="39">
        <v>28.259499999999999</v>
      </c>
      <c r="CW84" s="39">
        <v>0.18310000000000001</v>
      </c>
      <c r="CY84" s="39">
        <v>26.725999999999999</v>
      </c>
      <c r="DA84" s="44">
        <v>27.000599999999999</v>
      </c>
      <c r="DC84" s="1" t="str">
        <f t="shared" si="1"/>
        <v>No</v>
      </c>
    </row>
    <row r="85" spans="1:107">
      <c r="A85" s="7" t="s">
        <v>227</v>
      </c>
      <c r="B85" s="7" t="s">
        <v>228</v>
      </c>
      <c r="C85" s="37" t="s">
        <v>52</v>
      </c>
      <c r="D85" s="296">
        <v>5148</v>
      </c>
      <c r="E85" s="297">
        <v>50148</v>
      </c>
      <c r="F85" s="27" t="s">
        <v>165</v>
      </c>
      <c r="G85" s="27" t="s">
        <v>158</v>
      </c>
      <c r="H85" s="35">
        <v>87106</v>
      </c>
      <c r="I85" s="35">
        <v>205</v>
      </c>
      <c r="J85" s="292"/>
      <c r="K85" s="8">
        <v>151900</v>
      </c>
      <c r="L85" s="8"/>
      <c r="M85" s="8">
        <v>35627</v>
      </c>
      <c r="N85" s="9"/>
      <c r="O85" s="8">
        <v>9128</v>
      </c>
      <c r="P85" s="9"/>
      <c r="Q85" s="8">
        <v>10861</v>
      </c>
      <c r="R85" s="9"/>
      <c r="S85" s="8">
        <v>0</v>
      </c>
      <c r="T85" s="9"/>
      <c r="U85" s="33">
        <v>207516</v>
      </c>
      <c r="V85" s="9"/>
      <c r="W85" s="30">
        <v>108.04</v>
      </c>
      <c r="X85" s="9"/>
      <c r="Y85" s="30">
        <v>20.98</v>
      </c>
      <c r="Z85" s="9"/>
      <c r="AA85" s="30">
        <v>6</v>
      </c>
      <c r="AB85" s="9"/>
      <c r="AC85" s="30">
        <v>6</v>
      </c>
      <c r="AD85" s="9"/>
      <c r="AE85" s="80">
        <v>0</v>
      </c>
      <c r="AF85" s="46"/>
      <c r="AG85" s="88">
        <v>141.02000000000001</v>
      </c>
      <c r="AH85" s="47"/>
      <c r="AJ85" s="83">
        <v>74533</v>
      </c>
      <c r="AL85" s="83">
        <v>21797</v>
      </c>
      <c r="AN85" s="83">
        <v>8086</v>
      </c>
      <c r="AP85" s="83">
        <v>10861</v>
      </c>
      <c r="AR85" s="83">
        <v>0</v>
      </c>
      <c r="AT85" s="204">
        <v>115277</v>
      </c>
      <c r="AV85" s="46">
        <v>38.979999999999997</v>
      </c>
      <c r="AX85" s="46">
        <v>11.99</v>
      </c>
      <c r="AZ85" s="46">
        <v>4.03</v>
      </c>
      <c r="BB85" s="46">
        <v>6</v>
      </c>
      <c r="BD85" s="46">
        <v>0</v>
      </c>
      <c r="BF85" s="209">
        <v>141.02000000000001</v>
      </c>
      <c r="BI85" s="83">
        <v>77367</v>
      </c>
      <c r="BK85" s="83">
        <v>13830</v>
      </c>
      <c r="BM85" s="83">
        <v>1042</v>
      </c>
      <c r="BO85" s="83">
        <v>0</v>
      </c>
      <c r="BQ85" s="83">
        <v>0</v>
      </c>
      <c r="BS85" s="85">
        <v>92239</v>
      </c>
      <c r="BU85" s="46">
        <v>69.06</v>
      </c>
      <c r="BW85" s="46">
        <v>8.99</v>
      </c>
      <c r="BY85" s="46">
        <v>1.97</v>
      </c>
      <c r="CA85" s="46">
        <v>0</v>
      </c>
      <c r="CC85" s="46">
        <v>0</v>
      </c>
      <c r="CE85" s="209">
        <v>80.02</v>
      </c>
      <c r="CH85" s="41">
        <v>2713362</v>
      </c>
      <c r="CJ85" s="41">
        <v>709320</v>
      </c>
      <c r="CL85" s="41">
        <v>181786</v>
      </c>
      <c r="CN85" s="41">
        <v>566148</v>
      </c>
      <c r="CP85" s="43">
        <v>4170616</v>
      </c>
      <c r="CS85" s="39">
        <v>17.8628</v>
      </c>
      <c r="CU85" s="39">
        <v>19.909600000000001</v>
      </c>
      <c r="CW85" s="39">
        <v>1.1967000000000001</v>
      </c>
      <c r="CY85" s="39">
        <v>52.1267</v>
      </c>
      <c r="DA85" s="44">
        <v>20.097799999999999</v>
      </c>
      <c r="DC85" s="1" t="str">
        <f t="shared" si="1"/>
        <v>No</v>
      </c>
    </row>
    <row r="86" spans="1:107">
      <c r="A86" s="7" t="s">
        <v>1123</v>
      </c>
      <c r="B86" s="7" t="s">
        <v>469</v>
      </c>
      <c r="C86" s="37" t="s">
        <v>52</v>
      </c>
      <c r="D86" s="296">
        <v>5032</v>
      </c>
      <c r="E86" s="297">
        <v>50032</v>
      </c>
      <c r="F86" s="27" t="s">
        <v>165</v>
      </c>
      <c r="G86" s="27" t="s">
        <v>158</v>
      </c>
      <c r="H86" s="35">
        <v>356218</v>
      </c>
      <c r="I86" s="35">
        <v>202</v>
      </c>
      <c r="J86" s="292"/>
      <c r="K86" s="8">
        <v>662826</v>
      </c>
      <c r="L86" s="8"/>
      <c r="M86" s="8">
        <v>90894</v>
      </c>
      <c r="N86" s="9"/>
      <c r="O86" s="8">
        <v>25316</v>
      </c>
      <c r="P86" s="9"/>
      <c r="Q86" s="8">
        <v>80787</v>
      </c>
      <c r="R86" s="9"/>
      <c r="S86" s="8">
        <v>344</v>
      </c>
      <c r="T86" s="9"/>
      <c r="U86" s="33">
        <v>860167</v>
      </c>
      <c r="V86" s="9"/>
      <c r="W86" s="30">
        <v>428</v>
      </c>
      <c r="X86" s="9"/>
      <c r="Y86" s="30">
        <v>46.6</v>
      </c>
      <c r="Z86" s="9"/>
      <c r="AA86" s="30">
        <v>15.9</v>
      </c>
      <c r="AB86" s="9"/>
      <c r="AC86" s="30">
        <v>52.8</v>
      </c>
      <c r="AD86" s="9"/>
      <c r="AE86" s="80">
        <v>0.2</v>
      </c>
      <c r="AF86" s="46"/>
      <c r="AG86" s="88">
        <v>543.5</v>
      </c>
      <c r="AH86" s="47"/>
      <c r="AJ86" s="83">
        <v>478441</v>
      </c>
      <c r="AL86" s="83">
        <v>90894</v>
      </c>
      <c r="AN86" s="83">
        <v>25316</v>
      </c>
      <c r="AP86" s="83">
        <v>70592</v>
      </c>
      <c r="AR86" s="83">
        <v>344</v>
      </c>
      <c r="AT86" s="204">
        <v>665587</v>
      </c>
      <c r="AV86" s="46">
        <v>260</v>
      </c>
      <c r="AX86" s="46">
        <v>46.6</v>
      </c>
      <c r="AZ86" s="46">
        <v>15.9</v>
      </c>
      <c r="BB86" s="46">
        <v>43.8</v>
      </c>
      <c r="BD86" s="46">
        <v>0.2</v>
      </c>
      <c r="BF86" s="209">
        <v>543.5</v>
      </c>
      <c r="BI86" s="83">
        <v>184385</v>
      </c>
      <c r="BK86" s="83">
        <v>0</v>
      </c>
      <c r="BM86" s="83">
        <v>0</v>
      </c>
      <c r="BO86" s="83">
        <v>10195</v>
      </c>
      <c r="BQ86" s="83">
        <v>0</v>
      </c>
      <c r="BS86" s="85">
        <v>194580</v>
      </c>
      <c r="BU86" s="46">
        <v>168</v>
      </c>
      <c r="BW86" s="46">
        <v>0</v>
      </c>
      <c r="BY86" s="46">
        <v>0</v>
      </c>
      <c r="CA86" s="46">
        <v>9</v>
      </c>
      <c r="CC86" s="46">
        <v>0</v>
      </c>
      <c r="CE86" s="209">
        <v>177</v>
      </c>
      <c r="CH86" s="41">
        <v>8993178</v>
      </c>
      <c r="CJ86" s="41">
        <v>2055277</v>
      </c>
      <c r="CL86" s="41">
        <v>423712</v>
      </c>
      <c r="CN86" s="41">
        <v>2330090</v>
      </c>
      <c r="CP86" s="43">
        <v>13802257</v>
      </c>
      <c r="CS86" s="39">
        <v>13.5679</v>
      </c>
      <c r="CU86" s="39">
        <v>22.611799999999999</v>
      </c>
      <c r="CW86" s="39">
        <v>0.63929999999999998</v>
      </c>
      <c r="CY86" s="39">
        <v>28.842400000000001</v>
      </c>
      <c r="DA86" s="44">
        <v>16.045999999999999</v>
      </c>
      <c r="DC86" s="1" t="str">
        <f t="shared" si="1"/>
        <v>No</v>
      </c>
    </row>
    <row r="87" spans="1:107">
      <c r="A87" s="7" t="s">
        <v>417</v>
      </c>
      <c r="B87" s="7" t="s">
        <v>418</v>
      </c>
      <c r="C87" s="37" t="s">
        <v>42</v>
      </c>
      <c r="D87" s="296">
        <v>5050</v>
      </c>
      <c r="E87" s="297">
        <v>50050</v>
      </c>
      <c r="F87" s="27" t="s">
        <v>165</v>
      </c>
      <c r="G87" s="27" t="s">
        <v>158</v>
      </c>
      <c r="H87" s="35">
        <v>1487483</v>
      </c>
      <c r="I87" s="35">
        <v>202</v>
      </c>
      <c r="J87" s="292"/>
      <c r="K87" s="8">
        <v>732394</v>
      </c>
      <c r="L87" s="8"/>
      <c r="M87" s="8">
        <v>121225</v>
      </c>
      <c r="N87" s="9"/>
      <c r="O87" s="8">
        <v>76262</v>
      </c>
      <c r="P87" s="9"/>
      <c r="Q87" s="8">
        <v>90565</v>
      </c>
      <c r="R87" s="9"/>
      <c r="S87" s="8">
        <v>0</v>
      </c>
      <c r="T87" s="9"/>
      <c r="U87" s="33">
        <v>1020446</v>
      </c>
      <c r="V87" s="9"/>
      <c r="W87" s="30">
        <v>388</v>
      </c>
      <c r="X87" s="9"/>
      <c r="Y87" s="30">
        <v>59</v>
      </c>
      <c r="Z87" s="9"/>
      <c r="AA87" s="30">
        <v>38</v>
      </c>
      <c r="AB87" s="9"/>
      <c r="AC87" s="30">
        <v>55</v>
      </c>
      <c r="AD87" s="9"/>
      <c r="AE87" s="80">
        <v>0</v>
      </c>
      <c r="AF87" s="46"/>
      <c r="AG87" s="88">
        <v>540</v>
      </c>
      <c r="AH87" s="47"/>
      <c r="AJ87" s="83">
        <v>730042</v>
      </c>
      <c r="AL87" s="83">
        <v>121225</v>
      </c>
      <c r="AN87" s="83">
        <v>74803</v>
      </c>
      <c r="AP87" s="83">
        <v>87385</v>
      </c>
      <c r="AR87" s="83">
        <v>0</v>
      </c>
      <c r="AT87" s="204">
        <v>1013455</v>
      </c>
      <c r="AV87" s="46">
        <v>386</v>
      </c>
      <c r="AX87" s="46">
        <v>59</v>
      </c>
      <c r="AZ87" s="46">
        <v>37</v>
      </c>
      <c r="BB87" s="46">
        <v>52</v>
      </c>
      <c r="BD87" s="46">
        <v>0</v>
      </c>
      <c r="BF87" s="209">
        <v>540</v>
      </c>
      <c r="BI87" s="83">
        <v>2352</v>
      </c>
      <c r="BK87" s="83">
        <v>0</v>
      </c>
      <c r="BM87" s="83">
        <v>1459</v>
      </c>
      <c r="BO87" s="83">
        <v>3180</v>
      </c>
      <c r="BQ87" s="83">
        <v>0</v>
      </c>
      <c r="BS87" s="85">
        <v>6991</v>
      </c>
      <c r="BU87" s="46">
        <v>2</v>
      </c>
      <c r="BW87" s="46">
        <v>0</v>
      </c>
      <c r="BY87" s="46">
        <v>1</v>
      </c>
      <c r="CA87" s="46">
        <v>3</v>
      </c>
      <c r="CC87" s="46">
        <v>0</v>
      </c>
      <c r="CE87" s="209">
        <v>6</v>
      </c>
      <c r="CH87" s="41">
        <v>16803677</v>
      </c>
      <c r="CJ87" s="41">
        <v>3522034</v>
      </c>
      <c r="CL87" s="41">
        <v>1218179</v>
      </c>
      <c r="CN87" s="41">
        <v>2814507</v>
      </c>
      <c r="CP87" s="43">
        <v>24358397</v>
      </c>
      <c r="CS87" s="39">
        <v>22.9435</v>
      </c>
      <c r="CU87" s="39">
        <v>29.053699999999999</v>
      </c>
      <c r="CW87" s="39">
        <v>1.6633</v>
      </c>
      <c r="CY87" s="39">
        <v>31.077200000000001</v>
      </c>
      <c r="DA87" s="44">
        <v>23.8703</v>
      </c>
      <c r="DC87" s="1" t="str">
        <f t="shared" si="1"/>
        <v>No</v>
      </c>
    </row>
    <row r="88" spans="1:107">
      <c r="A88" s="7" t="s">
        <v>410</v>
      </c>
      <c r="B88" s="7" t="s">
        <v>411</v>
      </c>
      <c r="C88" s="37" t="s">
        <v>32</v>
      </c>
      <c r="D88" s="296">
        <v>4041</v>
      </c>
      <c r="E88" s="297">
        <v>40041</v>
      </c>
      <c r="F88" s="27" t="s">
        <v>165</v>
      </c>
      <c r="G88" s="27" t="s">
        <v>158</v>
      </c>
      <c r="H88" s="35">
        <v>2441770</v>
      </c>
      <c r="I88" s="35">
        <v>201</v>
      </c>
      <c r="J88" s="292"/>
      <c r="K88" s="8">
        <v>1033636</v>
      </c>
      <c r="L88" s="8"/>
      <c r="M88" s="8">
        <v>187503</v>
      </c>
      <c r="N88" s="9"/>
      <c r="O88" s="8">
        <v>117627</v>
      </c>
      <c r="P88" s="9"/>
      <c r="Q88" s="8">
        <v>188058</v>
      </c>
      <c r="R88" s="9"/>
      <c r="S88" s="8">
        <v>29873</v>
      </c>
      <c r="T88" s="9"/>
      <c r="U88" s="33">
        <v>1556697</v>
      </c>
      <c r="V88" s="9"/>
      <c r="W88" s="30">
        <v>545</v>
      </c>
      <c r="X88" s="9"/>
      <c r="Y88" s="30">
        <v>112</v>
      </c>
      <c r="Z88" s="9"/>
      <c r="AA88" s="30">
        <v>63</v>
      </c>
      <c r="AB88" s="9"/>
      <c r="AC88" s="30">
        <v>147</v>
      </c>
      <c r="AD88" s="9"/>
      <c r="AE88" s="80">
        <v>15</v>
      </c>
      <c r="AF88" s="46"/>
      <c r="AG88" s="88">
        <v>882</v>
      </c>
      <c r="AH88" s="47"/>
      <c r="AJ88" s="83">
        <v>1025112</v>
      </c>
      <c r="AL88" s="83">
        <v>185798</v>
      </c>
      <c r="AN88" s="83">
        <v>115727</v>
      </c>
      <c r="AP88" s="83">
        <v>185535</v>
      </c>
      <c r="AR88" s="83">
        <v>29873</v>
      </c>
      <c r="AT88" s="204">
        <v>1542045</v>
      </c>
      <c r="AV88" s="46">
        <v>536</v>
      </c>
      <c r="AX88" s="46">
        <v>110</v>
      </c>
      <c r="AZ88" s="46">
        <v>60</v>
      </c>
      <c r="BB88" s="46">
        <v>108</v>
      </c>
      <c r="BD88" s="46">
        <v>15</v>
      </c>
      <c r="BF88" s="209">
        <v>882</v>
      </c>
      <c r="BI88" s="83">
        <v>8524</v>
      </c>
      <c r="BK88" s="83">
        <v>1705</v>
      </c>
      <c r="BM88" s="83">
        <v>1900</v>
      </c>
      <c r="BO88" s="83">
        <v>2523</v>
      </c>
      <c r="BQ88" s="83">
        <v>0</v>
      </c>
      <c r="BS88" s="85">
        <v>14652</v>
      </c>
      <c r="BU88" s="46">
        <v>9</v>
      </c>
      <c r="BW88" s="46">
        <v>2</v>
      </c>
      <c r="BY88" s="46">
        <v>3</v>
      </c>
      <c r="CA88" s="46">
        <v>39</v>
      </c>
      <c r="CC88" s="46">
        <v>0</v>
      </c>
      <c r="CE88" s="209">
        <v>53</v>
      </c>
      <c r="CH88" s="41">
        <v>20414919</v>
      </c>
      <c r="CJ88" s="41">
        <v>4109785</v>
      </c>
      <c r="CL88" s="41">
        <v>2147609</v>
      </c>
      <c r="CN88" s="41">
        <v>7414767</v>
      </c>
      <c r="CP88" s="43">
        <v>34087080</v>
      </c>
      <c r="CS88" s="39">
        <v>19.750599999999999</v>
      </c>
      <c r="CU88" s="39">
        <v>21.918500000000002</v>
      </c>
      <c r="CW88" s="39">
        <v>2.0777000000000001</v>
      </c>
      <c r="CY88" s="39">
        <v>39.428100000000001</v>
      </c>
      <c r="DA88" s="44">
        <v>21.897099999999998</v>
      </c>
      <c r="DC88" s="1" t="str">
        <f t="shared" si="1"/>
        <v>No</v>
      </c>
    </row>
    <row r="89" spans="1:107">
      <c r="A89" s="7" t="s">
        <v>451</v>
      </c>
      <c r="B89" s="7" t="s">
        <v>306</v>
      </c>
      <c r="C89" s="37" t="s">
        <v>17</v>
      </c>
      <c r="D89" s="296">
        <v>9023</v>
      </c>
      <c r="E89" s="297">
        <v>90023</v>
      </c>
      <c r="F89" s="27" t="s">
        <v>401</v>
      </c>
      <c r="G89" s="27" t="s">
        <v>158</v>
      </c>
      <c r="H89" s="35">
        <v>12150996</v>
      </c>
      <c r="I89" s="35">
        <v>197</v>
      </c>
      <c r="J89" s="292"/>
      <c r="K89" s="8">
        <v>956459</v>
      </c>
      <c r="L89" s="8"/>
      <c r="M89" s="8">
        <v>217109</v>
      </c>
      <c r="N89" s="9"/>
      <c r="O89" s="8">
        <v>54103</v>
      </c>
      <c r="P89" s="9"/>
      <c r="Q89" s="8">
        <v>146853</v>
      </c>
      <c r="R89" s="9"/>
      <c r="S89" s="8">
        <v>0</v>
      </c>
      <c r="T89" s="9"/>
      <c r="U89" s="33">
        <v>1374524</v>
      </c>
      <c r="V89" s="9"/>
      <c r="W89" s="30">
        <v>521</v>
      </c>
      <c r="X89" s="9"/>
      <c r="Y89" s="30">
        <v>113</v>
      </c>
      <c r="Z89" s="9"/>
      <c r="AA89" s="30">
        <v>28</v>
      </c>
      <c r="AB89" s="9"/>
      <c r="AC89" s="30">
        <v>83</v>
      </c>
      <c r="AD89" s="9"/>
      <c r="AE89" s="80">
        <v>0</v>
      </c>
      <c r="AF89" s="46"/>
      <c r="AG89" s="88">
        <v>745</v>
      </c>
      <c r="AH89" s="47"/>
      <c r="AJ89" s="83">
        <v>945607</v>
      </c>
      <c r="AL89" s="83">
        <v>215183</v>
      </c>
      <c r="AN89" s="83">
        <v>54103</v>
      </c>
      <c r="AP89" s="83">
        <v>138694</v>
      </c>
      <c r="AR89" s="83">
        <v>0</v>
      </c>
      <c r="AT89" s="204">
        <v>1353587</v>
      </c>
      <c r="AV89" s="46">
        <v>514</v>
      </c>
      <c r="AX89" s="46">
        <v>111</v>
      </c>
      <c r="AZ89" s="46">
        <v>28</v>
      </c>
      <c r="BB89" s="46">
        <v>75</v>
      </c>
      <c r="BD89" s="46">
        <v>0</v>
      </c>
      <c r="BF89" s="209">
        <v>745</v>
      </c>
      <c r="BI89" s="83">
        <v>10852</v>
      </c>
      <c r="BK89" s="83">
        <v>1926</v>
      </c>
      <c r="BM89" s="83">
        <v>0</v>
      </c>
      <c r="BO89" s="83">
        <v>8159</v>
      </c>
      <c r="BQ89" s="83">
        <v>0</v>
      </c>
      <c r="BS89" s="85">
        <v>20937</v>
      </c>
      <c r="BU89" s="46">
        <v>7</v>
      </c>
      <c r="BW89" s="46">
        <v>2</v>
      </c>
      <c r="BY89" s="46">
        <v>0</v>
      </c>
      <c r="CA89" s="46">
        <v>8</v>
      </c>
      <c r="CC89" s="46">
        <v>0</v>
      </c>
      <c r="CE89" s="209">
        <v>17</v>
      </c>
      <c r="CH89" s="41">
        <v>26068269</v>
      </c>
      <c r="CJ89" s="41">
        <v>6555125</v>
      </c>
      <c r="CL89" s="41">
        <v>1284760</v>
      </c>
      <c r="CN89" s="41">
        <v>4969168</v>
      </c>
      <c r="CP89" s="43">
        <v>38877322</v>
      </c>
      <c r="CS89" s="39">
        <v>27.254999999999999</v>
      </c>
      <c r="CU89" s="39">
        <v>30.192799999999998</v>
      </c>
      <c r="CW89" s="39">
        <v>1.3431999999999999</v>
      </c>
      <c r="CY89" s="39">
        <v>33.837699999999998</v>
      </c>
      <c r="DA89" s="44">
        <v>28.284199999999998</v>
      </c>
      <c r="DC89" s="1" t="str">
        <f t="shared" si="1"/>
        <v>No</v>
      </c>
    </row>
    <row r="90" spans="1:107">
      <c r="A90" s="7" t="s">
        <v>633</v>
      </c>
      <c r="B90" s="7" t="s">
        <v>634</v>
      </c>
      <c r="C90" s="37" t="s">
        <v>69</v>
      </c>
      <c r="D90" s="296">
        <v>6019</v>
      </c>
      <c r="E90" s="297">
        <v>60019</v>
      </c>
      <c r="F90" s="27" t="s">
        <v>162</v>
      </c>
      <c r="G90" s="27" t="s">
        <v>158</v>
      </c>
      <c r="H90" s="35">
        <v>741318</v>
      </c>
      <c r="I90" s="35">
        <v>193</v>
      </c>
      <c r="J90" s="292"/>
      <c r="K90" s="8">
        <v>756129</v>
      </c>
      <c r="L90" s="8"/>
      <c r="M90" s="8">
        <v>169337</v>
      </c>
      <c r="N90" s="9"/>
      <c r="O90" s="8">
        <v>24484</v>
      </c>
      <c r="P90" s="9"/>
      <c r="Q90" s="8">
        <v>82468</v>
      </c>
      <c r="R90" s="9"/>
      <c r="S90" s="8">
        <v>0</v>
      </c>
      <c r="T90" s="9"/>
      <c r="U90" s="33">
        <v>1032418</v>
      </c>
      <c r="V90" s="9"/>
      <c r="W90" s="30">
        <v>352</v>
      </c>
      <c r="X90" s="9"/>
      <c r="Y90" s="30">
        <v>93</v>
      </c>
      <c r="Z90" s="9"/>
      <c r="AA90" s="30">
        <v>15</v>
      </c>
      <c r="AB90" s="9"/>
      <c r="AC90" s="30">
        <v>43</v>
      </c>
      <c r="AD90" s="9"/>
      <c r="AE90" s="80">
        <v>0</v>
      </c>
      <c r="AF90" s="46"/>
      <c r="AG90" s="88">
        <v>503</v>
      </c>
      <c r="AH90" s="47"/>
      <c r="AJ90" s="83">
        <v>756129</v>
      </c>
      <c r="AL90" s="83">
        <v>169337</v>
      </c>
      <c r="AN90" s="83">
        <v>24484</v>
      </c>
      <c r="AP90" s="83">
        <v>82468</v>
      </c>
      <c r="AR90" s="83">
        <v>0</v>
      </c>
      <c r="AT90" s="204">
        <v>1032418</v>
      </c>
      <c r="AV90" s="46">
        <v>352</v>
      </c>
      <c r="AX90" s="46">
        <v>93</v>
      </c>
      <c r="AZ90" s="46">
        <v>15</v>
      </c>
      <c r="BB90" s="46">
        <v>43</v>
      </c>
      <c r="BD90" s="46">
        <v>0</v>
      </c>
      <c r="BF90" s="209">
        <v>503</v>
      </c>
      <c r="BI90" s="83">
        <v>0</v>
      </c>
      <c r="BK90" s="83">
        <v>0</v>
      </c>
      <c r="BM90" s="83">
        <v>0</v>
      </c>
      <c r="BO90" s="83">
        <v>0</v>
      </c>
      <c r="BQ90" s="83">
        <v>0</v>
      </c>
      <c r="BS90" s="85">
        <v>0</v>
      </c>
      <c r="BU90" s="46">
        <v>0</v>
      </c>
      <c r="BW90" s="46">
        <v>0</v>
      </c>
      <c r="BY90" s="46">
        <v>0</v>
      </c>
      <c r="CA90" s="46">
        <v>0</v>
      </c>
      <c r="CC90" s="46">
        <v>0</v>
      </c>
      <c r="CE90" s="209">
        <v>0</v>
      </c>
      <c r="CH90" s="41">
        <v>13814565</v>
      </c>
      <c r="CJ90" s="41">
        <v>3648766</v>
      </c>
      <c r="CL90" s="41">
        <v>474005</v>
      </c>
      <c r="CN90" s="41">
        <v>2176049</v>
      </c>
      <c r="CP90" s="43">
        <v>20113385</v>
      </c>
      <c r="CS90" s="39">
        <v>18.270099999999999</v>
      </c>
      <c r="CU90" s="39">
        <v>21.5474</v>
      </c>
      <c r="CW90" s="39">
        <v>0.62690000000000001</v>
      </c>
      <c r="CY90" s="39">
        <v>26.386600000000001</v>
      </c>
      <c r="DA90" s="44">
        <v>19.4818</v>
      </c>
      <c r="DC90" s="1" t="str">
        <f t="shared" si="1"/>
        <v>No</v>
      </c>
    </row>
    <row r="91" spans="1:107">
      <c r="A91" s="7" t="s">
        <v>374</v>
      </c>
      <c r="B91" s="7" t="s">
        <v>375</v>
      </c>
      <c r="C91" s="37" t="s">
        <v>84</v>
      </c>
      <c r="D91" s="296">
        <v>6007</v>
      </c>
      <c r="E91" s="297">
        <v>60007</v>
      </c>
      <c r="F91" s="27" t="s">
        <v>165</v>
      </c>
      <c r="G91" s="27" t="s">
        <v>158</v>
      </c>
      <c r="H91" s="35">
        <v>5121892</v>
      </c>
      <c r="I91" s="35">
        <v>192</v>
      </c>
      <c r="J91" s="292"/>
      <c r="K91" s="8">
        <v>589930</v>
      </c>
      <c r="L91" s="8"/>
      <c r="M91" s="8">
        <v>175760</v>
      </c>
      <c r="N91" s="9"/>
      <c r="O91" s="8">
        <v>97214</v>
      </c>
      <c r="P91" s="9" t="s">
        <v>121</v>
      </c>
      <c r="Q91" s="8">
        <v>213854</v>
      </c>
      <c r="R91" s="9" t="s">
        <v>121</v>
      </c>
      <c r="S91" s="8">
        <v>0</v>
      </c>
      <c r="T91" s="9"/>
      <c r="U91" s="33">
        <v>1076758</v>
      </c>
      <c r="V91" s="9" t="s">
        <v>121</v>
      </c>
      <c r="W91" s="30">
        <v>284</v>
      </c>
      <c r="X91" s="9"/>
      <c r="Y91" s="30">
        <v>83</v>
      </c>
      <c r="Z91" s="9"/>
      <c r="AA91" s="30">
        <v>46</v>
      </c>
      <c r="AB91" s="9"/>
      <c r="AC91" s="30">
        <v>104</v>
      </c>
      <c r="AD91" s="9"/>
      <c r="AE91" s="80">
        <v>0</v>
      </c>
      <c r="AF91" s="46"/>
      <c r="AG91" s="88">
        <v>517</v>
      </c>
      <c r="AH91" s="47"/>
      <c r="AJ91" s="83">
        <v>589930</v>
      </c>
      <c r="AL91" s="83">
        <v>175760</v>
      </c>
      <c r="AN91" s="83">
        <v>97214</v>
      </c>
      <c r="AO91" s="46" t="s">
        <v>121</v>
      </c>
      <c r="AP91" s="83">
        <v>207614</v>
      </c>
      <c r="AQ91" s="46" t="s">
        <v>121</v>
      </c>
      <c r="AR91" s="83">
        <v>0</v>
      </c>
      <c r="AT91" s="204">
        <v>1070518</v>
      </c>
      <c r="AU91" s="46" t="s">
        <v>121</v>
      </c>
      <c r="AV91" s="46">
        <v>284</v>
      </c>
      <c r="AX91" s="46">
        <v>83</v>
      </c>
      <c r="AZ91" s="46">
        <v>46</v>
      </c>
      <c r="BB91" s="46">
        <v>98</v>
      </c>
      <c r="BD91" s="46">
        <v>0</v>
      </c>
      <c r="BF91" s="209">
        <v>517</v>
      </c>
      <c r="BI91" s="83">
        <v>0</v>
      </c>
      <c r="BK91" s="83">
        <v>0</v>
      </c>
      <c r="BM91" s="83">
        <v>0</v>
      </c>
      <c r="BO91" s="83">
        <v>6240</v>
      </c>
      <c r="BP91" s="46" t="s">
        <v>121</v>
      </c>
      <c r="BQ91" s="83">
        <v>0</v>
      </c>
      <c r="BS91" s="85">
        <v>6240</v>
      </c>
      <c r="BT91" s="46" t="s">
        <v>121</v>
      </c>
      <c r="BU91" s="46">
        <v>0</v>
      </c>
      <c r="BW91" s="46">
        <v>0</v>
      </c>
      <c r="BY91" s="46">
        <v>0</v>
      </c>
      <c r="CA91" s="46">
        <v>6</v>
      </c>
      <c r="CC91" s="46">
        <v>0</v>
      </c>
      <c r="CE91" s="209">
        <v>6</v>
      </c>
      <c r="CH91" s="41">
        <v>12445391</v>
      </c>
      <c r="CJ91" s="41">
        <v>4119083</v>
      </c>
      <c r="CL91" s="41">
        <v>1032064</v>
      </c>
      <c r="CM91" s="41" t="s">
        <v>121</v>
      </c>
      <c r="CN91" s="41">
        <v>3307907</v>
      </c>
      <c r="CO91" s="41" t="s">
        <v>121</v>
      </c>
      <c r="CP91" s="43">
        <v>20904445</v>
      </c>
      <c r="CQ91" s="7" t="s">
        <v>121</v>
      </c>
      <c r="CS91" s="39">
        <v>21.096399999999999</v>
      </c>
      <c r="CU91" s="39">
        <v>23.4358</v>
      </c>
      <c r="CW91" s="39">
        <v>1.7495000000000001</v>
      </c>
      <c r="CX91" s="39" t="s">
        <v>121</v>
      </c>
      <c r="CY91" s="39">
        <v>15.4681</v>
      </c>
      <c r="CZ91" s="39" t="s">
        <v>121</v>
      </c>
      <c r="DA91" s="44">
        <v>19.414200000000001</v>
      </c>
      <c r="DB91" s="7" t="s">
        <v>121</v>
      </c>
      <c r="DC91" s="1" t="str">
        <f t="shared" si="1"/>
        <v>Yes</v>
      </c>
    </row>
    <row r="92" spans="1:107">
      <c r="A92" s="7" t="s">
        <v>467</v>
      </c>
      <c r="B92" s="7" t="s">
        <v>468</v>
      </c>
      <c r="C92" s="37" t="s">
        <v>84</v>
      </c>
      <c r="D92" s="296">
        <v>6006</v>
      </c>
      <c r="E92" s="297">
        <v>60006</v>
      </c>
      <c r="F92" s="27" t="s">
        <v>162</v>
      </c>
      <c r="G92" s="27" t="s">
        <v>158</v>
      </c>
      <c r="H92" s="35">
        <v>803086</v>
      </c>
      <c r="I92" s="35">
        <v>186</v>
      </c>
      <c r="J92" s="292"/>
      <c r="K92" s="8">
        <v>931557</v>
      </c>
      <c r="L92" s="8"/>
      <c r="M92" s="8">
        <v>238689</v>
      </c>
      <c r="N92" s="9"/>
      <c r="O92" s="8">
        <v>34885</v>
      </c>
      <c r="P92" s="9"/>
      <c r="Q92" s="8">
        <v>62283</v>
      </c>
      <c r="R92" s="9"/>
      <c r="S92" s="8">
        <v>0</v>
      </c>
      <c r="T92" s="9"/>
      <c r="U92" s="33">
        <v>1267414</v>
      </c>
      <c r="V92" s="9"/>
      <c r="W92" s="30">
        <v>452.75</v>
      </c>
      <c r="X92" s="9"/>
      <c r="Y92" s="30">
        <v>130</v>
      </c>
      <c r="Z92" s="9"/>
      <c r="AA92" s="30">
        <v>19</v>
      </c>
      <c r="AB92" s="9"/>
      <c r="AC92" s="30">
        <v>40</v>
      </c>
      <c r="AD92" s="9"/>
      <c r="AE92" s="80">
        <v>0</v>
      </c>
      <c r="AF92" s="46"/>
      <c r="AG92" s="88">
        <v>641.75</v>
      </c>
      <c r="AH92" s="47"/>
      <c r="AJ92" s="83">
        <v>931557</v>
      </c>
      <c r="AL92" s="83">
        <v>238689</v>
      </c>
      <c r="AN92" s="83">
        <v>34885</v>
      </c>
      <c r="AP92" s="83">
        <v>62283</v>
      </c>
      <c r="AR92" s="83">
        <v>0</v>
      </c>
      <c r="AT92" s="204">
        <v>1267414</v>
      </c>
      <c r="AV92" s="46">
        <v>452.75</v>
      </c>
      <c r="AX92" s="46">
        <v>130</v>
      </c>
      <c r="AZ92" s="46">
        <v>19</v>
      </c>
      <c r="BB92" s="46">
        <v>40</v>
      </c>
      <c r="BD92" s="46">
        <v>0</v>
      </c>
      <c r="BF92" s="209">
        <v>641.75</v>
      </c>
      <c r="BI92" s="83">
        <v>0</v>
      </c>
      <c r="BK92" s="83">
        <v>0</v>
      </c>
      <c r="BM92" s="83">
        <v>0</v>
      </c>
      <c r="BO92" s="83">
        <v>0</v>
      </c>
      <c r="BQ92" s="83">
        <v>0</v>
      </c>
      <c r="BS92" s="85">
        <v>0</v>
      </c>
      <c r="BU92" s="46">
        <v>0</v>
      </c>
      <c r="BW92" s="46">
        <v>0</v>
      </c>
      <c r="BY92" s="46">
        <v>0</v>
      </c>
      <c r="CA92" s="46">
        <v>0</v>
      </c>
      <c r="CC92" s="46">
        <v>0</v>
      </c>
      <c r="CE92" s="209">
        <v>0</v>
      </c>
      <c r="CH92" s="41">
        <v>17742942</v>
      </c>
      <c r="CJ92" s="41">
        <v>4491223</v>
      </c>
      <c r="CL92" s="41">
        <v>629618</v>
      </c>
      <c r="CN92" s="41">
        <v>2084265</v>
      </c>
      <c r="CP92" s="43">
        <v>24948048</v>
      </c>
      <c r="CS92" s="39">
        <v>19.046500000000002</v>
      </c>
      <c r="CU92" s="39">
        <v>18.816199999999998</v>
      </c>
      <c r="CW92" s="39">
        <v>0.67589999999999995</v>
      </c>
      <c r="CY92" s="39">
        <v>33.464399999999998</v>
      </c>
      <c r="DA92" s="44">
        <v>19.684200000000001</v>
      </c>
      <c r="DC92" s="1" t="str">
        <f t="shared" si="1"/>
        <v>No</v>
      </c>
    </row>
    <row r="93" spans="1:107">
      <c r="A93" s="7" t="s">
        <v>491</v>
      </c>
      <c r="B93" s="7" t="s">
        <v>492</v>
      </c>
      <c r="C93" s="37" t="s">
        <v>73</v>
      </c>
      <c r="D93" s="296">
        <v>5017</v>
      </c>
      <c r="E93" s="297">
        <v>50017</v>
      </c>
      <c r="F93" s="27" t="s">
        <v>165</v>
      </c>
      <c r="G93" s="27" t="s">
        <v>158</v>
      </c>
      <c r="H93" s="35">
        <v>724091</v>
      </c>
      <c r="I93" s="35">
        <v>178</v>
      </c>
      <c r="J93" s="292"/>
      <c r="K93" s="8">
        <v>942860</v>
      </c>
      <c r="L93" s="8"/>
      <c r="M93" s="8">
        <v>188382</v>
      </c>
      <c r="N93" s="9"/>
      <c r="O93" s="8">
        <v>68577</v>
      </c>
      <c r="P93" s="9"/>
      <c r="Q93" s="8">
        <v>143178</v>
      </c>
      <c r="R93" s="9"/>
      <c r="S93" s="8">
        <v>4462</v>
      </c>
      <c r="T93" s="9"/>
      <c r="U93" s="33">
        <v>1347459</v>
      </c>
      <c r="V93" s="9"/>
      <c r="W93" s="30">
        <v>434.3</v>
      </c>
      <c r="X93" s="9"/>
      <c r="Y93" s="30">
        <v>90.2</v>
      </c>
      <c r="Z93" s="9"/>
      <c r="AA93" s="30">
        <v>38.299999999999997</v>
      </c>
      <c r="AB93" s="9"/>
      <c r="AC93" s="30">
        <v>79.599999999999994</v>
      </c>
      <c r="AD93" s="9"/>
      <c r="AE93" s="80">
        <v>2.5</v>
      </c>
      <c r="AF93" s="46"/>
      <c r="AG93" s="88">
        <v>644.9</v>
      </c>
      <c r="AH93" s="47"/>
      <c r="AJ93" s="83">
        <v>942860</v>
      </c>
      <c r="AL93" s="83">
        <v>188382</v>
      </c>
      <c r="AN93" s="83">
        <v>68577</v>
      </c>
      <c r="AP93" s="83">
        <v>143178</v>
      </c>
      <c r="AR93" s="83">
        <v>4462</v>
      </c>
      <c r="AT93" s="204">
        <v>1347459</v>
      </c>
      <c r="AV93" s="46">
        <v>434.3</v>
      </c>
      <c r="AX93" s="46">
        <v>90.2</v>
      </c>
      <c r="AZ93" s="46">
        <v>38.299999999999997</v>
      </c>
      <c r="BB93" s="46">
        <v>79.599999999999994</v>
      </c>
      <c r="BD93" s="46">
        <v>2.5</v>
      </c>
      <c r="BF93" s="209">
        <v>644.9</v>
      </c>
      <c r="BI93" s="83">
        <v>0</v>
      </c>
      <c r="BK93" s="83">
        <v>0</v>
      </c>
      <c r="BM93" s="83">
        <v>0</v>
      </c>
      <c r="BO93" s="83">
        <v>0</v>
      </c>
      <c r="BQ93" s="83">
        <v>0</v>
      </c>
      <c r="BS93" s="85">
        <v>0</v>
      </c>
      <c r="BU93" s="46">
        <v>0</v>
      </c>
      <c r="BW93" s="46">
        <v>0</v>
      </c>
      <c r="BY93" s="46">
        <v>0</v>
      </c>
      <c r="CA93" s="46">
        <v>0</v>
      </c>
      <c r="CC93" s="46">
        <v>0</v>
      </c>
      <c r="CE93" s="209">
        <v>0</v>
      </c>
      <c r="CH93" s="41">
        <v>19314064</v>
      </c>
      <c r="CJ93" s="41">
        <v>4495966</v>
      </c>
      <c r="CL93" s="41">
        <v>1789131</v>
      </c>
      <c r="CN93" s="41">
        <v>3578039</v>
      </c>
      <c r="CP93" s="43">
        <v>29177200</v>
      </c>
      <c r="CS93" s="39">
        <v>20.4846</v>
      </c>
      <c r="CU93" s="39">
        <v>23.866199999999999</v>
      </c>
      <c r="CW93" s="39">
        <v>1.8976</v>
      </c>
      <c r="CY93" s="39">
        <v>24.990100000000002</v>
      </c>
      <c r="DA93" s="44">
        <v>21.653500000000001</v>
      </c>
      <c r="DC93" s="1" t="str">
        <f t="shared" si="1"/>
        <v>No</v>
      </c>
    </row>
    <row r="94" spans="1:107">
      <c r="A94" s="7" t="s">
        <v>703</v>
      </c>
      <c r="B94" s="7" t="s">
        <v>704</v>
      </c>
      <c r="C94" s="37" t="s">
        <v>77</v>
      </c>
      <c r="D94" s="296">
        <v>3027</v>
      </c>
      <c r="E94" s="297">
        <v>30027</v>
      </c>
      <c r="F94" s="27" t="s">
        <v>165</v>
      </c>
      <c r="G94" s="27" t="s">
        <v>158</v>
      </c>
      <c r="H94" s="35">
        <v>232045</v>
      </c>
      <c r="I94" s="35">
        <v>178</v>
      </c>
      <c r="J94" s="292"/>
      <c r="K94" s="8">
        <v>405117</v>
      </c>
      <c r="L94" s="8"/>
      <c r="M94" s="8">
        <v>37866</v>
      </c>
      <c r="N94" s="9"/>
      <c r="O94" s="8">
        <v>3821</v>
      </c>
      <c r="P94" s="9"/>
      <c r="Q94" s="8">
        <v>24294</v>
      </c>
      <c r="R94" s="9"/>
      <c r="S94" s="8">
        <v>0</v>
      </c>
      <c r="T94" s="9"/>
      <c r="U94" s="33">
        <v>471098</v>
      </c>
      <c r="V94" s="9"/>
      <c r="W94" s="30">
        <v>251</v>
      </c>
      <c r="X94" s="9"/>
      <c r="Y94" s="30">
        <v>21.01</v>
      </c>
      <c r="Z94" s="9"/>
      <c r="AA94" s="30">
        <v>3</v>
      </c>
      <c r="AB94" s="9"/>
      <c r="AC94" s="30">
        <v>15</v>
      </c>
      <c r="AD94" s="9"/>
      <c r="AE94" s="80">
        <v>0</v>
      </c>
      <c r="AF94" s="46"/>
      <c r="AG94" s="88">
        <v>290.01</v>
      </c>
      <c r="AH94" s="47"/>
      <c r="AJ94" s="83">
        <v>267226</v>
      </c>
      <c r="AL94" s="83">
        <v>37866</v>
      </c>
      <c r="AN94" s="83">
        <v>1992</v>
      </c>
      <c r="AP94" s="83">
        <v>22834</v>
      </c>
      <c r="AR94" s="83">
        <v>0</v>
      </c>
      <c r="AT94" s="204">
        <v>329918</v>
      </c>
      <c r="AV94" s="46">
        <v>142</v>
      </c>
      <c r="AX94" s="46">
        <v>21.01</v>
      </c>
      <c r="AZ94" s="46">
        <v>1</v>
      </c>
      <c r="BB94" s="46">
        <v>13</v>
      </c>
      <c r="BD94" s="46">
        <v>0</v>
      </c>
      <c r="BF94" s="209">
        <v>290.01</v>
      </c>
      <c r="BI94" s="83">
        <v>137891</v>
      </c>
      <c r="BK94" s="83">
        <v>0</v>
      </c>
      <c r="BM94" s="83">
        <v>1829</v>
      </c>
      <c r="BO94" s="83">
        <v>1460</v>
      </c>
      <c r="BQ94" s="83">
        <v>0</v>
      </c>
      <c r="BS94" s="85">
        <v>141180</v>
      </c>
      <c r="BU94" s="46">
        <v>109</v>
      </c>
      <c r="BW94" s="46">
        <v>0</v>
      </c>
      <c r="BY94" s="46">
        <v>2</v>
      </c>
      <c r="CA94" s="46">
        <v>2</v>
      </c>
      <c r="CC94" s="46">
        <v>0</v>
      </c>
      <c r="CE94" s="209">
        <v>113</v>
      </c>
      <c r="CH94" s="41">
        <v>7052319</v>
      </c>
      <c r="CJ94" s="41">
        <v>792965</v>
      </c>
      <c r="CL94" s="41">
        <v>37258</v>
      </c>
      <c r="CN94" s="41">
        <v>832938</v>
      </c>
      <c r="CP94" s="43">
        <v>8715480</v>
      </c>
      <c r="CS94" s="39">
        <v>17.408100000000001</v>
      </c>
      <c r="CU94" s="39">
        <v>20.941299999999998</v>
      </c>
      <c r="CW94" s="39">
        <v>9.1999999999999998E-2</v>
      </c>
      <c r="CY94" s="39">
        <v>34.285699999999999</v>
      </c>
      <c r="DA94" s="44">
        <v>18.500399999999999</v>
      </c>
      <c r="DC94" s="1" t="str">
        <f t="shared" si="1"/>
        <v>No</v>
      </c>
    </row>
    <row r="95" spans="1:107">
      <c r="A95" s="7" t="s">
        <v>318</v>
      </c>
      <c r="B95" s="7" t="s">
        <v>319</v>
      </c>
      <c r="C95" s="37" t="s">
        <v>89</v>
      </c>
      <c r="D95" s="296">
        <v>24</v>
      </c>
      <c r="E95" s="297">
        <v>24</v>
      </c>
      <c r="F95" s="27" t="s">
        <v>165</v>
      </c>
      <c r="G95" s="27" t="s">
        <v>158</v>
      </c>
      <c r="H95" s="35">
        <v>1849898</v>
      </c>
      <c r="I95" s="35">
        <v>176</v>
      </c>
      <c r="J95" s="292"/>
      <c r="K95" s="8">
        <v>547155</v>
      </c>
      <c r="L95" s="8"/>
      <c r="M95" s="8">
        <v>78631</v>
      </c>
      <c r="N95" s="9"/>
      <c r="O95" s="8">
        <v>18554</v>
      </c>
      <c r="P95" s="9"/>
      <c r="Q95" s="8">
        <v>112976</v>
      </c>
      <c r="R95" s="9"/>
      <c r="S95" s="8">
        <v>3088</v>
      </c>
      <c r="T95" s="9"/>
      <c r="U95" s="33">
        <v>760404</v>
      </c>
      <c r="V95" s="9"/>
      <c r="W95" s="30">
        <v>295</v>
      </c>
      <c r="X95" s="9"/>
      <c r="Y95" s="30">
        <v>43.01</v>
      </c>
      <c r="Z95" s="9"/>
      <c r="AA95" s="30">
        <v>10</v>
      </c>
      <c r="AB95" s="9"/>
      <c r="AC95" s="30">
        <v>65</v>
      </c>
      <c r="AD95" s="9"/>
      <c r="AE95" s="80">
        <v>2</v>
      </c>
      <c r="AF95" s="46"/>
      <c r="AG95" s="88">
        <v>415.01</v>
      </c>
      <c r="AH95" s="47"/>
      <c r="AJ95" s="83">
        <v>404797</v>
      </c>
      <c r="AL95" s="83">
        <v>74437</v>
      </c>
      <c r="AN95" s="83">
        <v>18554</v>
      </c>
      <c r="AP95" s="83">
        <v>112976</v>
      </c>
      <c r="AR95" s="83">
        <v>1962</v>
      </c>
      <c r="AT95" s="204">
        <v>612726</v>
      </c>
      <c r="AV95" s="46">
        <v>223</v>
      </c>
      <c r="AX95" s="46">
        <v>40.01</v>
      </c>
      <c r="AZ95" s="46">
        <v>10</v>
      </c>
      <c r="BB95" s="46">
        <v>65</v>
      </c>
      <c r="BD95" s="46">
        <v>1</v>
      </c>
      <c r="BF95" s="209">
        <v>415.01</v>
      </c>
      <c r="BI95" s="83">
        <v>142358</v>
      </c>
      <c r="BK95" s="83">
        <v>4194</v>
      </c>
      <c r="BM95" s="83">
        <v>0</v>
      </c>
      <c r="BO95" s="83">
        <v>0</v>
      </c>
      <c r="BQ95" s="83">
        <v>1126</v>
      </c>
      <c r="BS95" s="85">
        <v>147678</v>
      </c>
      <c r="BU95" s="46">
        <v>72</v>
      </c>
      <c r="BW95" s="46">
        <v>3</v>
      </c>
      <c r="BY95" s="46">
        <v>0</v>
      </c>
      <c r="CA95" s="46">
        <v>0</v>
      </c>
      <c r="CC95" s="46">
        <v>1</v>
      </c>
      <c r="CE95" s="209">
        <v>76</v>
      </c>
      <c r="CH95" s="41">
        <v>14525069</v>
      </c>
      <c r="CJ95" s="41">
        <v>2239023</v>
      </c>
      <c r="CL95" s="41">
        <v>489900</v>
      </c>
      <c r="CN95" s="41">
        <v>3618880</v>
      </c>
      <c r="CP95" s="43">
        <v>20872872</v>
      </c>
      <c r="CS95" s="39">
        <v>26.546500000000002</v>
      </c>
      <c r="CU95" s="39">
        <v>28.475100000000001</v>
      </c>
      <c r="CW95" s="39">
        <v>0.89539999999999997</v>
      </c>
      <c r="CY95" s="39">
        <v>32.032299999999999</v>
      </c>
      <c r="DA95" s="44">
        <v>27.4497</v>
      </c>
      <c r="DC95" s="1" t="str">
        <f t="shared" si="1"/>
        <v>No</v>
      </c>
    </row>
    <row r="96" spans="1:107">
      <c r="A96" s="7" t="s">
        <v>248</v>
      </c>
      <c r="B96" s="7" t="s">
        <v>249</v>
      </c>
      <c r="C96" s="37" t="s">
        <v>52</v>
      </c>
      <c r="D96" s="296">
        <v>5036</v>
      </c>
      <c r="E96" s="297">
        <v>50036</v>
      </c>
      <c r="F96" s="27" t="s">
        <v>165</v>
      </c>
      <c r="G96" s="27" t="s">
        <v>158</v>
      </c>
      <c r="H96" s="35">
        <v>313532</v>
      </c>
      <c r="I96" s="35">
        <v>176</v>
      </c>
      <c r="J96" s="292"/>
      <c r="K96" s="8">
        <v>425966</v>
      </c>
      <c r="L96" s="8"/>
      <c r="M96" s="8">
        <v>65736</v>
      </c>
      <c r="N96" s="9"/>
      <c r="O96" s="8">
        <v>11625</v>
      </c>
      <c r="P96" s="9"/>
      <c r="Q96" s="8">
        <v>69124</v>
      </c>
      <c r="R96" s="9"/>
      <c r="S96" s="8">
        <v>0</v>
      </c>
      <c r="T96" s="9"/>
      <c r="U96" s="33">
        <v>572451</v>
      </c>
      <c r="V96" s="9"/>
      <c r="W96" s="30">
        <v>219</v>
      </c>
      <c r="X96" s="9"/>
      <c r="Y96" s="30">
        <v>33</v>
      </c>
      <c r="Z96" s="9"/>
      <c r="AA96" s="30">
        <v>7</v>
      </c>
      <c r="AB96" s="9"/>
      <c r="AC96" s="30">
        <v>48.75</v>
      </c>
      <c r="AD96" s="9"/>
      <c r="AE96" s="80">
        <v>0</v>
      </c>
      <c r="AF96" s="46"/>
      <c r="AG96" s="88">
        <v>307.75</v>
      </c>
      <c r="AH96" s="47"/>
      <c r="AJ96" s="83">
        <v>362985</v>
      </c>
      <c r="AL96" s="83">
        <v>65736</v>
      </c>
      <c r="AN96" s="83">
        <v>11625</v>
      </c>
      <c r="AP96" s="83">
        <v>61250</v>
      </c>
      <c r="AR96" s="83">
        <v>0</v>
      </c>
      <c r="AT96" s="204">
        <v>501596</v>
      </c>
      <c r="AV96" s="46">
        <v>167</v>
      </c>
      <c r="AX96" s="46">
        <v>33</v>
      </c>
      <c r="AZ96" s="46">
        <v>7</v>
      </c>
      <c r="BB96" s="46">
        <v>37.450000000000003</v>
      </c>
      <c r="BD96" s="46">
        <v>0</v>
      </c>
      <c r="BF96" s="209">
        <v>307.75</v>
      </c>
      <c r="BI96" s="83">
        <v>62981</v>
      </c>
      <c r="BK96" s="83">
        <v>0</v>
      </c>
      <c r="BM96" s="83">
        <v>0</v>
      </c>
      <c r="BO96" s="83">
        <v>7874</v>
      </c>
      <c r="BQ96" s="83">
        <v>0</v>
      </c>
      <c r="BS96" s="85">
        <v>70855</v>
      </c>
      <c r="BU96" s="46">
        <v>52</v>
      </c>
      <c r="BW96" s="46">
        <v>0</v>
      </c>
      <c r="BY96" s="46">
        <v>0</v>
      </c>
      <c r="CA96" s="46">
        <v>11.3</v>
      </c>
      <c r="CC96" s="46">
        <v>0</v>
      </c>
      <c r="CE96" s="209">
        <v>63.3</v>
      </c>
      <c r="CH96" s="41">
        <v>12494423</v>
      </c>
      <c r="CJ96" s="41">
        <v>1882264</v>
      </c>
      <c r="CL96" s="41">
        <v>220810</v>
      </c>
      <c r="CN96" s="41">
        <v>1338307</v>
      </c>
      <c r="CP96" s="43">
        <v>15935804</v>
      </c>
      <c r="CS96" s="39">
        <v>29.332000000000001</v>
      </c>
      <c r="CU96" s="39">
        <v>28.633700000000001</v>
      </c>
      <c r="CW96" s="39">
        <v>0.51839999999999997</v>
      </c>
      <c r="CY96" s="39">
        <v>19.361000000000001</v>
      </c>
      <c r="DA96" s="44">
        <v>27.837800000000001</v>
      </c>
      <c r="DC96" s="1" t="str">
        <f t="shared" si="1"/>
        <v>No</v>
      </c>
    </row>
    <row r="97" spans="1:107">
      <c r="A97" s="7" t="s">
        <v>449</v>
      </c>
      <c r="B97" s="7" t="s">
        <v>450</v>
      </c>
      <c r="C97" s="37" t="s">
        <v>77</v>
      </c>
      <c r="D97" s="296">
        <v>3010</v>
      </c>
      <c r="E97" s="297">
        <v>30010</v>
      </c>
      <c r="F97" s="27" t="s">
        <v>165</v>
      </c>
      <c r="G97" s="27" t="s">
        <v>158</v>
      </c>
      <c r="H97" s="35">
        <v>664651</v>
      </c>
      <c r="I97" s="35">
        <v>175</v>
      </c>
      <c r="J97" s="292"/>
      <c r="K97" s="8">
        <v>363095</v>
      </c>
      <c r="L97" s="8"/>
      <c r="M97" s="8">
        <v>55571</v>
      </c>
      <c r="N97" s="9"/>
      <c r="O97" s="8">
        <v>20</v>
      </c>
      <c r="P97" s="9"/>
      <c r="Q97" s="8">
        <v>35412</v>
      </c>
      <c r="R97" s="9"/>
      <c r="S97" s="8">
        <v>0</v>
      </c>
      <c r="T97" s="9"/>
      <c r="U97" s="33">
        <v>454098</v>
      </c>
      <c r="V97" s="9"/>
      <c r="W97" s="30">
        <v>168</v>
      </c>
      <c r="X97" s="9"/>
      <c r="Y97" s="30">
        <v>34</v>
      </c>
      <c r="Z97" s="9"/>
      <c r="AA97" s="30">
        <v>1</v>
      </c>
      <c r="AB97" s="9"/>
      <c r="AC97" s="30">
        <v>26</v>
      </c>
      <c r="AD97" s="9"/>
      <c r="AE97" s="80">
        <v>0</v>
      </c>
      <c r="AF97" s="46"/>
      <c r="AG97" s="88">
        <v>229</v>
      </c>
      <c r="AH97" s="47"/>
      <c r="AJ97" s="83">
        <v>363095</v>
      </c>
      <c r="AL97" s="83">
        <v>55571</v>
      </c>
      <c r="AN97" s="83">
        <v>20</v>
      </c>
      <c r="AP97" s="83">
        <v>33417</v>
      </c>
      <c r="AR97" s="83">
        <v>0</v>
      </c>
      <c r="AT97" s="204">
        <v>452103</v>
      </c>
      <c r="AV97" s="46">
        <v>168</v>
      </c>
      <c r="AX97" s="46">
        <v>34</v>
      </c>
      <c r="AZ97" s="46">
        <v>1</v>
      </c>
      <c r="BB97" s="46">
        <v>18</v>
      </c>
      <c r="BD97" s="46">
        <v>0</v>
      </c>
      <c r="BF97" s="209">
        <v>229</v>
      </c>
      <c r="BI97" s="83">
        <v>0</v>
      </c>
      <c r="BK97" s="83">
        <v>0</v>
      </c>
      <c r="BM97" s="83">
        <v>0</v>
      </c>
      <c r="BO97" s="83">
        <v>1995</v>
      </c>
      <c r="BQ97" s="83">
        <v>0</v>
      </c>
      <c r="BS97" s="85">
        <v>1995</v>
      </c>
      <c r="BU97" s="46">
        <v>0</v>
      </c>
      <c r="BW97" s="46">
        <v>0</v>
      </c>
      <c r="BY97" s="46">
        <v>0</v>
      </c>
      <c r="CA97" s="46">
        <v>8</v>
      </c>
      <c r="CC97" s="46">
        <v>0</v>
      </c>
      <c r="CE97" s="209">
        <v>8</v>
      </c>
      <c r="CH97" s="41">
        <v>7392664</v>
      </c>
      <c r="CJ97" s="41">
        <v>1234602</v>
      </c>
      <c r="CL97" s="41">
        <v>450</v>
      </c>
      <c r="CN97" s="41">
        <v>708376</v>
      </c>
      <c r="CP97" s="43">
        <v>9336092</v>
      </c>
      <c r="CS97" s="39">
        <v>20.360099999999999</v>
      </c>
      <c r="CU97" s="39">
        <v>22.216699999999999</v>
      </c>
      <c r="CW97" s="39">
        <v>1.1999999999999999E-3</v>
      </c>
      <c r="CY97" s="39">
        <v>20.003799999999998</v>
      </c>
      <c r="DA97" s="44">
        <v>20.5596</v>
      </c>
      <c r="DC97" s="1" t="str">
        <f t="shared" si="1"/>
        <v>No</v>
      </c>
    </row>
    <row r="98" spans="1:107">
      <c r="A98" s="7" t="s">
        <v>166</v>
      </c>
      <c r="B98" s="7" t="s">
        <v>167</v>
      </c>
      <c r="C98" s="37" t="s">
        <v>17</v>
      </c>
      <c r="D98" s="296">
        <v>9008</v>
      </c>
      <c r="E98" s="297">
        <v>90008</v>
      </c>
      <c r="F98" s="27" t="s">
        <v>162</v>
      </c>
      <c r="G98" s="27" t="s">
        <v>158</v>
      </c>
      <c r="H98" s="35">
        <v>12150996</v>
      </c>
      <c r="I98" s="35">
        <v>173</v>
      </c>
      <c r="J98" s="292"/>
      <c r="K98" s="8">
        <v>753803</v>
      </c>
      <c r="L98" s="8"/>
      <c r="M98" s="8">
        <v>136538</v>
      </c>
      <c r="N98" s="9"/>
      <c r="O98" s="8">
        <v>8095</v>
      </c>
      <c r="P98" s="9"/>
      <c r="Q98" s="8">
        <v>55714</v>
      </c>
      <c r="R98" s="9"/>
      <c r="S98" s="8">
        <v>14292</v>
      </c>
      <c r="T98" s="9"/>
      <c r="U98" s="33">
        <v>968442</v>
      </c>
      <c r="V98" s="9"/>
      <c r="W98" s="30">
        <v>371.8</v>
      </c>
      <c r="X98" s="9"/>
      <c r="Y98" s="30">
        <v>81.650000000000006</v>
      </c>
      <c r="Z98" s="9"/>
      <c r="AA98" s="30">
        <v>7.35</v>
      </c>
      <c r="AB98" s="9"/>
      <c r="AC98" s="30">
        <v>27.25</v>
      </c>
      <c r="AD98" s="9"/>
      <c r="AE98" s="80">
        <v>7.94</v>
      </c>
      <c r="AF98" s="46"/>
      <c r="AG98" s="88">
        <v>495.99</v>
      </c>
      <c r="AH98" s="47"/>
      <c r="AJ98" s="83">
        <v>751486</v>
      </c>
      <c r="AL98" s="83">
        <v>135284</v>
      </c>
      <c r="AN98" s="83">
        <v>8095</v>
      </c>
      <c r="AP98" s="83">
        <v>54005</v>
      </c>
      <c r="AR98" s="83">
        <v>14292</v>
      </c>
      <c r="AT98" s="204">
        <v>963162</v>
      </c>
      <c r="AV98" s="46">
        <v>369</v>
      </c>
      <c r="AX98" s="46">
        <v>80.650000000000006</v>
      </c>
      <c r="AZ98" s="46">
        <v>7.35</v>
      </c>
      <c r="BB98" s="46">
        <v>26</v>
      </c>
      <c r="BD98" s="46">
        <v>7.94</v>
      </c>
      <c r="BF98" s="209">
        <v>495.99</v>
      </c>
      <c r="BI98" s="83">
        <v>2317</v>
      </c>
      <c r="BK98" s="83">
        <v>1254</v>
      </c>
      <c r="BM98" s="83">
        <v>0</v>
      </c>
      <c r="BO98" s="83">
        <v>1709</v>
      </c>
      <c r="BQ98" s="83">
        <v>0</v>
      </c>
      <c r="BS98" s="85">
        <v>5280</v>
      </c>
      <c r="BU98" s="46">
        <v>2.8</v>
      </c>
      <c r="BW98" s="46">
        <v>1</v>
      </c>
      <c r="BY98" s="46">
        <v>0</v>
      </c>
      <c r="CA98" s="46">
        <v>1.25</v>
      </c>
      <c r="CC98" s="46">
        <v>0</v>
      </c>
      <c r="CE98" s="209">
        <v>5.05</v>
      </c>
      <c r="CH98" s="41">
        <v>24844962</v>
      </c>
      <c r="CJ98" s="41">
        <v>4821231</v>
      </c>
      <c r="CL98" s="41">
        <v>360287</v>
      </c>
      <c r="CN98" s="41">
        <v>2156616</v>
      </c>
      <c r="CP98" s="43">
        <v>32183096</v>
      </c>
      <c r="CS98" s="39">
        <v>32.959499999999998</v>
      </c>
      <c r="CU98" s="39">
        <v>35.310499999999998</v>
      </c>
      <c r="CW98" s="39">
        <v>0.47799999999999998</v>
      </c>
      <c r="CY98" s="39">
        <v>38.7087</v>
      </c>
      <c r="DA98" s="44">
        <v>33.2318</v>
      </c>
      <c r="DC98" s="1" t="str">
        <f t="shared" si="1"/>
        <v>No</v>
      </c>
    </row>
    <row r="99" spans="1:107">
      <c r="A99" s="7" t="s">
        <v>689</v>
      </c>
      <c r="B99" s="7" t="s">
        <v>690</v>
      </c>
      <c r="C99" s="37" t="s">
        <v>44</v>
      </c>
      <c r="D99" s="296">
        <v>7015</v>
      </c>
      <c r="E99" s="297">
        <v>70015</v>
      </c>
      <c r="F99" s="27" t="s">
        <v>162</v>
      </c>
      <c r="G99" s="27" t="s">
        <v>158</v>
      </c>
      <c r="H99" s="35">
        <v>472870</v>
      </c>
      <c r="I99" s="35">
        <v>170</v>
      </c>
      <c r="J99" s="292"/>
      <c r="K99" s="8">
        <v>190743</v>
      </c>
      <c r="L99" s="8"/>
      <c r="M99" s="8">
        <v>31241</v>
      </c>
      <c r="N99" s="9"/>
      <c r="O99" s="8">
        <v>4801</v>
      </c>
      <c r="P99" s="9"/>
      <c r="Q99" s="8">
        <v>26966</v>
      </c>
      <c r="R99" s="9"/>
      <c r="S99" s="8">
        <v>0</v>
      </c>
      <c r="T99" s="9"/>
      <c r="U99" s="33">
        <v>253751</v>
      </c>
      <c r="V99" s="9"/>
      <c r="W99" s="30">
        <v>92.1</v>
      </c>
      <c r="X99" s="9"/>
      <c r="Y99" s="30">
        <v>15.63</v>
      </c>
      <c r="Z99" s="9"/>
      <c r="AA99" s="30">
        <v>2.36</v>
      </c>
      <c r="AB99" s="9"/>
      <c r="AC99" s="30">
        <v>14.69</v>
      </c>
      <c r="AD99" s="9"/>
      <c r="AE99" s="80">
        <v>0</v>
      </c>
      <c r="AF99" s="46"/>
      <c r="AG99" s="88">
        <v>124.78</v>
      </c>
      <c r="AH99" s="47"/>
      <c r="AJ99" s="83">
        <v>190743</v>
      </c>
      <c r="AL99" s="83">
        <v>31241</v>
      </c>
      <c r="AN99" s="83">
        <v>4801</v>
      </c>
      <c r="AP99" s="83">
        <v>26966</v>
      </c>
      <c r="AR99" s="83">
        <v>0</v>
      </c>
      <c r="AT99" s="204">
        <v>253751</v>
      </c>
      <c r="AV99" s="46">
        <v>92.1</v>
      </c>
      <c r="AX99" s="46">
        <v>15.63</v>
      </c>
      <c r="AZ99" s="46">
        <v>2.36</v>
      </c>
      <c r="BB99" s="46">
        <v>14.69</v>
      </c>
      <c r="BD99" s="46">
        <v>0</v>
      </c>
      <c r="BF99" s="209">
        <v>124.78</v>
      </c>
      <c r="BI99" s="83">
        <v>0</v>
      </c>
      <c r="BK99" s="83">
        <v>0</v>
      </c>
      <c r="BM99" s="83">
        <v>0</v>
      </c>
      <c r="BO99" s="83">
        <v>0</v>
      </c>
      <c r="BQ99" s="83">
        <v>0</v>
      </c>
      <c r="BS99" s="85">
        <v>0</v>
      </c>
      <c r="BU99" s="46">
        <v>0</v>
      </c>
      <c r="BW99" s="46">
        <v>0</v>
      </c>
      <c r="BY99" s="46">
        <v>0</v>
      </c>
      <c r="CA99" s="46">
        <v>0</v>
      </c>
      <c r="CC99" s="46">
        <v>0</v>
      </c>
      <c r="CE99" s="209">
        <v>0</v>
      </c>
      <c r="CH99" s="41">
        <v>3825498</v>
      </c>
      <c r="CJ99" s="41">
        <v>740116</v>
      </c>
      <c r="CL99" s="41">
        <v>72736</v>
      </c>
      <c r="CN99" s="41">
        <v>909983</v>
      </c>
      <c r="CP99" s="43">
        <v>5548333</v>
      </c>
      <c r="CS99" s="39">
        <v>20.055800000000001</v>
      </c>
      <c r="CU99" s="39">
        <v>23.6905</v>
      </c>
      <c r="CW99" s="39">
        <v>0.38129999999999997</v>
      </c>
      <c r="CY99" s="39">
        <v>33.745600000000003</v>
      </c>
      <c r="DA99" s="44">
        <v>21.865300000000001</v>
      </c>
      <c r="DC99" s="1" t="str">
        <f t="shared" si="1"/>
        <v>No</v>
      </c>
    </row>
    <row r="100" spans="1:107">
      <c r="A100" s="7" t="s">
        <v>320</v>
      </c>
      <c r="B100" s="7" t="s">
        <v>321</v>
      </c>
      <c r="C100" s="37" t="s">
        <v>26</v>
      </c>
      <c r="D100" s="296">
        <v>8005</v>
      </c>
      <c r="E100" s="297">
        <v>80005</v>
      </c>
      <c r="F100" s="27" t="s">
        <v>162</v>
      </c>
      <c r="G100" s="27" t="s">
        <v>158</v>
      </c>
      <c r="H100" s="35">
        <v>559409</v>
      </c>
      <c r="I100" s="35">
        <v>170</v>
      </c>
      <c r="J100" s="292"/>
      <c r="K100" s="8">
        <v>0</v>
      </c>
      <c r="L100" s="8"/>
      <c r="M100" s="8">
        <v>2594</v>
      </c>
      <c r="N100" s="9"/>
      <c r="O100" s="8">
        <v>528</v>
      </c>
      <c r="P100" s="9"/>
      <c r="Q100" s="8">
        <v>4792</v>
      </c>
      <c r="R100" s="9"/>
      <c r="S100" s="8">
        <v>0</v>
      </c>
      <c r="T100" s="9"/>
      <c r="U100" s="33">
        <v>7914</v>
      </c>
      <c r="V100" s="9"/>
      <c r="W100" s="30">
        <v>0</v>
      </c>
      <c r="X100" s="9"/>
      <c r="Y100" s="30">
        <v>1.5</v>
      </c>
      <c r="Z100" s="9"/>
      <c r="AA100" s="30">
        <v>0.33</v>
      </c>
      <c r="AB100" s="9"/>
      <c r="AC100" s="30">
        <v>2.83</v>
      </c>
      <c r="AD100" s="9"/>
      <c r="AE100" s="80">
        <v>0</v>
      </c>
      <c r="AF100" s="46"/>
      <c r="AG100" s="88">
        <v>4.66</v>
      </c>
      <c r="AH100" s="47"/>
      <c r="AJ100" s="83">
        <v>0</v>
      </c>
      <c r="AL100" s="83">
        <v>2594</v>
      </c>
      <c r="AN100" s="83">
        <v>528</v>
      </c>
      <c r="AP100" s="83">
        <v>4792</v>
      </c>
      <c r="AR100" s="83">
        <v>0</v>
      </c>
      <c r="AT100" s="204">
        <v>7914</v>
      </c>
      <c r="AV100" s="46">
        <v>0</v>
      </c>
      <c r="AX100" s="46">
        <v>1.5</v>
      </c>
      <c r="AZ100" s="46">
        <v>0.33</v>
      </c>
      <c r="BB100" s="46">
        <v>2.83</v>
      </c>
      <c r="BD100" s="46">
        <v>0</v>
      </c>
      <c r="BF100" s="209">
        <v>4.66</v>
      </c>
      <c r="BI100" s="83">
        <v>0</v>
      </c>
      <c r="BK100" s="83">
        <v>0</v>
      </c>
      <c r="BM100" s="83">
        <v>0</v>
      </c>
      <c r="BO100" s="83">
        <v>0</v>
      </c>
      <c r="BQ100" s="83">
        <v>0</v>
      </c>
      <c r="BS100" s="85">
        <v>0</v>
      </c>
      <c r="BU100" s="46">
        <v>0</v>
      </c>
      <c r="BW100" s="46">
        <v>0</v>
      </c>
      <c r="BY100" s="46">
        <v>0</v>
      </c>
      <c r="CA100" s="46">
        <v>0</v>
      </c>
      <c r="CC100" s="46">
        <v>0</v>
      </c>
      <c r="CE100" s="209">
        <v>0</v>
      </c>
      <c r="CH100" s="41">
        <v>0</v>
      </c>
      <c r="CJ100" s="41">
        <v>48961</v>
      </c>
      <c r="CL100" s="41">
        <v>27591</v>
      </c>
      <c r="CN100" s="41">
        <v>149684</v>
      </c>
      <c r="CP100" s="43">
        <v>226236</v>
      </c>
      <c r="CU100" s="39">
        <v>18.874700000000001</v>
      </c>
      <c r="CY100" s="39">
        <v>31.2362</v>
      </c>
      <c r="DA100" s="44">
        <v>28.5868</v>
      </c>
      <c r="DC100" s="1" t="str">
        <f t="shared" si="1"/>
        <v>No</v>
      </c>
    </row>
    <row r="101" spans="1:107">
      <c r="A101" s="7" t="s">
        <v>413</v>
      </c>
      <c r="B101" s="7" t="s">
        <v>414</v>
      </c>
      <c r="C101" s="37" t="s">
        <v>63</v>
      </c>
      <c r="D101" s="296">
        <v>2126</v>
      </c>
      <c r="E101" s="297">
        <v>20126</v>
      </c>
      <c r="F101" s="27" t="s">
        <v>173</v>
      </c>
      <c r="G101" s="27" t="s">
        <v>158</v>
      </c>
      <c r="H101" s="35">
        <v>18351295</v>
      </c>
      <c r="I101" s="35">
        <v>161</v>
      </c>
      <c r="J101" s="292"/>
      <c r="K101" s="8">
        <v>443900</v>
      </c>
      <c r="L101" s="8"/>
      <c r="M101" s="8">
        <v>106200</v>
      </c>
      <c r="N101" s="9"/>
      <c r="O101" s="8">
        <v>0</v>
      </c>
      <c r="P101" s="9"/>
      <c r="Q101" s="8">
        <v>32890</v>
      </c>
      <c r="R101" s="9"/>
      <c r="S101" s="8">
        <v>0</v>
      </c>
      <c r="T101" s="9"/>
      <c r="U101" s="33">
        <v>582990</v>
      </c>
      <c r="V101" s="9"/>
      <c r="W101" s="30">
        <v>226</v>
      </c>
      <c r="X101" s="9"/>
      <c r="Y101" s="30">
        <v>54</v>
      </c>
      <c r="Z101" s="9"/>
      <c r="AA101" s="30">
        <v>0</v>
      </c>
      <c r="AB101" s="9"/>
      <c r="AC101" s="30">
        <v>18</v>
      </c>
      <c r="AD101" s="9"/>
      <c r="AE101" s="80">
        <v>0</v>
      </c>
      <c r="AF101" s="46"/>
      <c r="AG101" s="88">
        <v>298</v>
      </c>
      <c r="AH101" s="47"/>
      <c r="AJ101" s="83">
        <v>442184</v>
      </c>
      <c r="AL101" s="83">
        <v>106200</v>
      </c>
      <c r="AN101" s="83">
        <v>0</v>
      </c>
      <c r="AP101" s="83">
        <v>31816</v>
      </c>
      <c r="AR101" s="83">
        <v>0</v>
      </c>
      <c r="AT101" s="204">
        <v>580200</v>
      </c>
      <c r="AV101" s="46">
        <v>224</v>
      </c>
      <c r="AX101" s="46">
        <v>54</v>
      </c>
      <c r="AZ101" s="46">
        <v>0</v>
      </c>
      <c r="BB101" s="46">
        <v>17</v>
      </c>
      <c r="BD101" s="46">
        <v>0</v>
      </c>
      <c r="BF101" s="209">
        <v>298</v>
      </c>
      <c r="BI101" s="83">
        <v>1716</v>
      </c>
      <c r="BK101" s="83">
        <v>0</v>
      </c>
      <c r="BM101" s="83">
        <v>0</v>
      </c>
      <c r="BO101" s="83">
        <v>1074</v>
      </c>
      <c r="BQ101" s="83">
        <v>0</v>
      </c>
      <c r="BS101" s="85">
        <v>2790</v>
      </c>
      <c r="BU101" s="46">
        <v>2</v>
      </c>
      <c r="BW101" s="46">
        <v>0</v>
      </c>
      <c r="BY101" s="46">
        <v>0</v>
      </c>
      <c r="CA101" s="46">
        <v>1</v>
      </c>
      <c r="CC101" s="46">
        <v>0</v>
      </c>
      <c r="CE101" s="209">
        <v>3</v>
      </c>
      <c r="CH101" s="41">
        <v>13940457</v>
      </c>
      <c r="CJ101" s="41">
        <v>2697970</v>
      </c>
      <c r="CL101" s="41">
        <v>0</v>
      </c>
      <c r="CN101" s="41">
        <v>977660</v>
      </c>
      <c r="CP101" s="43">
        <v>17616087</v>
      </c>
      <c r="CS101" s="39">
        <v>31.404499999999999</v>
      </c>
      <c r="CU101" s="39">
        <v>25.404599999999999</v>
      </c>
      <c r="CW101" s="39">
        <v>0</v>
      </c>
      <c r="CY101" s="39">
        <v>29.725100000000001</v>
      </c>
      <c r="DA101" s="44">
        <v>30.216799999999999</v>
      </c>
      <c r="DC101" s="1" t="str">
        <f t="shared" si="1"/>
        <v>No</v>
      </c>
    </row>
    <row r="102" spans="1:107">
      <c r="A102" s="7" t="s">
        <v>201</v>
      </c>
      <c r="B102" s="7" t="s">
        <v>202</v>
      </c>
      <c r="C102" s="37" t="s">
        <v>52</v>
      </c>
      <c r="D102" s="296">
        <v>5040</v>
      </c>
      <c r="E102" s="297">
        <v>50040</v>
      </c>
      <c r="F102" s="27" t="s">
        <v>165</v>
      </c>
      <c r="G102" s="27" t="s">
        <v>158</v>
      </c>
      <c r="H102" s="35">
        <v>306022</v>
      </c>
      <c r="I102" s="35">
        <v>160</v>
      </c>
      <c r="J102" s="292"/>
      <c r="K102" s="8">
        <v>362753</v>
      </c>
      <c r="L102" s="8"/>
      <c r="M102" s="8">
        <v>77943</v>
      </c>
      <c r="N102" s="9"/>
      <c r="O102" s="8">
        <v>8856</v>
      </c>
      <c r="P102" s="9"/>
      <c r="Q102" s="8">
        <v>66017</v>
      </c>
      <c r="R102" s="9"/>
      <c r="S102" s="8">
        <v>0</v>
      </c>
      <c r="T102" s="9"/>
      <c r="U102" s="33">
        <v>515569</v>
      </c>
      <c r="V102" s="9"/>
      <c r="W102" s="30">
        <v>195.9</v>
      </c>
      <c r="X102" s="9"/>
      <c r="Y102" s="30">
        <v>51</v>
      </c>
      <c r="Z102" s="9"/>
      <c r="AA102" s="30">
        <v>4.9800000000000004</v>
      </c>
      <c r="AB102" s="9"/>
      <c r="AC102" s="30">
        <v>38</v>
      </c>
      <c r="AD102" s="9"/>
      <c r="AE102" s="80">
        <v>0</v>
      </c>
      <c r="AF102" s="46"/>
      <c r="AG102" s="88">
        <v>289.88</v>
      </c>
      <c r="AH102" s="47"/>
      <c r="AJ102" s="83">
        <v>332304</v>
      </c>
      <c r="AL102" s="83">
        <v>77943</v>
      </c>
      <c r="AN102" s="83">
        <v>8856</v>
      </c>
      <c r="AP102" s="83">
        <v>66017</v>
      </c>
      <c r="AR102" s="83">
        <v>0</v>
      </c>
      <c r="AT102" s="204">
        <v>485120</v>
      </c>
      <c r="AV102" s="46">
        <v>163.9</v>
      </c>
      <c r="AX102" s="46">
        <v>51</v>
      </c>
      <c r="AZ102" s="46">
        <v>4.9800000000000004</v>
      </c>
      <c r="BB102" s="46">
        <v>38</v>
      </c>
      <c r="BD102" s="46">
        <v>0</v>
      </c>
      <c r="BF102" s="209">
        <v>289.88</v>
      </c>
      <c r="BI102" s="83">
        <v>30449</v>
      </c>
      <c r="BK102" s="83">
        <v>0</v>
      </c>
      <c r="BM102" s="83">
        <v>0</v>
      </c>
      <c r="BO102" s="83">
        <v>0</v>
      </c>
      <c r="BQ102" s="83">
        <v>0</v>
      </c>
      <c r="BS102" s="85">
        <v>30449</v>
      </c>
      <c r="BU102" s="46">
        <v>32</v>
      </c>
      <c r="BW102" s="46">
        <v>0</v>
      </c>
      <c r="BY102" s="46">
        <v>0</v>
      </c>
      <c r="CA102" s="46">
        <v>0</v>
      </c>
      <c r="CC102" s="46">
        <v>0</v>
      </c>
      <c r="CE102" s="209">
        <v>32</v>
      </c>
      <c r="CH102" s="41">
        <v>9160487</v>
      </c>
      <c r="CJ102" s="41">
        <v>2085419</v>
      </c>
      <c r="CL102" s="41">
        <v>210931</v>
      </c>
      <c r="CN102" s="41">
        <v>2131177</v>
      </c>
      <c r="CP102" s="43">
        <v>13588014</v>
      </c>
      <c r="CS102" s="39">
        <v>25.252700000000001</v>
      </c>
      <c r="CU102" s="39">
        <v>26.755700000000001</v>
      </c>
      <c r="CW102" s="39">
        <v>0.58150000000000002</v>
      </c>
      <c r="CY102" s="39">
        <v>32.282200000000003</v>
      </c>
      <c r="DA102" s="44">
        <v>26.355399999999999</v>
      </c>
      <c r="DC102" s="1" t="str">
        <f t="shared" si="1"/>
        <v>No</v>
      </c>
    </row>
    <row r="103" spans="1:107">
      <c r="A103" s="7" t="s">
        <v>120</v>
      </c>
      <c r="B103" s="7" t="s">
        <v>564</v>
      </c>
      <c r="C103" s="37" t="s">
        <v>58</v>
      </c>
      <c r="D103" s="296">
        <v>4108</v>
      </c>
      <c r="E103" s="297">
        <v>40108</v>
      </c>
      <c r="F103" s="27" t="s">
        <v>165</v>
      </c>
      <c r="G103" s="27" t="s">
        <v>158</v>
      </c>
      <c r="H103" s="35">
        <v>347602</v>
      </c>
      <c r="I103" s="35">
        <v>153</v>
      </c>
      <c r="J103" s="292"/>
      <c r="K103" s="8">
        <v>241485</v>
      </c>
      <c r="L103" s="8"/>
      <c r="M103" s="8">
        <v>52233</v>
      </c>
      <c r="N103" s="9"/>
      <c r="O103" s="8">
        <v>0</v>
      </c>
      <c r="P103" s="9"/>
      <c r="Q103" s="8">
        <v>56707</v>
      </c>
      <c r="R103" s="9"/>
      <c r="S103" s="8">
        <v>0</v>
      </c>
      <c r="T103" s="9"/>
      <c r="U103" s="33">
        <v>350425</v>
      </c>
      <c r="V103" s="9"/>
      <c r="W103" s="30">
        <v>131</v>
      </c>
      <c r="X103" s="9"/>
      <c r="Y103" s="30">
        <v>28</v>
      </c>
      <c r="Z103" s="9"/>
      <c r="AA103" s="30">
        <v>0</v>
      </c>
      <c r="AB103" s="9"/>
      <c r="AC103" s="30">
        <v>39</v>
      </c>
      <c r="AD103" s="9"/>
      <c r="AE103" s="80">
        <v>0</v>
      </c>
      <c r="AF103" s="46"/>
      <c r="AG103" s="88">
        <v>198</v>
      </c>
      <c r="AH103" s="47"/>
      <c r="AJ103" s="83">
        <v>230273</v>
      </c>
      <c r="AL103" s="83">
        <v>52233</v>
      </c>
      <c r="AN103" s="83">
        <v>0</v>
      </c>
      <c r="AP103" s="83">
        <v>50338</v>
      </c>
      <c r="AR103" s="83">
        <v>0</v>
      </c>
      <c r="AT103" s="204">
        <v>332844</v>
      </c>
      <c r="AV103" s="46">
        <v>114</v>
      </c>
      <c r="AX103" s="46">
        <v>28</v>
      </c>
      <c r="AZ103" s="46">
        <v>0</v>
      </c>
      <c r="BB103" s="46">
        <v>34</v>
      </c>
      <c r="BD103" s="46">
        <v>0</v>
      </c>
      <c r="BF103" s="209">
        <v>198</v>
      </c>
      <c r="BI103" s="83">
        <v>11212</v>
      </c>
      <c r="BK103" s="83">
        <v>0</v>
      </c>
      <c r="BM103" s="83">
        <v>0</v>
      </c>
      <c r="BO103" s="83">
        <v>6369</v>
      </c>
      <c r="BQ103" s="83">
        <v>0</v>
      </c>
      <c r="BS103" s="85">
        <v>17581</v>
      </c>
      <c r="BU103" s="46">
        <v>17</v>
      </c>
      <c r="BW103" s="46">
        <v>0</v>
      </c>
      <c r="BY103" s="46">
        <v>0</v>
      </c>
      <c r="CA103" s="46">
        <v>5</v>
      </c>
      <c r="CC103" s="46">
        <v>0</v>
      </c>
      <c r="CE103" s="209">
        <v>22</v>
      </c>
      <c r="CH103" s="41">
        <v>5393922</v>
      </c>
      <c r="CJ103" s="41">
        <v>1365566</v>
      </c>
      <c r="CL103" s="41">
        <v>0</v>
      </c>
      <c r="CN103" s="41">
        <v>2154790</v>
      </c>
      <c r="CP103" s="43">
        <v>8914278</v>
      </c>
      <c r="CS103" s="39">
        <v>22.336500000000001</v>
      </c>
      <c r="CU103" s="39">
        <v>26.143699999999999</v>
      </c>
      <c r="CW103" s="39">
        <v>0</v>
      </c>
      <c r="CY103" s="39">
        <v>37.998699999999999</v>
      </c>
      <c r="DA103" s="44">
        <v>25.438500000000001</v>
      </c>
      <c r="DC103" s="1" t="str">
        <f t="shared" si="1"/>
        <v>No</v>
      </c>
    </row>
    <row r="104" spans="1:107">
      <c r="A104" s="7" t="s">
        <v>514</v>
      </c>
      <c r="B104" s="7" t="s">
        <v>156</v>
      </c>
      <c r="C104" s="37" t="s">
        <v>5</v>
      </c>
      <c r="D104" s="296">
        <v>12</v>
      </c>
      <c r="E104" s="297">
        <v>12</v>
      </c>
      <c r="F104" s="27" t="s">
        <v>162</v>
      </c>
      <c r="G104" s="27" t="s">
        <v>158</v>
      </c>
      <c r="H104" s="35">
        <v>251243</v>
      </c>
      <c r="I104" s="35">
        <v>152</v>
      </c>
      <c r="J104" s="292"/>
      <c r="K104" s="8">
        <v>189684</v>
      </c>
      <c r="L104" s="8"/>
      <c r="M104" s="8">
        <v>55731</v>
      </c>
      <c r="N104" s="9"/>
      <c r="O104" s="8">
        <v>6739</v>
      </c>
      <c r="P104" s="9"/>
      <c r="Q104" s="8">
        <v>33910</v>
      </c>
      <c r="R104" s="9"/>
      <c r="S104" s="8">
        <v>1690</v>
      </c>
      <c r="T104" s="9"/>
      <c r="U104" s="33">
        <v>287754</v>
      </c>
      <c r="V104" s="9"/>
      <c r="W104" s="30">
        <v>104</v>
      </c>
      <c r="X104" s="9"/>
      <c r="Y104" s="30">
        <v>33</v>
      </c>
      <c r="Z104" s="9"/>
      <c r="AA104" s="30">
        <v>4</v>
      </c>
      <c r="AB104" s="9"/>
      <c r="AC104" s="30">
        <v>20</v>
      </c>
      <c r="AD104" s="9"/>
      <c r="AE104" s="80">
        <v>1</v>
      </c>
      <c r="AF104" s="46"/>
      <c r="AG104" s="88">
        <v>162</v>
      </c>
      <c r="AH104" s="47"/>
      <c r="AJ104" s="83">
        <v>189684</v>
      </c>
      <c r="AL104" s="83">
        <v>55731</v>
      </c>
      <c r="AN104" s="83">
        <v>6739</v>
      </c>
      <c r="AP104" s="83">
        <v>33910</v>
      </c>
      <c r="AR104" s="83">
        <v>1690</v>
      </c>
      <c r="AT104" s="204">
        <v>287754</v>
      </c>
      <c r="AV104" s="46">
        <v>104</v>
      </c>
      <c r="AX104" s="46">
        <v>33</v>
      </c>
      <c r="AZ104" s="46">
        <v>4</v>
      </c>
      <c r="BB104" s="46">
        <v>20</v>
      </c>
      <c r="BD104" s="46">
        <v>1</v>
      </c>
      <c r="BF104" s="209">
        <v>162</v>
      </c>
      <c r="BI104" s="83">
        <v>0</v>
      </c>
      <c r="BK104" s="83">
        <v>0</v>
      </c>
      <c r="BM104" s="83">
        <v>0</v>
      </c>
      <c r="BO104" s="83">
        <v>0</v>
      </c>
      <c r="BQ104" s="83">
        <v>0</v>
      </c>
      <c r="BS104" s="85">
        <v>0</v>
      </c>
      <c r="BU104" s="46">
        <v>0</v>
      </c>
      <c r="BW104" s="46">
        <v>0</v>
      </c>
      <c r="BY104" s="46">
        <v>0</v>
      </c>
      <c r="CA104" s="46">
        <v>0</v>
      </c>
      <c r="CC104" s="46">
        <v>0</v>
      </c>
      <c r="CE104" s="209">
        <v>0</v>
      </c>
      <c r="CH104" s="41">
        <v>6077766</v>
      </c>
      <c r="CJ104" s="41">
        <v>1962095</v>
      </c>
      <c r="CL104" s="41">
        <v>173759</v>
      </c>
      <c r="CN104" s="41">
        <v>789081</v>
      </c>
      <c r="CP104" s="43">
        <v>9002701</v>
      </c>
      <c r="CS104" s="39">
        <v>32.041499999999999</v>
      </c>
      <c r="CU104" s="39">
        <v>35.206499999999998</v>
      </c>
      <c r="CW104" s="39">
        <v>0.91600000000000004</v>
      </c>
      <c r="CY104" s="39">
        <v>23.2699</v>
      </c>
      <c r="DA104" s="44">
        <v>31.286100000000001</v>
      </c>
      <c r="DC104" s="1" t="str">
        <f t="shared" si="1"/>
        <v>No</v>
      </c>
    </row>
    <row r="105" spans="1:107">
      <c r="A105" s="7" t="s">
        <v>618</v>
      </c>
      <c r="B105" s="7" t="s">
        <v>619</v>
      </c>
      <c r="C105" s="37" t="s">
        <v>32</v>
      </c>
      <c r="D105" s="296">
        <v>4063</v>
      </c>
      <c r="E105" s="297">
        <v>40063</v>
      </c>
      <c r="F105" s="27" t="s">
        <v>162</v>
      </c>
      <c r="G105" s="27" t="s">
        <v>158</v>
      </c>
      <c r="H105" s="35">
        <v>452791</v>
      </c>
      <c r="I105" s="35">
        <v>152</v>
      </c>
      <c r="J105" s="292"/>
      <c r="K105" s="8">
        <v>188370</v>
      </c>
      <c r="L105" s="8"/>
      <c r="M105" s="8">
        <v>0</v>
      </c>
      <c r="N105" s="9"/>
      <c r="O105" s="8">
        <v>0</v>
      </c>
      <c r="P105" s="9"/>
      <c r="Q105" s="8">
        <v>15800</v>
      </c>
      <c r="R105" s="9"/>
      <c r="S105" s="8">
        <v>0</v>
      </c>
      <c r="T105" s="9"/>
      <c r="U105" s="33">
        <v>204170</v>
      </c>
      <c r="V105" s="9"/>
      <c r="W105" s="30">
        <v>95.5</v>
      </c>
      <c r="X105" s="9"/>
      <c r="Y105" s="30">
        <v>0</v>
      </c>
      <c r="Z105" s="9"/>
      <c r="AA105" s="30">
        <v>0</v>
      </c>
      <c r="AB105" s="9"/>
      <c r="AC105" s="30">
        <v>8</v>
      </c>
      <c r="AD105" s="9"/>
      <c r="AE105" s="80">
        <v>0</v>
      </c>
      <c r="AF105" s="46"/>
      <c r="AG105" s="88">
        <v>103.5</v>
      </c>
      <c r="AH105" s="47"/>
      <c r="AJ105" s="83">
        <v>173720</v>
      </c>
      <c r="AL105" s="83">
        <v>0</v>
      </c>
      <c r="AN105" s="83">
        <v>0</v>
      </c>
      <c r="AP105" s="83">
        <v>15800</v>
      </c>
      <c r="AR105" s="83">
        <v>0</v>
      </c>
      <c r="AT105" s="204">
        <v>189520</v>
      </c>
      <c r="AV105" s="46">
        <v>81</v>
      </c>
      <c r="AX105" s="46">
        <v>0</v>
      </c>
      <c r="AZ105" s="46">
        <v>0</v>
      </c>
      <c r="BB105" s="46">
        <v>8</v>
      </c>
      <c r="BD105" s="46">
        <v>0</v>
      </c>
      <c r="BF105" s="209">
        <v>103.5</v>
      </c>
      <c r="BI105" s="83">
        <v>14650</v>
      </c>
      <c r="BK105" s="83">
        <v>0</v>
      </c>
      <c r="BM105" s="83">
        <v>0</v>
      </c>
      <c r="BO105" s="83">
        <v>0</v>
      </c>
      <c r="BQ105" s="83">
        <v>0</v>
      </c>
      <c r="BS105" s="85">
        <v>14650</v>
      </c>
      <c r="BU105" s="46">
        <v>14.5</v>
      </c>
      <c r="BW105" s="46">
        <v>0</v>
      </c>
      <c r="BY105" s="46">
        <v>0</v>
      </c>
      <c r="CA105" s="46">
        <v>0</v>
      </c>
      <c r="CC105" s="46">
        <v>0</v>
      </c>
      <c r="CE105" s="209">
        <v>14.5</v>
      </c>
      <c r="CH105" s="41">
        <v>4031646</v>
      </c>
      <c r="CJ105" s="41">
        <v>0</v>
      </c>
      <c r="CL105" s="41">
        <v>0</v>
      </c>
      <c r="CN105" s="41">
        <v>306426</v>
      </c>
      <c r="CP105" s="43">
        <v>4338072</v>
      </c>
      <c r="CS105" s="39">
        <v>21.402799999999999</v>
      </c>
      <c r="CW105" s="39">
        <v>0</v>
      </c>
      <c r="CY105" s="39">
        <v>19.394100000000002</v>
      </c>
      <c r="DA105" s="44">
        <v>21.247399999999999</v>
      </c>
      <c r="DC105" s="1" t="str">
        <f t="shared" si="1"/>
        <v>No</v>
      </c>
    </row>
    <row r="106" spans="1:107">
      <c r="A106" s="7" t="s">
        <v>385</v>
      </c>
      <c r="B106" s="7" t="s">
        <v>386</v>
      </c>
      <c r="C106" s="37" t="s">
        <v>17</v>
      </c>
      <c r="D106" s="296">
        <v>9016</v>
      </c>
      <c r="E106" s="297">
        <v>90016</v>
      </c>
      <c r="F106" s="27" t="s">
        <v>165</v>
      </c>
      <c r="G106" s="27" t="s">
        <v>158</v>
      </c>
      <c r="H106" s="35">
        <v>3281212</v>
      </c>
      <c r="I106" s="35">
        <v>152</v>
      </c>
      <c r="J106" s="292"/>
      <c r="K106" s="8">
        <v>637840</v>
      </c>
      <c r="L106" s="8"/>
      <c r="M106" s="8">
        <v>85123</v>
      </c>
      <c r="N106" s="9"/>
      <c r="O106" s="8">
        <v>12450</v>
      </c>
      <c r="P106" s="9"/>
      <c r="Q106" s="8">
        <v>201070</v>
      </c>
      <c r="R106" s="9"/>
      <c r="S106" s="8">
        <v>1613</v>
      </c>
      <c r="T106" s="9"/>
      <c r="U106" s="33">
        <v>938096</v>
      </c>
      <c r="V106" s="9"/>
      <c r="W106" s="30">
        <v>371</v>
      </c>
      <c r="X106" s="9"/>
      <c r="Y106" s="30">
        <v>58.5</v>
      </c>
      <c r="Z106" s="9"/>
      <c r="AA106" s="30">
        <v>6.5</v>
      </c>
      <c r="AB106" s="9"/>
      <c r="AC106" s="30">
        <v>107</v>
      </c>
      <c r="AD106" s="9"/>
      <c r="AE106" s="80">
        <v>0.75</v>
      </c>
      <c r="AF106" s="46"/>
      <c r="AG106" s="88">
        <v>543.75</v>
      </c>
      <c r="AH106" s="47"/>
      <c r="AJ106" s="83">
        <v>588354</v>
      </c>
      <c r="AL106" s="83">
        <v>85123</v>
      </c>
      <c r="AN106" s="83">
        <v>12450</v>
      </c>
      <c r="AP106" s="83">
        <v>197070</v>
      </c>
      <c r="AR106" s="83">
        <v>1379</v>
      </c>
      <c r="AT106" s="204">
        <v>884376</v>
      </c>
      <c r="AV106" s="46">
        <v>305</v>
      </c>
      <c r="AX106" s="46">
        <v>58.5</v>
      </c>
      <c r="AZ106" s="46">
        <v>6.5</v>
      </c>
      <c r="BB106" s="46">
        <v>103</v>
      </c>
      <c r="BD106" s="46">
        <v>0.65</v>
      </c>
      <c r="BF106" s="209">
        <v>543.75</v>
      </c>
      <c r="BI106" s="83">
        <v>49486</v>
      </c>
      <c r="BK106" s="83">
        <v>0</v>
      </c>
      <c r="BM106" s="83">
        <v>0</v>
      </c>
      <c r="BO106" s="83">
        <v>4000</v>
      </c>
      <c r="BQ106" s="83">
        <v>234</v>
      </c>
      <c r="BS106" s="85">
        <v>53720</v>
      </c>
      <c r="BU106" s="46">
        <v>66</v>
      </c>
      <c r="BW106" s="46">
        <v>0</v>
      </c>
      <c r="BY106" s="46">
        <v>0</v>
      </c>
      <c r="CA106" s="46">
        <v>4</v>
      </c>
      <c r="CC106" s="46">
        <v>0.1</v>
      </c>
      <c r="CE106" s="209">
        <v>70.099999999999994</v>
      </c>
      <c r="CH106" s="41">
        <v>24044119</v>
      </c>
      <c r="CJ106" s="41">
        <v>4587206</v>
      </c>
      <c r="CL106" s="41">
        <v>575110</v>
      </c>
      <c r="CN106" s="41">
        <v>6947836</v>
      </c>
      <c r="CP106" s="43">
        <v>36154271</v>
      </c>
      <c r="CS106" s="39">
        <v>37.696199999999997</v>
      </c>
      <c r="CU106" s="39">
        <v>53.889099999999999</v>
      </c>
      <c r="CW106" s="39">
        <v>0.90169999999999995</v>
      </c>
      <c r="CY106" s="39">
        <v>34.554299999999998</v>
      </c>
      <c r="DA106" s="44">
        <v>38.540100000000002</v>
      </c>
      <c r="DC106" s="1" t="str">
        <f t="shared" si="1"/>
        <v>No</v>
      </c>
    </row>
    <row r="107" spans="1:107">
      <c r="A107" s="7" t="s">
        <v>472</v>
      </c>
      <c r="B107" s="7" t="s">
        <v>473</v>
      </c>
      <c r="C107" s="37" t="s">
        <v>83</v>
      </c>
      <c r="D107" s="296">
        <v>4003</v>
      </c>
      <c r="E107" s="297">
        <v>40003</v>
      </c>
      <c r="F107" s="27" t="s">
        <v>162</v>
      </c>
      <c r="G107" s="27" t="s">
        <v>158</v>
      </c>
      <c r="H107" s="35">
        <v>1060061</v>
      </c>
      <c r="I107" s="35">
        <v>150</v>
      </c>
      <c r="J107" s="292"/>
      <c r="K107" s="8">
        <v>633230</v>
      </c>
      <c r="L107" s="8"/>
      <c r="M107" s="8">
        <v>152332</v>
      </c>
      <c r="N107" s="9"/>
      <c r="O107" s="8">
        <v>10113</v>
      </c>
      <c r="P107" s="9"/>
      <c r="Q107" s="8">
        <v>105475</v>
      </c>
      <c r="R107" s="9"/>
      <c r="S107" s="8">
        <v>0</v>
      </c>
      <c r="T107" s="9"/>
      <c r="U107" s="33">
        <v>901150</v>
      </c>
      <c r="V107" s="9"/>
      <c r="W107" s="30">
        <v>313</v>
      </c>
      <c r="X107" s="9"/>
      <c r="Y107" s="30">
        <v>90</v>
      </c>
      <c r="Z107" s="9"/>
      <c r="AA107" s="30">
        <v>6</v>
      </c>
      <c r="AB107" s="9"/>
      <c r="AC107" s="30">
        <v>51</v>
      </c>
      <c r="AD107" s="9"/>
      <c r="AE107" s="80">
        <v>0</v>
      </c>
      <c r="AF107" s="46"/>
      <c r="AG107" s="88">
        <v>460</v>
      </c>
      <c r="AH107" s="47"/>
      <c r="AJ107" s="83">
        <v>632033</v>
      </c>
      <c r="AL107" s="83">
        <v>152332</v>
      </c>
      <c r="AN107" s="83">
        <v>10113</v>
      </c>
      <c r="AP107" s="83">
        <v>105475</v>
      </c>
      <c r="AR107" s="83">
        <v>0</v>
      </c>
      <c r="AT107" s="204">
        <v>899953</v>
      </c>
      <c r="AV107" s="46">
        <v>312</v>
      </c>
      <c r="AX107" s="46">
        <v>90</v>
      </c>
      <c r="AZ107" s="46">
        <v>6</v>
      </c>
      <c r="BB107" s="46">
        <v>51</v>
      </c>
      <c r="BD107" s="46">
        <v>0</v>
      </c>
      <c r="BF107" s="209">
        <v>460</v>
      </c>
      <c r="BI107" s="83">
        <v>1197</v>
      </c>
      <c r="BK107" s="83">
        <v>0</v>
      </c>
      <c r="BM107" s="83">
        <v>0</v>
      </c>
      <c r="BO107" s="83">
        <v>0</v>
      </c>
      <c r="BQ107" s="83">
        <v>0</v>
      </c>
      <c r="BS107" s="85">
        <v>1197</v>
      </c>
      <c r="BU107" s="46">
        <v>1</v>
      </c>
      <c r="BW107" s="46">
        <v>0</v>
      </c>
      <c r="BY107" s="46">
        <v>0</v>
      </c>
      <c r="CA107" s="46">
        <v>0</v>
      </c>
      <c r="CC107" s="46">
        <v>0</v>
      </c>
      <c r="CE107" s="209">
        <v>1</v>
      </c>
      <c r="CH107" s="41">
        <v>14064634</v>
      </c>
      <c r="CJ107" s="41">
        <v>3273014</v>
      </c>
      <c r="CL107" s="41">
        <v>375079</v>
      </c>
      <c r="CN107" s="41">
        <v>2542835</v>
      </c>
      <c r="CP107" s="43">
        <v>20255562</v>
      </c>
      <c r="CS107" s="39">
        <v>22.210899999999999</v>
      </c>
      <c r="CU107" s="39">
        <v>21.4861</v>
      </c>
      <c r="CW107" s="39">
        <v>0.59230000000000005</v>
      </c>
      <c r="CY107" s="39">
        <v>24.1084</v>
      </c>
      <c r="DA107" s="44">
        <v>22.477499999999999</v>
      </c>
      <c r="DC107" s="1" t="str">
        <f t="shared" si="1"/>
        <v>No</v>
      </c>
    </row>
    <row r="108" spans="1:107">
      <c r="A108" s="7" t="s">
        <v>459</v>
      </c>
      <c r="B108" s="7" t="s">
        <v>460</v>
      </c>
      <c r="C108" s="37" t="s">
        <v>40</v>
      </c>
      <c r="D108" s="296">
        <v>5146</v>
      </c>
      <c r="E108" s="297">
        <v>50146</v>
      </c>
      <c r="F108" s="27" t="s">
        <v>165</v>
      </c>
      <c r="G108" s="27" t="s">
        <v>158</v>
      </c>
      <c r="H108" s="35">
        <v>2150706</v>
      </c>
      <c r="I108" s="35">
        <v>145</v>
      </c>
      <c r="J108" s="292"/>
      <c r="K108" s="8">
        <v>0</v>
      </c>
      <c r="L108" s="8"/>
      <c r="M108" s="8">
        <v>2030</v>
      </c>
      <c r="N108" s="9"/>
      <c r="O108" s="8">
        <v>0</v>
      </c>
      <c r="P108" s="9"/>
      <c r="Q108" s="8">
        <v>8769</v>
      </c>
      <c r="R108" s="9"/>
      <c r="S108" s="8">
        <v>0</v>
      </c>
      <c r="T108" s="9"/>
      <c r="U108" s="33">
        <v>10799</v>
      </c>
      <c r="V108" s="9"/>
      <c r="W108" s="30">
        <v>0</v>
      </c>
      <c r="X108" s="9"/>
      <c r="Y108" s="30">
        <v>1.1000000000000001</v>
      </c>
      <c r="Z108" s="9"/>
      <c r="AA108" s="30">
        <v>0</v>
      </c>
      <c r="AB108" s="9"/>
      <c r="AC108" s="30">
        <v>3.7</v>
      </c>
      <c r="AD108" s="9"/>
      <c r="AE108" s="80">
        <v>0</v>
      </c>
      <c r="AF108" s="46"/>
      <c r="AG108" s="88">
        <v>4.8</v>
      </c>
      <c r="AH108" s="47"/>
      <c r="AJ108" s="83">
        <v>0</v>
      </c>
      <c r="AL108" s="83">
        <v>2030</v>
      </c>
      <c r="AN108" s="83">
        <v>0</v>
      </c>
      <c r="AP108" s="83">
        <v>8769</v>
      </c>
      <c r="AR108" s="83">
        <v>0</v>
      </c>
      <c r="AT108" s="204">
        <v>10799</v>
      </c>
      <c r="AV108" s="46">
        <v>0</v>
      </c>
      <c r="AX108" s="46">
        <v>1.1000000000000001</v>
      </c>
      <c r="AZ108" s="46">
        <v>0</v>
      </c>
      <c r="BB108" s="46">
        <v>3.7</v>
      </c>
      <c r="BD108" s="46">
        <v>0</v>
      </c>
      <c r="BF108" s="209">
        <v>4.8</v>
      </c>
      <c r="BI108" s="83">
        <v>0</v>
      </c>
      <c r="BK108" s="83">
        <v>0</v>
      </c>
      <c r="BM108" s="83">
        <v>0</v>
      </c>
      <c r="BO108" s="83">
        <v>0</v>
      </c>
      <c r="BQ108" s="83">
        <v>0</v>
      </c>
      <c r="BS108" s="85">
        <v>0</v>
      </c>
      <c r="BU108" s="46">
        <v>0</v>
      </c>
      <c r="BW108" s="46">
        <v>0</v>
      </c>
      <c r="BY108" s="46">
        <v>0</v>
      </c>
      <c r="CA108" s="46">
        <v>0</v>
      </c>
      <c r="CC108" s="46">
        <v>0</v>
      </c>
      <c r="CE108" s="209">
        <v>0</v>
      </c>
      <c r="CH108" s="41">
        <v>0</v>
      </c>
      <c r="CJ108" s="41">
        <v>54684</v>
      </c>
      <c r="CL108" s="41">
        <v>0</v>
      </c>
      <c r="CN108" s="41">
        <v>206920</v>
      </c>
      <c r="CP108" s="43">
        <v>261604</v>
      </c>
      <c r="CU108" s="39">
        <v>26.937899999999999</v>
      </c>
      <c r="CY108" s="39">
        <v>23.596800000000002</v>
      </c>
      <c r="DA108" s="44">
        <v>24.224799999999998</v>
      </c>
      <c r="DC108" s="1" t="str">
        <f t="shared" si="1"/>
        <v>No</v>
      </c>
    </row>
    <row r="109" spans="1:107">
      <c r="A109" s="7" t="s">
        <v>379</v>
      </c>
      <c r="B109" s="7" t="s">
        <v>380</v>
      </c>
      <c r="C109" s="37" t="s">
        <v>32</v>
      </c>
      <c r="D109" s="296">
        <v>4030</v>
      </c>
      <c r="E109" s="297">
        <v>40030</v>
      </c>
      <c r="F109" s="27" t="s">
        <v>162</v>
      </c>
      <c r="G109" s="27" t="s">
        <v>158</v>
      </c>
      <c r="H109" s="35">
        <v>187781</v>
      </c>
      <c r="I109" s="35">
        <v>143</v>
      </c>
      <c r="J109" s="292"/>
      <c r="K109" s="8">
        <v>455226</v>
      </c>
      <c r="L109" s="8"/>
      <c r="M109" s="8">
        <v>76411</v>
      </c>
      <c r="N109" s="9"/>
      <c r="O109" s="8">
        <v>8402</v>
      </c>
      <c r="P109" s="9"/>
      <c r="Q109" s="8">
        <v>80363</v>
      </c>
      <c r="R109" s="9"/>
      <c r="S109" s="8">
        <v>0</v>
      </c>
      <c r="T109" s="9"/>
      <c r="U109" s="33">
        <v>620402</v>
      </c>
      <c r="V109" s="9"/>
      <c r="W109" s="30">
        <v>230</v>
      </c>
      <c r="X109" s="9"/>
      <c r="Y109" s="30">
        <v>43</v>
      </c>
      <c r="Z109" s="9"/>
      <c r="AA109" s="30">
        <v>5</v>
      </c>
      <c r="AB109" s="9"/>
      <c r="AC109" s="30">
        <v>44</v>
      </c>
      <c r="AD109" s="9"/>
      <c r="AE109" s="80">
        <v>0</v>
      </c>
      <c r="AF109" s="46"/>
      <c r="AG109" s="88">
        <v>322</v>
      </c>
      <c r="AH109" s="47"/>
      <c r="AJ109" s="83">
        <v>455226</v>
      </c>
      <c r="AL109" s="83">
        <v>76411</v>
      </c>
      <c r="AN109" s="83">
        <v>8402</v>
      </c>
      <c r="AP109" s="83">
        <v>79776</v>
      </c>
      <c r="AR109" s="83">
        <v>0</v>
      </c>
      <c r="AT109" s="204">
        <v>619815</v>
      </c>
      <c r="AV109" s="46">
        <v>230</v>
      </c>
      <c r="AX109" s="46">
        <v>43</v>
      </c>
      <c r="AZ109" s="46">
        <v>5</v>
      </c>
      <c r="BB109" s="46">
        <v>43</v>
      </c>
      <c r="BD109" s="46">
        <v>0</v>
      </c>
      <c r="BF109" s="209">
        <v>322</v>
      </c>
      <c r="BI109" s="83">
        <v>0</v>
      </c>
      <c r="BK109" s="83">
        <v>0</v>
      </c>
      <c r="BM109" s="83">
        <v>0</v>
      </c>
      <c r="BO109" s="83">
        <v>587</v>
      </c>
      <c r="BQ109" s="83">
        <v>0</v>
      </c>
      <c r="BS109" s="85">
        <v>587</v>
      </c>
      <c r="BU109" s="46">
        <v>0</v>
      </c>
      <c r="BW109" s="46">
        <v>0</v>
      </c>
      <c r="BY109" s="46">
        <v>0</v>
      </c>
      <c r="CA109" s="46">
        <v>1</v>
      </c>
      <c r="CC109" s="46">
        <v>0</v>
      </c>
      <c r="CE109" s="209">
        <v>1</v>
      </c>
      <c r="CH109" s="41">
        <v>8090536</v>
      </c>
      <c r="CJ109" s="41">
        <v>1398455</v>
      </c>
      <c r="CL109" s="41">
        <v>154906</v>
      </c>
      <c r="CN109" s="41">
        <v>1784500</v>
      </c>
      <c r="CP109" s="43">
        <v>11428397</v>
      </c>
      <c r="CS109" s="39">
        <v>17.772600000000001</v>
      </c>
      <c r="CU109" s="39">
        <v>18.3017</v>
      </c>
      <c r="CW109" s="39">
        <v>0.34029999999999999</v>
      </c>
      <c r="CY109" s="39">
        <v>22.205500000000001</v>
      </c>
      <c r="DA109" s="44">
        <v>18.420999999999999</v>
      </c>
      <c r="DC109" s="1" t="str">
        <f t="shared" si="1"/>
        <v>No</v>
      </c>
    </row>
    <row r="110" spans="1:107">
      <c r="A110" s="7" t="s">
        <v>257</v>
      </c>
      <c r="B110" s="7" t="s">
        <v>258</v>
      </c>
      <c r="C110" s="37" t="s">
        <v>17</v>
      </c>
      <c r="D110" s="296">
        <v>9078</v>
      </c>
      <c r="E110" s="297">
        <v>90078</v>
      </c>
      <c r="F110" s="27" t="s">
        <v>165</v>
      </c>
      <c r="G110" s="27" t="s">
        <v>158</v>
      </c>
      <c r="H110" s="35">
        <v>615968</v>
      </c>
      <c r="I110" s="35">
        <v>143</v>
      </c>
      <c r="J110" s="292"/>
      <c r="K110" s="8">
        <v>332488</v>
      </c>
      <c r="L110" s="8"/>
      <c r="M110" s="8">
        <v>57348</v>
      </c>
      <c r="N110" s="9"/>
      <c r="O110" s="8">
        <v>9376</v>
      </c>
      <c r="P110" s="9"/>
      <c r="Q110" s="8">
        <v>61714</v>
      </c>
      <c r="R110" s="9"/>
      <c r="S110" s="8">
        <v>0</v>
      </c>
      <c r="T110" s="9"/>
      <c r="U110" s="33">
        <v>460926</v>
      </c>
      <c r="V110" s="9"/>
      <c r="W110" s="30">
        <v>192</v>
      </c>
      <c r="X110" s="9"/>
      <c r="Y110" s="30">
        <v>32</v>
      </c>
      <c r="Z110" s="9"/>
      <c r="AA110" s="30">
        <v>5</v>
      </c>
      <c r="AB110" s="9"/>
      <c r="AC110" s="30">
        <v>35</v>
      </c>
      <c r="AD110" s="9"/>
      <c r="AE110" s="80">
        <v>0</v>
      </c>
      <c r="AF110" s="46"/>
      <c r="AG110" s="88">
        <v>264</v>
      </c>
      <c r="AH110" s="47"/>
      <c r="AJ110" s="83">
        <v>327567</v>
      </c>
      <c r="AL110" s="83">
        <v>57348</v>
      </c>
      <c r="AN110" s="83">
        <v>9376</v>
      </c>
      <c r="AP110" s="83">
        <v>59380</v>
      </c>
      <c r="AR110" s="83">
        <v>0</v>
      </c>
      <c r="AT110" s="204">
        <v>453671</v>
      </c>
      <c r="AV110" s="46">
        <v>187</v>
      </c>
      <c r="AX110" s="46">
        <v>32</v>
      </c>
      <c r="AZ110" s="46">
        <v>5</v>
      </c>
      <c r="BB110" s="46">
        <v>33</v>
      </c>
      <c r="BD110" s="46">
        <v>0</v>
      </c>
      <c r="BF110" s="209">
        <v>264</v>
      </c>
      <c r="BI110" s="83">
        <v>4921</v>
      </c>
      <c r="BK110" s="83">
        <v>0</v>
      </c>
      <c r="BM110" s="83">
        <v>0</v>
      </c>
      <c r="BO110" s="83">
        <v>2334</v>
      </c>
      <c r="BQ110" s="83">
        <v>0</v>
      </c>
      <c r="BS110" s="85">
        <v>7255</v>
      </c>
      <c r="BU110" s="46">
        <v>5</v>
      </c>
      <c r="BW110" s="46">
        <v>0</v>
      </c>
      <c r="BY110" s="46">
        <v>0</v>
      </c>
      <c r="CA110" s="46">
        <v>2</v>
      </c>
      <c r="CC110" s="46">
        <v>0</v>
      </c>
      <c r="CE110" s="209">
        <v>7</v>
      </c>
      <c r="CH110" s="41">
        <v>9205107</v>
      </c>
      <c r="CJ110" s="41">
        <v>1971873</v>
      </c>
      <c r="CL110" s="41">
        <v>289186</v>
      </c>
      <c r="CN110" s="41">
        <v>2168461</v>
      </c>
      <c r="CP110" s="43">
        <v>13634627</v>
      </c>
      <c r="CS110" s="39">
        <v>27.685500000000001</v>
      </c>
      <c r="CU110" s="39">
        <v>34.384300000000003</v>
      </c>
      <c r="CW110" s="39">
        <v>0.86980000000000002</v>
      </c>
      <c r="CY110" s="39">
        <v>35.137300000000003</v>
      </c>
      <c r="DA110" s="44">
        <v>29.5809</v>
      </c>
      <c r="DC110" s="1" t="str">
        <f t="shared" si="1"/>
        <v>No</v>
      </c>
    </row>
    <row r="111" spans="1:107">
      <c r="A111" s="7" t="s">
        <v>27</v>
      </c>
      <c r="B111" s="7" t="s">
        <v>563</v>
      </c>
      <c r="C111" s="37" t="s">
        <v>26</v>
      </c>
      <c r="D111" s="296">
        <v>8109</v>
      </c>
      <c r="E111" s="297">
        <v>80109</v>
      </c>
      <c r="F111" s="27" t="s">
        <v>243</v>
      </c>
      <c r="G111" s="27" t="s">
        <v>158</v>
      </c>
      <c r="H111" s="35">
        <v>2374203</v>
      </c>
      <c r="I111" s="35">
        <v>135</v>
      </c>
      <c r="J111" s="292"/>
      <c r="K111" s="8">
        <v>0</v>
      </c>
      <c r="L111" s="8"/>
      <c r="M111" s="8">
        <v>0</v>
      </c>
      <c r="N111" s="9"/>
      <c r="O111" s="8">
        <v>0</v>
      </c>
      <c r="P111" s="9"/>
      <c r="Q111" s="8">
        <v>4951</v>
      </c>
      <c r="R111" s="9"/>
      <c r="S111" s="8">
        <v>0</v>
      </c>
      <c r="T111" s="9"/>
      <c r="U111" s="33">
        <v>4951</v>
      </c>
      <c r="V111" s="9"/>
      <c r="W111" s="30">
        <v>0</v>
      </c>
      <c r="X111" s="9"/>
      <c r="Y111" s="30">
        <v>0</v>
      </c>
      <c r="Z111" s="9"/>
      <c r="AA111" s="30">
        <v>0</v>
      </c>
      <c r="AB111" s="9"/>
      <c r="AC111" s="30">
        <v>4</v>
      </c>
      <c r="AD111" s="9"/>
      <c r="AE111" s="80">
        <v>0</v>
      </c>
      <c r="AF111" s="46"/>
      <c r="AG111" s="88">
        <v>4</v>
      </c>
      <c r="AH111" s="47"/>
      <c r="AJ111" s="83">
        <v>0</v>
      </c>
      <c r="AL111" s="83">
        <v>0</v>
      </c>
      <c r="AN111" s="83">
        <v>0</v>
      </c>
      <c r="AP111" s="83">
        <v>4450</v>
      </c>
      <c r="AR111" s="83">
        <v>0</v>
      </c>
      <c r="AT111" s="204">
        <v>4450</v>
      </c>
      <c r="AV111" s="46">
        <v>0</v>
      </c>
      <c r="AX111" s="46">
        <v>0</v>
      </c>
      <c r="AZ111" s="46">
        <v>0</v>
      </c>
      <c r="BB111" s="46">
        <v>3</v>
      </c>
      <c r="BD111" s="46">
        <v>0</v>
      </c>
      <c r="BF111" s="209">
        <v>4</v>
      </c>
      <c r="BI111" s="83">
        <v>0</v>
      </c>
      <c r="BK111" s="83">
        <v>0</v>
      </c>
      <c r="BM111" s="83">
        <v>0</v>
      </c>
      <c r="BO111" s="83">
        <v>501</v>
      </c>
      <c r="BQ111" s="83">
        <v>0</v>
      </c>
      <c r="BS111" s="85">
        <v>501</v>
      </c>
      <c r="BU111" s="46">
        <v>0</v>
      </c>
      <c r="BW111" s="46">
        <v>0</v>
      </c>
      <c r="BY111" s="46">
        <v>0</v>
      </c>
      <c r="CA111" s="46">
        <v>1</v>
      </c>
      <c r="CC111" s="46">
        <v>0</v>
      </c>
      <c r="CE111" s="209">
        <v>1</v>
      </c>
      <c r="CH111" s="41">
        <v>0</v>
      </c>
      <c r="CJ111" s="41">
        <v>0</v>
      </c>
      <c r="CL111" s="41">
        <v>0</v>
      </c>
      <c r="CN111" s="41">
        <v>124147</v>
      </c>
      <c r="CP111" s="43">
        <v>124147</v>
      </c>
      <c r="CY111" s="39">
        <v>25.075099999999999</v>
      </c>
      <c r="DA111" s="44">
        <v>25.075099999999999</v>
      </c>
      <c r="DC111" s="1" t="str">
        <f t="shared" si="1"/>
        <v>No</v>
      </c>
    </row>
    <row r="112" spans="1:107">
      <c r="A112" s="7" t="s">
        <v>23</v>
      </c>
      <c r="B112" s="7" t="s">
        <v>578</v>
      </c>
      <c r="C112" s="37" t="s">
        <v>17</v>
      </c>
      <c r="D112" s="296">
        <v>9223</v>
      </c>
      <c r="E112" s="297">
        <v>90223</v>
      </c>
      <c r="F112" s="27" t="s">
        <v>165</v>
      </c>
      <c r="G112" s="27" t="s">
        <v>158</v>
      </c>
      <c r="H112" s="35">
        <v>1723634</v>
      </c>
      <c r="I112" s="35">
        <v>134</v>
      </c>
      <c r="J112" s="292"/>
      <c r="K112" s="8">
        <v>357230</v>
      </c>
      <c r="L112" s="8"/>
      <c r="M112" s="8">
        <v>20515</v>
      </c>
      <c r="N112" s="9"/>
      <c r="O112" s="8">
        <v>2175</v>
      </c>
      <c r="P112" s="9"/>
      <c r="Q112" s="8">
        <v>41359</v>
      </c>
      <c r="R112" s="9"/>
      <c r="S112" s="8">
        <v>0</v>
      </c>
      <c r="T112" s="9"/>
      <c r="U112" s="33">
        <v>421279</v>
      </c>
      <c r="V112" s="9"/>
      <c r="W112" s="30">
        <v>184.5</v>
      </c>
      <c r="X112" s="9"/>
      <c r="Y112" s="30">
        <v>11.7</v>
      </c>
      <c r="Z112" s="9"/>
      <c r="AA112" s="30">
        <v>0.5</v>
      </c>
      <c r="AB112" s="9"/>
      <c r="AC112" s="30">
        <v>22.9</v>
      </c>
      <c r="AD112" s="9"/>
      <c r="AE112" s="80">
        <v>0</v>
      </c>
      <c r="AF112" s="46"/>
      <c r="AG112" s="88">
        <v>219.6</v>
      </c>
      <c r="AH112" s="47"/>
      <c r="AJ112" s="83">
        <v>341324</v>
      </c>
      <c r="AL112" s="83">
        <v>20515</v>
      </c>
      <c r="AN112" s="83">
        <v>2175</v>
      </c>
      <c r="AP112" s="83">
        <v>41359</v>
      </c>
      <c r="AR112" s="83">
        <v>0</v>
      </c>
      <c r="AT112" s="204">
        <v>405373</v>
      </c>
      <c r="AV112" s="46">
        <v>172.1</v>
      </c>
      <c r="AX112" s="46">
        <v>11.7</v>
      </c>
      <c r="AZ112" s="46">
        <v>0.5</v>
      </c>
      <c r="BB112" s="46">
        <v>22.9</v>
      </c>
      <c r="BD112" s="46">
        <v>0</v>
      </c>
      <c r="BF112" s="209">
        <v>219.6</v>
      </c>
      <c r="BI112" s="83">
        <v>15906</v>
      </c>
      <c r="BK112" s="83">
        <v>0</v>
      </c>
      <c r="BM112" s="83">
        <v>0</v>
      </c>
      <c r="BO112" s="83">
        <v>0</v>
      </c>
      <c r="BQ112" s="83">
        <v>0</v>
      </c>
      <c r="BS112" s="85">
        <v>15906</v>
      </c>
      <c r="BU112" s="46">
        <v>12.4</v>
      </c>
      <c r="BW112" s="46">
        <v>0</v>
      </c>
      <c r="BY112" s="46">
        <v>0</v>
      </c>
      <c r="CA112" s="46">
        <v>0</v>
      </c>
      <c r="CC112" s="46">
        <v>0</v>
      </c>
      <c r="CE112" s="209">
        <v>12.4</v>
      </c>
      <c r="CH112" s="41">
        <v>5647077</v>
      </c>
      <c r="CJ112" s="41">
        <v>442089</v>
      </c>
      <c r="CL112" s="41">
        <v>35546</v>
      </c>
      <c r="CN112" s="41">
        <v>864186</v>
      </c>
      <c r="CP112" s="43">
        <v>6988898</v>
      </c>
      <c r="CS112" s="39">
        <v>15.808</v>
      </c>
      <c r="CU112" s="39">
        <v>21.549499999999998</v>
      </c>
      <c r="CW112" s="39">
        <v>9.9500000000000005E-2</v>
      </c>
      <c r="CY112" s="39">
        <v>20.8948</v>
      </c>
      <c r="DA112" s="44">
        <v>16.589700000000001</v>
      </c>
      <c r="DC112" s="1" t="str">
        <f t="shared" si="1"/>
        <v>No</v>
      </c>
    </row>
    <row r="113" spans="1:107">
      <c r="A113" s="7" t="s">
        <v>338</v>
      </c>
      <c r="B113" s="7" t="s">
        <v>339</v>
      </c>
      <c r="C113" s="37" t="s">
        <v>32</v>
      </c>
      <c r="D113" s="296">
        <v>4032</v>
      </c>
      <c r="E113" s="297">
        <v>40032</v>
      </c>
      <c r="F113" s="27" t="s">
        <v>162</v>
      </c>
      <c r="G113" s="27" t="s">
        <v>158</v>
      </c>
      <c r="H113" s="35">
        <v>349064</v>
      </c>
      <c r="I113" s="35">
        <v>133</v>
      </c>
      <c r="J113" s="292"/>
      <c r="K113" s="8">
        <v>346483</v>
      </c>
      <c r="L113" s="8"/>
      <c r="M113" s="8">
        <v>60724</v>
      </c>
      <c r="N113" s="9"/>
      <c r="O113" s="8">
        <v>21164</v>
      </c>
      <c r="P113" s="9"/>
      <c r="Q113" s="8">
        <v>85150</v>
      </c>
      <c r="R113" s="9"/>
      <c r="S113" s="8">
        <v>0</v>
      </c>
      <c r="T113" s="9"/>
      <c r="U113" s="33">
        <v>513521</v>
      </c>
      <c r="V113" s="9"/>
      <c r="W113" s="30">
        <v>183</v>
      </c>
      <c r="X113" s="9"/>
      <c r="Y113" s="30">
        <v>33</v>
      </c>
      <c r="Z113" s="9"/>
      <c r="AA113" s="30">
        <v>10.3</v>
      </c>
      <c r="AB113" s="9"/>
      <c r="AC113" s="30">
        <v>51</v>
      </c>
      <c r="AD113" s="9"/>
      <c r="AE113" s="80">
        <v>0</v>
      </c>
      <c r="AF113" s="46"/>
      <c r="AG113" s="88">
        <v>277.3</v>
      </c>
      <c r="AH113" s="47"/>
      <c r="AJ113" s="83">
        <v>346483</v>
      </c>
      <c r="AL113" s="83">
        <v>60724</v>
      </c>
      <c r="AN113" s="83">
        <v>20603</v>
      </c>
      <c r="AP113" s="83">
        <v>76167</v>
      </c>
      <c r="AR113" s="83">
        <v>0</v>
      </c>
      <c r="AT113" s="204">
        <v>503977</v>
      </c>
      <c r="AV113" s="46">
        <v>183</v>
      </c>
      <c r="AX113" s="46">
        <v>33</v>
      </c>
      <c r="AZ113" s="46">
        <v>9.9</v>
      </c>
      <c r="BB113" s="46">
        <v>44</v>
      </c>
      <c r="BD113" s="46">
        <v>0</v>
      </c>
      <c r="BF113" s="209">
        <v>277.3</v>
      </c>
      <c r="BI113" s="83">
        <v>0</v>
      </c>
      <c r="BK113" s="83">
        <v>0</v>
      </c>
      <c r="BM113" s="83">
        <v>561</v>
      </c>
      <c r="BO113" s="83">
        <v>8983</v>
      </c>
      <c r="BQ113" s="83">
        <v>0</v>
      </c>
      <c r="BS113" s="85">
        <v>9544</v>
      </c>
      <c r="BU113" s="46">
        <v>0</v>
      </c>
      <c r="BW113" s="46">
        <v>0</v>
      </c>
      <c r="BY113" s="46">
        <v>0.4</v>
      </c>
      <c r="CA113" s="46">
        <v>7</v>
      </c>
      <c r="CC113" s="46">
        <v>0</v>
      </c>
      <c r="CE113" s="209">
        <v>7.4</v>
      </c>
      <c r="CH113" s="41">
        <v>5959615</v>
      </c>
      <c r="CJ113" s="41">
        <v>882284</v>
      </c>
      <c r="CL113" s="41">
        <v>462751</v>
      </c>
      <c r="CN113" s="41">
        <v>1233872</v>
      </c>
      <c r="CP113" s="43">
        <v>8538522</v>
      </c>
      <c r="CS113" s="39">
        <v>17.200299999999999</v>
      </c>
      <c r="CU113" s="39">
        <v>14.529400000000001</v>
      </c>
      <c r="CW113" s="39">
        <v>1.3355999999999999</v>
      </c>
      <c r="CY113" s="39">
        <v>14.490600000000001</v>
      </c>
      <c r="DA113" s="44">
        <v>16.627400000000002</v>
      </c>
      <c r="DC113" s="1" t="str">
        <f t="shared" si="1"/>
        <v>No</v>
      </c>
    </row>
    <row r="114" spans="1:107">
      <c r="A114" s="7" t="s">
        <v>377</v>
      </c>
      <c r="B114" s="7" t="s">
        <v>378</v>
      </c>
      <c r="C114" s="37" t="s">
        <v>17</v>
      </c>
      <c r="D114" s="296">
        <v>9027</v>
      </c>
      <c r="E114" s="297">
        <v>90027</v>
      </c>
      <c r="F114" s="27" t="s">
        <v>162</v>
      </c>
      <c r="G114" s="27" t="s">
        <v>158</v>
      </c>
      <c r="H114" s="35">
        <v>654628</v>
      </c>
      <c r="I114" s="35">
        <v>129</v>
      </c>
      <c r="J114" s="292"/>
      <c r="K114" s="8">
        <v>453170</v>
      </c>
      <c r="L114" s="8"/>
      <c r="M114" s="8">
        <v>86273</v>
      </c>
      <c r="N114" s="9"/>
      <c r="O114" s="8">
        <v>14810</v>
      </c>
      <c r="P114" s="9"/>
      <c r="Q114" s="8">
        <v>51185</v>
      </c>
      <c r="R114" s="9"/>
      <c r="S114" s="8">
        <v>0</v>
      </c>
      <c r="T114" s="9"/>
      <c r="U114" s="33">
        <v>605438</v>
      </c>
      <c r="V114" s="9"/>
      <c r="W114" s="30">
        <v>236</v>
      </c>
      <c r="X114" s="9"/>
      <c r="Y114" s="30">
        <v>48</v>
      </c>
      <c r="Z114" s="9"/>
      <c r="AA114" s="30">
        <v>8</v>
      </c>
      <c r="AB114" s="9"/>
      <c r="AC114" s="30">
        <v>25</v>
      </c>
      <c r="AD114" s="9"/>
      <c r="AE114" s="80">
        <v>0</v>
      </c>
      <c r="AF114" s="46"/>
      <c r="AG114" s="88">
        <v>317</v>
      </c>
      <c r="AH114" s="47"/>
      <c r="AJ114" s="83">
        <v>453170</v>
      </c>
      <c r="AL114" s="83">
        <v>86273</v>
      </c>
      <c r="AN114" s="83">
        <v>14810</v>
      </c>
      <c r="AP114" s="83">
        <v>51185</v>
      </c>
      <c r="AR114" s="83">
        <v>0</v>
      </c>
      <c r="AT114" s="204">
        <v>605438</v>
      </c>
      <c r="AV114" s="46">
        <v>236</v>
      </c>
      <c r="AX114" s="46">
        <v>48</v>
      </c>
      <c r="AZ114" s="46">
        <v>8</v>
      </c>
      <c r="BB114" s="46">
        <v>25</v>
      </c>
      <c r="BD114" s="46">
        <v>0</v>
      </c>
      <c r="BF114" s="209">
        <v>317</v>
      </c>
      <c r="BI114" s="83">
        <v>0</v>
      </c>
      <c r="BK114" s="83">
        <v>0</v>
      </c>
      <c r="BM114" s="83">
        <v>0</v>
      </c>
      <c r="BO114" s="83">
        <v>0</v>
      </c>
      <c r="BQ114" s="83">
        <v>0</v>
      </c>
      <c r="BS114" s="85">
        <v>0</v>
      </c>
      <c r="BU114" s="46">
        <v>0</v>
      </c>
      <c r="BW114" s="46">
        <v>0</v>
      </c>
      <c r="BY114" s="46">
        <v>0</v>
      </c>
      <c r="CA114" s="46">
        <v>0</v>
      </c>
      <c r="CC114" s="46">
        <v>0</v>
      </c>
      <c r="CE114" s="209">
        <v>0</v>
      </c>
      <c r="CH114" s="41">
        <v>13163687</v>
      </c>
      <c r="CJ114" s="41">
        <v>2659598</v>
      </c>
      <c r="CL114" s="41">
        <v>415286</v>
      </c>
      <c r="CN114" s="41">
        <v>1433179</v>
      </c>
      <c r="CP114" s="43">
        <v>17671750</v>
      </c>
      <c r="CS114" s="39">
        <v>29.047999999999998</v>
      </c>
      <c r="CU114" s="39">
        <v>30.8277</v>
      </c>
      <c r="CW114" s="39">
        <v>0.91639999999999999</v>
      </c>
      <c r="CY114" s="39">
        <v>28</v>
      </c>
      <c r="DA114" s="44">
        <v>29.188400000000001</v>
      </c>
      <c r="DC114" s="1" t="str">
        <f t="shared" si="1"/>
        <v>No</v>
      </c>
    </row>
    <row r="115" spans="1:107">
      <c r="A115" s="7" t="s">
        <v>174</v>
      </c>
      <c r="B115" s="7" t="s">
        <v>175</v>
      </c>
      <c r="C115" s="37" t="s">
        <v>48</v>
      </c>
      <c r="D115" s="296">
        <v>3085</v>
      </c>
      <c r="E115" s="297">
        <v>30085</v>
      </c>
      <c r="F115" s="27" t="s">
        <v>162</v>
      </c>
      <c r="G115" s="27" t="s">
        <v>158</v>
      </c>
      <c r="H115" s="35">
        <v>4586770</v>
      </c>
      <c r="I115" s="35">
        <v>128</v>
      </c>
      <c r="J115" s="292"/>
      <c r="K115" s="8">
        <v>52291</v>
      </c>
      <c r="L115" s="8"/>
      <c r="M115" s="8">
        <v>3219</v>
      </c>
      <c r="N115" s="9"/>
      <c r="O115" s="8">
        <v>2972</v>
      </c>
      <c r="P115" s="9"/>
      <c r="Q115" s="8">
        <v>12922</v>
      </c>
      <c r="R115" s="9"/>
      <c r="S115" s="8">
        <v>0</v>
      </c>
      <c r="T115" s="9"/>
      <c r="U115" s="33">
        <v>71404</v>
      </c>
      <c r="V115" s="9"/>
      <c r="W115" s="30">
        <v>27.75</v>
      </c>
      <c r="X115" s="9"/>
      <c r="Y115" s="30">
        <v>1.95</v>
      </c>
      <c r="Z115" s="9"/>
      <c r="AA115" s="30">
        <v>1.8</v>
      </c>
      <c r="AB115" s="9"/>
      <c r="AC115" s="30">
        <v>7.83</v>
      </c>
      <c r="AD115" s="9"/>
      <c r="AE115" s="80">
        <v>0</v>
      </c>
      <c r="AF115" s="46"/>
      <c r="AG115" s="88">
        <v>39.33</v>
      </c>
      <c r="AH115" s="47"/>
      <c r="AJ115" s="83">
        <v>52291</v>
      </c>
      <c r="AL115" s="83">
        <v>3219</v>
      </c>
      <c r="AN115" s="83">
        <v>2972</v>
      </c>
      <c r="AP115" s="83">
        <v>12922</v>
      </c>
      <c r="AR115" s="83">
        <v>0</v>
      </c>
      <c r="AT115" s="204">
        <v>71404</v>
      </c>
      <c r="AV115" s="46">
        <v>27.75</v>
      </c>
      <c r="AX115" s="46">
        <v>1.95</v>
      </c>
      <c r="AZ115" s="46">
        <v>1.8</v>
      </c>
      <c r="BB115" s="46">
        <v>7.83</v>
      </c>
      <c r="BD115" s="46">
        <v>0</v>
      </c>
      <c r="BF115" s="209">
        <v>39.33</v>
      </c>
      <c r="BI115" s="83">
        <v>0</v>
      </c>
      <c r="BK115" s="83">
        <v>0</v>
      </c>
      <c r="BM115" s="83">
        <v>0</v>
      </c>
      <c r="BO115" s="83">
        <v>0</v>
      </c>
      <c r="BQ115" s="83">
        <v>0</v>
      </c>
      <c r="BS115" s="85">
        <v>0</v>
      </c>
      <c r="BU115" s="46">
        <v>0</v>
      </c>
      <c r="BW115" s="46">
        <v>0</v>
      </c>
      <c r="BY115" s="46">
        <v>0</v>
      </c>
      <c r="CA115" s="46">
        <v>0</v>
      </c>
      <c r="CC115" s="46">
        <v>0</v>
      </c>
      <c r="CE115" s="209">
        <v>0</v>
      </c>
      <c r="CH115" s="41">
        <v>1042506</v>
      </c>
      <c r="CJ115" s="41">
        <v>58417</v>
      </c>
      <c r="CL115" s="41">
        <v>68566</v>
      </c>
      <c r="CN115" s="41">
        <v>414458</v>
      </c>
      <c r="CP115" s="43">
        <v>1583947</v>
      </c>
      <c r="CS115" s="39">
        <v>19.936599999999999</v>
      </c>
      <c r="CU115" s="39">
        <v>18.147600000000001</v>
      </c>
      <c r="CW115" s="39">
        <v>1.3111999999999999</v>
      </c>
      <c r="CY115" s="39">
        <v>32.073799999999999</v>
      </c>
      <c r="DA115" s="44">
        <v>22.1829</v>
      </c>
      <c r="DC115" s="1" t="str">
        <f t="shared" si="1"/>
        <v>No</v>
      </c>
    </row>
    <row r="116" spans="1:107">
      <c r="A116" s="7" t="s">
        <v>1110</v>
      </c>
      <c r="B116" s="7" t="s">
        <v>409</v>
      </c>
      <c r="C116" s="37" t="s">
        <v>84</v>
      </c>
      <c r="D116" s="296">
        <v>6084</v>
      </c>
      <c r="E116" s="297">
        <v>60084</v>
      </c>
      <c r="F116" s="27" t="s">
        <v>243</v>
      </c>
      <c r="G116" s="27" t="s">
        <v>158</v>
      </c>
      <c r="H116" s="35">
        <v>5121892</v>
      </c>
      <c r="I116" s="35">
        <v>127</v>
      </c>
      <c r="J116" s="292"/>
      <c r="K116" s="8">
        <v>0</v>
      </c>
      <c r="L116" s="8"/>
      <c r="M116" s="8">
        <v>0</v>
      </c>
      <c r="N116" s="9"/>
      <c r="O116" s="8">
        <v>0</v>
      </c>
      <c r="P116" s="9"/>
      <c r="Q116" s="8">
        <v>6203</v>
      </c>
      <c r="R116" s="9"/>
      <c r="S116" s="8">
        <v>0</v>
      </c>
      <c r="T116" s="9"/>
      <c r="U116" s="33">
        <v>6203</v>
      </c>
      <c r="V116" s="9"/>
      <c r="W116" s="30">
        <v>0</v>
      </c>
      <c r="X116" s="9"/>
      <c r="Y116" s="30">
        <v>0</v>
      </c>
      <c r="Z116" s="9"/>
      <c r="AA116" s="30">
        <v>0</v>
      </c>
      <c r="AB116" s="9"/>
      <c r="AC116" s="30">
        <v>4</v>
      </c>
      <c r="AD116" s="9"/>
      <c r="AE116" s="80">
        <v>0</v>
      </c>
      <c r="AF116" s="46"/>
      <c r="AG116" s="88">
        <v>4</v>
      </c>
      <c r="AH116" s="47"/>
      <c r="AJ116" s="83">
        <v>0</v>
      </c>
      <c r="AL116" s="83">
        <v>0</v>
      </c>
      <c r="AN116" s="83">
        <v>0</v>
      </c>
      <c r="AP116" s="83">
        <v>5542</v>
      </c>
      <c r="AR116" s="83">
        <v>0</v>
      </c>
      <c r="AT116" s="204">
        <v>5542</v>
      </c>
      <c r="AV116" s="46">
        <v>0</v>
      </c>
      <c r="AX116" s="46">
        <v>0</v>
      </c>
      <c r="AZ116" s="46">
        <v>0</v>
      </c>
      <c r="BB116" s="46">
        <v>3</v>
      </c>
      <c r="BD116" s="46">
        <v>0</v>
      </c>
      <c r="BF116" s="209">
        <v>4</v>
      </c>
      <c r="BI116" s="83">
        <v>0</v>
      </c>
      <c r="BK116" s="83">
        <v>0</v>
      </c>
      <c r="BM116" s="83">
        <v>0</v>
      </c>
      <c r="BO116" s="83">
        <v>661</v>
      </c>
      <c r="BQ116" s="83">
        <v>0</v>
      </c>
      <c r="BS116" s="85">
        <v>661</v>
      </c>
      <c r="BU116" s="46">
        <v>0</v>
      </c>
      <c r="BW116" s="46">
        <v>0</v>
      </c>
      <c r="BY116" s="46">
        <v>0</v>
      </c>
      <c r="CA116" s="46">
        <v>1</v>
      </c>
      <c r="CC116" s="46">
        <v>0</v>
      </c>
      <c r="CE116" s="209">
        <v>1</v>
      </c>
      <c r="CH116" s="41">
        <v>0</v>
      </c>
      <c r="CJ116" s="41">
        <v>0</v>
      </c>
      <c r="CL116" s="41">
        <v>0</v>
      </c>
      <c r="CN116" s="41">
        <v>89431</v>
      </c>
      <c r="CP116" s="43">
        <v>89431</v>
      </c>
      <c r="CY116" s="39">
        <v>14.417400000000001</v>
      </c>
      <c r="DA116" s="44">
        <v>14.417400000000001</v>
      </c>
      <c r="DC116" s="1" t="str">
        <f t="shared" si="1"/>
        <v>No</v>
      </c>
    </row>
    <row r="117" spans="1:107">
      <c r="A117" s="7" t="s">
        <v>168</v>
      </c>
      <c r="B117" s="7" t="s">
        <v>169</v>
      </c>
      <c r="C117" s="37" t="s">
        <v>84</v>
      </c>
      <c r="D117" s="296">
        <v>6091</v>
      </c>
      <c r="E117" s="297">
        <v>60091</v>
      </c>
      <c r="F117" s="27" t="s">
        <v>165</v>
      </c>
      <c r="G117" s="27" t="s">
        <v>158</v>
      </c>
      <c r="H117" s="35">
        <v>217630</v>
      </c>
      <c r="I117" s="35">
        <v>122</v>
      </c>
      <c r="J117" s="292"/>
      <c r="K117" s="8">
        <v>312284</v>
      </c>
      <c r="L117" s="8"/>
      <c r="M117" s="8">
        <v>23209</v>
      </c>
      <c r="N117" s="9"/>
      <c r="O117" s="8">
        <v>12161</v>
      </c>
      <c r="P117" s="9"/>
      <c r="Q117" s="8">
        <v>26864</v>
      </c>
      <c r="R117" s="9"/>
      <c r="S117" s="8">
        <v>0</v>
      </c>
      <c r="T117" s="9"/>
      <c r="U117" s="33">
        <v>374518</v>
      </c>
      <c r="V117" s="9"/>
      <c r="W117" s="30">
        <v>150</v>
      </c>
      <c r="X117" s="9"/>
      <c r="Y117" s="30">
        <v>10</v>
      </c>
      <c r="Z117" s="9"/>
      <c r="AA117" s="30">
        <v>7</v>
      </c>
      <c r="AB117" s="9"/>
      <c r="AC117" s="30">
        <v>13.97</v>
      </c>
      <c r="AD117" s="9"/>
      <c r="AE117" s="80">
        <v>0</v>
      </c>
      <c r="AF117" s="46"/>
      <c r="AG117" s="88">
        <v>180.97</v>
      </c>
      <c r="AH117" s="47"/>
      <c r="AJ117" s="83">
        <v>312284</v>
      </c>
      <c r="AL117" s="83">
        <v>23209</v>
      </c>
      <c r="AN117" s="83">
        <v>12161</v>
      </c>
      <c r="AP117" s="83">
        <v>26864</v>
      </c>
      <c r="AR117" s="83">
        <v>0</v>
      </c>
      <c r="AT117" s="204">
        <v>374518</v>
      </c>
      <c r="AV117" s="46">
        <v>150</v>
      </c>
      <c r="AX117" s="46">
        <v>10</v>
      </c>
      <c r="AZ117" s="46">
        <v>7</v>
      </c>
      <c r="BB117" s="46">
        <v>13.97</v>
      </c>
      <c r="BD117" s="46">
        <v>0</v>
      </c>
      <c r="BF117" s="209">
        <v>180.97</v>
      </c>
      <c r="BI117" s="83">
        <v>0</v>
      </c>
      <c r="BK117" s="83">
        <v>0</v>
      </c>
      <c r="BM117" s="83">
        <v>0</v>
      </c>
      <c r="BO117" s="83">
        <v>0</v>
      </c>
      <c r="BQ117" s="83">
        <v>0</v>
      </c>
      <c r="BS117" s="85">
        <v>0</v>
      </c>
      <c r="BU117" s="46">
        <v>0</v>
      </c>
      <c r="BW117" s="46">
        <v>0</v>
      </c>
      <c r="BY117" s="46">
        <v>0</v>
      </c>
      <c r="CA117" s="46">
        <v>0</v>
      </c>
      <c r="CC117" s="46">
        <v>0</v>
      </c>
      <c r="CE117" s="209">
        <v>0</v>
      </c>
      <c r="CH117" s="41">
        <v>4286406</v>
      </c>
      <c r="CJ117" s="41">
        <v>459540</v>
      </c>
      <c r="CL117" s="41">
        <v>140598</v>
      </c>
      <c r="CN117" s="41">
        <v>739508</v>
      </c>
      <c r="CP117" s="43">
        <v>5626052</v>
      </c>
      <c r="CS117" s="39">
        <v>13.726000000000001</v>
      </c>
      <c r="CU117" s="39">
        <v>19.8001</v>
      </c>
      <c r="CW117" s="39">
        <v>0.45019999999999999</v>
      </c>
      <c r="CY117" s="39">
        <v>27.527799999999999</v>
      </c>
      <c r="DA117" s="44">
        <v>15.0221</v>
      </c>
      <c r="DC117" s="1" t="str">
        <f t="shared" si="1"/>
        <v>No</v>
      </c>
    </row>
    <row r="118" spans="1:107">
      <c r="A118" s="7" t="s">
        <v>269</v>
      </c>
      <c r="B118" s="7" t="s">
        <v>270</v>
      </c>
      <c r="C118" s="37" t="s">
        <v>40</v>
      </c>
      <c r="D118" s="296">
        <v>5060</v>
      </c>
      <c r="E118" s="297">
        <v>50060</v>
      </c>
      <c r="F118" s="27" t="s">
        <v>165</v>
      </c>
      <c r="G118" s="27" t="s">
        <v>158</v>
      </c>
      <c r="H118" s="35">
        <v>145361</v>
      </c>
      <c r="I118" s="35">
        <v>120</v>
      </c>
      <c r="J118" s="292"/>
      <c r="K118" s="8">
        <v>423498</v>
      </c>
      <c r="L118" s="8"/>
      <c r="M118" s="8">
        <v>78430</v>
      </c>
      <c r="N118" s="9"/>
      <c r="O118" s="8">
        <v>15528</v>
      </c>
      <c r="P118" s="9"/>
      <c r="Q118" s="8">
        <v>42976</v>
      </c>
      <c r="R118" s="9"/>
      <c r="S118" s="8">
        <v>0</v>
      </c>
      <c r="T118" s="9"/>
      <c r="U118" s="33">
        <v>560432</v>
      </c>
      <c r="V118" s="9"/>
      <c r="W118" s="30">
        <v>272.10000000000002</v>
      </c>
      <c r="X118" s="9"/>
      <c r="Y118" s="30">
        <v>44.7</v>
      </c>
      <c r="Z118" s="9"/>
      <c r="AA118" s="30">
        <v>10.15</v>
      </c>
      <c r="AB118" s="9"/>
      <c r="AC118" s="30">
        <v>27.5</v>
      </c>
      <c r="AD118" s="9"/>
      <c r="AE118" s="80">
        <v>0</v>
      </c>
      <c r="AF118" s="46"/>
      <c r="AG118" s="88">
        <v>354.45</v>
      </c>
      <c r="AH118" s="47"/>
      <c r="AJ118" s="83">
        <v>281985</v>
      </c>
      <c r="AL118" s="83">
        <v>74214</v>
      </c>
      <c r="AN118" s="83">
        <v>9541</v>
      </c>
      <c r="AP118" s="83">
        <v>31259</v>
      </c>
      <c r="AR118" s="83">
        <v>0</v>
      </c>
      <c r="AT118" s="204">
        <v>396999</v>
      </c>
      <c r="AV118" s="46">
        <v>161.19999999999999</v>
      </c>
      <c r="AX118" s="46">
        <v>40.5</v>
      </c>
      <c r="AZ118" s="46">
        <v>5.15</v>
      </c>
      <c r="BB118" s="46">
        <v>16.8</v>
      </c>
      <c r="BD118" s="46">
        <v>0</v>
      </c>
      <c r="BF118" s="209">
        <v>354.45</v>
      </c>
      <c r="BI118" s="83">
        <v>141513</v>
      </c>
      <c r="BK118" s="83">
        <v>4216</v>
      </c>
      <c r="BM118" s="83">
        <v>5987</v>
      </c>
      <c r="BO118" s="83">
        <v>11717</v>
      </c>
      <c r="BQ118" s="83">
        <v>0</v>
      </c>
      <c r="BS118" s="85">
        <v>163433</v>
      </c>
      <c r="BU118" s="46">
        <v>110.9</v>
      </c>
      <c r="BW118" s="46">
        <v>4.2</v>
      </c>
      <c r="BY118" s="46">
        <v>5</v>
      </c>
      <c r="CA118" s="46">
        <v>10.7</v>
      </c>
      <c r="CC118" s="46">
        <v>0</v>
      </c>
      <c r="CE118" s="209">
        <v>130.80000000000001</v>
      </c>
      <c r="CH118" s="41">
        <v>10413774</v>
      </c>
      <c r="CJ118" s="41">
        <v>1976278</v>
      </c>
      <c r="CL118" s="41">
        <v>250338</v>
      </c>
      <c r="CN118" s="41">
        <v>1572708</v>
      </c>
      <c r="CP118" s="43">
        <v>14213098</v>
      </c>
      <c r="CS118" s="39">
        <v>24.5899</v>
      </c>
      <c r="CU118" s="39">
        <v>25.198</v>
      </c>
      <c r="CW118" s="39">
        <v>0.59109999999999996</v>
      </c>
      <c r="CY118" s="39">
        <v>36.594999999999999</v>
      </c>
      <c r="DA118" s="44">
        <v>25.361000000000001</v>
      </c>
      <c r="DC118" s="1" t="str">
        <f t="shared" si="1"/>
        <v>No</v>
      </c>
    </row>
    <row r="119" spans="1:107">
      <c r="A119" s="7" t="s">
        <v>779</v>
      </c>
      <c r="B119" s="7" t="s">
        <v>343</v>
      </c>
      <c r="C119" s="37" t="s">
        <v>40</v>
      </c>
      <c r="D119" s="296">
        <v>5211</v>
      </c>
      <c r="E119" s="297">
        <v>50211</v>
      </c>
      <c r="F119" s="27" t="s">
        <v>165</v>
      </c>
      <c r="G119" s="27" t="s">
        <v>158</v>
      </c>
      <c r="H119" s="35">
        <v>67821</v>
      </c>
      <c r="I119" s="35">
        <v>119</v>
      </c>
      <c r="J119" s="292"/>
      <c r="K119" s="8">
        <v>318344</v>
      </c>
      <c r="L119" s="8"/>
      <c r="M119" s="8">
        <v>38241</v>
      </c>
      <c r="N119" s="9"/>
      <c r="O119" s="8">
        <v>0</v>
      </c>
      <c r="P119" s="9"/>
      <c r="Q119" s="8">
        <v>48144</v>
      </c>
      <c r="R119" s="9"/>
      <c r="S119" s="8">
        <v>0</v>
      </c>
      <c r="T119" s="9"/>
      <c r="U119" s="33">
        <v>404729</v>
      </c>
      <c r="V119" s="9"/>
      <c r="W119" s="30">
        <v>176</v>
      </c>
      <c r="X119" s="9"/>
      <c r="Y119" s="30">
        <v>20</v>
      </c>
      <c r="Z119" s="9"/>
      <c r="AA119" s="30">
        <v>0</v>
      </c>
      <c r="AB119" s="9"/>
      <c r="AC119" s="30">
        <v>28</v>
      </c>
      <c r="AD119" s="9"/>
      <c r="AE119" s="80">
        <v>0</v>
      </c>
      <c r="AF119" s="46"/>
      <c r="AG119" s="88">
        <v>224</v>
      </c>
      <c r="AH119" s="47"/>
      <c r="AJ119" s="83">
        <v>316113</v>
      </c>
      <c r="AL119" s="83">
        <v>37128</v>
      </c>
      <c r="AN119" s="83">
        <v>0</v>
      </c>
      <c r="AP119" s="83">
        <v>47773</v>
      </c>
      <c r="AR119" s="83">
        <v>0</v>
      </c>
      <c r="AT119" s="204">
        <v>401014</v>
      </c>
      <c r="AV119" s="46">
        <v>174</v>
      </c>
      <c r="AX119" s="46">
        <v>19</v>
      </c>
      <c r="AZ119" s="46">
        <v>0</v>
      </c>
      <c r="BB119" s="46">
        <v>27</v>
      </c>
      <c r="BD119" s="46">
        <v>0</v>
      </c>
      <c r="BF119" s="209">
        <v>224</v>
      </c>
      <c r="BI119" s="83">
        <v>2231</v>
      </c>
      <c r="BK119" s="83">
        <v>1113</v>
      </c>
      <c r="BM119" s="83">
        <v>0</v>
      </c>
      <c r="BO119" s="83">
        <v>371</v>
      </c>
      <c r="BQ119" s="83">
        <v>0</v>
      </c>
      <c r="BS119" s="85">
        <v>3715</v>
      </c>
      <c r="BU119" s="46">
        <v>2</v>
      </c>
      <c r="BW119" s="46">
        <v>1</v>
      </c>
      <c r="BY119" s="46">
        <v>0</v>
      </c>
      <c r="CA119" s="46">
        <v>1</v>
      </c>
      <c r="CC119" s="46">
        <v>0</v>
      </c>
      <c r="CE119" s="209">
        <v>4</v>
      </c>
      <c r="CH119" s="41">
        <v>3881513</v>
      </c>
      <c r="CJ119" s="41">
        <v>600484</v>
      </c>
      <c r="CL119" s="41">
        <v>0</v>
      </c>
      <c r="CN119" s="41">
        <v>1535364</v>
      </c>
      <c r="CP119" s="43">
        <v>6017361</v>
      </c>
      <c r="CS119" s="39">
        <v>12.1928</v>
      </c>
      <c r="CU119" s="39">
        <v>15.7026</v>
      </c>
      <c r="CW119" s="39">
        <v>0</v>
      </c>
      <c r="CY119" s="39">
        <v>31.891100000000002</v>
      </c>
      <c r="DA119" s="44">
        <v>14.867599999999999</v>
      </c>
      <c r="DC119" s="1" t="str">
        <f t="shared" si="1"/>
        <v>No</v>
      </c>
    </row>
    <row r="120" spans="1:107">
      <c r="A120" s="7" t="s">
        <v>482</v>
      </c>
      <c r="B120" s="7" t="s">
        <v>483</v>
      </c>
      <c r="C120" s="37" t="s">
        <v>79</v>
      </c>
      <c r="D120" s="296">
        <v>4086</v>
      </c>
      <c r="E120" s="297">
        <v>40086</v>
      </c>
      <c r="F120" s="27" t="s">
        <v>165</v>
      </c>
      <c r="G120" s="27" t="s">
        <v>158</v>
      </c>
      <c r="H120" s="35">
        <v>2148346</v>
      </c>
      <c r="I120" s="35">
        <v>118</v>
      </c>
      <c r="J120" s="292"/>
      <c r="K120" s="8">
        <v>817932</v>
      </c>
      <c r="L120" s="8"/>
      <c r="M120" s="8">
        <v>362710</v>
      </c>
      <c r="N120" s="9"/>
      <c r="O120" s="8">
        <v>119281</v>
      </c>
      <c r="P120" s="9"/>
      <c r="Q120" s="8">
        <v>192755</v>
      </c>
      <c r="R120" s="9"/>
      <c r="S120" s="8">
        <v>0</v>
      </c>
      <c r="T120" s="9"/>
      <c r="U120" s="33">
        <v>1492678</v>
      </c>
      <c r="V120" s="9"/>
      <c r="W120" s="30">
        <v>439</v>
      </c>
      <c r="X120" s="9"/>
      <c r="Y120" s="30">
        <v>201</v>
      </c>
      <c r="Z120" s="9"/>
      <c r="AA120" s="30">
        <v>70</v>
      </c>
      <c r="AB120" s="9"/>
      <c r="AC120" s="30">
        <v>111</v>
      </c>
      <c r="AD120" s="9"/>
      <c r="AE120" s="80">
        <v>0</v>
      </c>
      <c r="AF120" s="46"/>
      <c r="AG120" s="88">
        <v>821</v>
      </c>
      <c r="AH120" s="47"/>
      <c r="AJ120" s="83">
        <v>817932</v>
      </c>
      <c r="AL120" s="83">
        <v>362710</v>
      </c>
      <c r="AN120" s="83">
        <v>119281</v>
      </c>
      <c r="AP120" s="83">
        <v>192755</v>
      </c>
      <c r="AR120" s="83">
        <v>0</v>
      </c>
      <c r="AT120" s="204">
        <v>1492678</v>
      </c>
      <c r="AV120" s="46">
        <v>439</v>
      </c>
      <c r="AX120" s="46">
        <v>201</v>
      </c>
      <c r="AZ120" s="46">
        <v>70</v>
      </c>
      <c r="BB120" s="46">
        <v>111</v>
      </c>
      <c r="BD120" s="46">
        <v>0</v>
      </c>
      <c r="BF120" s="209">
        <v>821</v>
      </c>
      <c r="BI120" s="83">
        <v>0</v>
      </c>
      <c r="BK120" s="83">
        <v>0</v>
      </c>
      <c r="BM120" s="83">
        <v>0</v>
      </c>
      <c r="BO120" s="83">
        <v>0</v>
      </c>
      <c r="BQ120" s="83">
        <v>0</v>
      </c>
      <c r="BS120" s="85">
        <v>0</v>
      </c>
      <c r="BU120" s="46">
        <v>0</v>
      </c>
      <c r="BW120" s="46">
        <v>0</v>
      </c>
      <c r="BY120" s="46">
        <v>0</v>
      </c>
      <c r="CA120" s="46">
        <v>0</v>
      </c>
      <c r="CC120" s="46">
        <v>0</v>
      </c>
      <c r="CE120" s="209">
        <v>0</v>
      </c>
      <c r="CH120" s="41">
        <v>14927321</v>
      </c>
      <c r="CJ120" s="41">
        <v>5211433</v>
      </c>
      <c r="CL120" s="41">
        <v>1665559</v>
      </c>
      <c r="CN120" s="41">
        <v>4297448</v>
      </c>
      <c r="CP120" s="43">
        <v>26101761</v>
      </c>
      <c r="CS120" s="39">
        <v>18.2501</v>
      </c>
      <c r="CU120" s="39">
        <v>14.368</v>
      </c>
      <c r="CW120" s="39">
        <v>2.0363000000000002</v>
      </c>
      <c r="CY120" s="39">
        <v>22.294899999999998</v>
      </c>
      <c r="DA120" s="44">
        <v>17.486499999999999</v>
      </c>
      <c r="DC120" s="1" t="str">
        <f t="shared" si="1"/>
        <v>No</v>
      </c>
    </row>
    <row r="121" spans="1:107">
      <c r="A121" s="7" t="s">
        <v>593</v>
      </c>
      <c r="B121" s="7" t="s">
        <v>594</v>
      </c>
      <c r="C121" s="37" t="s">
        <v>17</v>
      </c>
      <c r="D121" s="296">
        <v>9006</v>
      </c>
      <c r="E121" s="297">
        <v>90006</v>
      </c>
      <c r="F121" s="27" t="s">
        <v>165</v>
      </c>
      <c r="G121" s="27" t="s">
        <v>158</v>
      </c>
      <c r="H121" s="35">
        <v>163703</v>
      </c>
      <c r="I121" s="35">
        <v>117</v>
      </c>
      <c r="J121" s="292"/>
      <c r="K121" s="8">
        <v>429562</v>
      </c>
      <c r="L121" s="8"/>
      <c r="M121" s="8">
        <v>66488</v>
      </c>
      <c r="N121" s="9"/>
      <c r="O121" s="8">
        <v>28742</v>
      </c>
      <c r="P121" s="9"/>
      <c r="Q121" s="8">
        <v>75054</v>
      </c>
      <c r="R121" s="9"/>
      <c r="S121" s="8">
        <v>280</v>
      </c>
      <c r="T121" s="9"/>
      <c r="U121" s="33">
        <v>600126</v>
      </c>
      <c r="V121" s="9"/>
      <c r="W121" s="30">
        <v>213</v>
      </c>
      <c r="X121" s="9"/>
      <c r="Y121" s="30">
        <v>34</v>
      </c>
      <c r="Z121" s="9"/>
      <c r="AA121" s="30">
        <v>16</v>
      </c>
      <c r="AB121" s="9"/>
      <c r="AC121" s="30">
        <v>42.9</v>
      </c>
      <c r="AD121" s="9"/>
      <c r="AE121" s="80">
        <v>0.2</v>
      </c>
      <c r="AF121" s="46"/>
      <c r="AG121" s="88">
        <v>306.10000000000002</v>
      </c>
      <c r="AH121" s="47"/>
      <c r="AJ121" s="83">
        <v>429562</v>
      </c>
      <c r="AL121" s="83">
        <v>66488</v>
      </c>
      <c r="AN121" s="83">
        <v>28742</v>
      </c>
      <c r="AP121" s="83">
        <v>75054</v>
      </c>
      <c r="AR121" s="83">
        <v>280</v>
      </c>
      <c r="AT121" s="204">
        <v>600126</v>
      </c>
      <c r="AV121" s="46">
        <v>213</v>
      </c>
      <c r="AX121" s="46">
        <v>34</v>
      </c>
      <c r="AZ121" s="46">
        <v>16</v>
      </c>
      <c r="BB121" s="46">
        <v>42.9</v>
      </c>
      <c r="BD121" s="46">
        <v>0.2</v>
      </c>
      <c r="BF121" s="209">
        <v>306.10000000000002</v>
      </c>
      <c r="BI121" s="83">
        <v>0</v>
      </c>
      <c r="BK121" s="83">
        <v>0</v>
      </c>
      <c r="BM121" s="83">
        <v>0</v>
      </c>
      <c r="BO121" s="83">
        <v>0</v>
      </c>
      <c r="BQ121" s="83">
        <v>0</v>
      </c>
      <c r="BS121" s="85">
        <v>0</v>
      </c>
      <c r="BU121" s="46">
        <v>0</v>
      </c>
      <c r="BW121" s="46">
        <v>0</v>
      </c>
      <c r="BY121" s="46">
        <v>0</v>
      </c>
      <c r="CA121" s="46">
        <v>0</v>
      </c>
      <c r="CC121" s="46">
        <v>0</v>
      </c>
      <c r="CE121" s="209">
        <v>0</v>
      </c>
      <c r="CH121" s="41">
        <v>13403180</v>
      </c>
      <c r="CJ121" s="41">
        <v>2289296</v>
      </c>
      <c r="CL121" s="41">
        <v>808267</v>
      </c>
      <c r="CN121" s="41">
        <v>2844670</v>
      </c>
      <c r="CP121" s="43">
        <v>19345413</v>
      </c>
      <c r="CS121" s="39">
        <v>31.202000000000002</v>
      </c>
      <c r="CU121" s="39">
        <v>34.431699999999999</v>
      </c>
      <c r="CW121" s="39">
        <v>1.8815999999999999</v>
      </c>
      <c r="CY121" s="39">
        <v>37.901600000000002</v>
      </c>
      <c r="DA121" s="44">
        <v>32.235599999999998</v>
      </c>
      <c r="DC121" s="1" t="str">
        <f t="shared" si="1"/>
        <v>No</v>
      </c>
    </row>
    <row r="122" spans="1:107">
      <c r="A122" s="7" t="s">
        <v>364</v>
      </c>
      <c r="B122" s="7" t="s">
        <v>365</v>
      </c>
      <c r="C122" s="37" t="s">
        <v>77</v>
      </c>
      <c r="D122" s="296">
        <v>3013</v>
      </c>
      <c r="E122" s="297">
        <v>30013</v>
      </c>
      <c r="F122" s="27" t="s">
        <v>165</v>
      </c>
      <c r="G122" s="27" t="s">
        <v>158</v>
      </c>
      <c r="H122" s="35">
        <v>196611</v>
      </c>
      <c r="I122" s="35">
        <v>116</v>
      </c>
      <c r="J122" s="292"/>
      <c r="K122" s="8">
        <v>350797</v>
      </c>
      <c r="L122" s="8"/>
      <c r="M122" s="8">
        <v>46637</v>
      </c>
      <c r="N122" s="9"/>
      <c r="O122" s="8">
        <v>17129</v>
      </c>
      <c r="P122" s="9"/>
      <c r="Q122" s="8">
        <v>33118</v>
      </c>
      <c r="R122" s="9"/>
      <c r="S122" s="8">
        <v>0</v>
      </c>
      <c r="T122" s="9"/>
      <c r="U122" s="33">
        <v>447681</v>
      </c>
      <c r="V122" s="9"/>
      <c r="W122" s="30">
        <v>184</v>
      </c>
      <c r="X122" s="9"/>
      <c r="Y122" s="30">
        <v>22</v>
      </c>
      <c r="Z122" s="9"/>
      <c r="AA122" s="30">
        <v>9</v>
      </c>
      <c r="AB122" s="9"/>
      <c r="AC122" s="30">
        <v>17</v>
      </c>
      <c r="AD122" s="9"/>
      <c r="AE122" s="80">
        <v>0</v>
      </c>
      <c r="AF122" s="46"/>
      <c r="AG122" s="88">
        <v>232</v>
      </c>
      <c r="AH122" s="47"/>
      <c r="AJ122" s="83">
        <v>321177</v>
      </c>
      <c r="AL122" s="83">
        <v>46637</v>
      </c>
      <c r="AN122" s="83">
        <v>17129</v>
      </c>
      <c r="AP122" s="83">
        <v>33118</v>
      </c>
      <c r="AR122" s="83">
        <v>0</v>
      </c>
      <c r="AT122" s="204">
        <v>418061</v>
      </c>
      <c r="AV122" s="46">
        <v>153</v>
      </c>
      <c r="AX122" s="46">
        <v>22</v>
      </c>
      <c r="AZ122" s="46">
        <v>9</v>
      </c>
      <c r="BB122" s="46">
        <v>17</v>
      </c>
      <c r="BD122" s="46">
        <v>0</v>
      </c>
      <c r="BF122" s="209">
        <v>232</v>
      </c>
      <c r="BI122" s="83">
        <v>29620</v>
      </c>
      <c r="BK122" s="83">
        <v>0</v>
      </c>
      <c r="BM122" s="83">
        <v>0</v>
      </c>
      <c r="BO122" s="83">
        <v>0</v>
      </c>
      <c r="BQ122" s="83">
        <v>0</v>
      </c>
      <c r="BS122" s="85">
        <v>29620</v>
      </c>
      <c r="BU122" s="46">
        <v>31</v>
      </c>
      <c r="BW122" s="46">
        <v>0</v>
      </c>
      <c r="BY122" s="46">
        <v>0</v>
      </c>
      <c r="CA122" s="46">
        <v>0</v>
      </c>
      <c r="CC122" s="46">
        <v>0</v>
      </c>
      <c r="CE122" s="209">
        <v>31</v>
      </c>
      <c r="CH122" s="41">
        <v>7067373</v>
      </c>
      <c r="CJ122" s="41">
        <v>1070790</v>
      </c>
      <c r="CL122" s="41">
        <v>332943</v>
      </c>
      <c r="CN122" s="41">
        <v>708912</v>
      </c>
      <c r="CP122" s="43">
        <v>9180018</v>
      </c>
      <c r="CS122" s="39">
        <v>20.146599999999999</v>
      </c>
      <c r="CU122" s="39">
        <v>22.960100000000001</v>
      </c>
      <c r="CW122" s="39">
        <v>0.94910000000000005</v>
      </c>
      <c r="CY122" s="39">
        <v>21.4056</v>
      </c>
      <c r="DA122" s="44">
        <v>20.505700000000001</v>
      </c>
      <c r="DC122" s="1" t="str">
        <f t="shared" si="1"/>
        <v>No</v>
      </c>
    </row>
    <row r="123" spans="1:107">
      <c r="A123" s="7" t="s">
        <v>267</v>
      </c>
      <c r="B123" s="7" t="s">
        <v>268</v>
      </c>
      <c r="C123" s="37" t="s">
        <v>77</v>
      </c>
      <c r="D123" s="296">
        <v>3054</v>
      </c>
      <c r="E123" s="297">
        <v>30054</v>
      </c>
      <c r="F123" s="27" t="s">
        <v>165</v>
      </c>
      <c r="G123" s="27" t="s">
        <v>158</v>
      </c>
      <c r="H123" s="35">
        <v>87454</v>
      </c>
      <c r="I123" s="35">
        <v>114</v>
      </c>
      <c r="J123" s="292"/>
      <c r="K123" s="8">
        <v>237736</v>
      </c>
      <c r="L123" s="8"/>
      <c r="M123" s="8">
        <v>39153</v>
      </c>
      <c r="N123" s="9"/>
      <c r="O123" s="8">
        <v>5494</v>
      </c>
      <c r="P123" s="9"/>
      <c r="Q123" s="8">
        <v>21919</v>
      </c>
      <c r="R123" s="9"/>
      <c r="S123" s="8">
        <v>0</v>
      </c>
      <c r="T123" s="9"/>
      <c r="U123" s="33">
        <v>304302</v>
      </c>
      <c r="V123" s="9"/>
      <c r="W123" s="30">
        <v>142.1</v>
      </c>
      <c r="X123" s="9"/>
      <c r="Y123" s="30">
        <v>23</v>
      </c>
      <c r="Z123" s="9"/>
      <c r="AA123" s="30">
        <v>3</v>
      </c>
      <c r="AB123" s="9"/>
      <c r="AC123" s="30">
        <v>16</v>
      </c>
      <c r="AD123" s="9"/>
      <c r="AE123" s="80">
        <v>0</v>
      </c>
      <c r="AF123" s="46"/>
      <c r="AG123" s="88">
        <v>184.1</v>
      </c>
      <c r="AH123" s="47"/>
      <c r="AJ123" s="83">
        <v>236407</v>
      </c>
      <c r="AL123" s="83">
        <v>39153</v>
      </c>
      <c r="AN123" s="83">
        <v>5494</v>
      </c>
      <c r="AP123" s="83">
        <v>20573</v>
      </c>
      <c r="AR123" s="83">
        <v>0</v>
      </c>
      <c r="AT123" s="204">
        <v>301627</v>
      </c>
      <c r="AV123" s="46">
        <v>141</v>
      </c>
      <c r="AX123" s="46">
        <v>23</v>
      </c>
      <c r="AZ123" s="46">
        <v>3</v>
      </c>
      <c r="BB123" s="46">
        <v>14</v>
      </c>
      <c r="BD123" s="46">
        <v>0</v>
      </c>
      <c r="BF123" s="209">
        <v>184.1</v>
      </c>
      <c r="BI123" s="83">
        <v>1329</v>
      </c>
      <c r="BK123" s="83">
        <v>0</v>
      </c>
      <c r="BM123" s="83">
        <v>0</v>
      </c>
      <c r="BO123" s="83">
        <v>1346</v>
      </c>
      <c r="BQ123" s="83">
        <v>0</v>
      </c>
      <c r="BS123" s="85">
        <v>2675</v>
      </c>
      <c r="BU123" s="46">
        <v>1.1000000000000001</v>
      </c>
      <c r="BW123" s="46">
        <v>0</v>
      </c>
      <c r="BY123" s="46">
        <v>0</v>
      </c>
      <c r="CA123" s="46">
        <v>2</v>
      </c>
      <c r="CC123" s="46">
        <v>0</v>
      </c>
      <c r="CE123" s="209">
        <v>3.1</v>
      </c>
      <c r="CH123" s="41">
        <v>6047881</v>
      </c>
      <c r="CJ123" s="41">
        <v>1174294</v>
      </c>
      <c r="CL123" s="41">
        <v>133871</v>
      </c>
      <c r="CN123" s="41">
        <v>899125</v>
      </c>
      <c r="CP123" s="43">
        <v>8255171</v>
      </c>
      <c r="CS123" s="39">
        <v>25.439499999999999</v>
      </c>
      <c r="CU123" s="39">
        <v>29.9924</v>
      </c>
      <c r="CW123" s="39">
        <v>0.56310000000000004</v>
      </c>
      <c r="CY123" s="39">
        <v>41.020299999999999</v>
      </c>
      <c r="DA123" s="44">
        <v>27.1282</v>
      </c>
      <c r="DC123" s="1" t="str">
        <f t="shared" si="1"/>
        <v>No</v>
      </c>
    </row>
    <row r="124" spans="1:107">
      <c r="A124" s="7" t="s">
        <v>725</v>
      </c>
      <c r="B124" s="7" t="s">
        <v>726</v>
      </c>
      <c r="C124" s="37" t="s">
        <v>84</v>
      </c>
      <c r="D124" s="296">
        <v>6101</v>
      </c>
      <c r="E124" s="297">
        <v>60101</v>
      </c>
      <c r="F124" s="27" t="s">
        <v>165</v>
      </c>
      <c r="G124" s="27" t="s">
        <v>158</v>
      </c>
      <c r="H124" s="35">
        <v>366174</v>
      </c>
      <c r="I124" s="35">
        <v>114</v>
      </c>
      <c r="J124" s="292"/>
      <c r="K124" s="8">
        <v>248754</v>
      </c>
      <c r="L124" s="8"/>
      <c r="M124" s="8">
        <v>33309</v>
      </c>
      <c r="N124" s="9"/>
      <c r="O124" s="8">
        <v>1896</v>
      </c>
      <c r="P124" s="9"/>
      <c r="Q124" s="8">
        <v>36139</v>
      </c>
      <c r="R124" s="9"/>
      <c r="S124" s="8">
        <v>0</v>
      </c>
      <c r="T124" s="9"/>
      <c r="U124" s="33">
        <v>320098</v>
      </c>
      <c r="V124" s="9"/>
      <c r="W124" s="30">
        <v>153</v>
      </c>
      <c r="X124" s="9"/>
      <c r="Y124" s="30">
        <v>14</v>
      </c>
      <c r="Z124" s="9"/>
      <c r="AA124" s="30">
        <v>1</v>
      </c>
      <c r="AB124" s="9"/>
      <c r="AC124" s="30">
        <v>21.1</v>
      </c>
      <c r="AD124" s="9"/>
      <c r="AE124" s="80">
        <v>0</v>
      </c>
      <c r="AF124" s="46"/>
      <c r="AG124" s="88">
        <v>189.1</v>
      </c>
      <c r="AH124" s="47"/>
      <c r="AJ124" s="83">
        <v>189756</v>
      </c>
      <c r="AL124" s="83">
        <v>32266</v>
      </c>
      <c r="AN124" s="83">
        <v>1896</v>
      </c>
      <c r="AP124" s="83">
        <v>36139</v>
      </c>
      <c r="AR124" s="83">
        <v>0</v>
      </c>
      <c r="AT124" s="204">
        <v>260057</v>
      </c>
      <c r="AV124" s="46">
        <v>110</v>
      </c>
      <c r="AX124" s="46">
        <v>14</v>
      </c>
      <c r="AZ124" s="46">
        <v>1</v>
      </c>
      <c r="BB124" s="46">
        <v>21.1</v>
      </c>
      <c r="BD124" s="46">
        <v>0</v>
      </c>
      <c r="BF124" s="209">
        <v>189.1</v>
      </c>
      <c r="BI124" s="83">
        <v>58998</v>
      </c>
      <c r="BK124" s="83">
        <v>1043</v>
      </c>
      <c r="BM124" s="83">
        <v>0</v>
      </c>
      <c r="BO124" s="83">
        <v>0</v>
      </c>
      <c r="BQ124" s="83">
        <v>0</v>
      </c>
      <c r="BS124" s="85">
        <v>60041</v>
      </c>
      <c r="BU124" s="46">
        <v>43</v>
      </c>
      <c r="BW124" s="46">
        <v>0</v>
      </c>
      <c r="BY124" s="46">
        <v>0</v>
      </c>
      <c r="CA124" s="46">
        <v>0</v>
      </c>
      <c r="CC124" s="46">
        <v>0</v>
      </c>
      <c r="CE124" s="209">
        <v>43</v>
      </c>
      <c r="CH124" s="41">
        <v>4479418</v>
      </c>
      <c r="CJ124" s="41">
        <v>660555</v>
      </c>
      <c r="CL124" s="41">
        <v>36325</v>
      </c>
      <c r="CN124" s="41">
        <v>1524491</v>
      </c>
      <c r="CP124" s="43">
        <v>6700789</v>
      </c>
      <c r="CS124" s="39">
        <v>18.007400000000001</v>
      </c>
      <c r="CU124" s="39">
        <v>19.831099999999999</v>
      </c>
      <c r="CW124" s="39">
        <v>0.14599999999999999</v>
      </c>
      <c r="CY124" s="39">
        <v>42.184100000000001</v>
      </c>
      <c r="DA124" s="44">
        <v>20.933599999999998</v>
      </c>
      <c r="DC124" s="1" t="str">
        <f t="shared" si="1"/>
        <v>No</v>
      </c>
    </row>
    <row r="125" spans="1:107">
      <c r="A125" s="7" t="s">
        <v>657</v>
      </c>
      <c r="B125" s="7" t="s">
        <v>658</v>
      </c>
      <c r="C125" s="37" t="s">
        <v>45</v>
      </c>
      <c r="D125" s="296">
        <v>4019</v>
      </c>
      <c r="E125" s="297">
        <v>40019</v>
      </c>
      <c r="F125" s="27" t="s">
        <v>165</v>
      </c>
      <c r="G125" s="27" t="s">
        <v>158</v>
      </c>
      <c r="H125" s="35">
        <v>1624827</v>
      </c>
      <c r="I125" s="35">
        <v>113</v>
      </c>
      <c r="J125" s="292"/>
      <c r="K125" s="8">
        <v>414125</v>
      </c>
      <c r="L125" s="8"/>
      <c r="M125" s="8">
        <v>81295</v>
      </c>
      <c r="N125" s="9"/>
      <c r="O125" s="8">
        <v>11253</v>
      </c>
      <c r="P125" s="9"/>
      <c r="Q125" s="8">
        <v>41985</v>
      </c>
      <c r="R125" s="9"/>
      <c r="S125" s="8">
        <v>0</v>
      </c>
      <c r="T125" s="9"/>
      <c r="U125" s="33">
        <v>548658</v>
      </c>
      <c r="V125" s="9"/>
      <c r="W125" s="30">
        <v>213</v>
      </c>
      <c r="X125" s="9"/>
      <c r="Y125" s="30">
        <v>42.8</v>
      </c>
      <c r="Z125" s="9"/>
      <c r="AA125" s="30">
        <v>5.8</v>
      </c>
      <c r="AB125" s="9"/>
      <c r="AC125" s="30">
        <v>22</v>
      </c>
      <c r="AD125" s="9"/>
      <c r="AE125" s="80">
        <v>0</v>
      </c>
      <c r="AF125" s="46"/>
      <c r="AG125" s="88">
        <v>283.60000000000002</v>
      </c>
      <c r="AH125" s="47"/>
      <c r="AJ125" s="83">
        <v>381095</v>
      </c>
      <c r="AL125" s="83">
        <v>77731</v>
      </c>
      <c r="AN125" s="83">
        <v>7943</v>
      </c>
      <c r="AP125" s="83">
        <v>38214</v>
      </c>
      <c r="AR125" s="83">
        <v>0</v>
      </c>
      <c r="AT125" s="204">
        <v>504983</v>
      </c>
      <c r="AV125" s="46">
        <v>187</v>
      </c>
      <c r="AX125" s="46">
        <v>39.799999999999997</v>
      </c>
      <c r="AZ125" s="46">
        <v>3.6</v>
      </c>
      <c r="BB125" s="46">
        <v>19</v>
      </c>
      <c r="BD125" s="46">
        <v>0</v>
      </c>
      <c r="BF125" s="209">
        <v>283.60000000000002</v>
      </c>
      <c r="BI125" s="83">
        <v>33030</v>
      </c>
      <c r="BK125" s="83">
        <v>3564</v>
      </c>
      <c r="BM125" s="83">
        <v>3310</v>
      </c>
      <c r="BO125" s="83">
        <v>3771</v>
      </c>
      <c r="BQ125" s="83">
        <v>0</v>
      </c>
      <c r="BS125" s="85">
        <v>43675</v>
      </c>
      <c r="BU125" s="46">
        <v>26</v>
      </c>
      <c r="BW125" s="46">
        <v>3</v>
      </c>
      <c r="BY125" s="46">
        <v>2.2000000000000002</v>
      </c>
      <c r="CA125" s="46">
        <v>3</v>
      </c>
      <c r="CC125" s="46">
        <v>0</v>
      </c>
      <c r="CE125" s="209">
        <v>34.200000000000003</v>
      </c>
      <c r="CH125" s="41">
        <v>8303945</v>
      </c>
      <c r="CJ125" s="41">
        <v>1668319</v>
      </c>
      <c r="CL125" s="41">
        <v>213135</v>
      </c>
      <c r="CN125" s="41">
        <v>782173</v>
      </c>
      <c r="CP125" s="43">
        <v>10967572</v>
      </c>
      <c r="CS125" s="39">
        <v>20.0518</v>
      </c>
      <c r="CU125" s="39">
        <v>20.521799999999999</v>
      </c>
      <c r="CW125" s="39">
        <v>0.51470000000000005</v>
      </c>
      <c r="CY125" s="39">
        <v>18.629799999999999</v>
      </c>
      <c r="DA125" s="44">
        <v>19.989799999999999</v>
      </c>
      <c r="DC125" s="1" t="str">
        <f t="shared" si="1"/>
        <v>No</v>
      </c>
    </row>
    <row r="126" spans="1:107">
      <c r="A126" s="7" t="s">
        <v>659</v>
      </c>
      <c r="B126" s="7" t="s">
        <v>660</v>
      </c>
      <c r="C126" s="37" t="s">
        <v>60</v>
      </c>
      <c r="D126" s="296">
        <v>7002</v>
      </c>
      <c r="E126" s="297">
        <v>70002</v>
      </c>
      <c r="F126" s="27" t="s">
        <v>165</v>
      </c>
      <c r="G126" s="27" t="s">
        <v>158</v>
      </c>
      <c r="H126" s="35">
        <v>725008</v>
      </c>
      <c r="I126" s="35">
        <v>112</v>
      </c>
      <c r="J126" s="292"/>
      <c r="K126" s="8">
        <v>393733</v>
      </c>
      <c r="L126" s="8"/>
      <c r="M126" s="8">
        <v>55769</v>
      </c>
      <c r="N126" s="9"/>
      <c r="O126" s="8">
        <v>30086</v>
      </c>
      <c r="P126" s="9"/>
      <c r="Q126" s="8">
        <v>60911</v>
      </c>
      <c r="R126" s="9"/>
      <c r="S126" s="8">
        <v>0</v>
      </c>
      <c r="T126" s="9"/>
      <c r="U126" s="33">
        <v>540499</v>
      </c>
      <c r="V126" s="9"/>
      <c r="W126" s="30">
        <v>176</v>
      </c>
      <c r="X126" s="9"/>
      <c r="Y126" s="30">
        <v>31</v>
      </c>
      <c r="Z126" s="9"/>
      <c r="AA126" s="30">
        <v>18</v>
      </c>
      <c r="AB126" s="9"/>
      <c r="AC126" s="30">
        <v>36</v>
      </c>
      <c r="AD126" s="9"/>
      <c r="AE126" s="80">
        <v>0</v>
      </c>
      <c r="AF126" s="46"/>
      <c r="AG126" s="88">
        <v>261</v>
      </c>
      <c r="AH126" s="47"/>
      <c r="AJ126" s="83">
        <v>393733</v>
      </c>
      <c r="AL126" s="83">
        <v>55769</v>
      </c>
      <c r="AN126" s="83">
        <v>30086</v>
      </c>
      <c r="AP126" s="83">
        <v>58597</v>
      </c>
      <c r="AR126" s="83">
        <v>0</v>
      </c>
      <c r="AT126" s="204">
        <v>538185</v>
      </c>
      <c r="AV126" s="46">
        <v>176</v>
      </c>
      <c r="AX126" s="46">
        <v>31</v>
      </c>
      <c r="AZ126" s="46">
        <v>18</v>
      </c>
      <c r="BB126" s="46">
        <v>33</v>
      </c>
      <c r="BD126" s="46">
        <v>0</v>
      </c>
      <c r="BF126" s="209">
        <v>261</v>
      </c>
      <c r="BI126" s="83">
        <v>0</v>
      </c>
      <c r="BK126" s="83">
        <v>0</v>
      </c>
      <c r="BM126" s="83">
        <v>0</v>
      </c>
      <c r="BO126" s="83">
        <v>2314</v>
      </c>
      <c r="BQ126" s="83">
        <v>0</v>
      </c>
      <c r="BS126" s="85">
        <v>2314</v>
      </c>
      <c r="BU126" s="46">
        <v>0</v>
      </c>
      <c r="BW126" s="46">
        <v>0</v>
      </c>
      <c r="BY126" s="46">
        <v>0</v>
      </c>
      <c r="CA126" s="46">
        <v>3</v>
      </c>
      <c r="CC126" s="46">
        <v>0</v>
      </c>
      <c r="CE126" s="209">
        <v>3</v>
      </c>
      <c r="CH126" s="41">
        <v>9435351</v>
      </c>
      <c r="CJ126" s="41">
        <v>1729910</v>
      </c>
      <c r="CL126" s="41">
        <v>698394</v>
      </c>
      <c r="CN126" s="41">
        <v>825211</v>
      </c>
      <c r="CP126" s="43">
        <v>12688866</v>
      </c>
      <c r="CS126" s="39">
        <v>23.963799999999999</v>
      </c>
      <c r="CU126" s="39">
        <v>31.019200000000001</v>
      </c>
      <c r="CW126" s="39">
        <v>1.7738</v>
      </c>
      <c r="CY126" s="39">
        <v>13.547800000000001</v>
      </c>
      <c r="DA126" s="44">
        <v>23.476199999999999</v>
      </c>
      <c r="DC126" s="1" t="str">
        <f t="shared" si="1"/>
        <v>No</v>
      </c>
    </row>
    <row r="127" spans="1:107">
      <c r="A127" s="7" t="s">
        <v>342</v>
      </c>
      <c r="B127" s="7" t="s">
        <v>343</v>
      </c>
      <c r="C127" s="37" t="s">
        <v>77</v>
      </c>
      <c r="D127" s="296">
        <v>3014</v>
      </c>
      <c r="E127" s="297">
        <v>30014</v>
      </c>
      <c r="F127" s="27" t="s">
        <v>165</v>
      </c>
      <c r="G127" s="27" t="s">
        <v>158</v>
      </c>
      <c r="H127" s="35">
        <v>444474</v>
      </c>
      <c r="I127" s="35">
        <v>111</v>
      </c>
      <c r="J127" s="292"/>
      <c r="K127" s="8">
        <v>302042</v>
      </c>
      <c r="L127" s="8"/>
      <c r="M127" s="8">
        <v>63189</v>
      </c>
      <c r="N127" s="9"/>
      <c r="O127" s="8">
        <v>8733</v>
      </c>
      <c r="P127" s="9"/>
      <c r="Q127" s="8">
        <v>24745</v>
      </c>
      <c r="R127" s="9"/>
      <c r="S127" s="8">
        <v>0</v>
      </c>
      <c r="T127" s="9"/>
      <c r="U127" s="33">
        <v>398709</v>
      </c>
      <c r="V127" s="9"/>
      <c r="W127" s="30">
        <v>156.29</v>
      </c>
      <c r="X127" s="9"/>
      <c r="Y127" s="30">
        <v>27.52</v>
      </c>
      <c r="Z127" s="9"/>
      <c r="AA127" s="30">
        <v>3.79</v>
      </c>
      <c r="AB127" s="9"/>
      <c r="AC127" s="30">
        <v>12.15</v>
      </c>
      <c r="AD127" s="9"/>
      <c r="AE127" s="80">
        <v>0</v>
      </c>
      <c r="AF127" s="46"/>
      <c r="AG127" s="88">
        <v>199.75</v>
      </c>
      <c r="AH127" s="47"/>
      <c r="AJ127" s="83">
        <v>293555</v>
      </c>
      <c r="AL127" s="83">
        <v>63189</v>
      </c>
      <c r="AN127" s="83">
        <v>8733</v>
      </c>
      <c r="AP127" s="83">
        <v>24068</v>
      </c>
      <c r="AR127" s="83">
        <v>0</v>
      </c>
      <c r="AT127" s="204">
        <v>389545</v>
      </c>
      <c r="AV127" s="46">
        <v>147.29</v>
      </c>
      <c r="AX127" s="46">
        <v>27.52</v>
      </c>
      <c r="AZ127" s="46">
        <v>3.79</v>
      </c>
      <c r="BB127" s="46">
        <v>11.82</v>
      </c>
      <c r="BD127" s="46">
        <v>0</v>
      </c>
      <c r="BF127" s="209">
        <v>199.75</v>
      </c>
      <c r="BI127" s="83">
        <v>8487</v>
      </c>
      <c r="BK127" s="83">
        <v>0</v>
      </c>
      <c r="BM127" s="83">
        <v>0</v>
      </c>
      <c r="BO127" s="83">
        <v>677</v>
      </c>
      <c r="BQ127" s="83">
        <v>0</v>
      </c>
      <c r="BS127" s="85">
        <v>9164</v>
      </c>
      <c r="BU127" s="46">
        <v>9</v>
      </c>
      <c r="BW127" s="46">
        <v>0</v>
      </c>
      <c r="BY127" s="46">
        <v>0</v>
      </c>
      <c r="CA127" s="46">
        <v>0.33</v>
      </c>
      <c r="CC127" s="46">
        <v>0</v>
      </c>
      <c r="CE127" s="209">
        <v>9.33</v>
      </c>
      <c r="CH127" s="41">
        <v>6213070</v>
      </c>
      <c r="CJ127" s="41">
        <v>1450743</v>
      </c>
      <c r="CL127" s="41">
        <v>236351</v>
      </c>
      <c r="CN127" s="41">
        <v>629607</v>
      </c>
      <c r="CP127" s="43">
        <v>8529771</v>
      </c>
      <c r="CS127" s="39">
        <v>20.5702</v>
      </c>
      <c r="CU127" s="39">
        <v>22.9588</v>
      </c>
      <c r="CW127" s="39">
        <v>0.78249999999999997</v>
      </c>
      <c r="CY127" s="39">
        <v>25.4438</v>
      </c>
      <c r="DA127" s="44">
        <v>21.3935</v>
      </c>
      <c r="DC127" s="1" t="str">
        <f t="shared" si="1"/>
        <v>No</v>
      </c>
    </row>
    <row r="128" spans="1:107">
      <c r="A128" s="7" t="s">
        <v>655</v>
      </c>
      <c r="B128" s="7" t="s">
        <v>656</v>
      </c>
      <c r="C128" s="37" t="s">
        <v>45</v>
      </c>
      <c r="D128" s="296">
        <v>4017</v>
      </c>
      <c r="E128" s="297">
        <v>40017</v>
      </c>
      <c r="F128" s="27" t="s">
        <v>165</v>
      </c>
      <c r="G128" s="27" t="s">
        <v>158</v>
      </c>
      <c r="H128" s="35">
        <v>290263</v>
      </c>
      <c r="I128" s="35">
        <v>108</v>
      </c>
      <c r="J128" s="292"/>
      <c r="K128" s="8">
        <v>242754</v>
      </c>
      <c r="L128" s="8"/>
      <c r="M128" s="8">
        <v>72093</v>
      </c>
      <c r="N128" s="9"/>
      <c r="O128" s="8">
        <v>7724</v>
      </c>
      <c r="P128" s="9"/>
      <c r="Q128" s="8">
        <v>25603</v>
      </c>
      <c r="R128" s="9"/>
      <c r="S128" s="8">
        <v>0</v>
      </c>
      <c r="T128" s="9"/>
      <c r="U128" s="33">
        <v>348174</v>
      </c>
      <c r="V128" s="9"/>
      <c r="W128" s="30">
        <v>126</v>
      </c>
      <c r="X128" s="9"/>
      <c r="Y128" s="30">
        <v>44</v>
      </c>
      <c r="Z128" s="9"/>
      <c r="AA128" s="30">
        <v>4</v>
      </c>
      <c r="AB128" s="9"/>
      <c r="AC128" s="30">
        <v>13</v>
      </c>
      <c r="AD128" s="9"/>
      <c r="AE128" s="80">
        <v>0</v>
      </c>
      <c r="AF128" s="46"/>
      <c r="AG128" s="88">
        <v>187</v>
      </c>
      <c r="AH128" s="47"/>
      <c r="AJ128" s="83">
        <v>240118</v>
      </c>
      <c r="AL128" s="83">
        <v>72093</v>
      </c>
      <c r="AN128" s="83">
        <v>7724</v>
      </c>
      <c r="AP128" s="83">
        <v>25603</v>
      </c>
      <c r="AR128" s="83">
        <v>0</v>
      </c>
      <c r="AT128" s="204">
        <v>345538</v>
      </c>
      <c r="AV128" s="46">
        <v>121</v>
      </c>
      <c r="AX128" s="46">
        <v>44</v>
      </c>
      <c r="AZ128" s="46">
        <v>4</v>
      </c>
      <c r="BB128" s="46">
        <v>13</v>
      </c>
      <c r="BD128" s="46">
        <v>0</v>
      </c>
      <c r="BF128" s="209">
        <v>187</v>
      </c>
      <c r="BI128" s="83">
        <v>2636</v>
      </c>
      <c r="BK128" s="83">
        <v>0</v>
      </c>
      <c r="BM128" s="83">
        <v>0</v>
      </c>
      <c r="BO128" s="83">
        <v>0</v>
      </c>
      <c r="BQ128" s="83">
        <v>0</v>
      </c>
      <c r="BS128" s="85">
        <v>2636</v>
      </c>
      <c r="BU128" s="46">
        <v>5</v>
      </c>
      <c r="BW128" s="46">
        <v>0</v>
      </c>
      <c r="BY128" s="46">
        <v>0</v>
      </c>
      <c r="CA128" s="46">
        <v>0</v>
      </c>
      <c r="CC128" s="46">
        <v>0</v>
      </c>
      <c r="CE128" s="209">
        <v>5</v>
      </c>
      <c r="CH128" s="41">
        <v>5368411</v>
      </c>
      <c r="CJ128" s="41">
        <v>1736296</v>
      </c>
      <c r="CL128" s="41">
        <v>143641</v>
      </c>
      <c r="CN128" s="41">
        <v>599729</v>
      </c>
      <c r="CP128" s="43">
        <v>7848077</v>
      </c>
      <c r="CS128" s="39">
        <v>22.114599999999999</v>
      </c>
      <c r="CU128" s="39">
        <v>24.084099999999999</v>
      </c>
      <c r="CW128" s="39">
        <v>0.5917</v>
      </c>
      <c r="CY128" s="39">
        <v>23.424199999999999</v>
      </c>
      <c r="DA128" s="44">
        <v>22.540700000000001</v>
      </c>
      <c r="DC128" s="1" t="str">
        <f t="shared" si="1"/>
        <v>No</v>
      </c>
    </row>
    <row r="129" spans="1:107">
      <c r="A129" s="7" t="s">
        <v>506</v>
      </c>
      <c r="B129" s="7" t="s">
        <v>507</v>
      </c>
      <c r="C129" s="37" t="s">
        <v>17</v>
      </c>
      <c r="D129" s="296">
        <v>9041</v>
      </c>
      <c r="E129" s="297">
        <v>90041</v>
      </c>
      <c r="F129" s="27" t="s">
        <v>162</v>
      </c>
      <c r="G129" s="27" t="s">
        <v>158</v>
      </c>
      <c r="H129" s="35">
        <v>12150996</v>
      </c>
      <c r="I129" s="35">
        <v>107</v>
      </c>
      <c r="J129" s="292"/>
      <c r="K129" s="8">
        <v>278042</v>
      </c>
      <c r="L129" s="8"/>
      <c r="M129" s="8">
        <v>50929</v>
      </c>
      <c r="N129" s="9"/>
      <c r="O129" s="8">
        <v>14304</v>
      </c>
      <c r="P129" s="9"/>
      <c r="Q129" s="8">
        <v>20665</v>
      </c>
      <c r="R129" s="9"/>
      <c r="S129" s="8">
        <v>0</v>
      </c>
      <c r="T129" s="9"/>
      <c r="U129" s="33">
        <v>363940</v>
      </c>
      <c r="V129" s="9"/>
      <c r="W129" s="30">
        <v>153</v>
      </c>
      <c r="X129" s="9"/>
      <c r="Y129" s="30">
        <v>30</v>
      </c>
      <c r="Z129" s="9"/>
      <c r="AA129" s="30">
        <v>8</v>
      </c>
      <c r="AB129" s="9"/>
      <c r="AC129" s="30">
        <v>12</v>
      </c>
      <c r="AD129" s="9"/>
      <c r="AE129" s="80">
        <v>0</v>
      </c>
      <c r="AF129" s="46"/>
      <c r="AG129" s="88">
        <v>203</v>
      </c>
      <c r="AH129" s="47"/>
      <c r="AJ129" s="83">
        <v>184826</v>
      </c>
      <c r="AL129" s="83">
        <v>44731</v>
      </c>
      <c r="AN129" s="83">
        <v>14304</v>
      </c>
      <c r="AP129" s="83">
        <v>17292</v>
      </c>
      <c r="AR129" s="83">
        <v>0</v>
      </c>
      <c r="AT129" s="204">
        <v>261153</v>
      </c>
      <c r="AV129" s="46">
        <v>106</v>
      </c>
      <c r="AX129" s="46">
        <v>26</v>
      </c>
      <c r="AZ129" s="46">
        <v>8</v>
      </c>
      <c r="BB129" s="46">
        <v>10</v>
      </c>
      <c r="BD129" s="46">
        <v>0</v>
      </c>
      <c r="BF129" s="209">
        <v>203</v>
      </c>
      <c r="BI129" s="83">
        <v>93216</v>
      </c>
      <c r="BK129" s="83">
        <v>6198</v>
      </c>
      <c r="BM129" s="83">
        <v>0</v>
      </c>
      <c r="BO129" s="83">
        <v>3373</v>
      </c>
      <c r="BQ129" s="83">
        <v>0</v>
      </c>
      <c r="BS129" s="85">
        <v>102787</v>
      </c>
      <c r="BU129" s="46">
        <v>47</v>
      </c>
      <c r="BW129" s="46">
        <v>4</v>
      </c>
      <c r="BY129" s="46">
        <v>0</v>
      </c>
      <c r="CA129" s="46">
        <v>2</v>
      </c>
      <c r="CC129" s="46">
        <v>0</v>
      </c>
      <c r="CE129" s="209">
        <v>53</v>
      </c>
      <c r="CH129" s="41">
        <v>7251742</v>
      </c>
      <c r="CJ129" s="41">
        <v>1725966</v>
      </c>
      <c r="CL129" s="41">
        <v>258895</v>
      </c>
      <c r="CN129" s="41">
        <v>819198</v>
      </c>
      <c r="CP129" s="43">
        <v>10055801</v>
      </c>
      <c r="CS129" s="39">
        <v>26.081499999999998</v>
      </c>
      <c r="CU129" s="39">
        <v>33.889699999999998</v>
      </c>
      <c r="CW129" s="39">
        <v>0.93110000000000004</v>
      </c>
      <c r="CY129" s="39">
        <v>39.641800000000003</v>
      </c>
      <c r="DA129" s="44">
        <v>27.630400000000002</v>
      </c>
      <c r="DC129" s="1" t="str">
        <f t="shared" si="1"/>
        <v>No</v>
      </c>
    </row>
    <row r="130" spans="1:107">
      <c r="A130" s="7" t="s">
        <v>508</v>
      </c>
      <c r="B130" s="7" t="s">
        <v>509</v>
      </c>
      <c r="C130" s="37" t="s">
        <v>17</v>
      </c>
      <c r="D130" s="296">
        <v>9062</v>
      </c>
      <c r="E130" s="297">
        <v>90062</v>
      </c>
      <c r="F130" s="27" t="s">
        <v>165</v>
      </c>
      <c r="G130" s="27" t="s">
        <v>158</v>
      </c>
      <c r="H130" s="35">
        <v>114237</v>
      </c>
      <c r="I130" s="35">
        <v>105</v>
      </c>
      <c r="J130" s="292"/>
      <c r="K130" s="8">
        <v>316525</v>
      </c>
      <c r="L130" s="8"/>
      <c r="M130" s="8">
        <v>66510</v>
      </c>
      <c r="N130" s="9"/>
      <c r="O130" s="8">
        <v>12052</v>
      </c>
      <c r="P130" s="9"/>
      <c r="Q130" s="8">
        <v>59240</v>
      </c>
      <c r="R130" s="9"/>
      <c r="S130" s="8">
        <v>0</v>
      </c>
      <c r="T130" s="9"/>
      <c r="U130" s="33">
        <v>454327</v>
      </c>
      <c r="V130" s="9"/>
      <c r="W130" s="30">
        <v>163</v>
      </c>
      <c r="X130" s="9"/>
      <c r="Y130" s="30">
        <v>35</v>
      </c>
      <c r="Z130" s="9"/>
      <c r="AA130" s="30">
        <v>6</v>
      </c>
      <c r="AB130" s="9"/>
      <c r="AC130" s="30">
        <v>32</v>
      </c>
      <c r="AD130" s="9"/>
      <c r="AE130" s="80">
        <v>0</v>
      </c>
      <c r="AF130" s="46"/>
      <c r="AG130" s="88">
        <v>236</v>
      </c>
      <c r="AH130" s="47"/>
      <c r="AJ130" s="83">
        <v>316525</v>
      </c>
      <c r="AL130" s="83">
        <v>66510</v>
      </c>
      <c r="AN130" s="83">
        <v>12052</v>
      </c>
      <c r="AP130" s="83">
        <v>58460</v>
      </c>
      <c r="AR130" s="83">
        <v>0</v>
      </c>
      <c r="AT130" s="204">
        <v>453547</v>
      </c>
      <c r="AV130" s="46">
        <v>163</v>
      </c>
      <c r="AX130" s="46">
        <v>35</v>
      </c>
      <c r="AZ130" s="46">
        <v>6</v>
      </c>
      <c r="BB130" s="46">
        <v>31</v>
      </c>
      <c r="BD130" s="46">
        <v>0</v>
      </c>
      <c r="BF130" s="209">
        <v>236</v>
      </c>
      <c r="BI130" s="83">
        <v>0</v>
      </c>
      <c r="BK130" s="83">
        <v>0</v>
      </c>
      <c r="BM130" s="83">
        <v>0</v>
      </c>
      <c r="BO130" s="83">
        <v>780</v>
      </c>
      <c r="BQ130" s="83">
        <v>0</v>
      </c>
      <c r="BS130" s="85">
        <v>780</v>
      </c>
      <c r="BU130" s="46">
        <v>0</v>
      </c>
      <c r="BW130" s="46">
        <v>0</v>
      </c>
      <c r="BY130" s="46">
        <v>0</v>
      </c>
      <c r="CA130" s="46">
        <v>1</v>
      </c>
      <c r="CC130" s="46">
        <v>0</v>
      </c>
      <c r="CE130" s="209">
        <v>1</v>
      </c>
      <c r="CH130" s="41">
        <v>8887805</v>
      </c>
      <c r="CJ130" s="41">
        <v>1958627</v>
      </c>
      <c r="CL130" s="41">
        <v>367243</v>
      </c>
      <c r="CN130" s="41">
        <v>2142248</v>
      </c>
      <c r="CP130" s="43">
        <v>13355923</v>
      </c>
      <c r="CS130" s="39">
        <v>28.0793</v>
      </c>
      <c r="CU130" s="39">
        <v>29.448599999999999</v>
      </c>
      <c r="CW130" s="39">
        <v>1.1601999999999999</v>
      </c>
      <c r="CY130" s="39">
        <v>36.162199999999999</v>
      </c>
      <c r="DA130" s="44">
        <v>29.397200000000002</v>
      </c>
      <c r="DC130" s="1" t="str">
        <f t="shared" si="1"/>
        <v>No</v>
      </c>
    </row>
    <row r="131" spans="1:107">
      <c r="A131" s="7" t="s">
        <v>587</v>
      </c>
      <c r="B131" s="7" t="s">
        <v>588</v>
      </c>
      <c r="C131" s="37" t="s">
        <v>17</v>
      </c>
      <c r="D131" s="296">
        <v>9012</v>
      </c>
      <c r="E131" s="297">
        <v>90012</v>
      </c>
      <c r="F131" s="27" t="s">
        <v>165</v>
      </c>
      <c r="G131" s="27" t="s">
        <v>158</v>
      </c>
      <c r="H131" s="35">
        <v>370583</v>
      </c>
      <c r="I131" s="35">
        <v>104</v>
      </c>
      <c r="J131" s="292"/>
      <c r="K131" s="8">
        <v>196346</v>
      </c>
      <c r="L131" s="8"/>
      <c r="M131" s="8">
        <v>58516</v>
      </c>
      <c r="N131" s="9"/>
      <c r="O131" s="8">
        <v>28532</v>
      </c>
      <c r="P131" s="9"/>
      <c r="Q131" s="8">
        <v>76736</v>
      </c>
      <c r="R131" s="9"/>
      <c r="S131" s="8">
        <v>14039</v>
      </c>
      <c r="T131" s="9"/>
      <c r="U131" s="33">
        <v>374169</v>
      </c>
      <c r="V131" s="9"/>
      <c r="W131" s="30">
        <v>103</v>
      </c>
      <c r="X131" s="9"/>
      <c r="Y131" s="30">
        <v>30</v>
      </c>
      <c r="Z131" s="9"/>
      <c r="AA131" s="30">
        <v>15</v>
      </c>
      <c r="AB131" s="9"/>
      <c r="AC131" s="30">
        <v>37</v>
      </c>
      <c r="AD131" s="9"/>
      <c r="AE131" s="80">
        <v>9</v>
      </c>
      <c r="AF131" s="46"/>
      <c r="AG131" s="88">
        <v>194</v>
      </c>
      <c r="AH131" s="47"/>
      <c r="AJ131" s="83">
        <v>183768</v>
      </c>
      <c r="AL131" s="83">
        <v>58516</v>
      </c>
      <c r="AN131" s="83">
        <v>28532</v>
      </c>
      <c r="AP131" s="83">
        <v>72668</v>
      </c>
      <c r="AR131" s="83">
        <v>13185</v>
      </c>
      <c r="AT131" s="204">
        <v>356669</v>
      </c>
      <c r="AV131" s="46">
        <v>92</v>
      </c>
      <c r="AX131" s="46">
        <v>30</v>
      </c>
      <c r="AZ131" s="46">
        <v>15</v>
      </c>
      <c r="BB131" s="46">
        <v>33</v>
      </c>
      <c r="BD131" s="46">
        <v>8</v>
      </c>
      <c r="BF131" s="209">
        <v>194</v>
      </c>
      <c r="BI131" s="83">
        <v>12578</v>
      </c>
      <c r="BK131" s="83">
        <v>0</v>
      </c>
      <c r="BM131" s="83">
        <v>0</v>
      </c>
      <c r="BO131" s="83">
        <v>4068</v>
      </c>
      <c r="BQ131" s="83">
        <v>854</v>
      </c>
      <c r="BS131" s="85">
        <v>17500</v>
      </c>
      <c r="BU131" s="46">
        <v>11</v>
      </c>
      <c r="BW131" s="46">
        <v>0</v>
      </c>
      <c r="BY131" s="46">
        <v>0</v>
      </c>
      <c r="CA131" s="46">
        <v>4</v>
      </c>
      <c r="CC131" s="46">
        <v>1</v>
      </c>
      <c r="CE131" s="209">
        <v>16</v>
      </c>
      <c r="CH131" s="41">
        <v>4475541</v>
      </c>
      <c r="CJ131" s="41">
        <v>1407102</v>
      </c>
      <c r="CL131" s="41">
        <v>398943</v>
      </c>
      <c r="CN131" s="41">
        <v>2201922</v>
      </c>
      <c r="CP131" s="43">
        <v>8483508</v>
      </c>
      <c r="CS131" s="39">
        <v>22.7942</v>
      </c>
      <c r="CU131" s="39">
        <v>24.046399999999998</v>
      </c>
      <c r="CW131" s="39">
        <v>2.0318000000000001</v>
      </c>
      <c r="CY131" s="39">
        <v>28.694800000000001</v>
      </c>
      <c r="DA131" s="44">
        <v>22.672899999999998</v>
      </c>
      <c r="DC131" s="1" t="str">
        <f t="shared" ref="DC131:DC194" si="2">IF(DB131&amp;CZ131&amp;CX131&amp;CV131&amp;CT131&amp;CQ131&amp;CO131&amp;CM131&amp;CK131&amp;CI131&amp;CF131&amp;CD131&amp;CB131&amp;BZ131&amp;BX131&amp;BV131&amp;BT131&amp;BR131&amp;BP131&amp;BN131&amp;BL131&amp;BJ131&amp;BG131&amp;BE131&amp;BC131&amp;BA131&amp;AY131&amp;AW131&amp;AS131&amp;AQ131&amp;AO131&amp;AM131&amp;AK131&amp;AH131&amp;AF131&amp;AD131&amp;AB131&amp;Z131&amp;X131&amp;V131&amp;T131&amp;R131&amp;P131&amp;N131&amp;L131&lt;&gt;"","Yes","No")</f>
        <v>No</v>
      </c>
    </row>
    <row r="132" spans="1:107">
      <c r="A132" s="7" t="s">
        <v>597</v>
      </c>
      <c r="B132" s="7" t="s">
        <v>598</v>
      </c>
      <c r="C132" s="37" t="s">
        <v>32</v>
      </c>
      <c r="D132" s="296">
        <v>4046</v>
      </c>
      <c r="E132" s="297">
        <v>40046</v>
      </c>
      <c r="F132" s="27" t="s">
        <v>162</v>
      </c>
      <c r="G132" s="27" t="s">
        <v>158</v>
      </c>
      <c r="H132" s="35">
        <v>643260</v>
      </c>
      <c r="I132" s="35">
        <v>104</v>
      </c>
      <c r="J132" s="292"/>
      <c r="K132" s="8">
        <v>370189</v>
      </c>
      <c r="L132" s="8"/>
      <c r="M132" s="8">
        <v>35043</v>
      </c>
      <c r="N132" s="9"/>
      <c r="O132" s="8">
        <v>8260</v>
      </c>
      <c r="P132" s="9"/>
      <c r="Q132" s="8">
        <v>21558</v>
      </c>
      <c r="R132" s="9"/>
      <c r="S132" s="8">
        <v>0</v>
      </c>
      <c r="T132" s="9"/>
      <c r="U132" s="33">
        <v>435050</v>
      </c>
      <c r="V132" s="9"/>
      <c r="W132" s="30">
        <v>195.92</v>
      </c>
      <c r="X132" s="9"/>
      <c r="Y132" s="30">
        <v>15.84</v>
      </c>
      <c r="Z132" s="9"/>
      <c r="AA132" s="30">
        <v>3.62</v>
      </c>
      <c r="AB132" s="9"/>
      <c r="AC132" s="30">
        <v>12.62</v>
      </c>
      <c r="AD132" s="9"/>
      <c r="AE132" s="80">
        <v>0</v>
      </c>
      <c r="AF132" s="46"/>
      <c r="AG132" s="88">
        <v>228</v>
      </c>
      <c r="AH132" s="47"/>
      <c r="AJ132" s="83">
        <v>370189</v>
      </c>
      <c r="AL132" s="83">
        <v>35043</v>
      </c>
      <c r="AN132" s="83">
        <v>8260</v>
      </c>
      <c r="AP132" s="83">
        <v>21558</v>
      </c>
      <c r="AR132" s="83">
        <v>0</v>
      </c>
      <c r="AT132" s="204">
        <v>435050</v>
      </c>
      <c r="AV132" s="46">
        <v>195.92</v>
      </c>
      <c r="AX132" s="46">
        <v>15.84</v>
      </c>
      <c r="AZ132" s="46">
        <v>3.62</v>
      </c>
      <c r="BB132" s="46">
        <v>12.62</v>
      </c>
      <c r="BD132" s="46">
        <v>0</v>
      </c>
      <c r="BF132" s="209">
        <v>228</v>
      </c>
      <c r="BI132" s="83">
        <v>0</v>
      </c>
      <c r="BK132" s="83">
        <v>0</v>
      </c>
      <c r="BM132" s="83">
        <v>0</v>
      </c>
      <c r="BO132" s="83">
        <v>0</v>
      </c>
      <c r="BQ132" s="83">
        <v>0</v>
      </c>
      <c r="BS132" s="85">
        <v>0</v>
      </c>
      <c r="BU132" s="46">
        <v>0</v>
      </c>
      <c r="BW132" s="46">
        <v>0</v>
      </c>
      <c r="BY132" s="46">
        <v>0</v>
      </c>
      <c r="CA132" s="46">
        <v>0</v>
      </c>
      <c r="CC132" s="46">
        <v>0</v>
      </c>
      <c r="CE132" s="209">
        <v>0</v>
      </c>
      <c r="CH132" s="41">
        <v>6211617</v>
      </c>
      <c r="CJ132" s="41">
        <v>818127</v>
      </c>
      <c r="CL132" s="41">
        <v>187707</v>
      </c>
      <c r="CN132" s="41">
        <v>592964</v>
      </c>
      <c r="CP132" s="43">
        <v>7810415</v>
      </c>
      <c r="CS132" s="39">
        <v>16.779599999999999</v>
      </c>
      <c r="CU132" s="39">
        <v>23.346399999999999</v>
      </c>
      <c r="CW132" s="39">
        <v>0.5071</v>
      </c>
      <c r="CY132" s="39">
        <v>27.505500000000001</v>
      </c>
      <c r="DA132" s="44">
        <v>17.9529</v>
      </c>
      <c r="DC132" s="1" t="str">
        <f t="shared" si="2"/>
        <v>No</v>
      </c>
    </row>
    <row r="133" spans="1:107">
      <c r="A133" s="7" t="s">
        <v>699</v>
      </c>
      <c r="B133" s="7" t="s">
        <v>700</v>
      </c>
      <c r="C133" s="37" t="s">
        <v>47</v>
      </c>
      <c r="D133" s="296">
        <v>1014</v>
      </c>
      <c r="E133" s="297">
        <v>10014</v>
      </c>
      <c r="F133" s="27" t="s">
        <v>165</v>
      </c>
      <c r="G133" s="27" t="s">
        <v>158</v>
      </c>
      <c r="H133" s="35">
        <v>486514</v>
      </c>
      <c r="I133" s="35">
        <v>103</v>
      </c>
      <c r="J133" s="292"/>
      <c r="K133" s="8">
        <v>263172</v>
      </c>
      <c r="L133" s="8"/>
      <c r="M133" s="8">
        <v>60458</v>
      </c>
      <c r="N133" s="9"/>
      <c r="O133" s="8">
        <v>8540</v>
      </c>
      <c r="P133" s="9"/>
      <c r="Q133" s="8">
        <v>32139</v>
      </c>
      <c r="R133" s="9"/>
      <c r="S133" s="8">
        <v>0</v>
      </c>
      <c r="T133" s="9"/>
      <c r="U133" s="33">
        <v>364309</v>
      </c>
      <c r="V133" s="9"/>
      <c r="W133" s="30">
        <v>131.19999999999999</v>
      </c>
      <c r="X133" s="9"/>
      <c r="Y133" s="30">
        <v>28</v>
      </c>
      <c r="Z133" s="9"/>
      <c r="AA133" s="30">
        <v>5</v>
      </c>
      <c r="AB133" s="9"/>
      <c r="AC133" s="30">
        <v>16.8</v>
      </c>
      <c r="AD133" s="9"/>
      <c r="AE133" s="80">
        <v>0</v>
      </c>
      <c r="AF133" s="46"/>
      <c r="AG133" s="88">
        <v>181</v>
      </c>
      <c r="AH133" s="47"/>
      <c r="AJ133" s="83">
        <v>243429</v>
      </c>
      <c r="AL133" s="83">
        <v>60133</v>
      </c>
      <c r="AN133" s="83">
        <v>8540</v>
      </c>
      <c r="AP133" s="83">
        <v>29910</v>
      </c>
      <c r="AR133" s="83">
        <v>0</v>
      </c>
      <c r="AT133" s="204">
        <v>342012</v>
      </c>
      <c r="AV133" s="46">
        <v>112.5</v>
      </c>
      <c r="AX133" s="46">
        <v>27.7</v>
      </c>
      <c r="AZ133" s="46">
        <v>5</v>
      </c>
      <c r="BB133" s="46">
        <v>14.7</v>
      </c>
      <c r="BD133" s="46">
        <v>0</v>
      </c>
      <c r="BF133" s="209">
        <v>181</v>
      </c>
      <c r="BI133" s="83">
        <v>19743</v>
      </c>
      <c r="BK133" s="83">
        <v>325</v>
      </c>
      <c r="BM133" s="83">
        <v>0</v>
      </c>
      <c r="BO133" s="83">
        <v>2229</v>
      </c>
      <c r="BQ133" s="83">
        <v>0</v>
      </c>
      <c r="BS133" s="85">
        <v>22297</v>
      </c>
      <c r="BU133" s="46">
        <v>18.7</v>
      </c>
      <c r="BW133" s="46">
        <v>0.3</v>
      </c>
      <c r="BY133" s="46">
        <v>0</v>
      </c>
      <c r="CA133" s="46">
        <v>2.1</v>
      </c>
      <c r="CC133" s="46">
        <v>0</v>
      </c>
      <c r="CE133" s="209">
        <v>21.1</v>
      </c>
      <c r="CH133" s="41">
        <v>6632356</v>
      </c>
      <c r="CJ133" s="41">
        <v>1841878</v>
      </c>
      <c r="CL133" s="41">
        <v>294407</v>
      </c>
      <c r="CN133" s="41">
        <v>861620</v>
      </c>
      <c r="CP133" s="43">
        <v>9630261</v>
      </c>
      <c r="CS133" s="39">
        <v>25.201599999999999</v>
      </c>
      <c r="CU133" s="39">
        <v>30.465399999999999</v>
      </c>
      <c r="CW133" s="39">
        <v>1.1187</v>
      </c>
      <c r="CY133" s="39">
        <v>26.809200000000001</v>
      </c>
      <c r="DA133" s="44">
        <v>26.4343</v>
      </c>
      <c r="DC133" s="1" t="str">
        <f t="shared" si="2"/>
        <v>No</v>
      </c>
    </row>
    <row r="134" spans="1:107">
      <c r="A134" s="7" t="s">
        <v>631</v>
      </c>
      <c r="B134" s="7" t="s">
        <v>632</v>
      </c>
      <c r="C134" s="37" t="s">
        <v>63</v>
      </c>
      <c r="D134" s="296">
        <v>2128</v>
      </c>
      <c r="E134" s="297">
        <v>20128</v>
      </c>
      <c r="F134" s="27" t="s">
        <v>173</v>
      </c>
      <c r="G134" s="27" t="s">
        <v>158</v>
      </c>
      <c r="H134" s="35">
        <v>18351295</v>
      </c>
      <c r="I134" s="35">
        <v>102</v>
      </c>
      <c r="J134" s="292"/>
      <c r="K134" s="8">
        <v>278621</v>
      </c>
      <c r="L134" s="8"/>
      <c r="M134" s="8">
        <v>93312</v>
      </c>
      <c r="N134" s="9"/>
      <c r="O134" s="8">
        <v>0</v>
      </c>
      <c r="P134" s="9"/>
      <c r="Q134" s="8">
        <v>57210</v>
      </c>
      <c r="R134" s="9"/>
      <c r="S134" s="8">
        <v>0</v>
      </c>
      <c r="T134" s="9"/>
      <c r="U134" s="33">
        <v>429143</v>
      </c>
      <c r="V134" s="9"/>
      <c r="W134" s="30">
        <v>175</v>
      </c>
      <c r="X134" s="9"/>
      <c r="Y134" s="30">
        <v>33</v>
      </c>
      <c r="Z134" s="9"/>
      <c r="AA134" s="30">
        <v>0</v>
      </c>
      <c r="AB134" s="9"/>
      <c r="AC134" s="30">
        <v>31</v>
      </c>
      <c r="AD134" s="9"/>
      <c r="AE134" s="80">
        <v>0</v>
      </c>
      <c r="AF134" s="46"/>
      <c r="AG134" s="88">
        <v>239</v>
      </c>
      <c r="AH134" s="47"/>
      <c r="AJ134" s="83">
        <v>263595</v>
      </c>
      <c r="AL134" s="83">
        <v>91467</v>
      </c>
      <c r="AN134" s="83">
        <v>0</v>
      </c>
      <c r="AP134" s="83">
        <v>46810</v>
      </c>
      <c r="AR134" s="83">
        <v>0</v>
      </c>
      <c r="AT134" s="204">
        <v>401872</v>
      </c>
      <c r="AV134" s="46">
        <v>143</v>
      </c>
      <c r="AX134" s="46">
        <v>32</v>
      </c>
      <c r="AZ134" s="46">
        <v>0</v>
      </c>
      <c r="BB134" s="46">
        <v>23</v>
      </c>
      <c r="BD134" s="46">
        <v>0</v>
      </c>
      <c r="BF134" s="209">
        <v>239</v>
      </c>
      <c r="BI134" s="83">
        <v>15026</v>
      </c>
      <c r="BK134" s="83">
        <v>1845</v>
      </c>
      <c r="BM134" s="83">
        <v>0</v>
      </c>
      <c r="BO134" s="83">
        <v>10400</v>
      </c>
      <c r="BQ134" s="83">
        <v>0</v>
      </c>
      <c r="BS134" s="85">
        <v>27271</v>
      </c>
      <c r="BU134" s="46">
        <v>32</v>
      </c>
      <c r="BW134" s="46">
        <v>1</v>
      </c>
      <c r="BY134" s="46">
        <v>0</v>
      </c>
      <c r="CA134" s="46">
        <v>8</v>
      </c>
      <c r="CC134" s="46">
        <v>0</v>
      </c>
      <c r="CE134" s="209">
        <v>41</v>
      </c>
      <c r="CH134" s="41">
        <v>9168974</v>
      </c>
      <c r="CJ134" s="41">
        <v>1993234</v>
      </c>
      <c r="CL134" s="41">
        <v>0</v>
      </c>
      <c r="CN134" s="41">
        <v>1192670</v>
      </c>
      <c r="CP134" s="43">
        <v>12354878</v>
      </c>
      <c r="CS134" s="39">
        <v>32.9084</v>
      </c>
      <c r="CU134" s="39">
        <v>21.361000000000001</v>
      </c>
      <c r="CW134" s="39">
        <v>0</v>
      </c>
      <c r="CY134" s="39">
        <v>20.847200000000001</v>
      </c>
      <c r="DA134" s="44">
        <v>28.7897</v>
      </c>
      <c r="DC134" s="1" t="str">
        <f t="shared" si="2"/>
        <v>No</v>
      </c>
    </row>
    <row r="135" spans="1:107">
      <c r="A135" s="7" t="s">
        <v>334</v>
      </c>
      <c r="B135" s="7" t="s">
        <v>335</v>
      </c>
      <c r="C135" s="37" t="s">
        <v>84</v>
      </c>
      <c r="D135" s="296">
        <v>6051</v>
      </c>
      <c r="E135" s="297">
        <v>60051</v>
      </c>
      <c r="F135" s="27" t="s">
        <v>165</v>
      </c>
      <c r="G135" s="27" t="s">
        <v>158</v>
      </c>
      <c r="H135" s="35">
        <v>320069</v>
      </c>
      <c r="I135" s="35">
        <v>102</v>
      </c>
      <c r="J135" s="292"/>
      <c r="K135" s="8">
        <v>295720</v>
      </c>
      <c r="L135" s="8"/>
      <c r="M135" s="8">
        <v>74571</v>
      </c>
      <c r="N135" s="9"/>
      <c r="O135" s="8">
        <v>27651</v>
      </c>
      <c r="P135" s="9"/>
      <c r="Q135" s="8">
        <v>48749</v>
      </c>
      <c r="R135" s="9"/>
      <c r="S135" s="8">
        <v>0</v>
      </c>
      <c r="T135" s="9"/>
      <c r="U135" s="33">
        <v>446691</v>
      </c>
      <c r="V135" s="9"/>
      <c r="W135" s="30">
        <v>162.1</v>
      </c>
      <c r="X135" s="9"/>
      <c r="Y135" s="30">
        <v>42.03</v>
      </c>
      <c r="Z135" s="9"/>
      <c r="AA135" s="30">
        <v>20.41</v>
      </c>
      <c r="AB135" s="9"/>
      <c r="AC135" s="30">
        <v>33.49</v>
      </c>
      <c r="AD135" s="9"/>
      <c r="AE135" s="80">
        <v>0</v>
      </c>
      <c r="AF135" s="46"/>
      <c r="AG135" s="88">
        <v>258.02999999999997</v>
      </c>
      <c r="AH135" s="47"/>
      <c r="AJ135" s="83">
        <v>289192</v>
      </c>
      <c r="AL135" s="83">
        <v>74571</v>
      </c>
      <c r="AN135" s="83">
        <v>26729</v>
      </c>
      <c r="AP135" s="83">
        <v>44114</v>
      </c>
      <c r="AR135" s="83">
        <v>0</v>
      </c>
      <c r="AT135" s="204">
        <v>434606</v>
      </c>
      <c r="AV135" s="46">
        <v>154.9</v>
      </c>
      <c r="AX135" s="46">
        <v>42.03</v>
      </c>
      <c r="AZ135" s="46">
        <v>19.510000000000002</v>
      </c>
      <c r="BB135" s="46">
        <v>28.26</v>
      </c>
      <c r="BD135" s="46">
        <v>0</v>
      </c>
      <c r="BF135" s="209">
        <v>258.02999999999997</v>
      </c>
      <c r="BI135" s="83">
        <v>6528</v>
      </c>
      <c r="BK135" s="83">
        <v>0</v>
      </c>
      <c r="BM135" s="83">
        <v>922</v>
      </c>
      <c r="BO135" s="83">
        <v>4635</v>
      </c>
      <c r="BQ135" s="83">
        <v>0</v>
      </c>
      <c r="BS135" s="85">
        <v>12085</v>
      </c>
      <c r="BU135" s="46">
        <v>7.2</v>
      </c>
      <c r="BW135" s="46">
        <v>0</v>
      </c>
      <c r="BY135" s="46">
        <v>0.9</v>
      </c>
      <c r="CA135" s="46">
        <v>5.23</v>
      </c>
      <c r="CC135" s="46">
        <v>0</v>
      </c>
      <c r="CE135" s="209">
        <v>13.33</v>
      </c>
      <c r="CH135" s="41">
        <v>5878897</v>
      </c>
      <c r="CJ135" s="41">
        <v>1560535</v>
      </c>
      <c r="CL135" s="41">
        <v>384616</v>
      </c>
      <c r="CN135" s="41">
        <v>1670522</v>
      </c>
      <c r="CP135" s="43">
        <v>9494570</v>
      </c>
      <c r="CS135" s="39">
        <v>19.879899999999999</v>
      </c>
      <c r="CU135" s="39">
        <v>20.9268</v>
      </c>
      <c r="CW135" s="39">
        <v>1.3006</v>
      </c>
      <c r="CY135" s="39">
        <v>34.267800000000001</v>
      </c>
      <c r="DA135" s="44">
        <v>21.255299999999998</v>
      </c>
      <c r="DC135" s="1" t="str">
        <f t="shared" si="2"/>
        <v>No</v>
      </c>
    </row>
    <row r="136" spans="1:107">
      <c r="A136" s="7" t="s">
        <v>687</v>
      </c>
      <c r="B136" s="7" t="s">
        <v>688</v>
      </c>
      <c r="C136" s="37" t="s">
        <v>89</v>
      </c>
      <c r="D136" s="296">
        <v>21</v>
      </c>
      <c r="E136" s="297">
        <v>21</v>
      </c>
      <c r="F136" s="27" t="s">
        <v>165</v>
      </c>
      <c r="G136" s="27" t="s">
        <v>158</v>
      </c>
      <c r="H136" s="35">
        <v>114473</v>
      </c>
      <c r="I136" s="35">
        <v>101</v>
      </c>
      <c r="J136" s="292"/>
      <c r="K136" s="8">
        <v>319407</v>
      </c>
      <c r="L136" s="8"/>
      <c r="M136" s="8">
        <v>42305</v>
      </c>
      <c r="N136" s="9"/>
      <c r="O136" s="8">
        <v>10570</v>
      </c>
      <c r="P136" s="9"/>
      <c r="Q136" s="8">
        <v>45935</v>
      </c>
      <c r="R136" s="9"/>
      <c r="S136" s="8">
        <v>2436</v>
      </c>
      <c r="T136" s="9"/>
      <c r="U136" s="33">
        <v>420653</v>
      </c>
      <c r="V136" s="9"/>
      <c r="W136" s="30">
        <v>184.55</v>
      </c>
      <c r="X136" s="9"/>
      <c r="Y136" s="30">
        <v>23.5</v>
      </c>
      <c r="Z136" s="9"/>
      <c r="AA136" s="30">
        <v>5.51</v>
      </c>
      <c r="AB136" s="9"/>
      <c r="AC136" s="30">
        <v>26.09</v>
      </c>
      <c r="AD136" s="9"/>
      <c r="AE136" s="80">
        <v>1.35</v>
      </c>
      <c r="AF136" s="46"/>
      <c r="AG136" s="88">
        <v>241</v>
      </c>
      <c r="AH136" s="47"/>
      <c r="AJ136" s="83">
        <v>317168</v>
      </c>
      <c r="AL136" s="83">
        <v>42305</v>
      </c>
      <c r="AN136" s="83">
        <v>10570</v>
      </c>
      <c r="AP136" s="83">
        <v>45811</v>
      </c>
      <c r="AR136" s="83">
        <v>2436</v>
      </c>
      <c r="AT136" s="204">
        <v>418290</v>
      </c>
      <c r="AV136" s="46">
        <v>182.65</v>
      </c>
      <c r="AX136" s="46">
        <v>23.5</v>
      </c>
      <c r="AZ136" s="46">
        <v>5.51</v>
      </c>
      <c r="BB136" s="46">
        <v>25.99</v>
      </c>
      <c r="BD136" s="46">
        <v>1.35</v>
      </c>
      <c r="BF136" s="209">
        <v>241</v>
      </c>
      <c r="BI136" s="83">
        <v>2239</v>
      </c>
      <c r="BK136" s="83">
        <v>0</v>
      </c>
      <c r="BM136" s="83">
        <v>0</v>
      </c>
      <c r="BO136" s="83">
        <v>124</v>
      </c>
      <c r="BQ136" s="83">
        <v>0</v>
      </c>
      <c r="BS136" s="85">
        <v>2363</v>
      </c>
      <c r="BU136" s="46">
        <v>1.9</v>
      </c>
      <c r="BW136" s="46">
        <v>0</v>
      </c>
      <c r="BY136" s="46">
        <v>0</v>
      </c>
      <c r="CA136" s="46">
        <v>0.1</v>
      </c>
      <c r="CC136" s="46">
        <v>0</v>
      </c>
      <c r="CE136" s="209">
        <v>2</v>
      </c>
      <c r="CH136" s="41">
        <v>8653944</v>
      </c>
      <c r="CJ136" s="41">
        <v>1171373</v>
      </c>
      <c r="CL136" s="41">
        <v>291317</v>
      </c>
      <c r="CN136" s="41">
        <v>1694316</v>
      </c>
      <c r="CP136" s="43">
        <v>11810950</v>
      </c>
      <c r="CS136" s="39">
        <v>27.093800000000002</v>
      </c>
      <c r="CU136" s="39">
        <v>27.688800000000001</v>
      </c>
      <c r="CW136" s="39">
        <v>0.91210000000000002</v>
      </c>
      <c r="CY136" s="39">
        <v>36.885100000000001</v>
      </c>
      <c r="DA136" s="44">
        <v>28.0777</v>
      </c>
      <c r="DC136" s="1" t="str">
        <f t="shared" si="2"/>
        <v>No</v>
      </c>
    </row>
    <row r="137" spans="1:107">
      <c r="A137" s="7" t="s">
        <v>221</v>
      </c>
      <c r="B137" s="7" t="s">
        <v>222</v>
      </c>
      <c r="C137" s="37" t="s">
        <v>9</v>
      </c>
      <c r="D137" s="296">
        <v>4042</v>
      </c>
      <c r="E137" s="297">
        <v>40042</v>
      </c>
      <c r="F137" s="27" t="s">
        <v>165</v>
      </c>
      <c r="G137" s="27" t="s">
        <v>158</v>
      </c>
      <c r="H137" s="35">
        <v>749495</v>
      </c>
      <c r="I137" s="35">
        <v>100</v>
      </c>
      <c r="J137" s="292"/>
      <c r="K137" s="8">
        <v>359608</v>
      </c>
      <c r="L137" s="8"/>
      <c r="M137" s="8">
        <v>121199</v>
      </c>
      <c r="N137" s="9"/>
      <c r="O137" s="8">
        <v>27124</v>
      </c>
      <c r="P137" s="9"/>
      <c r="Q137" s="8">
        <v>83710</v>
      </c>
      <c r="R137" s="9"/>
      <c r="S137" s="8">
        <v>0</v>
      </c>
      <c r="T137" s="9"/>
      <c r="U137" s="33">
        <v>591641</v>
      </c>
      <c r="V137" s="9"/>
      <c r="W137" s="30">
        <v>206</v>
      </c>
      <c r="X137" s="9"/>
      <c r="Y137" s="30">
        <v>63</v>
      </c>
      <c r="Z137" s="9"/>
      <c r="AA137" s="30">
        <v>14</v>
      </c>
      <c r="AB137" s="9"/>
      <c r="AC137" s="30">
        <v>47</v>
      </c>
      <c r="AD137" s="9"/>
      <c r="AE137" s="80">
        <v>0</v>
      </c>
      <c r="AF137" s="46"/>
      <c r="AG137" s="88">
        <v>330</v>
      </c>
      <c r="AH137" s="47"/>
      <c r="AJ137" s="83">
        <v>355651</v>
      </c>
      <c r="AL137" s="83">
        <v>121199</v>
      </c>
      <c r="AN137" s="83">
        <v>27124</v>
      </c>
      <c r="AP137" s="83">
        <v>83710</v>
      </c>
      <c r="AR137" s="83">
        <v>0</v>
      </c>
      <c r="AT137" s="204">
        <v>587684</v>
      </c>
      <c r="AV137" s="46">
        <v>202</v>
      </c>
      <c r="AX137" s="46">
        <v>63</v>
      </c>
      <c r="AZ137" s="46">
        <v>14</v>
      </c>
      <c r="BB137" s="46">
        <v>47</v>
      </c>
      <c r="BD137" s="46">
        <v>0</v>
      </c>
      <c r="BF137" s="209">
        <v>330</v>
      </c>
      <c r="BI137" s="83">
        <v>3957</v>
      </c>
      <c r="BK137" s="83">
        <v>0</v>
      </c>
      <c r="BM137" s="83">
        <v>0</v>
      </c>
      <c r="BO137" s="83">
        <v>0</v>
      </c>
      <c r="BQ137" s="83">
        <v>0</v>
      </c>
      <c r="BS137" s="85">
        <v>3957</v>
      </c>
      <c r="BU137" s="46">
        <v>4</v>
      </c>
      <c r="BW137" s="46">
        <v>0</v>
      </c>
      <c r="BY137" s="46">
        <v>0</v>
      </c>
      <c r="CA137" s="46">
        <v>0</v>
      </c>
      <c r="CC137" s="46">
        <v>0</v>
      </c>
      <c r="CE137" s="209">
        <v>4</v>
      </c>
      <c r="CH137" s="41">
        <v>8466808</v>
      </c>
      <c r="CJ137" s="41">
        <v>2426133</v>
      </c>
      <c r="CL137" s="41">
        <v>689906</v>
      </c>
      <c r="CN137" s="41">
        <v>2099059</v>
      </c>
      <c r="CP137" s="43">
        <v>13681906</v>
      </c>
      <c r="CS137" s="39">
        <v>23.544499999999999</v>
      </c>
      <c r="CU137" s="39">
        <v>20.017800000000001</v>
      </c>
      <c r="CW137" s="39">
        <v>1.9185000000000001</v>
      </c>
      <c r="CY137" s="39">
        <v>25.075399999999998</v>
      </c>
      <c r="DA137" s="44">
        <v>23.125399999999999</v>
      </c>
      <c r="DC137" s="1" t="str">
        <f t="shared" si="2"/>
        <v>No</v>
      </c>
    </row>
    <row r="138" spans="1:107">
      <c r="A138" s="7" t="s">
        <v>1124</v>
      </c>
      <c r="B138" s="7" t="s">
        <v>285</v>
      </c>
      <c r="C138" s="37" t="s">
        <v>86</v>
      </c>
      <c r="D138" s="296">
        <v>3071</v>
      </c>
      <c r="E138" s="297">
        <v>30071</v>
      </c>
      <c r="F138" s="27" t="s">
        <v>162</v>
      </c>
      <c r="G138" s="27" t="s">
        <v>158</v>
      </c>
      <c r="H138" s="35">
        <v>4586770</v>
      </c>
      <c r="I138" s="35">
        <v>99</v>
      </c>
      <c r="J138" s="292"/>
      <c r="K138" s="8">
        <v>281572</v>
      </c>
      <c r="L138" s="8"/>
      <c r="M138" s="8">
        <v>44381</v>
      </c>
      <c r="N138" s="9"/>
      <c r="O138" s="8">
        <v>2010</v>
      </c>
      <c r="P138" s="9"/>
      <c r="Q138" s="8">
        <v>23455</v>
      </c>
      <c r="R138" s="9"/>
      <c r="S138" s="8">
        <v>0</v>
      </c>
      <c r="T138" s="9"/>
      <c r="U138" s="33">
        <v>351418</v>
      </c>
      <c r="V138" s="9"/>
      <c r="W138" s="30">
        <v>141</v>
      </c>
      <c r="X138" s="9"/>
      <c r="Y138" s="30">
        <v>26</v>
      </c>
      <c r="Z138" s="9"/>
      <c r="AA138" s="30">
        <v>1</v>
      </c>
      <c r="AB138" s="9"/>
      <c r="AC138" s="30">
        <v>12</v>
      </c>
      <c r="AD138" s="9"/>
      <c r="AE138" s="80">
        <v>0</v>
      </c>
      <c r="AF138" s="46"/>
      <c r="AG138" s="88">
        <v>180</v>
      </c>
      <c r="AH138" s="47"/>
      <c r="AJ138" s="83">
        <v>267017</v>
      </c>
      <c r="AL138" s="83">
        <v>42321</v>
      </c>
      <c r="AN138" s="83">
        <v>2010</v>
      </c>
      <c r="AP138" s="83">
        <v>22988</v>
      </c>
      <c r="AR138" s="83">
        <v>0</v>
      </c>
      <c r="AT138" s="204">
        <v>334336</v>
      </c>
      <c r="AV138" s="46">
        <v>123</v>
      </c>
      <c r="AX138" s="46">
        <v>23</v>
      </c>
      <c r="AZ138" s="46">
        <v>1</v>
      </c>
      <c r="BB138" s="46">
        <v>11</v>
      </c>
      <c r="BD138" s="46">
        <v>0</v>
      </c>
      <c r="BF138" s="209">
        <v>180</v>
      </c>
      <c r="BI138" s="83">
        <v>14555</v>
      </c>
      <c r="BK138" s="83">
        <v>2060</v>
      </c>
      <c r="BM138" s="83">
        <v>0</v>
      </c>
      <c r="BO138" s="83">
        <v>467</v>
      </c>
      <c r="BQ138" s="83">
        <v>0</v>
      </c>
      <c r="BS138" s="85">
        <v>17082</v>
      </c>
      <c r="BU138" s="46">
        <v>18</v>
      </c>
      <c r="BW138" s="46">
        <v>3</v>
      </c>
      <c r="BY138" s="46">
        <v>0</v>
      </c>
      <c r="CA138" s="46">
        <v>1</v>
      </c>
      <c r="CC138" s="46">
        <v>0</v>
      </c>
      <c r="CE138" s="209">
        <v>22</v>
      </c>
      <c r="CH138" s="41">
        <v>6315420</v>
      </c>
      <c r="CJ138" s="41">
        <v>1124021</v>
      </c>
      <c r="CL138" s="41">
        <v>55489</v>
      </c>
      <c r="CN138" s="41">
        <v>1041946</v>
      </c>
      <c r="CP138" s="43">
        <v>8536876</v>
      </c>
      <c r="CS138" s="39">
        <v>22.429099999999998</v>
      </c>
      <c r="CU138" s="39">
        <v>25.326599999999999</v>
      </c>
      <c r="CW138" s="39">
        <v>0.1971</v>
      </c>
      <c r="CY138" s="39">
        <v>44.423200000000001</v>
      </c>
      <c r="DA138" s="44">
        <v>24.2927</v>
      </c>
      <c r="DC138" s="1" t="str">
        <f t="shared" si="2"/>
        <v>No</v>
      </c>
    </row>
    <row r="139" spans="1:107">
      <c r="A139" s="7" t="s">
        <v>330</v>
      </c>
      <c r="B139" s="7" t="s">
        <v>329</v>
      </c>
      <c r="C139" s="37" t="s">
        <v>28</v>
      </c>
      <c r="D139" s="296">
        <v>1055</v>
      </c>
      <c r="E139" s="297">
        <v>10055</v>
      </c>
      <c r="F139" s="27" t="s">
        <v>157</v>
      </c>
      <c r="G139" s="27" t="s">
        <v>158</v>
      </c>
      <c r="H139" s="35">
        <v>562839</v>
      </c>
      <c r="I139" s="35">
        <v>98</v>
      </c>
      <c r="J139" s="292"/>
      <c r="K139" s="8">
        <v>503273</v>
      </c>
      <c r="L139" s="8"/>
      <c r="M139" s="8">
        <v>115158</v>
      </c>
      <c r="N139" s="9"/>
      <c r="O139" s="8">
        <v>20331</v>
      </c>
      <c r="P139" s="9"/>
      <c r="Q139" s="8">
        <v>59934</v>
      </c>
      <c r="R139" s="9"/>
      <c r="S139" s="8">
        <v>0</v>
      </c>
      <c r="T139" s="9"/>
      <c r="U139" s="33">
        <v>698696</v>
      </c>
      <c r="V139" s="9"/>
      <c r="W139" s="30">
        <v>241</v>
      </c>
      <c r="X139" s="9"/>
      <c r="Y139" s="30">
        <v>55</v>
      </c>
      <c r="Z139" s="9"/>
      <c r="AA139" s="30">
        <v>10</v>
      </c>
      <c r="AB139" s="9"/>
      <c r="AC139" s="30">
        <v>40</v>
      </c>
      <c r="AD139" s="9"/>
      <c r="AE139" s="80">
        <v>0</v>
      </c>
      <c r="AF139" s="46"/>
      <c r="AG139" s="88">
        <v>346</v>
      </c>
      <c r="AH139" s="47"/>
      <c r="AJ139" s="83">
        <v>491131</v>
      </c>
      <c r="AL139" s="83">
        <v>115158</v>
      </c>
      <c r="AN139" s="83">
        <v>20331</v>
      </c>
      <c r="AP139" s="83">
        <v>45751</v>
      </c>
      <c r="AR139" s="83">
        <v>0</v>
      </c>
      <c r="AT139" s="204">
        <v>672371</v>
      </c>
      <c r="AV139" s="46">
        <v>233</v>
      </c>
      <c r="AX139" s="46">
        <v>55</v>
      </c>
      <c r="AZ139" s="46">
        <v>10</v>
      </c>
      <c r="BB139" s="46">
        <v>24</v>
      </c>
      <c r="BD139" s="46">
        <v>0</v>
      </c>
      <c r="BF139" s="209">
        <v>346</v>
      </c>
      <c r="BI139" s="83">
        <v>12142</v>
      </c>
      <c r="BK139" s="83">
        <v>0</v>
      </c>
      <c r="BM139" s="83">
        <v>0</v>
      </c>
      <c r="BO139" s="83">
        <v>14183</v>
      </c>
      <c r="BQ139" s="83">
        <v>0</v>
      </c>
      <c r="BS139" s="85">
        <v>26325</v>
      </c>
      <c r="BU139" s="46">
        <v>8</v>
      </c>
      <c r="BW139" s="46">
        <v>0</v>
      </c>
      <c r="BY139" s="46">
        <v>0</v>
      </c>
      <c r="CA139" s="46">
        <v>16</v>
      </c>
      <c r="CC139" s="46">
        <v>0</v>
      </c>
      <c r="CE139" s="209">
        <v>24</v>
      </c>
      <c r="CH139" s="41">
        <v>14387136</v>
      </c>
      <c r="CJ139" s="41">
        <v>3304601</v>
      </c>
      <c r="CL139" s="41">
        <v>659548</v>
      </c>
      <c r="CN139" s="41">
        <v>1723210</v>
      </c>
      <c r="CP139" s="43">
        <v>20074495</v>
      </c>
      <c r="CS139" s="39">
        <v>28.5871</v>
      </c>
      <c r="CU139" s="39">
        <v>28.696200000000001</v>
      </c>
      <c r="CW139" s="39">
        <v>1.3105</v>
      </c>
      <c r="CY139" s="39">
        <v>28.751799999999999</v>
      </c>
      <c r="DA139" s="44">
        <v>28.731400000000001</v>
      </c>
      <c r="DC139" s="1" t="str">
        <f t="shared" si="2"/>
        <v>No</v>
      </c>
    </row>
    <row r="140" spans="1:107">
      <c r="A140" s="7" t="s">
        <v>447</v>
      </c>
      <c r="B140" s="7" t="s">
        <v>448</v>
      </c>
      <c r="C140" s="37" t="s">
        <v>32</v>
      </c>
      <c r="D140" s="296">
        <v>4028</v>
      </c>
      <c r="E140" s="297">
        <v>40028</v>
      </c>
      <c r="F140" s="27" t="s">
        <v>162</v>
      </c>
      <c r="G140" s="27" t="s">
        <v>158</v>
      </c>
      <c r="H140" s="35">
        <v>530290</v>
      </c>
      <c r="I140" s="35">
        <v>98</v>
      </c>
      <c r="J140" s="292"/>
      <c r="K140" s="8">
        <v>411735</v>
      </c>
      <c r="L140" s="8"/>
      <c r="M140" s="8">
        <v>54043</v>
      </c>
      <c r="N140" s="9"/>
      <c r="O140" s="8">
        <v>11347</v>
      </c>
      <c r="P140" s="9"/>
      <c r="Q140" s="8">
        <v>35494</v>
      </c>
      <c r="R140" s="9"/>
      <c r="S140" s="8">
        <v>0</v>
      </c>
      <c r="T140" s="9"/>
      <c r="U140" s="33">
        <v>512619</v>
      </c>
      <c r="V140" s="9"/>
      <c r="W140" s="30">
        <v>206</v>
      </c>
      <c r="X140" s="9"/>
      <c r="Y140" s="30">
        <v>27</v>
      </c>
      <c r="Z140" s="9"/>
      <c r="AA140" s="30">
        <v>6</v>
      </c>
      <c r="AB140" s="9"/>
      <c r="AC140" s="30">
        <v>18.5</v>
      </c>
      <c r="AD140" s="9"/>
      <c r="AE140" s="80">
        <v>0</v>
      </c>
      <c r="AF140" s="46"/>
      <c r="AG140" s="88">
        <v>257.5</v>
      </c>
      <c r="AH140" s="47"/>
      <c r="AJ140" s="83">
        <v>408684</v>
      </c>
      <c r="AL140" s="83">
        <v>54043</v>
      </c>
      <c r="AN140" s="83">
        <v>11347</v>
      </c>
      <c r="AP140" s="83">
        <v>35494</v>
      </c>
      <c r="AR140" s="83">
        <v>0</v>
      </c>
      <c r="AT140" s="204">
        <v>509568</v>
      </c>
      <c r="AV140" s="46">
        <v>203</v>
      </c>
      <c r="AX140" s="46">
        <v>27</v>
      </c>
      <c r="AZ140" s="46">
        <v>6</v>
      </c>
      <c r="BB140" s="46">
        <v>18.5</v>
      </c>
      <c r="BD140" s="46">
        <v>0</v>
      </c>
      <c r="BF140" s="209">
        <v>257.5</v>
      </c>
      <c r="BI140" s="83">
        <v>3051</v>
      </c>
      <c r="BK140" s="83">
        <v>0</v>
      </c>
      <c r="BM140" s="83">
        <v>0</v>
      </c>
      <c r="BO140" s="83">
        <v>0</v>
      </c>
      <c r="BQ140" s="83">
        <v>0</v>
      </c>
      <c r="BS140" s="85">
        <v>3051</v>
      </c>
      <c r="BU140" s="46">
        <v>3</v>
      </c>
      <c r="BW140" s="46">
        <v>0</v>
      </c>
      <c r="BY140" s="46">
        <v>0</v>
      </c>
      <c r="CA140" s="46">
        <v>0</v>
      </c>
      <c r="CC140" s="46">
        <v>0</v>
      </c>
      <c r="CE140" s="209">
        <v>3</v>
      </c>
      <c r="CH140" s="41">
        <v>6860637</v>
      </c>
      <c r="CJ140" s="41">
        <v>1100385</v>
      </c>
      <c r="CL140" s="41">
        <v>217787</v>
      </c>
      <c r="CN140" s="41">
        <v>982446</v>
      </c>
      <c r="CP140" s="43">
        <v>9161255</v>
      </c>
      <c r="CS140" s="39">
        <v>16.662700000000001</v>
      </c>
      <c r="CU140" s="39">
        <v>20.3613</v>
      </c>
      <c r="CW140" s="39">
        <v>0.52890000000000004</v>
      </c>
      <c r="CY140" s="39">
        <v>27.679200000000002</v>
      </c>
      <c r="DA140" s="44">
        <v>17.871500000000001</v>
      </c>
      <c r="DC140" s="1" t="str">
        <f t="shared" si="2"/>
        <v>No</v>
      </c>
    </row>
    <row r="141" spans="1:107">
      <c r="A141" s="7" t="s">
        <v>215</v>
      </c>
      <c r="B141" s="7" t="s">
        <v>216</v>
      </c>
      <c r="C141" s="37" t="s">
        <v>77</v>
      </c>
      <c r="D141" s="296">
        <v>3024</v>
      </c>
      <c r="E141" s="297">
        <v>30024</v>
      </c>
      <c r="F141" s="27" t="s">
        <v>165</v>
      </c>
      <c r="G141" s="27" t="s">
        <v>158</v>
      </c>
      <c r="H141" s="35">
        <v>266254</v>
      </c>
      <c r="I141" s="35">
        <v>97</v>
      </c>
      <c r="J141" s="292"/>
      <c r="K141" s="8">
        <v>222299</v>
      </c>
      <c r="L141" s="8"/>
      <c r="M141" s="8">
        <v>28495</v>
      </c>
      <c r="N141" s="9"/>
      <c r="O141" s="8">
        <v>13751</v>
      </c>
      <c r="P141" s="9"/>
      <c r="Q141" s="8">
        <v>43280</v>
      </c>
      <c r="R141" s="9"/>
      <c r="S141" s="8">
        <v>0</v>
      </c>
      <c r="T141" s="9"/>
      <c r="U141" s="33">
        <v>307825</v>
      </c>
      <c r="V141" s="9"/>
      <c r="W141" s="30">
        <v>119</v>
      </c>
      <c r="X141" s="9"/>
      <c r="Y141" s="30">
        <v>14</v>
      </c>
      <c r="Z141" s="9"/>
      <c r="AA141" s="30">
        <v>11</v>
      </c>
      <c r="AB141" s="9"/>
      <c r="AC141" s="30">
        <v>23</v>
      </c>
      <c r="AD141" s="9"/>
      <c r="AE141" s="80">
        <v>0</v>
      </c>
      <c r="AF141" s="46"/>
      <c r="AG141" s="88">
        <v>167</v>
      </c>
      <c r="AH141" s="47"/>
      <c r="AJ141" s="83">
        <v>215763</v>
      </c>
      <c r="AL141" s="83">
        <v>28495</v>
      </c>
      <c r="AN141" s="83">
        <v>12491</v>
      </c>
      <c r="AP141" s="83">
        <v>42240</v>
      </c>
      <c r="AR141" s="83">
        <v>0</v>
      </c>
      <c r="AT141" s="204">
        <v>298989</v>
      </c>
      <c r="AV141" s="46">
        <v>113</v>
      </c>
      <c r="AX141" s="46">
        <v>14</v>
      </c>
      <c r="AZ141" s="46">
        <v>10</v>
      </c>
      <c r="BB141" s="46">
        <v>22</v>
      </c>
      <c r="BD141" s="46">
        <v>0</v>
      </c>
      <c r="BF141" s="209">
        <v>167</v>
      </c>
      <c r="BI141" s="83">
        <v>6536</v>
      </c>
      <c r="BK141" s="83">
        <v>0</v>
      </c>
      <c r="BM141" s="83">
        <v>1260</v>
      </c>
      <c r="BO141" s="83">
        <v>1040</v>
      </c>
      <c r="BQ141" s="83">
        <v>0</v>
      </c>
      <c r="BS141" s="85">
        <v>8836</v>
      </c>
      <c r="BU141" s="46">
        <v>6</v>
      </c>
      <c r="BW141" s="46">
        <v>0</v>
      </c>
      <c r="BY141" s="46">
        <v>1</v>
      </c>
      <c r="CA141" s="46">
        <v>1</v>
      </c>
      <c r="CC141" s="46">
        <v>0</v>
      </c>
      <c r="CE141" s="209">
        <v>8</v>
      </c>
      <c r="CH141" s="41">
        <v>4770686</v>
      </c>
      <c r="CJ141" s="41">
        <v>880963</v>
      </c>
      <c r="CL141" s="41">
        <v>154508</v>
      </c>
      <c r="CN141" s="41">
        <v>577666</v>
      </c>
      <c r="CP141" s="43">
        <v>6383823</v>
      </c>
      <c r="CS141" s="39">
        <v>21.460699999999999</v>
      </c>
      <c r="CU141" s="39">
        <v>30.916399999999999</v>
      </c>
      <c r="CW141" s="39">
        <v>0.69499999999999995</v>
      </c>
      <c r="CY141" s="39">
        <v>13.347200000000001</v>
      </c>
      <c r="DA141" s="44">
        <v>20.738499999999998</v>
      </c>
      <c r="DC141" s="1" t="str">
        <f t="shared" si="2"/>
        <v>No</v>
      </c>
    </row>
    <row r="142" spans="1:107">
      <c r="A142" s="7" t="s">
        <v>271</v>
      </c>
      <c r="B142" s="7" t="s">
        <v>272</v>
      </c>
      <c r="C142" s="37" t="s">
        <v>58</v>
      </c>
      <c r="D142" s="296">
        <v>4051</v>
      </c>
      <c r="E142" s="297">
        <v>40051</v>
      </c>
      <c r="F142" s="27" t="s">
        <v>162</v>
      </c>
      <c r="G142" s="27" t="s">
        <v>158</v>
      </c>
      <c r="H142" s="35">
        <v>347602</v>
      </c>
      <c r="I142" s="35">
        <v>96</v>
      </c>
      <c r="J142" s="292"/>
      <c r="K142" s="8">
        <v>324699</v>
      </c>
      <c r="L142" s="8"/>
      <c r="M142" s="8">
        <v>58562</v>
      </c>
      <c r="N142" s="9"/>
      <c r="O142" s="8">
        <v>3984</v>
      </c>
      <c r="P142" s="9"/>
      <c r="Q142" s="8">
        <v>28579</v>
      </c>
      <c r="R142" s="9"/>
      <c r="S142" s="8">
        <v>0</v>
      </c>
      <c r="T142" s="9"/>
      <c r="U142" s="33">
        <v>415824</v>
      </c>
      <c r="V142" s="9"/>
      <c r="W142" s="30">
        <v>156.6</v>
      </c>
      <c r="X142" s="9"/>
      <c r="Y142" s="30">
        <v>29</v>
      </c>
      <c r="Z142" s="9"/>
      <c r="AA142" s="30">
        <v>2.04</v>
      </c>
      <c r="AB142" s="9"/>
      <c r="AC142" s="30">
        <v>14</v>
      </c>
      <c r="AD142" s="9"/>
      <c r="AE142" s="80">
        <v>0</v>
      </c>
      <c r="AF142" s="46"/>
      <c r="AG142" s="88">
        <v>201.64</v>
      </c>
      <c r="AH142" s="47"/>
      <c r="AJ142" s="83">
        <v>321712</v>
      </c>
      <c r="AL142" s="83">
        <v>58562</v>
      </c>
      <c r="AN142" s="83">
        <v>2496</v>
      </c>
      <c r="AP142" s="83">
        <v>28579</v>
      </c>
      <c r="AR142" s="83">
        <v>0</v>
      </c>
      <c r="AT142" s="204">
        <v>411349</v>
      </c>
      <c r="AV142" s="46">
        <v>155</v>
      </c>
      <c r="AX142" s="46">
        <v>29</v>
      </c>
      <c r="AZ142" s="46">
        <v>1.1599999999999999</v>
      </c>
      <c r="BB142" s="46">
        <v>14</v>
      </c>
      <c r="BD142" s="46">
        <v>0</v>
      </c>
      <c r="BF142" s="209">
        <v>201.64</v>
      </c>
      <c r="BI142" s="83">
        <v>2987</v>
      </c>
      <c r="BK142" s="83">
        <v>0</v>
      </c>
      <c r="BM142" s="83">
        <v>1488</v>
      </c>
      <c r="BO142" s="83">
        <v>0</v>
      </c>
      <c r="BQ142" s="83">
        <v>0</v>
      </c>
      <c r="BS142" s="85">
        <v>4475</v>
      </c>
      <c r="BU142" s="46">
        <v>1.6</v>
      </c>
      <c r="BW142" s="46">
        <v>0</v>
      </c>
      <c r="BY142" s="46">
        <v>0.88</v>
      </c>
      <c r="CA142" s="46">
        <v>0</v>
      </c>
      <c r="CC142" s="46">
        <v>0</v>
      </c>
      <c r="CE142" s="209">
        <v>2.48</v>
      </c>
      <c r="CH142" s="41">
        <v>5175049</v>
      </c>
      <c r="CJ142" s="41">
        <v>1087428</v>
      </c>
      <c r="CL142" s="41">
        <v>96038</v>
      </c>
      <c r="CN142" s="41">
        <v>632204</v>
      </c>
      <c r="CP142" s="43">
        <v>6990719</v>
      </c>
      <c r="CS142" s="39">
        <v>15.938000000000001</v>
      </c>
      <c r="CU142" s="39">
        <v>18.5688</v>
      </c>
      <c r="CW142" s="39">
        <v>0.29580000000000001</v>
      </c>
      <c r="CY142" s="39">
        <v>22.121300000000002</v>
      </c>
      <c r="DA142" s="44">
        <v>16.811699999999998</v>
      </c>
      <c r="DC142" s="1" t="str">
        <f t="shared" si="2"/>
        <v>No</v>
      </c>
    </row>
    <row r="143" spans="1:107">
      <c r="A143" s="7" t="s">
        <v>560</v>
      </c>
      <c r="B143" s="7" t="s">
        <v>561</v>
      </c>
      <c r="C143" s="37" t="s">
        <v>77</v>
      </c>
      <c r="D143" s="296">
        <v>3018</v>
      </c>
      <c r="E143" s="297">
        <v>30018</v>
      </c>
      <c r="F143" s="27" t="s">
        <v>165</v>
      </c>
      <c r="G143" s="27" t="s">
        <v>158</v>
      </c>
      <c r="H143" s="35">
        <v>402004</v>
      </c>
      <c r="I143" s="35">
        <v>96</v>
      </c>
      <c r="J143" s="292"/>
      <c r="K143" s="8">
        <v>130508</v>
      </c>
      <c r="L143" s="8"/>
      <c r="M143" s="8">
        <v>20556</v>
      </c>
      <c r="N143" s="9"/>
      <c r="O143" s="8">
        <v>4723</v>
      </c>
      <c r="P143" s="9"/>
      <c r="Q143" s="8">
        <v>11850</v>
      </c>
      <c r="R143" s="9"/>
      <c r="S143" s="8">
        <v>500</v>
      </c>
      <c r="T143" s="9"/>
      <c r="U143" s="33">
        <v>168137</v>
      </c>
      <c r="V143" s="9"/>
      <c r="W143" s="30">
        <v>78</v>
      </c>
      <c r="X143" s="9"/>
      <c r="Y143" s="30">
        <v>13</v>
      </c>
      <c r="Z143" s="9"/>
      <c r="AA143" s="30">
        <v>3</v>
      </c>
      <c r="AB143" s="9"/>
      <c r="AC143" s="30">
        <v>7.7</v>
      </c>
      <c r="AD143" s="9"/>
      <c r="AE143" s="80">
        <v>0.3</v>
      </c>
      <c r="AF143" s="46"/>
      <c r="AG143" s="88">
        <v>102</v>
      </c>
      <c r="AH143" s="47"/>
      <c r="AJ143" s="83">
        <v>122115</v>
      </c>
      <c r="AL143" s="83">
        <v>20556</v>
      </c>
      <c r="AN143" s="83">
        <v>4723</v>
      </c>
      <c r="AP143" s="83">
        <v>11230</v>
      </c>
      <c r="AR143" s="83">
        <v>500</v>
      </c>
      <c r="AT143" s="204">
        <v>159124</v>
      </c>
      <c r="AV143" s="46">
        <v>66</v>
      </c>
      <c r="AX143" s="46">
        <v>13</v>
      </c>
      <c r="AZ143" s="46">
        <v>3</v>
      </c>
      <c r="BB143" s="46">
        <v>6.7</v>
      </c>
      <c r="BD143" s="46">
        <v>0.3</v>
      </c>
      <c r="BF143" s="209">
        <v>102</v>
      </c>
      <c r="BI143" s="83">
        <v>8393</v>
      </c>
      <c r="BK143" s="83">
        <v>0</v>
      </c>
      <c r="BM143" s="83">
        <v>0</v>
      </c>
      <c r="BO143" s="83">
        <v>620</v>
      </c>
      <c r="BQ143" s="83">
        <v>0</v>
      </c>
      <c r="BS143" s="85">
        <v>9013</v>
      </c>
      <c r="BU143" s="46">
        <v>12</v>
      </c>
      <c r="BW143" s="46">
        <v>0</v>
      </c>
      <c r="BY143" s="46">
        <v>0</v>
      </c>
      <c r="CA143" s="46">
        <v>1</v>
      </c>
      <c r="CC143" s="46">
        <v>0</v>
      </c>
      <c r="CE143" s="209">
        <v>13</v>
      </c>
      <c r="CH143" s="41">
        <v>3195414</v>
      </c>
      <c r="CJ143" s="41">
        <v>403434</v>
      </c>
      <c r="CL143" s="41">
        <v>131047</v>
      </c>
      <c r="CN143" s="41">
        <v>435241</v>
      </c>
      <c r="CP143" s="43">
        <v>4165136</v>
      </c>
      <c r="CS143" s="39">
        <v>24.484400000000001</v>
      </c>
      <c r="CU143" s="39">
        <v>19.626100000000001</v>
      </c>
      <c r="CW143" s="39">
        <v>1.0041</v>
      </c>
      <c r="CY143" s="39">
        <v>36.729199999999999</v>
      </c>
      <c r="DA143" s="44">
        <v>24.772300000000001</v>
      </c>
      <c r="DC143" s="1" t="str">
        <f t="shared" si="2"/>
        <v>No</v>
      </c>
    </row>
    <row r="144" spans="1:107">
      <c r="A144" s="7" t="s">
        <v>74</v>
      </c>
      <c r="B144" s="7" t="s">
        <v>439</v>
      </c>
      <c r="C144" s="37" t="s">
        <v>73</v>
      </c>
      <c r="D144" s="296">
        <v>5117</v>
      </c>
      <c r="E144" s="297">
        <v>50117</v>
      </c>
      <c r="F144" s="27" t="s">
        <v>165</v>
      </c>
      <c r="G144" s="27" t="s">
        <v>158</v>
      </c>
      <c r="H144" s="35">
        <v>1780673</v>
      </c>
      <c r="I144" s="35">
        <v>95</v>
      </c>
      <c r="J144" s="292"/>
      <c r="K144" s="8">
        <v>247376</v>
      </c>
      <c r="L144" s="8"/>
      <c r="M144" s="8">
        <v>21997</v>
      </c>
      <c r="N144" s="9"/>
      <c r="O144" s="8">
        <v>5115</v>
      </c>
      <c r="P144" s="9"/>
      <c r="Q144" s="8">
        <v>31109</v>
      </c>
      <c r="R144" s="9"/>
      <c r="S144" s="8">
        <v>0</v>
      </c>
      <c r="T144" s="9"/>
      <c r="U144" s="33">
        <v>305597</v>
      </c>
      <c r="V144" s="9"/>
      <c r="W144" s="30">
        <v>162</v>
      </c>
      <c r="X144" s="9"/>
      <c r="Y144" s="30">
        <v>12</v>
      </c>
      <c r="Z144" s="9"/>
      <c r="AA144" s="30">
        <v>3</v>
      </c>
      <c r="AB144" s="9"/>
      <c r="AC144" s="30">
        <v>22</v>
      </c>
      <c r="AD144" s="9"/>
      <c r="AE144" s="80">
        <v>0</v>
      </c>
      <c r="AF144" s="46"/>
      <c r="AG144" s="88">
        <v>199</v>
      </c>
      <c r="AH144" s="47"/>
      <c r="AJ144" s="83">
        <v>199716</v>
      </c>
      <c r="AL144" s="83">
        <v>21997</v>
      </c>
      <c r="AN144" s="83">
        <v>5115</v>
      </c>
      <c r="AP144" s="83">
        <v>29092</v>
      </c>
      <c r="AR144" s="83">
        <v>0</v>
      </c>
      <c r="AT144" s="204">
        <v>255920</v>
      </c>
      <c r="AV144" s="46">
        <v>98</v>
      </c>
      <c r="AX144" s="46">
        <v>12</v>
      </c>
      <c r="AZ144" s="46">
        <v>3</v>
      </c>
      <c r="BB144" s="46">
        <v>16</v>
      </c>
      <c r="BD144" s="46">
        <v>0</v>
      </c>
      <c r="BF144" s="209">
        <v>199</v>
      </c>
      <c r="BI144" s="83">
        <v>47660</v>
      </c>
      <c r="BK144" s="83">
        <v>0</v>
      </c>
      <c r="BM144" s="83">
        <v>0</v>
      </c>
      <c r="BO144" s="83">
        <v>2017</v>
      </c>
      <c r="BQ144" s="83">
        <v>0</v>
      </c>
      <c r="BS144" s="85">
        <v>49677</v>
      </c>
      <c r="BU144" s="46">
        <v>64</v>
      </c>
      <c r="BW144" s="46">
        <v>0</v>
      </c>
      <c r="BY144" s="46">
        <v>0</v>
      </c>
      <c r="CA144" s="46">
        <v>6</v>
      </c>
      <c r="CC144" s="46">
        <v>0</v>
      </c>
      <c r="CE144" s="209">
        <v>70</v>
      </c>
      <c r="CH144" s="41">
        <v>5040071</v>
      </c>
      <c r="CJ144" s="41">
        <v>581896</v>
      </c>
      <c r="CL144" s="41">
        <v>62648</v>
      </c>
      <c r="CN144" s="41">
        <v>540118</v>
      </c>
      <c r="CP144" s="43">
        <v>6224733</v>
      </c>
      <c r="CS144" s="39">
        <v>20.374099999999999</v>
      </c>
      <c r="CU144" s="39">
        <v>26.453399999999998</v>
      </c>
      <c r="CW144" s="39">
        <v>0.25330000000000003</v>
      </c>
      <c r="CY144" s="39">
        <v>17.362100000000002</v>
      </c>
      <c r="DA144" s="44">
        <v>20.3691</v>
      </c>
      <c r="DC144" s="1" t="str">
        <f t="shared" si="2"/>
        <v>No</v>
      </c>
    </row>
    <row r="145" spans="1:107">
      <c r="A145" s="7" t="s">
        <v>489</v>
      </c>
      <c r="B145" s="7" t="s">
        <v>490</v>
      </c>
      <c r="C145" s="37" t="s">
        <v>75</v>
      </c>
      <c r="D145" s="296">
        <v>6018</v>
      </c>
      <c r="E145" s="297">
        <v>60018</v>
      </c>
      <c r="F145" s="27" t="s">
        <v>162</v>
      </c>
      <c r="G145" s="27" t="s">
        <v>158</v>
      </c>
      <c r="H145" s="35">
        <v>655479</v>
      </c>
      <c r="I145" s="35">
        <v>93</v>
      </c>
      <c r="J145" s="292"/>
      <c r="K145" s="8">
        <v>261451</v>
      </c>
      <c r="L145" s="8"/>
      <c r="M145" s="8">
        <v>59533</v>
      </c>
      <c r="N145" s="9"/>
      <c r="O145" s="8">
        <v>0</v>
      </c>
      <c r="P145" s="9"/>
      <c r="Q145" s="8">
        <v>63134</v>
      </c>
      <c r="R145" s="9"/>
      <c r="S145" s="8">
        <v>0</v>
      </c>
      <c r="T145" s="9"/>
      <c r="U145" s="33">
        <v>384118</v>
      </c>
      <c r="V145" s="9"/>
      <c r="W145" s="30">
        <v>115</v>
      </c>
      <c r="X145" s="9"/>
      <c r="Y145" s="30">
        <v>28</v>
      </c>
      <c r="Z145" s="9"/>
      <c r="AA145" s="30">
        <v>0</v>
      </c>
      <c r="AB145" s="9"/>
      <c r="AC145" s="30">
        <v>37</v>
      </c>
      <c r="AD145" s="9"/>
      <c r="AE145" s="80">
        <v>0</v>
      </c>
      <c r="AF145" s="46"/>
      <c r="AG145" s="88">
        <v>180</v>
      </c>
      <c r="AH145" s="47"/>
      <c r="AJ145" s="83">
        <v>261190</v>
      </c>
      <c r="AL145" s="83">
        <v>59533</v>
      </c>
      <c r="AN145" s="83">
        <v>0</v>
      </c>
      <c r="AP145" s="83">
        <v>60504</v>
      </c>
      <c r="AR145" s="83">
        <v>0</v>
      </c>
      <c r="AT145" s="204">
        <v>381227</v>
      </c>
      <c r="AV145" s="46">
        <v>114</v>
      </c>
      <c r="AX145" s="46">
        <v>28</v>
      </c>
      <c r="AZ145" s="46">
        <v>0</v>
      </c>
      <c r="BB145" s="46">
        <v>34</v>
      </c>
      <c r="BD145" s="46">
        <v>0</v>
      </c>
      <c r="BF145" s="209">
        <v>180</v>
      </c>
      <c r="BI145" s="83">
        <v>261</v>
      </c>
      <c r="BK145" s="83">
        <v>0</v>
      </c>
      <c r="BM145" s="83">
        <v>0</v>
      </c>
      <c r="BO145" s="83">
        <v>2630</v>
      </c>
      <c r="BQ145" s="83">
        <v>0</v>
      </c>
      <c r="BS145" s="85">
        <v>2891</v>
      </c>
      <c r="BU145" s="46">
        <v>1</v>
      </c>
      <c r="BW145" s="46">
        <v>0</v>
      </c>
      <c r="BY145" s="46">
        <v>0</v>
      </c>
      <c r="CA145" s="46">
        <v>3</v>
      </c>
      <c r="CC145" s="46">
        <v>0</v>
      </c>
      <c r="CE145" s="209">
        <v>4</v>
      </c>
      <c r="CH145" s="41">
        <v>4266173</v>
      </c>
      <c r="CJ145" s="41">
        <v>1127522</v>
      </c>
      <c r="CL145" s="41">
        <v>0</v>
      </c>
      <c r="CN145" s="41">
        <v>735331</v>
      </c>
      <c r="CP145" s="43">
        <v>6129026</v>
      </c>
      <c r="CS145" s="39">
        <v>16.317299999999999</v>
      </c>
      <c r="CU145" s="39">
        <v>18.939399999999999</v>
      </c>
      <c r="CW145" s="39">
        <v>0</v>
      </c>
      <c r="CY145" s="39">
        <v>11.6471</v>
      </c>
      <c r="DA145" s="44">
        <v>15.956099999999999</v>
      </c>
      <c r="DC145" s="1" t="str">
        <f t="shared" si="2"/>
        <v>No</v>
      </c>
    </row>
    <row r="146" spans="1:107">
      <c r="A146" s="7" t="s">
        <v>29</v>
      </c>
      <c r="B146" s="7" t="s">
        <v>527</v>
      </c>
      <c r="C146" s="37" t="s">
        <v>28</v>
      </c>
      <c r="D146" s="296">
        <v>1057</v>
      </c>
      <c r="E146" s="297">
        <v>10057</v>
      </c>
      <c r="F146" s="27" t="s">
        <v>165</v>
      </c>
      <c r="G146" s="27" t="s">
        <v>158</v>
      </c>
      <c r="H146" s="35">
        <v>923311</v>
      </c>
      <c r="I146" s="35">
        <v>92</v>
      </c>
      <c r="J146" s="292"/>
      <c r="K146" s="8">
        <v>173028</v>
      </c>
      <c r="L146" s="8"/>
      <c r="M146" s="8">
        <v>28352</v>
      </c>
      <c r="N146" s="9"/>
      <c r="O146" s="8">
        <v>2829</v>
      </c>
      <c r="P146" s="9"/>
      <c r="Q146" s="8">
        <v>12210</v>
      </c>
      <c r="R146" s="9"/>
      <c r="S146" s="8">
        <v>0</v>
      </c>
      <c r="T146" s="9"/>
      <c r="U146" s="33">
        <v>216419</v>
      </c>
      <c r="V146" s="9"/>
      <c r="W146" s="30">
        <v>111.8</v>
      </c>
      <c r="X146" s="9"/>
      <c r="Y146" s="30">
        <v>17</v>
      </c>
      <c r="Z146" s="9"/>
      <c r="AA146" s="30">
        <v>1.5</v>
      </c>
      <c r="AB146" s="9"/>
      <c r="AC146" s="30">
        <v>7</v>
      </c>
      <c r="AD146" s="9"/>
      <c r="AE146" s="80">
        <v>0</v>
      </c>
      <c r="AF146" s="46"/>
      <c r="AG146" s="88">
        <v>137.30000000000001</v>
      </c>
      <c r="AH146" s="47"/>
      <c r="AJ146" s="83">
        <v>140730</v>
      </c>
      <c r="AL146" s="83">
        <v>24187</v>
      </c>
      <c r="AN146" s="83">
        <v>2829</v>
      </c>
      <c r="AP146" s="83">
        <v>12210</v>
      </c>
      <c r="AR146" s="83">
        <v>0</v>
      </c>
      <c r="AT146" s="204">
        <v>179956</v>
      </c>
      <c r="AV146" s="46">
        <v>71.3</v>
      </c>
      <c r="AX146" s="46">
        <v>13</v>
      </c>
      <c r="AZ146" s="46">
        <v>1.5</v>
      </c>
      <c r="BB146" s="46">
        <v>7</v>
      </c>
      <c r="BD146" s="46">
        <v>0</v>
      </c>
      <c r="BF146" s="209">
        <v>137.30000000000001</v>
      </c>
      <c r="BI146" s="83">
        <v>32298</v>
      </c>
      <c r="BK146" s="83">
        <v>4165</v>
      </c>
      <c r="BM146" s="83">
        <v>0</v>
      </c>
      <c r="BO146" s="83">
        <v>0</v>
      </c>
      <c r="BQ146" s="83">
        <v>0</v>
      </c>
      <c r="BS146" s="85">
        <v>36463</v>
      </c>
      <c r="BU146" s="46">
        <v>40.5</v>
      </c>
      <c r="BW146" s="46">
        <v>4</v>
      </c>
      <c r="BY146" s="46">
        <v>0</v>
      </c>
      <c r="CA146" s="46">
        <v>0</v>
      </c>
      <c r="CC146" s="46">
        <v>0</v>
      </c>
      <c r="CE146" s="209">
        <v>44.5</v>
      </c>
      <c r="CH146" s="41">
        <v>4957174</v>
      </c>
      <c r="CJ146" s="41">
        <v>927302</v>
      </c>
      <c r="CL146" s="41">
        <v>87538</v>
      </c>
      <c r="CN146" s="41">
        <v>515660</v>
      </c>
      <c r="CP146" s="43">
        <v>6487674</v>
      </c>
      <c r="CS146" s="39">
        <v>28.6495</v>
      </c>
      <c r="CU146" s="39">
        <v>32.706800000000001</v>
      </c>
      <c r="CW146" s="39">
        <v>0.50590000000000002</v>
      </c>
      <c r="CY146" s="39">
        <v>42.232599999999998</v>
      </c>
      <c r="DA146" s="44">
        <v>29.977399999999999</v>
      </c>
      <c r="DC146" s="1" t="str">
        <f t="shared" si="2"/>
        <v>No</v>
      </c>
    </row>
    <row r="147" spans="1:107">
      <c r="A147" s="7" t="s">
        <v>92</v>
      </c>
      <c r="B147" s="7" t="s">
        <v>180</v>
      </c>
      <c r="C147" s="37" t="s">
        <v>89</v>
      </c>
      <c r="D147" s="296">
        <v>44</v>
      </c>
      <c r="E147" s="297">
        <v>44</v>
      </c>
      <c r="F147" s="27" t="s">
        <v>165</v>
      </c>
      <c r="G147" s="27" t="s">
        <v>158</v>
      </c>
      <c r="H147" s="35">
        <v>62966</v>
      </c>
      <c r="I147" s="35">
        <v>90</v>
      </c>
      <c r="J147" s="292"/>
      <c r="K147" s="8">
        <v>145798</v>
      </c>
      <c r="L147" s="8"/>
      <c r="M147" s="8">
        <v>25241</v>
      </c>
      <c r="N147" s="9"/>
      <c r="O147" s="8">
        <v>9443</v>
      </c>
      <c r="P147" s="9"/>
      <c r="Q147" s="8">
        <v>31037</v>
      </c>
      <c r="R147" s="9"/>
      <c r="S147" s="8">
        <v>0</v>
      </c>
      <c r="T147" s="9"/>
      <c r="U147" s="33">
        <v>211519</v>
      </c>
      <c r="V147" s="9"/>
      <c r="W147" s="30">
        <v>89.93</v>
      </c>
      <c r="X147" s="9"/>
      <c r="Y147" s="30">
        <v>13.4</v>
      </c>
      <c r="Z147" s="9"/>
      <c r="AA147" s="30">
        <v>5.89</v>
      </c>
      <c r="AB147" s="9"/>
      <c r="AC147" s="30">
        <v>17.91</v>
      </c>
      <c r="AD147" s="9"/>
      <c r="AE147" s="80">
        <v>0</v>
      </c>
      <c r="AF147" s="46"/>
      <c r="AG147" s="88">
        <v>127.13</v>
      </c>
      <c r="AH147" s="47"/>
      <c r="AJ147" s="83">
        <v>93845</v>
      </c>
      <c r="AL147" s="83">
        <v>25241</v>
      </c>
      <c r="AN147" s="83">
        <v>8972</v>
      </c>
      <c r="AP147" s="83">
        <v>31037</v>
      </c>
      <c r="AR147" s="83">
        <v>0</v>
      </c>
      <c r="AT147" s="204">
        <v>159095</v>
      </c>
      <c r="AV147" s="46">
        <v>54.81</v>
      </c>
      <c r="AX147" s="46">
        <v>13.4</v>
      </c>
      <c r="AZ147" s="46">
        <v>4.8899999999999997</v>
      </c>
      <c r="BB147" s="46">
        <v>17.91</v>
      </c>
      <c r="BD147" s="46">
        <v>0</v>
      </c>
      <c r="BF147" s="209">
        <v>127.13</v>
      </c>
      <c r="BI147" s="83">
        <v>51953</v>
      </c>
      <c r="BK147" s="83">
        <v>0</v>
      </c>
      <c r="BM147" s="83">
        <v>471</v>
      </c>
      <c r="BO147" s="83">
        <v>0</v>
      </c>
      <c r="BQ147" s="83">
        <v>0</v>
      </c>
      <c r="BS147" s="85">
        <v>52424</v>
      </c>
      <c r="BU147" s="46">
        <v>35.119999999999997</v>
      </c>
      <c r="BW147" s="46">
        <v>0</v>
      </c>
      <c r="BY147" s="46">
        <v>1</v>
      </c>
      <c r="CA147" s="46">
        <v>0</v>
      </c>
      <c r="CC147" s="46">
        <v>0</v>
      </c>
      <c r="CE147" s="209">
        <v>36.119999999999997</v>
      </c>
      <c r="CH147" s="41">
        <v>3304629</v>
      </c>
      <c r="CJ147" s="41">
        <v>657789</v>
      </c>
      <c r="CL147" s="41">
        <v>246640</v>
      </c>
      <c r="CN147" s="41">
        <v>962701</v>
      </c>
      <c r="CP147" s="43">
        <v>5171759</v>
      </c>
      <c r="CS147" s="39">
        <v>22.665800000000001</v>
      </c>
      <c r="CU147" s="39">
        <v>26.060300000000002</v>
      </c>
      <c r="CW147" s="39">
        <v>1.6917</v>
      </c>
      <c r="CY147" s="39">
        <v>31.017800000000001</v>
      </c>
      <c r="DA147" s="44">
        <v>24.450600000000001</v>
      </c>
      <c r="DC147" s="1" t="str">
        <f t="shared" si="2"/>
        <v>No</v>
      </c>
    </row>
    <row r="148" spans="1:107">
      <c r="A148" s="7" t="s">
        <v>544</v>
      </c>
      <c r="B148" s="7" t="s">
        <v>545</v>
      </c>
      <c r="C148" s="37" t="s">
        <v>32</v>
      </c>
      <c r="D148" s="296">
        <v>4074</v>
      </c>
      <c r="E148" s="297">
        <v>40074</v>
      </c>
      <c r="F148" s="27" t="s">
        <v>162</v>
      </c>
      <c r="G148" s="27" t="s">
        <v>158</v>
      </c>
      <c r="H148" s="35">
        <v>2441770</v>
      </c>
      <c r="I148" s="35">
        <v>89</v>
      </c>
      <c r="J148" s="292"/>
      <c r="K148" s="8">
        <v>126055</v>
      </c>
      <c r="L148" s="8"/>
      <c r="M148" s="8">
        <v>6349</v>
      </c>
      <c r="N148" s="9"/>
      <c r="O148" s="8">
        <v>1540</v>
      </c>
      <c r="P148" s="9"/>
      <c r="Q148" s="8">
        <v>8478</v>
      </c>
      <c r="R148" s="9"/>
      <c r="S148" s="8">
        <v>0</v>
      </c>
      <c r="T148" s="9"/>
      <c r="U148" s="33">
        <v>142422</v>
      </c>
      <c r="V148" s="9"/>
      <c r="W148" s="30">
        <v>69.11</v>
      </c>
      <c r="X148" s="9"/>
      <c r="Y148" s="30">
        <v>4.22</v>
      </c>
      <c r="Z148" s="9"/>
      <c r="AA148" s="30">
        <v>1.02</v>
      </c>
      <c r="AB148" s="9"/>
      <c r="AC148" s="30">
        <v>5.65</v>
      </c>
      <c r="AD148" s="9"/>
      <c r="AE148" s="80">
        <v>0</v>
      </c>
      <c r="AF148" s="46"/>
      <c r="AG148" s="88">
        <v>80</v>
      </c>
      <c r="AH148" s="47"/>
      <c r="AJ148" s="83">
        <v>126055</v>
      </c>
      <c r="AL148" s="83">
        <v>6349</v>
      </c>
      <c r="AN148" s="83">
        <v>1540</v>
      </c>
      <c r="AP148" s="83">
        <v>8478</v>
      </c>
      <c r="AR148" s="83">
        <v>0</v>
      </c>
      <c r="AT148" s="204">
        <v>142422</v>
      </c>
      <c r="AV148" s="46">
        <v>69.11</v>
      </c>
      <c r="AX148" s="46">
        <v>4.22</v>
      </c>
      <c r="AZ148" s="46">
        <v>1.02</v>
      </c>
      <c r="BB148" s="46">
        <v>5.65</v>
      </c>
      <c r="BD148" s="46">
        <v>0</v>
      </c>
      <c r="BF148" s="209">
        <v>80</v>
      </c>
      <c r="BI148" s="83">
        <v>0</v>
      </c>
      <c r="BK148" s="83">
        <v>0</v>
      </c>
      <c r="BM148" s="83">
        <v>0</v>
      </c>
      <c r="BO148" s="83">
        <v>0</v>
      </c>
      <c r="BQ148" s="83">
        <v>0</v>
      </c>
      <c r="BS148" s="85">
        <v>0</v>
      </c>
      <c r="BU148" s="46">
        <v>0</v>
      </c>
      <c r="BW148" s="46">
        <v>0</v>
      </c>
      <c r="BY148" s="46">
        <v>0</v>
      </c>
      <c r="CA148" s="46">
        <v>0</v>
      </c>
      <c r="CC148" s="46">
        <v>0</v>
      </c>
      <c r="CE148" s="209">
        <v>0</v>
      </c>
      <c r="CH148" s="41">
        <v>1642334</v>
      </c>
      <c r="CJ148" s="41">
        <v>299557</v>
      </c>
      <c r="CL148" s="41">
        <v>15738</v>
      </c>
      <c r="CN148" s="41">
        <v>164671</v>
      </c>
      <c r="CP148" s="43">
        <v>2122300</v>
      </c>
      <c r="CS148" s="39">
        <v>13.028700000000001</v>
      </c>
      <c r="CU148" s="39">
        <v>47.181800000000003</v>
      </c>
      <c r="CW148" s="39">
        <v>0.1249</v>
      </c>
      <c r="CY148" s="39">
        <v>19.423300000000001</v>
      </c>
      <c r="DA148" s="44">
        <v>14.9015</v>
      </c>
      <c r="DC148" s="1" t="str">
        <f t="shared" si="2"/>
        <v>No</v>
      </c>
    </row>
    <row r="149" spans="1:107">
      <c r="A149" s="7" t="s">
        <v>282</v>
      </c>
      <c r="B149" s="7" t="s">
        <v>283</v>
      </c>
      <c r="C149" s="37" t="s">
        <v>84</v>
      </c>
      <c r="D149" s="296">
        <v>6010</v>
      </c>
      <c r="E149" s="297">
        <v>60010</v>
      </c>
      <c r="F149" s="27" t="s">
        <v>162</v>
      </c>
      <c r="G149" s="27" t="s">
        <v>158</v>
      </c>
      <c r="H149" s="35">
        <v>237356</v>
      </c>
      <c r="I149" s="35">
        <v>89</v>
      </c>
      <c r="J149" s="292"/>
      <c r="K149" s="8">
        <v>240759</v>
      </c>
      <c r="L149" s="8"/>
      <c r="M149" s="8">
        <v>74388</v>
      </c>
      <c r="N149" s="9"/>
      <c r="O149" s="8">
        <v>6744</v>
      </c>
      <c r="P149" s="9"/>
      <c r="Q149" s="8">
        <v>19329</v>
      </c>
      <c r="R149" s="9"/>
      <c r="S149" s="8">
        <v>0</v>
      </c>
      <c r="T149" s="9"/>
      <c r="U149" s="33">
        <v>341220</v>
      </c>
      <c r="V149" s="9"/>
      <c r="W149" s="30">
        <v>147</v>
      </c>
      <c r="X149" s="9"/>
      <c r="Y149" s="30">
        <v>37</v>
      </c>
      <c r="Z149" s="9"/>
      <c r="AA149" s="30">
        <v>3.5</v>
      </c>
      <c r="AB149" s="9"/>
      <c r="AC149" s="30">
        <v>9.5</v>
      </c>
      <c r="AD149" s="9"/>
      <c r="AE149" s="80">
        <v>0</v>
      </c>
      <c r="AF149" s="46"/>
      <c r="AG149" s="88">
        <v>197</v>
      </c>
      <c r="AH149" s="47"/>
      <c r="AJ149" s="83">
        <v>183980</v>
      </c>
      <c r="AL149" s="83">
        <v>74388</v>
      </c>
      <c r="AN149" s="83">
        <v>6744</v>
      </c>
      <c r="AP149" s="83">
        <v>19329</v>
      </c>
      <c r="AR149" s="83">
        <v>0</v>
      </c>
      <c r="AT149" s="204">
        <v>284441</v>
      </c>
      <c r="AV149" s="46">
        <v>91</v>
      </c>
      <c r="AX149" s="46">
        <v>37</v>
      </c>
      <c r="AZ149" s="46">
        <v>3.5</v>
      </c>
      <c r="BB149" s="46">
        <v>9.5</v>
      </c>
      <c r="BD149" s="46">
        <v>0</v>
      </c>
      <c r="BF149" s="209">
        <v>197</v>
      </c>
      <c r="BI149" s="83">
        <v>56779</v>
      </c>
      <c r="BK149" s="83">
        <v>0</v>
      </c>
      <c r="BM149" s="83">
        <v>0</v>
      </c>
      <c r="BO149" s="83">
        <v>0</v>
      </c>
      <c r="BQ149" s="83">
        <v>0</v>
      </c>
      <c r="BS149" s="85">
        <v>56779</v>
      </c>
      <c r="BU149" s="46">
        <v>56</v>
      </c>
      <c r="BW149" s="46">
        <v>0</v>
      </c>
      <c r="BY149" s="46">
        <v>0</v>
      </c>
      <c r="CA149" s="46">
        <v>0</v>
      </c>
      <c r="CC149" s="46">
        <v>0</v>
      </c>
      <c r="CE149" s="209">
        <v>56</v>
      </c>
      <c r="CH149" s="41">
        <v>3555826</v>
      </c>
      <c r="CJ149" s="41">
        <v>1132248</v>
      </c>
      <c r="CL149" s="41">
        <v>114359</v>
      </c>
      <c r="CN149" s="41">
        <v>457031</v>
      </c>
      <c r="CP149" s="43">
        <v>5259464</v>
      </c>
      <c r="CS149" s="39">
        <v>14.7692</v>
      </c>
      <c r="CU149" s="39">
        <v>15.220800000000001</v>
      </c>
      <c r="CW149" s="39">
        <v>0.47499999999999998</v>
      </c>
      <c r="CY149" s="39">
        <v>23.6448</v>
      </c>
      <c r="DA149" s="44">
        <v>15.4137</v>
      </c>
      <c r="DC149" s="1" t="str">
        <f t="shared" si="2"/>
        <v>No</v>
      </c>
    </row>
    <row r="150" spans="1:107">
      <c r="A150" s="7" t="s">
        <v>760</v>
      </c>
      <c r="B150" s="7" t="s">
        <v>632</v>
      </c>
      <c r="C150" s="37" t="s">
        <v>63</v>
      </c>
      <c r="D150" s="296">
        <v>2196</v>
      </c>
      <c r="E150" s="297">
        <v>20196</v>
      </c>
      <c r="F150" s="27" t="s">
        <v>162</v>
      </c>
      <c r="G150" s="27" t="s">
        <v>158</v>
      </c>
      <c r="H150" s="35">
        <v>18351295</v>
      </c>
      <c r="I150" s="35">
        <v>88</v>
      </c>
      <c r="J150" s="292"/>
      <c r="K150" s="8">
        <v>127399</v>
      </c>
      <c r="L150" s="8"/>
      <c r="M150" s="8">
        <v>0</v>
      </c>
      <c r="N150" s="9"/>
      <c r="O150" s="8">
        <v>0</v>
      </c>
      <c r="P150" s="9"/>
      <c r="Q150" s="8">
        <v>15183</v>
      </c>
      <c r="R150" s="9"/>
      <c r="S150" s="8">
        <v>0</v>
      </c>
      <c r="T150" s="9"/>
      <c r="U150" s="33">
        <v>142582</v>
      </c>
      <c r="V150" s="9"/>
      <c r="W150" s="30">
        <v>63</v>
      </c>
      <c r="X150" s="9"/>
      <c r="Y150" s="30">
        <v>0</v>
      </c>
      <c r="Z150" s="9"/>
      <c r="AA150" s="30">
        <v>0</v>
      </c>
      <c r="AB150" s="9"/>
      <c r="AC150" s="30">
        <v>9</v>
      </c>
      <c r="AD150" s="9"/>
      <c r="AE150" s="80">
        <v>0</v>
      </c>
      <c r="AF150" s="46"/>
      <c r="AG150" s="88">
        <v>72</v>
      </c>
      <c r="AH150" s="47"/>
      <c r="AJ150" s="83">
        <v>127399</v>
      </c>
      <c r="AL150" s="83">
        <v>0</v>
      </c>
      <c r="AN150" s="83">
        <v>0</v>
      </c>
      <c r="AP150" s="83">
        <v>15183</v>
      </c>
      <c r="AR150" s="83">
        <v>0</v>
      </c>
      <c r="AT150" s="204">
        <v>142582</v>
      </c>
      <c r="AV150" s="46">
        <v>63</v>
      </c>
      <c r="AX150" s="46">
        <v>0</v>
      </c>
      <c r="AZ150" s="46">
        <v>0</v>
      </c>
      <c r="BB150" s="46">
        <v>9</v>
      </c>
      <c r="BD150" s="46">
        <v>0</v>
      </c>
      <c r="BF150" s="209">
        <v>72</v>
      </c>
      <c r="BI150" s="83">
        <v>0</v>
      </c>
      <c r="BK150" s="83">
        <v>0</v>
      </c>
      <c r="BM150" s="83">
        <v>0</v>
      </c>
      <c r="BO150" s="83">
        <v>0</v>
      </c>
      <c r="BQ150" s="83">
        <v>0</v>
      </c>
      <c r="BS150" s="85">
        <v>0</v>
      </c>
      <c r="BU150" s="46">
        <v>0</v>
      </c>
      <c r="BW150" s="46">
        <v>0</v>
      </c>
      <c r="BY150" s="46">
        <v>0</v>
      </c>
      <c r="CA150" s="46">
        <v>0</v>
      </c>
      <c r="CC150" s="46">
        <v>0</v>
      </c>
      <c r="CE150" s="209">
        <v>0</v>
      </c>
      <c r="CH150" s="41">
        <v>2711857</v>
      </c>
      <c r="CJ150" s="41">
        <v>0</v>
      </c>
      <c r="CL150" s="41">
        <v>0</v>
      </c>
      <c r="CN150" s="41">
        <v>396906</v>
      </c>
      <c r="CP150" s="43">
        <v>3108763</v>
      </c>
      <c r="CS150" s="39">
        <v>21.286300000000001</v>
      </c>
      <c r="CW150" s="39">
        <v>0</v>
      </c>
      <c r="CY150" s="39">
        <v>26.141500000000001</v>
      </c>
      <c r="DA150" s="44">
        <v>21.8033</v>
      </c>
      <c r="DC150" s="1" t="str">
        <f t="shared" si="2"/>
        <v>No</v>
      </c>
    </row>
    <row r="151" spans="1:107">
      <c r="A151" s="7" t="s">
        <v>635</v>
      </c>
      <c r="B151" s="7" t="s">
        <v>636</v>
      </c>
      <c r="C151" s="37" t="s">
        <v>17</v>
      </c>
      <c r="D151" s="296">
        <v>9079</v>
      </c>
      <c r="E151" s="297">
        <v>90079</v>
      </c>
      <c r="F151" s="27" t="s">
        <v>165</v>
      </c>
      <c r="G151" s="27" t="s">
        <v>158</v>
      </c>
      <c r="H151" s="35">
        <v>345580</v>
      </c>
      <c r="I151" s="35">
        <v>88</v>
      </c>
      <c r="J151" s="292"/>
      <c r="K151" s="8">
        <v>436055</v>
      </c>
      <c r="L151" s="8"/>
      <c r="M151" s="8">
        <v>77213</v>
      </c>
      <c r="N151" s="9"/>
      <c r="O151" s="8">
        <v>6749</v>
      </c>
      <c r="P151" s="9"/>
      <c r="Q151" s="8">
        <v>111043</v>
      </c>
      <c r="R151" s="9"/>
      <c r="S151" s="8">
        <v>0</v>
      </c>
      <c r="T151" s="9"/>
      <c r="U151" s="33">
        <v>631060</v>
      </c>
      <c r="V151" s="9"/>
      <c r="W151" s="30">
        <v>250</v>
      </c>
      <c r="X151" s="9"/>
      <c r="Y151" s="30">
        <v>46</v>
      </c>
      <c r="Z151" s="9"/>
      <c r="AA151" s="30">
        <v>4</v>
      </c>
      <c r="AB151" s="9"/>
      <c r="AC151" s="30">
        <v>70.7</v>
      </c>
      <c r="AD151" s="9"/>
      <c r="AE151" s="80">
        <v>0</v>
      </c>
      <c r="AF151" s="46"/>
      <c r="AG151" s="88">
        <v>370.7</v>
      </c>
      <c r="AH151" s="47"/>
      <c r="AJ151" s="83">
        <v>399933</v>
      </c>
      <c r="AL151" s="83">
        <v>77213</v>
      </c>
      <c r="AN151" s="83">
        <v>6749</v>
      </c>
      <c r="AP151" s="83">
        <v>107955</v>
      </c>
      <c r="AR151" s="83">
        <v>0</v>
      </c>
      <c r="AT151" s="204">
        <v>591850</v>
      </c>
      <c r="AV151" s="46">
        <v>217</v>
      </c>
      <c r="AX151" s="46">
        <v>46</v>
      </c>
      <c r="AZ151" s="46">
        <v>4</v>
      </c>
      <c r="BB151" s="46">
        <v>64</v>
      </c>
      <c r="BD151" s="46">
        <v>0</v>
      </c>
      <c r="BF151" s="209">
        <v>370.7</v>
      </c>
      <c r="BI151" s="83">
        <v>36122</v>
      </c>
      <c r="BK151" s="83">
        <v>0</v>
      </c>
      <c r="BM151" s="83">
        <v>0</v>
      </c>
      <c r="BO151" s="83">
        <v>3088</v>
      </c>
      <c r="BQ151" s="83">
        <v>0</v>
      </c>
      <c r="BS151" s="85">
        <v>39210</v>
      </c>
      <c r="BU151" s="46">
        <v>33</v>
      </c>
      <c r="BW151" s="46">
        <v>0</v>
      </c>
      <c r="BY151" s="46">
        <v>0</v>
      </c>
      <c r="CA151" s="46">
        <v>6.7</v>
      </c>
      <c r="CC151" s="46">
        <v>0</v>
      </c>
      <c r="CE151" s="209">
        <v>39.700000000000003</v>
      </c>
      <c r="CH151" s="41">
        <v>8445278</v>
      </c>
      <c r="CJ151" s="41">
        <v>1855074</v>
      </c>
      <c r="CL151" s="41">
        <v>159324</v>
      </c>
      <c r="CN151" s="41">
        <v>2648285</v>
      </c>
      <c r="CP151" s="43">
        <v>13107961</v>
      </c>
      <c r="CS151" s="39">
        <v>19.3675</v>
      </c>
      <c r="CU151" s="39">
        <v>24.025400000000001</v>
      </c>
      <c r="CW151" s="39">
        <v>0.3654</v>
      </c>
      <c r="CY151" s="39">
        <v>23.8492</v>
      </c>
      <c r="DA151" s="44">
        <v>20.7713</v>
      </c>
      <c r="DC151" s="1" t="str">
        <f t="shared" si="2"/>
        <v>No</v>
      </c>
    </row>
    <row r="152" spans="1:107">
      <c r="A152" s="7" t="s">
        <v>589</v>
      </c>
      <c r="B152" s="7" t="s">
        <v>590</v>
      </c>
      <c r="C152" s="37" t="s">
        <v>17</v>
      </c>
      <c r="D152" s="296">
        <v>9020</v>
      </c>
      <c r="E152" s="297">
        <v>90020</v>
      </c>
      <c r="F152" s="27" t="s">
        <v>165</v>
      </c>
      <c r="G152" s="27" t="s">
        <v>158</v>
      </c>
      <c r="H152" s="35">
        <v>195861</v>
      </c>
      <c r="I152" s="35">
        <v>87</v>
      </c>
      <c r="J152" s="292"/>
      <c r="K152" s="8">
        <v>302322</v>
      </c>
      <c r="L152" s="8"/>
      <c r="M152" s="8">
        <v>48045</v>
      </c>
      <c r="N152" s="9"/>
      <c r="O152" s="8">
        <v>5491</v>
      </c>
      <c r="P152" s="9"/>
      <c r="Q152" s="8">
        <v>33097</v>
      </c>
      <c r="R152" s="9"/>
      <c r="S152" s="8">
        <v>894</v>
      </c>
      <c r="T152" s="9"/>
      <c r="U152" s="33">
        <v>389849</v>
      </c>
      <c r="V152" s="9"/>
      <c r="W152" s="30">
        <v>161</v>
      </c>
      <c r="X152" s="9"/>
      <c r="Y152" s="30">
        <v>29.5</v>
      </c>
      <c r="Z152" s="9"/>
      <c r="AA152" s="30">
        <v>3</v>
      </c>
      <c r="AB152" s="9"/>
      <c r="AC152" s="30">
        <v>19</v>
      </c>
      <c r="AD152" s="9"/>
      <c r="AE152" s="80">
        <v>0.5</v>
      </c>
      <c r="AF152" s="46"/>
      <c r="AG152" s="88">
        <v>213</v>
      </c>
      <c r="AH152" s="47"/>
      <c r="AJ152" s="83">
        <v>302322</v>
      </c>
      <c r="AL152" s="83">
        <v>36026</v>
      </c>
      <c r="AN152" s="83">
        <v>5491</v>
      </c>
      <c r="AP152" s="83">
        <v>33007</v>
      </c>
      <c r="AR152" s="83">
        <v>894</v>
      </c>
      <c r="AT152" s="204">
        <v>377740</v>
      </c>
      <c r="AV152" s="46">
        <v>161</v>
      </c>
      <c r="AX152" s="46">
        <v>21.5</v>
      </c>
      <c r="AZ152" s="46">
        <v>3</v>
      </c>
      <c r="BB152" s="46">
        <v>19</v>
      </c>
      <c r="BD152" s="46">
        <v>0.5</v>
      </c>
      <c r="BF152" s="209">
        <v>213</v>
      </c>
      <c r="BI152" s="83">
        <v>0</v>
      </c>
      <c r="BK152" s="83">
        <v>12019</v>
      </c>
      <c r="BM152" s="83">
        <v>0</v>
      </c>
      <c r="BO152" s="83">
        <v>90</v>
      </c>
      <c r="BQ152" s="83">
        <v>0</v>
      </c>
      <c r="BS152" s="85">
        <v>12109</v>
      </c>
      <c r="BU152" s="46">
        <v>0</v>
      </c>
      <c r="BW152" s="46">
        <v>8</v>
      </c>
      <c r="BY152" s="46">
        <v>0</v>
      </c>
      <c r="CA152" s="46">
        <v>0</v>
      </c>
      <c r="CC152" s="46">
        <v>0</v>
      </c>
      <c r="CE152" s="209">
        <v>8</v>
      </c>
      <c r="CH152" s="41">
        <v>7869795</v>
      </c>
      <c r="CJ152" s="41">
        <v>1328772</v>
      </c>
      <c r="CL152" s="41">
        <v>162160</v>
      </c>
      <c r="CN152" s="41">
        <v>1228675</v>
      </c>
      <c r="CP152" s="43">
        <v>10589402</v>
      </c>
      <c r="CS152" s="39">
        <v>26.031199999999998</v>
      </c>
      <c r="CU152" s="39">
        <v>27.6568</v>
      </c>
      <c r="CW152" s="39">
        <v>0.53639999999999999</v>
      </c>
      <c r="CY152" s="39">
        <v>37.1235</v>
      </c>
      <c r="DA152" s="44">
        <v>27.162800000000001</v>
      </c>
      <c r="DC152" s="1" t="str">
        <f t="shared" si="2"/>
        <v>No</v>
      </c>
    </row>
    <row r="153" spans="1:107">
      <c r="A153" s="7" t="s">
        <v>750</v>
      </c>
      <c r="B153" s="7" t="s">
        <v>634</v>
      </c>
      <c r="C153" s="37" t="s">
        <v>69</v>
      </c>
      <c r="D153" s="296">
        <v>6111</v>
      </c>
      <c r="E153" s="297">
        <v>60111</v>
      </c>
      <c r="F153" s="27" t="s">
        <v>165</v>
      </c>
      <c r="G153" s="27" t="s">
        <v>158</v>
      </c>
      <c r="H153" s="35">
        <v>741318</v>
      </c>
      <c r="I153" s="35">
        <v>87</v>
      </c>
      <c r="J153" s="292"/>
      <c r="K153" s="8">
        <v>54959</v>
      </c>
      <c r="L153" s="8"/>
      <c r="M153" s="8">
        <v>0</v>
      </c>
      <c r="N153" s="9"/>
      <c r="O153" s="8">
        <v>0</v>
      </c>
      <c r="P153" s="9"/>
      <c r="Q153" s="8">
        <v>10176</v>
      </c>
      <c r="R153" s="9"/>
      <c r="S153" s="8">
        <v>0</v>
      </c>
      <c r="T153" s="9"/>
      <c r="U153" s="33">
        <v>65135</v>
      </c>
      <c r="V153" s="9"/>
      <c r="W153" s="30">
        <v>26</v>
      </c>
      <c r="X153" s="9"/>
      <c r="Y153" s="30">
        <v>0</v>
      </c>
      <c r="Z153" s="9"/>
      <c r="AA153" s="30">
        <v>0</v>
      </c>
      <c r="AB153" s="9"/>
      <c r="AC153" s="30">
        <v>5.4</v>
      </c>
      <c r="AD153" s="9"/>
      <c r="AE153" s="80">
        <v>0</v>
      </c>
      <c r="AF153" s="46"/>
      <c r="AG153" s="88">
        <v>31.4</v>
      </c>
      <c r="AH153" s="47"/>
      <c r="AJ153" s="83">
        <v>54005</v>
      </c>
      <c r="AL153" s="83">
        <v>0</v>
      </c>
      <c r="AN153" s="83">
        <v>0</v>
      </c>
      <c r="AP153" s="83">
        <v>9164</v>
      </c>
      <c r="AR153" s="83">
        <v>0</v>
      </c>
      <c r="AT153" s="204">
        <v>63169</v>
      </c>
      <c r="AV153" s="46">
        <v>25</v>
      </c>
      <c r="AX153" s="46">
        <v>0</v>
      </c>
      <c r="AZ153" s="46">
        <v>0</v>
      </c>
      <c r="BB153" s="46">
        <v>4.4000000000000004</v>
      </c>
      <c r="BD153" s="46">
        <v>0</v>
      </c>
      <c r="BF153" s="209">
        <v>31.4</v>
      </c>
      <c r="BI153" s="83">
        <v>954</v>
      </c>
      <c r="BK153" s="83">
        <v>0</v>
      </c>
      <c r="BM153" s="83">
        <v>0</v>
      </c>
      <c r="BO153" s="83">
        <v>1012</v>
      </c>
      <c r="BQ153" s="83">
        <v>0</v>
      </c>
      <c r="BS153" s="85">
        <v>1966</v>
      </c>
      <c r="BU153" s="46">
        <v>1</v>
      </c>
      <c r="BW153" s="46">
        <v>0</v>
      </c>
      <c r="BY153" s="46">
        <v>0</v>
      </c>
      <c r="CA153" s="46">
        <v>1</v>
      </c>
      <c r="CC153" s="46">
        <v>0</v>
      </c>
      <c r="CE153" s="209">
        <v>2</v>
      </c>
      <c r="CH153" s="41">
        <v>685944</v>
      </c>
      <c r="CJ153" s="41">
        <v>0</v>
      </c>
      <c r="CL153" s="41">
        <v>0</v>
      </c>
      <c r="CN153" s="41">
        <v>354367</v>
      </c>
      <c r="CP153" s="43">
        <v>1040311</v>
      </c>
      <c r="CS153" s="39">
        <v>12.481</v>
      </c>
      <c r="CW153" s="39">
        <v>0</v>
      </c>
      <c r="CY153" s="39">
        <v>34.823799999999999</v>
      </c>
      <c r="DA153" s="44">
        <v>15.9716</v>
      </c>
      <c r="DC153" s="1" t="str">
        <f t="shared" si="2"/>
        <v>No</v>
      </c>
    </row>
    <row r="154" spans="1:107">
      <c r="A154" s="7" t="s">
        <v>313</v>
      </c>
      <c r="B154" s="7" t="s">
        <v>314</v>
      </c>
      <c r="C154" s="37" t="s">
        <v>32</v>
      </c>
      <c r="D154" s="296">
        <v>4036</v>
      </c>
      <c r="E154" s="297">
        <v>40036</v>
      </c>
      <c r="F154" s="27" t="s">
        <v>162</v>
      </c>
      <c r="G154" s="27" t="s">
        <v>158</v>
      </c>
      <c r="H154" s="35">
        <v>240223</v>
      </c>
      <c r="I154" s="35">
        <v>86</v>
      </c>
      <c r="J154" s="292"/>
      <c r="K154" s="8">
        <v>335267</v>
      </c>
      <c r="L154" s="8"/>
      <c r="M154" s="8">
        <v>44499</v>
      </c>
      <c r="N154" s="9" t="s">
        <v>121</v>
      </c>
      <c r="O154" s="8">
        <v>48347</v>
      </c>
      <c r="P154" s="9" t="s">
        <v>121</v>
      </c>
      <c r="Q154" s="8">
        <v>25570</v>
      </c>
      <c r="R154" s="9" t="s">
        <v>121</v>
      </c>
      <c r="S154" s="8">
        <v>0</v>
      </c>
      <c r="T154" s="9"/>
      <c r="U154" s="33">
        <v>453683</v>
      </c>
      <c r="V154" s="9" t="s">
        <v>121</v>
      </c>
      <c r="W154" s="30">
        <v>175.5</v>
      </c>
      <c r="X154" s="9"/>
      <c r="Y154" s="30">
        <v>23</v>
      </c>
      <c r="Z154" s="9"/>
      <c r="AA154" s="30">
        <v>23</v>
      </c>
      <c r="AB154" s="9"/>
      <c r="AC154" s="30">
        <v>30</v>
      </c>
      <c r="AD154" s="9"/>
      <c r="AE154" s="80">
        <v>0</v>
      </c>
      <c r="AF154" s="46"/>
      <c r="AG154" s="88">
        <v>251.5</v>
      </c>
      <c r="AH154" s="47"/>
      <c r="AJ154" s="83">
        <v>267679</v>
      </c>
      <c r="AL154" s="83">
        <v>35955</v>
      </c>
      <c r="AM154" s="46" t="s">
        <v>121</v>
      </c>
      <c r="AN154" s="83">
        <v>47063</v>
      </c>
      <c r="AO154" s="46" t="s">
        <v>121</v>
      </c>
      <c r="AP154" s="83">
        <v>20758</v>
      </c>
      <c r="AQ154" s="46" t="s">
        <v>121</v>
      </c>
      <c r="AR154" s="83">
        <v>0</v>
      </c>
      <c r="AT154" s="204">
        <v>371455</v>
      </c>
      <c r="AU154" s="46" t="s">
        <v>121</v>
      </c>
      <c r="AV154" s="46">
        <v>124</v>
      </c>
      <c r="AX154" s="46">
        <v>17</v>
      </c>
      <c r="AZ154" s="46">
        <v>22</v>
      </c>
      <c r="BB154" s="46">
        <v>12</v>
      </c>
      <c r="BD154" s="46">
        <v>0</v>
      </c>
      <c r="BF154" s="209">
        <v>251.5</v>
      </c>
      <c r="BI154" s="83">
        <v>67588</v>
      </c>
      <c r="BK154" s="83">
        <v>8544</v>
      </c>
      <c r="BL154" s="46" t="s">
        <v>121</v>
      </c>
      <c r="BM154" s="83">
        <v>1284</v>
      </c>
      <c r="BN154" s="46" t="s">
        <v>121</v>
      </c>
      <c r="BO154" s="83">
        <v>4812</v>
      </c>
      <c r="BP154" s="46" t="s">
        <v>121</v>
      </c>
      <c r="BQ154" s="83">
        <v>0</v>
      </c>
      <c r="BS154" s="85">
        <v>82228</v>
      </c>
      <c r="BT154" s="46" t="s">
        <v>121</v>
      </c>
      <c r="BU154" s="46">
        <v>51.5</v>
      </c>
      <c r="BW154" s="46">
        <v>6</v>
      </c>
      <c r="BY154" s="46">
        <v>1</v>
      </c>
      <c r="CA154" s="46">
        <v>18</v>
      </c>
      <c r="CC154" s="46">
        <v>0</v>
      </c>
      <c r="CE154" s="209">
        <v>76.5</v>
      </c>
      <c r="CH154" s="41">
        <v>6012232</v>
      </c>
      <c r="CJ154" s="41">
        <v>1367310</v>
      </c>
      <c r="CK154" s="41" t="s">
        <v>121</v>
      </c>
      <c r="CL154" s="41">
        <v>298368</v>
      </c>
      <c r="CM154" s="41" t="s">
        <v>121</v>
      </c>
      <c r="CN154" s="41">
        <v>892307</v>
      </c>
      <c r="CO154" s="41" t="s">
        <v>121</v>
      </c>
      <c r="CP154" s="43">
        <v>8570217</v>
      </c>
      <c r="CQ154" s="7" t="s">
        <v>121</v>
      </c>
      <c r="CS154" s="39">
        <v>17.932700000000001</v>
      </c>
      <c r="CU154" s="39">
        <v>30.726800000000001</v>
      </c>
      <c r="CV154" s="39" t="s">
        <v>121</v>
      </c>
      <c r="CW154" s="39">
        <v>0.88990000000000002</v>
      </c>
      <c r="CX154" s="39" t="s">
        <v>121</v>
      </c>
      <c r="CY154" s="39">
        <v>34.896599999999999</v>
      </c>
      <c r="CZ154" s="39" t="s">
        <v>121</v>
      </c>
      <c r="DA154" s="44">
        <v>18.8903</v>
      </c>
      <c r="DB154" s="7" t="s">
        <v>121</v>
      </c>
      <c r="DC154" s="1" t="str">
        <f t="shared" si="2"/>
        <v>Yes</v>
      </c>
    </row>
    <row r="155" spans="1:107">
      <c r="A155" s="7" t="s">
        <v>315</v>
      </c>
      <c r="B155" s="7" t="s">
        <v>316</v>
      </c>
      <c r="C155" s="37" t="s">
        <v>17</v>
      </c>
      <c r="D155" s="296">
        <v>9010</v>
      </c>
      <c r="E155" s="297">
        <v>90010</v>
      </c>
      <c r="F155" s="27" t="s">
        <v>162</v>
      </c>
      <c r="G155" s="27" t="s">
        <v>158</v>
      </c>
      <c r="H155" s="35">
        <v>12150996</v>
      </c>
      <c r="I155" s="35">
        <v>84</v>
      </c>
      <c r="J155" s="292"/>
      <c r="K155" s="8">
        <v>276634</v>
      </c>
      <c r="L155" s="8"/>
      <c r="M155" s="8">
        <v>46495</v>
      </c>
      <c r="N155" s="9"/>
      <c r="O155" s="8">
        <v>0</v>
      </c>
      <c r="P155" s="9"/>
      <c r="Q155" s="8">
        <v>22055</v>
      </c>
      <c r="R155" s="9"/>
      <c r="S155" s="8">
        <v>0</v>
      </c>
      <c r="T155" s="9"/>
      <c r="U155" s="33">
        <v>345184</v>
      </c>
      <c r="V155" s="9"/>
      <c r="W155" s="30">
        <v>133</v>
      </c>
      <c r="X155" s="9"/>
      <c r="Y155" s="30">
        <v>22.4</v>
      </c>
      <c r="Z155" s="9"/>
      <c r="AA155" s="30">
        <v>0</v>
      </c>
      <c r="AB155" s="9"/>
      <c r="AC155" s="30">
        <v>12.3</v>
      </c>
      <c r="AD155" s="9"/>
      <c r="AE155" s="80">
        <v>0</v>
      </c>
      <c r="AF155" s="46"/>
      <c r="AG155" s="88">
        <v>167.7</v>
      </c>
      <c r="AH155" s="47"/>
      <c r="AJ155" s="83">
        <v>225766</v>
      </c>
      <c r="AL155" s="83">
        <v>46495</v>
      </c>
      <c r="AN155" s="83">
        <v>0</v>
      </c>
      <c r="AP155" s="83">
        <v>15173</v>
      </c>
      <c r="AR155" s="83">
        <v>0</v>
      </c>
      <c r="AT155" s="204">
        <v>287434</v>
      </c>
      <c r="AV155" s="46">
        <v>108.5</v>
      </c>
      <c r="AX155" s="46">
        <v>22.4</v>
      </c>
      <c r="AZ155" s="46">
        <v>0</v>
      </c>
      <c r="BB155" s="46">
        <v>7.3</v>
      </c>
      <c r="BD155" s="46">
        <v>0</v>
      </c>
      <c r="BF155" s="209">
        <v>167.7</v>
      </c>
      <c r="BI155" s="83">
        <v>50868</v>
      </c>
      <c r="BK155" s="83">
        <v>0</v>
      </c>
      <c r="BM155" s="83">
        <v>0</v>
      </c>
      <c r="BO155" s="83">
        <v>6882</v>
      </c>
      <c r="BQ155" s="83">
        <v>0</v>
      </c>
      <c r="BS155" s="85">
        <v>57750</v>
      </c>
      <c r="BU155" s="46">
        <v>24.5</v>
      </c>
      <c r="BW155" s="46">
        <v>0</v>
      </c>
      <c r="BY155" s="46">
        <v>0</v>
      </c>
      <c r="CA155" s="46">
        <v>5</v>
      </c>
      <c r="CC155" s="46">
        <v>0</v>
      </c>
      <c r="CE155" s="209">
        <v>29.5</v>
      </c>
      <c r="CH155" s="41">
        <v>8328746</v>
      </c>
      <c r="CJ155" s="41">
        <v>1715967</v>
      </c>
      <c r="CL155" s="41">
        <v>0</v>
      </c>
      <c r="CN155" s="41">
        <v>937680</v>
      </c>
      <c r="CP155" s="43">
        <v>10982393</v>
      </c>
      <c r="CS155" s="39">
        <v>30.107500000000002</v>
      </c>
      <c r="CU155" s="39">
        <v>36.906500000000001</v>
      </c>
      <c r="CW155" s="39">
        <v>0</v>
      </c>
      <c r="CY155" s="39">
        <v>42.515500000000003</v>
      </c>
      <c r="DA155" s="44">
        <v>31.816099999999999</v>
      </c>
      <c r="DC155" s="1" t="str">
        <f t="shared" si="2"/>
        <v>No</v>
      </c>
    </row>
    <row r="156" spans="1:107">
      <c r="A156" s="7" t="s">
        <v>39</v>
      </c>
      <c r="B156" s="7" t="s">
        <v>176</v>
      </c>
      <c r="C156" s="37" t="s">
        <v>38</v>
      </c>
      <c r="D156" s="296">
        <v>7041</v>
      </c>
      <c r="E156" s="297">
        <v>70041</v>
      </c>
      <c r="F156" s="27" t="s">
        <v>162</v>
      </c>
      <c r="G156" s="27" t="s">
        <v>158</v>
      </c>
      <c r="H156" s="35">
        <v>60438</v>
      </c>
      <c r="I156" s="35">
        <v>84</v>
      </c>
      <c r="J156" s="292"/>
      <c r="K156" s="8">
        <v>207576</v>
      </c>
      <c r="L156" s="8"/>
      <c r="M156" s="8">
        <v>21877</v>
      </c>
      <c r="N156" s="9"/>
      <c r="O156" s="8">
        <v>1345</v>
      </c>
      <c r="P156" s="9"/>
      <c r="Q156" s="8">
        <v>15551</v>
      </c>
      <c r="R156" s="9"/>
      <c r="S156" s="8">
        <v>0</v>
      </c>
      <c r="T156" s="9"/>
      <c r="U156" s="33">
        <v>246349</v>
      </c>
      <c r="V156" s="9"/>
      <c r="W156" s="30">
        <v>204</v>
      </c>
      <c r="X156" s="9"/>
      <c r="Y156" s="30">
        <v>20.2</v>
      </c>
      <c r="Z156" s="9"/>
      <c r="AA156" s="30">
        <v>1.5</v>
      </c>
      <c r="AB156" s="9"/>
      <c r="AC156" s="30">
        <v>8.9</v>
      </c>
      <c r="AD156" s="9"/>
      <c r="AE156" s="80">
        <v>0</v>
      </c>
      <c r="AF156" s="46"/>
      <c r="AG156" s="88">
        <v>234.6</v>
      </c>
      <c r="AH156" s="47"/>
      <c r="AJ156" s="83">
        <v>55911</v>
      </c>
      <c r="AL156" s="83">
        <v>18433</v>
      </c>
      <c r="AN156" s="83">
        <v>830</v>
      </c>
      <c r="AP156" s="83">
        <v>14632</v>
      </c>
      <c r="AR156" s="83">
        <v>0</v>
      </c>
      <c r="AT156" s="204">
        <v>89806</v>
      </c>
      <c r="AV156" s="46">
        <v>28</v>
      </c>
      <c r="AX156" s="46">
        <v>9.5</v>
      </c>
      <c r="AZ156" s="46">
        <v>0.5</v>
      </c>
      <c r="BB156" s="46">
        <v>7.9</v>
      </c>
      <c r="BD156" s="46">
        <v>0</v>
      </c>
      <c r="BF156" s="209">
        <v>234.6</v>
      </c>
      <c r="BI156" s="83">
        <v>151665</v>
      </c>
      <c r="BK156" s="83">
        <v>3444</v>
      </c>
      <c r="BM156" s="83">
        <v>515</v>
      </c>
      <c r="BO156" s="83">
        <v>919</v>
      </c>
      <c r="BQ156" s="83">
        <v>0</v>
      </c>
      <c r="BS156" s="85">
        <v>156543</v>
      </c>
      <c r="BU156" s="46">
        <v>176</v>
      </c>
      <c r="BW156" s="46">
        <v>10.7</v>
      </c>
      <c r="BY156" s="46">
        <v>1</v>
      </c>
      <c r="CA156" s="46">
        <v>1</v>
      </c>
      <c r="CC156" s="46">
        <v>0</v>
      </c>
      <c r="CE156" s="209">
        <v>188.7</v>
      </c>
      <c r="CH156" s="41">
        <v>3840171</v>
      </c>
      <c r="CJ156" s="41">
        <v>616375</v>
      </c>
      <c r="CL156" s="41">
        <v>0</v>
      </c>
      <c r="CN156" s="41">
        <v>654535</v>
      </c>
      <c r="CP156" s="43">
        <v>5111081</v>
      </c>
      <c r="CS156" s="39">
        <v>18.5001</v>
      </c>
      <c r="CU156" s="39">
        <v>28.174600000000002</v>
      </c>
      <c r="CW156" s="39">
        <v>0</v>
      </c>
      <c r="CY156" s="39">
        <v>42.089599999999997</v>
      </c>
      <c r="DA156" s="44">
        <v>20.747299999999999</v>
      </c>
      <c r="DC156" s="1" t="str">
        <f t="shared" si="2"/>
        <v>No</v>
      </c>
    </row>
    <row r="157" spans="1:107">
      <c r="A157" s="7" t="s">
        <v>383</v>
      </c>
      <c r="B157" s="7" t="s">
        <v>384</v>
      </c>
      <c r="C157" s="37" t="s">
        <v>17</v>
      </c>
      <c r="D157" s="296">
        <v>9004</v>
      </c>
      <c r="E157" s="297">
        <v>90004</v>
      </c>
      <c r="F157" s="27" t="s">
        <v>165</v>
      </c>
      <c r="G157" s="27" t="s">
        <v>158</v>
      </c>
      <c r="H157" s="35">
        <v>523994</v>
      </c>
      <c r="I157" s="35">
        <v>82</v>
      </c>
      <c r="J157" s="292"/>
      <c r="K157" s="8">
        <v>455072</v>
      </c>
      <c r="L157" s="8"/>
      <c r="M157" s="8">
        <v>92076</v>
      </c>
      <c r="N157" s="9"/>
      <c r="O157" s="8">
        <v>10396</v>
      </c>
      <c r="P157" s="9"/>
      <c r="Q157" s="8">
        <v>61826</v>
      </c>
      <c r="R157" s="9"/>
      <c r="S157" s="8">
        <v>0</v>
      </c>
      <c r="T157" s="9"/>
      <c r="U157" s="33">
        <v>619370</v>
      </c>
      <c r="V157" s="9"/>
      <c r="W157" s="30">
        <v>250.12</v>
      </c>
      <c r="X157" s="9"/>
      <c r="Y157" s="30">
        <v>53</v>
      </c>
      <c r="Z157" s="9"/>
      <c r="AA157" s="30">
        <v>5</v>
      </c>
      <c r="AB157" s="9"/>
      <c r="AC157" s="30">
        <v>34</v>
      </c>
      <c r="AD157" s="9"/>
      <c r="AE157" s="80">
        <v>0</v>
      </c>
      <c r="AF157" s="46"/>
      <c r="AG157" s="88">
        <v>342.12</v>
      </c>
      <c r="AH157" s="47"/>
      <c r="AJ157" s="83">
        <v>165494</v>
      </c>
      <c r="AL157" s="83">
        <v>92076</v>
      </c>
      <c r="AN157" s="83">
        <v>10396</v>
      </c>
      <c r="AP157" s="83">
        <v>51308</v>
      </c>
      <c r="AR157" s="83">
        <v>0</v>
      </c>
      <c r="AT157" s="204">
        <v>319274</v>
      </c>
      <c r="AV157" s="46">
        <v>85.03</v>
      </c>
      <c r="AX157" s="46">
        <v>53</v>
      </c>
      <c r="AZ157" s="46">
        <v>5</v>
      </c>
      <c r="BB157" s="46">
        <v>28</v>
      </c>
      <c r="BD157" s="46">
        <v>0</v>
      </c>
      <c r="BF157" s="209">
        <v>342.12</v>
      </c>
      <c r="BI157" s="83">
        <v>289578</v>
      </c>
      <c r="BK157" s="83">
        <v>0</v>
      </c>
      <c r="BM157" s="83">
        <v>0</v>
      </c>
      <c r="BO157" s="83">
        <v>10518</v>
      </c>
      <c r="BQ157" s="83">
        <v>0</v>
      </c>
      <c r="BS157" s="85">
        <v>300096</v>
      </c>
      <c r="BU157" s="46">
        <v>165.09</v>
      </c>
      <c r="BW157" s="46">
        <v>0</v>
      </c>
      <c r="BY157" s="46">
        <v>0</v>
      </c>
      <c r="CA157" s="46">
        <v>6</v>
      </c>
      <c r="CC157" s="46">
        <v>0</v>
      </c>
      <c r="CE157" s="209">
        <v>171.09</v>
      </c>
      <c r="CH157" s="41">
        <v>8866481</v>
      </c>
      <c r="CJ157" s="41">
        <v>2233715</v>
      </c>
      <c r="CL157" s="41">
        <v>246779</v>
      </c>
      <c r="CN157" s="41">
        <v>1850842</v>
      </c>
      <c r="CP157" s="43">
        <v>13197817</v>
      </c>
      <c r="CS157" s="39">
        <v>19.483699999999999</v>
      </c>
      <c r="CU157" s="39">
        <v>24.259499999999999</v>
      </c>
      <c r="CW157" s="39">
        <v>0.5423</v>
      </c>
      <c r="CY157" s="39">
        <v>29.936299999999999</v>
      </c>
      <c r="DA157" s="44">
        <v>21.308499999999999</v>
      </c>
      <c r="DC157" s="1" t="str">
        <f t="shared" si="2"/>
        <v>No</v>
      </c>
    </row>
    <row r="158" spans="1:107">
      <c r="A158" s="7" t="s">
        <v>396</v>
      </c>
      <c r="B158" s="7" t="s">
        <v>397</v>
      </c>
      <c r="C158" s="37" t="s">
        <v>40</v>
      </c>
      <c r="D158" s="296">
        <v>5056</v>
      </c>
      <c r="E158" s="297">
        <v>50056</v>
      </c>
      <c r="F158" s="27" t="s">
        <v>165</v>
      </c>
      <c r="G158" s="27" t="s">
        <v>158</v>
      </c>
      <c r="H158" s="35">
        <v>266921</v>
      </c>
      <c r="I158" s="35">
        <v>82</v>
      </c>
      <c r="J158" s="292"/>
      <c r="K158" s="8">
        <v>213502</v>
      </c>
      <c r="L158" s="8"/>
      <c r="M158" s="8">
        <v>65011</v>
      </c>
      <c r="N158" s="9"/>
      <c r="O158" s="8">
        <v>6037</v>
      </c>
      <c r="P158" s="9"/>
      <c r="Q158" s="8">
        <v>29070</v>
      </c>
      <c r="R158" s="9"/>
      <c r="S158" s="8">
        <v>0</v>
      </c>
      <c r="T158" s="9"/>
      <c r="U158" s="33">
        <v>313620</v>
      </c>
      <c r="V158" s="9"/>
      <c r="W158" s="30">
        <v>130</v>
      </c>
      <c r="X158" s="9"/>
      <c r="Y158" s="30">
        <v>37</v>
      </c>
      <c r="Z158" s="9"/>
      <c r="AA158" s="30">
        <v>3</v>
      </c>
      <c r="AB158" s="9"/>
      <c r="AC158" s="30">
        <v>15</v>
      </c>
      <c r="AD158" s="9"/>
      <c r="AE158" s="80">
        <v>0</v>
      </c>
      <c r="AF158" s="46"/>
      <c r="AG158" s="88">
        <v>185</v>
      </c>
      <c r="AH158" s="47"/>
      <c r="AJ158" s="83">
        <v>200965</v>
      </c>
      <c r="AL158" s="83">
        <v>65011</v>
      </c>
      <c r="AN158" s="83">
        <v>6037</v>
      </c>
      <c r="AP158" s="83">
        <v>29070</v>
      </c>
      <c r="AR158" s="83">
        <v>0</v>
      </c>
      <c r="AT158" s="204">
        <v>301083</v>
      </c>
      <c r="AV158" s="46">
        <v>108</v>
      </c>
      <c r="AX158" s="46">
        <v>37</v>
      </c>
      <c r="AZ158" s="46">
        <v>3</v>
      </c>
      <c r="BB158" s="46">
        <v>15</v>
      </c>
      <c r="BD158" s="46">
        <v>0</v>
      </c>
      <c r="BF158" s="209">
        <v>185</v>
      </c>
      <c r="BI158" s="83">
        <v>12537</v>
      </c>
      <c r="BK158" s="83">
        <v>0</v>
      </c>
      <c r="BM158" s="83">
        <v>0</v>
      </c>
      <c r="BO158" s="83">
        <v>0</v>
      </c>
      <c r="BQ158" s="83">
        <v>0</v>
      </c>
      <c r="BS158" s="85">
        <v>12537</v>
      </c>
      <c r="BU158" s="46">
        <v>22</v>
      </c>
      <c r="BW158" s="46">
        <v>0</v>
      </c>
      <c r="BY158" s="46">
        <v>0</v>
      </c>
      <c r="CA158" s="46">
        <v>0</v>
      </c>
      <c r="CC158" s="46">
        <v>0</v>
      </c>
      <c r="CE158" s="209">
        <v>22</v>
      </c>
      <c r="CH158" s="41">
        <v>5417279</v>
      </c>
      <c r="CJ158" s="41">
        <v>1766376</v>
      </c>
      <c r="CL158" s="41">
        <v>125916</v>
      </c>
      <c r="CN158" s="41">
        <v>678811</v>
      </c>
      <c r="CP158" s="43">
        <v>7988382</v>
      </c>
      <c r="CS158" s="39">
        <v>25.3734</v>
      </c>
      <c r="CU158" s="39">
        <v>27.170400000000001</v>
      </c>
      <c r="CW158" s="39">
        <v>0.58979999999999999</v>
      </c>
      <c r="CY158" s="39">
        <v>23.350899999999999</v>
      </c>
      <c r="DA158" s="44">
        <v>25.471499999999999</v>
      </c>
      <c r="DC158" s="1" t="str">
        <f t="shared" si="2"/>
        <v>No</v>
      </c>
    </row>
    <row r="159" spans="1:107">
      <c r="A159" s="7" t="s">
        <v>641</v>
      </c>
      <c r="B159" s="7" t="s">
        <v>642</v>
      </c>
      <c r="C159" s="37" t="s">
        <v>28</v>
      </c>
      <c r="D159" s="296">
        <v>1049</v>
      </c>
      <c r="E159" s="297">
        <v>10049</v>
      </c>
      <c r="F159" s="27" t="s">
        <v>165</v>
      </c>
      <c r="G159" s="27" t="s">
        <v>158</v>
      </c>
      <c r="H159" s="35">
        <v>562839</v>
      </c>
      <c r="I159" s="35">
        <v>82</v>
      </c>
      <c r="J159" s="292"/>
      <c r="K159" s="8">
        <v>206094</v>
      </c>
      <c r="L159" s="8"/>
      <c r="M159" s="8">
        <v>8325</v>
      </c>
      <c r="N159" s="9"/>
      <c r="O159" s="8">
        <v>4792</v>
      </c>
      <c r="P159" s="9"/>
      <c r="Q159" s="8">
        <v>19279</v>
      </c>
      <c r="R159" s="9"/>
      <c r="S159" s="8">
        <v>1385</v>
      </c>
      <c r="T159" s="9"/>
      <c r="U159" s="33">
        <v>239875</v>
      </c>
      <c r="V159" s="9"/>
      <c r="W159" s="30">
        <v>137.05000000000001</v>
      </c>
      <c r="X159" s="9"/>
      <c r="Y159" s="30">
        <v>5.2</v>
      </c>
      <c r="Z159" s="9"/>
      <c r="AA159" s="30">
        <v>3.05</v>
      </c>
      <c r="AB159" s="9"/>
      <c r="AC159" s="30">
        <v>13.5</v>
      </c>
      <c r="AD159" s="9"/>
      <c r="AE159" s="80">
        <v>1</v>
      </c>
      <c r="AF159" s="46"/>
      <c r="AG159" s="88">
        <v>159.80000000000001</v>
      </c>
      <c r="AH159" s="47"/>
      <c r="AJ159" s="83">
        <v>168184</v>
      </c>
      <c r="AL159" s="83">
        <v>8325</v>
      </c>
      <c r="AN159" s="83">
        <v>4792</v>
      </c>
      <c r="AP159" s="83">
        <v>19279</v>
      </c>
      <c r="AR159" s="83">
        <v>1385</v>
      </c>
      <c r="AT159" s="204">
        <v>201965</v>
      </c>
      <c r="AV159" s="46">
        <v>96.05</v>
      </c>
      <c r="AX159" s="46">
        <v>5.2</v>
      </c>
      <c r="AZ159" s="46">
        <v>3.05</v>
      </c>
      <c r="BB159" s="46">
        <v>13.5</v>
      </c>
      <c r="BD159" s="46">
        <v>1</v>
      </c>
      <c r="BF159" s="209">
        <v>159.80000000000001</v>
      </c>
      <c r="BI159" s="83">
        <v>37910</v>
      </c>
      <c r="BK159" s="83">
        <v>0</v>
      </c>
      <c r="BM159" s="83">
        <v>0</v>
      </c>
      <c r="BO159" s="83">
        <v>0</v>
      </c>
      <c r="BQ159" s="83">
        <v>0</v>
      </c>
      <c r="BS159" s="85">
        <v>37910</v>
      </c>
      <c r="BU159" s="46">
        <v>41</v>
      </c>
      <c r="BW159" s="46">
        <v>0</v>
      </c>
      <c r="BY159" s="46">
        <v>0</v>
      </c>
      <c r="CA159" s="46">
        <v>0</v>
      </c>
      <c r="CC159" s="46">
        <v>0</v>
      </c>
      <c r="CE159" s="209">
        <v>41</v>
      </c>
      <c r="CH159" s="41">
        <v>4187175</v>
      </c>
      <c r="CJ159" s="41">
        <v>261034</v>
      </c>
      <c r="CL159" s="41">
        <v>103204</v>
      </c>
      <c r="CN159" s="41">
        <v>562119</v>
      </c>
      <c r="CP159" s="43">
        <v>5113532</v>
      </c>
      <c r="CS159" s="39">
        <v>20.316800000000001</v>
      </c>
      <c r="CU159" s="39">
        <v>31.355399999999999</v>
      </c>
      <c r="CW159" s="39">
        <v>0.50080000000000002</v>
      </c>
      <c r="CY159" s="39">
        <v>29.1571</v>
      </c>
      <c r="DA159" s="44">
        <v>21.317499999999999</v>
      </c>
      <c r="DC159" s="1" t="str">
        <f t="shared" si="2"/>
        <v>No</v>
      </c>
    </row>
    <row r="160" spans="1:107">
      <c r="A160" s="7" t="s">
        <v>122</v>
      </c>
      <c r="B160" s="7" t="s">
        <v>781</v>
      </c>
      <c r="C160" s="37" t="s">
        <v>70</v>
      </c>
      <c r="D160" s="296">
        <v>2217</v>
      </c>
      <c r="E160" s="297">
        <v>20217</v>
      </c>
      <c r="F160" s="27" t="s">
        <v>173</v>
      </c>
      <c r="G160" s="27" t="s">
        <v>158</v>
      </c>
      <c r="H160" s="35">
        <v>18351295</v>
      </c>
      <c r="I160" s="35">
        <v>80</v>
      </c>
      <c r="J160" s="292"/>
      <c r="K160" s="8">
        <v>348955</v>
      </c>
      <c r="L160" s="8"/>
      <c r="M160" s="8">
        <v>40104</v>
      </c>
      <c r="N160" s="9"/>
      <c r="O160" s="8">
        <v>5115</v>
      </c>
      <c r="P160" s="9"/>
      <c r="Q160" s="8">
        <v>28229</v>
      </c>
      <c r="R160" s="9"/>
      <c r="S160" s="8">
        <v>0</v>
      </c>
      <c r="T160" s="9"/>
      <c r="U160" s="33">
        <v>422403</v>
      </c>
      <c r="V160" s="9"/>
      <c r="W160" s="30">
        <v>353.3</v>
      </c>
      <c r="X160" s="9"/>
      <c r="Y160" s="30">
        <v>24.6</v>
      </c>
      <c r="Z160" s="9"/>
      <c r="AA160" s="30">
        <v>2.2999999999999998</v>
      </c>
      <c r="AB160" s="9"/>
      <c r="AC160" s="30">
        <v>16.3</v>
      </c>
      <c r="AD160" s="9"/>
      <c r="AE160" s="80">
        <v>0</v>
      </c>
      <c r="AF160" s="46"/>
      <c r="AG160" s="88">
        <v>396.5</v>
      </c>
      <c r="AH160" s="47"/>
      <c r="AJ160" s="83">
        <v>255758</v>
      </c>
      <c r="AL160" s="83">
        <v>35214</v>
      </c>
      <c r="AN160" s="83">
        <v>5115</v>
      </c>
      <c r="AP160" s="83">
        <v>27388</v>
      </c>
      <c r="AR160" s="83">
        <v>0</v>
      </c>
      <c r="AT160" s="204">
        <v>323475</v>
      </c>
      <c r="AV160" s="46">
        <v>152.4</v>
      </c>
      <c r="AX160" s="46">
        <v>17.7</v>
      </c>
      <c r="AZ160" s="46">
        <v>2.2999999999999998</v>
      </c>
      <c r="BB160" s="46">
        <v>14</v>
      </c>
      <c r="BD160" s="46">
        <v>0</v>
      </c>
      <c r="BF160" s="209">
        <v>396.5</v>
      </c>
      <c r="BI160" s="83">
        <v>93197</v>
      </c>
      <c r="BK160" s="83">
        <v>4890</v>
      </c>
      <c r="BM160" s="83">
        <v>0</v>
      </c>
      <c r="BO160" s="83">
        <v>841</v>
      </c>
      <c r="BQ160" s="83">
        <v>0</v>
      </c>
      <c r="BS160" s="85">
        <v>98928</v>
      </c>
      <c r="BU160" s="46">
        <v>200.9</v>
      </c>
      <c r="BW160" s="46">
        <v>6.9</v>
      </c>
      <c r="BY160" s="46">
        <v>0</v>
      </c>
      <c r="CA160" s="46">
        <v>2.2999999999999998</v>
      </c>
      <c r="CC160" s="46">
        <v>0</v>
      </c>
      <c r="CE160" s="209">
        <v>210.1</v>
      </c>
      <c r="CH160" s="41">
        <v>6247551</v>
      </c>
      <c r="CJ160" s="41">
        <v>910237</v>
      </c>
      <c r="CL160" s="41">
        <v>86749</v>
      </c>
      <c r="CN160" s="41">
        <v>1651021</v>
      </c>
      <c r="CP160" s="43">
        <v>8895558</v>
      </c>
      <c r="CS160" s="39">
        <v>17.903600000000001</v>
      </c>
      <c r="CU160" s="39">
        <v>22.696899999999999</v>
      </c>
      <c r="CW160" s="39">
        <v>0.24859999999999999</v>
      </c>
      <c r="CY160" s="39">
        <v>58.486699999999999</v>
      </c>
      <c r="DA160" s="44">
        <v>21.0594</v>
      </c>
      <c r="DC160" s="1" t="str">
        <f t="shared" si="2"/>
        <v>No</v>
      </c>
    </row>
    <row r="161" spans="1:107">
      <c r="A161" s="7" t="s">
        <v>740</v>
      </c>
      <c r="B161" s="7" t="s">
        <v>741</v>
      </c>
      <c r="C161" s="37" t="s">
        <v>58</v>
      </c>
      <c r="D161" s="296">
        <v>4173</v>
      </c>
      <c r="E161" s="297">
        <v>40173</v>
      </c>
      <c r="F161" s="27" t="s">
        <v>165</v>
      </c>
      <c r="G161" s="27" t="s">
        <v>158</v>
      </c>
      <c r="H161" s="35">
        <v>311810</v>
      </c>
      <c r="I161" s="35">
        <v>80</v>
      </c>
      <c r="J161" s="292"/>
      <c r="K161" s="8">
        <v>0</v>
      </c>
      <c r="L161" s="8"/>
      <c r="M161" s="8">
        <v>0</v>
      </c>
      <c r="N161" s="9"/>
      <c r="O161" s="8">
        <v>0</v>
      </c>
      <c r="P161" s="9"/>
      <c r="Q161" s="8">
        <v>6690</v>
      </c>
      <c r="R161" s="9"/>
      <c r="S161" s="8">
        <v>0</v>
      </c>
      <c r="T161" s="9"/>
      <c r="U161" s="33">
        <v>6690</v>
      </c>
      <c r="V161" s="9"/>
      <c r="W161" s="30">
        <v>0</v>
      </c>
      <c r="X161" s="9"/>
      <c r="Y161" s="30">
        <v>0</v>
      </c>
      <c r="Z161" s="9"/>
      <c r="AA161" s="30">
        <v>0</v>
      </c>
      <c r="AB161" s="9"/>
      <c r="AC161" s="30">
        <v>5</v>
      </c>
      <c r="AD161" s="9"/>
      <c r="AE161" s="80">
        <v>0</v>
      </c>
      <c r="AF161" s="46"/>
      <c r="AG161" s="88">
        <v>5</v>
      </c>
      <c r="AH161" s="47"/>
      <c r="AJ161" s="83">
        <v>0</v>
      </c>
      <c r="AL161" s="83">
        <v>0</v>
      </c>
      <c r="AN161" s="83">
        <v>0</v>
      </c>
      <c r="AP161" s="83">
        <v>6629</v>
      </c>
      <c r="AR161" s="83">
        <v>0</v>
      </c>
      <c r="AT161" s="204">
        <v>6629</v>
      </c>
      <c r="AV161" s="46">
        <v>0</v>
      </c>
      <c r="AX161" s="46">
        <v>0</v>
      </c>
      <c r="AZ161" s="46">
        <v>0</v>
      </c>
      <c r="BB161" s="46">
        <v>4</v>
      </c>
      <c r="BD161" s="46">
        <v>0</v>
      </c>
      <c r="BF161" s="209">
        <v>5</v>
      </c>
      <c r="BI161" s="83">
        <v>0</v>
      </c>
      <c r="BK161" s="83">
        <v>0</v>
      </c>
      <c r="BM161" s="83">
        <v>0</v>
      </c>
      <c r="BO161" s="83">
        <v>61</v>
      </c>
      <c r="BQ161" s="83">
        <v>0</v>
      </c>
      <c r="BS161" s="85">
        <v>61</v>
      </c>
      <c r="BU161" s="46">
        <v>0</v>
      </c>
      <c r="BW161" s="46">
        <v>0</v>
      </c>
      <c r="BY161" s="46">
        <v>0</v>
      </c>
      <c r="CA161" s="46">
        <v>1</v>
      </c>
      <c r="CC161" s="46">
        <v>0</v>
      </c>
      <c r="CE161" s="209">
        <v>1</v>
      </c>
      <c r="CH161" s="41">
        <v>0</v>
      </c>
      <c r="CJ161" s="41">
        <v>0</v>
      </c>
      <c r="CL161" s="41">
        <v>0</v>
      </c>
      <c r="CN161" s="41">
        <v>163201</v>
      </c>
      <c r="CP161" s="43">
        <v>163201</v>
      </c>
      <c r="CY161" s="39">
        <v>24.3948</v>
      </c>
      <c r="DA161" s="44">
        <v>24.3948</v>
      </c>
      <c r="DC161" s="1" t="str">
        <f t="shared" si="2"/>
        <v>No</v>
      </c>
    </row>
    <row r="162" spans="1:107">
      <c r="A162" s="7" t="s">
        <v>275</v>
      </c>
      <c r="B162" s="7" t="s">
        <v>276</v>
      </c>
      <c r="C162" s="37" t="s">
        <v>36</v>
      </c>
      <c r="D162" s="296">
        <v>4025</v>
      </c>
      <c r="E162" s="297">
        <v>40025</v>
      </c>
      <c r="F162" s="27" t="s">
        <v>165</v>
      </c>
      <c r="G162" s="27" t="s">
        <v>158</v>
      </c>
      <c r="H162" s="35">
        <v>260677</v>
      </c>
      <c r="I162" s="35">
        <v>80</v>
      </c>
      <c r="J162" s="292"/>
      <c r="K162" s="8">
        <v>312956</v>
      </c>
      <c r="L162" s="8"/>
      <c r="M162" s="8">
        <v>39978</v>
      </c>
      <c r="N162" s="9"/>
      <c r="O162" s="8">
        <v>33405</v>
      </c>
      <c r="P162" s="9"/>
      <c r="Q162" s="8">
        <v>79440</v>
      </c>
      <c r="R162" s="9"/>
      <c r="S162" s="8">
        <v>0</v>
      </c>
      <c r="T162" s="9"/>
      <c r="U162" s="33">
        <v>465779</v>
      </c>
      <c r="V162" s="9"/>
      <c r="W162" s="30">
        <v>170</v>
      </c>
      <c r="X162" s="9"/>
      <c r="Y162" s="30">
        <v>21</v>
      </c>
      <c r="Z162" s="9"/>
      <c r="AA162" s="30">
        <v>21</v>
      </c>
      <c r="AB162" s="9"/>
      <c r="AC162" s="30">
        <v>43</v>
      </c>
      <c r="AD162" s="9"/>
      <c r="AE162" s="80">
        <v>0</v>
      </c>
      <c r="AF162" s="46"/>
      <c r="AG162" s="88">
        <v>255</v>
      </c>
      <c r="AH162" s="47"/>
      <c r="AJ162" s="83">
        <v>297649</v>
      </c>
      <c r="AL162" s="83">
        <v>39978</v>
      </c>
      <c r="AN162" s="83">
        <v>25878</v>
      </c>
      <c r="AP162" s="83">
        <v>75404</v>
      </c>
      <c r="AR162" s="83">
        <v>0</v>
      </c>
      <c r="AT162" s="204">
        <v>438909</v>
      </c>
      <c r="AV162" s="46">
        <v>154</v>
      </c>
      <c r="AX162" s="46">
        <v>21</v>
      </c>
      <c r="AZ162" s="46">
        <v>14</v>
      </c>
      <c r="BB162" s="46">
        <v>39</v>
      </c>
      <c r="BD162" s="46">
        <v>0</v>
      </c>
      <c r="BF162" s="209">
        <v>255</v>
      </c>
      <c r="BI162" s="83">
        <v>15307</v>
      </c>
      <c r="BK162" s="83">
        <v>0</v>
      </c>
      <c r="BM162" s="83">
        <v>7527</v>
      </c>
      <c r="BO162" s="83">
        <v>4036</v>
      </c>
      <c r="BQ162" s="83">
        <v>0</v>
      </c>
      <c r="BS162" s="85">
        <v>26870</v>
      </c>
      <c r="BU162" s="46">
        <v>16</v>
      </c>
      <c r="BW162" s="46">
        <v>0</v>
      </c>
      <c r="BY162" s="46">
        <v>7</v>
      </c>
      <c r="CA162" s="46">
        <v>4</v>
      </c>
      <c r="CC162" s="46">
        <v>0</v>
      </c>
      <c r="CE162" s="209">
        <v>27</v>
      </c>
      <c r="CH162" s="41">
        <v>5895114</v>
      </c>
      <c r="CJ162" s="41">
        <v>861965</v>
      </c>
      <c r="CL162" s="41">
        <v>504899</v>
      </c>
      <c r="CN162" s="41">
        <v>2378177</v>
      </c>
      <c r="CP162" s="43">
        <v>9640155</v>
      </c>
      <c r="CS162" s="39">
        <v>18.8369</v>
      </c>
      <c r="CU162" s="39">
        <v>21.561</v>
      </c>
      <c r="CW162" s="39">
        <v>1.6133</v>
      </c>
      <c r="CY162" s="39">
        <v>29.936800000000002</v>
      </c>
      <c r="DA162" s="44">
        <v>20.6968</v>
      </c>
      <c r="DC162" s="1" t="str">
        <f t="shared" si="2"/>
        <v>No</v>
      </c>
    </row>
    <row r="163" spans="1:107">
      <c r="A163" s="7" t="s">
        <v>277</v>
      </c>
      <c r="B163" s="7" t="s">
        <v>278</v>
      </c>
      <c r="C163" s="37" t="s">
        <v>83</v>
      </c>
      <c r="D163" s="296">
        <v>4001</v>
      </c>
      <c r="E163" s="297">
        <v>40001</v>
      </c>
      <c r="F163" s="27" t="s">
        <v>162</v>
      </c>
      <c r="G163" s="27" t="s">
        <v>158</v>
      </c>
      <c r="H163" s="35">
        <v>381112</v>
      </c>
      <c r="I163" s="35">
        <v>80</v>
      </c>
      <c r="J163" s="292"/>
      <c r="K163" s="8">
        <v>250481</v>
      </c>
      <c r="L163" s="8"/>
      <c r="M163" s="8">
        <v>51809</v>
      </c>
      <c r="N163" s="9"/>
      <c r="O163" s="8">
        <v>7006</v>
      </c>
      <c r="P163" s="9"/>
      <c r="Q163" s="8">
        <v>65004</v>
      </c>
      <c r="R163" s="9"/>
      <c r="S163" s="8">
        <v>1716</v>
      </c>
      <c r="T163" s="9"/>
      <c r="U163" s="33">
        <v>376016</v>
      </c>
      <c r="V163" s="9"/>
      <c r="W163" s="30">
        <v>129</v>
      </c>
      <c r="X163" s="9"/>
      <c r="Y163" s="30">
        <v>27</v>
      </c>
      <c r="Z163" s="9"/>
      <c r="AA163" s="30">
        <v>4</v>
      </c>
      <c r="AB163" s="9"/>
      <c r="AC163" s="30">
        <v>36.020000000000003</v>
      </c>
      <c r="AD163" s="9"/>
      <c r="AE163" s="80">
        <v>0.99</v>
      </c>
      <c r="AF163" s="46"/>
      <c r="AG163" s="88">
        <v>197.01</v>
      </c>
      <c r="AH163" s="47"/>
      <c r="AJ163" s="83">
        <v>219281</v>
      </c>
      <c r="AL163" s="83">
        <v>51401</v>
      </c>
      <c r="AN163" s="83">
        <v>3620</v>
      </c>
      <c r="AP163" s="83">
        <v>65004</v>
      </c>
      <c r="AR163" s="83">
        <v>1716</v>
      </c>
      <c r="AT163" s="204">
        <v>341022</v>
      </c>
      <c r="AV163" s="46">
        <v>102</v>
      </c>
      <c r="AX163" s="46">
        <v>26</v>
      </c>
      <c r="AZ163" s="46">
        <v>2</v>
      </c>
      <c r="BB163" s="46">
        <v>36.020000000000003</v>
      </c>
      <c r="BD163" s="46">
        <v>0.99</v>
      </c>
      <c r="BF163" s="209">
        <v>197.01</v>
      </c>
      <c r="BI163" s="83">
        <v>31200</v>
      </c>
      <c r="BK163" s="83">
        <v>408</v>
      </c>
      <c r="BM163" s="83">
        <v>3386</v>
      </c>
      <c r="BO163" s="83">
        <v>0</v>
      </c>
      <c r="BQ163" s="83">
        <v>0</v>
      </c>
      <c r="BS163" s="85">
        <v>34994</v>
      </c>
      <c r="BU163" s="46">
        <v>27</v>
      </c>
      <c r="BW163" s="46">
        <v>1</v>
      </c>
      <c r="BY163" s="46">
        <v>2</v>
      </c>
      <c r="CA163" s="46">
        <v>0</v>
      </c>
      <c r="CC163" s="46">
        <v>0</v>
      </c>
      <c r="CE163" s="209">
        <v>30</v>
      </c>
      <c r="CH163" s="41">
        <v>5629006</v>
      </c>
      <c r="CJ163" s="41">
        <v>1343977</v>
      </c>
      <c r="CL163" s="41">
        <v>148601</v>
      </c>
      <c r="CN163" s="41">
        <v>824459</v>
      </c>
      <c r="CP163" s="43">
        <v>7946043</v>
      </c>
      <c r="CS163" s="39">
        <v>22.472799999999999</v>
      </c>
      <c r="CU163" s="39">
        <v>25.940999999999999</v>
      </c>
      <c r="CW163" s="39">
        <v>0.59330000000000005</v>
      </c>
      <c r="CY163" s="39">
        <v>12.683199999999999</v>
      </c>
      <c r="DA163" s="44">
        <v>21.132200000000001</v>
      </c>
      <c r="DC163" s="1" t="str">
        <f t="shared" si="2"/>
        <v>No</v>
      </c>
    </row>
    <row r="164" spans="1:107">
      <c r="A164" s="7" t="s">
        <v>753</v>
      </c>
      <c r="B164" s="7" t="s">
        <v>662</v>
      </c>
      <c r="C164" s="37" t="s">
        <v>45</v>
      </c>
      <c r="D164" s="296">
        <v>4196</v>
      </c>
      <c r="E164" s="297">
        <v>40196</v>
      </c>
      <c r="F164" s="27" t="s">
        <v>195</v>
      </c>
      <c r="G164" s="27" t="s">
        <v>158</v>
      </c>
      <c r="H164" s="35">
        <v>972546</v>
      </c>
      <c r="I164" s="35">
        <v>79</v>
      </c>
      <c r="J164" s="292"/>
      <c r="K164" s="8">
        <v>744</v>
      </c>
      <c r="L164" s="8"/>
      <c r="M164" s="8">
        <v>0</v>
      </c>
      <c r="N164" s="9"/>
      <c r="O164" s="8">
        <v>0</v>
      </c>
      <c r="P164" s="9"/>
      <c r="Q164" s="8">
        <v>8439</v>
      </c>
      <c r="R164" s="9"/>
      <c r="S164" s="8">
        <v>0</v>
      </c>
      <c r="T164" s="9"/>
      <c r="U164" s="33">
        <v>9183</v>
      </c>
      <c r="V164" s="9"/>
      <c r="W164" s="30">
        <v>0.5</v>
      </c>
      <c r="X164" s="9"/>
      <c r="Y164" s="30">
        <v>0</v>
      </c>
      <c r="Z164" s="9"/>
      <c r="AA164" s="30">
        <v>0</v>
      </c>
      <c r="AB164" s="9"/>
      <c r="AC164" s="30">
        <v>5.5</v>
      </c>
      <c r="AD164" s="9"/>
      <c r="AE164" s="80">
        <v>0</v>
      </c>
      <c r="AF164" s="46"/>
      <c r="AG164" s="88">
        <v>6</v>
      </c>
      <c r="AH164" s="47"/>
      <c r="AJ164" s="83">
        <v>744</v>
      </c>
      <c r="AL164" s="83">
        <v>0</v>
      </c>
      <c r="AN164" s="83">
        <v>0</v>
      </c>
      <c r="AP164" s="83">
        <v>8439</v>
      </c>
      <c r="AR164" s="83">
        <v>0</v>
      </c>
      <c r="AT164" s="204">
        <v>9183</v>
      </c>
      <c r="AV164" s="46">
        <v>0.5</v>
      </c>
      <c r="AX164" s="46">
        <v>0</v>
      </c>
      <c r="AZ164" s="46">
        <v>0</v>
      </c>
      <c r="BB164" s="46">
        <v>5.5</v>
      </c>
      <c r="BD164" s="46">
        <v>0</v>
      </c>
      <c r="BF164" s="209">
        <v>6</v>
      </c>
      <c r="BI164" s="83">
        <v>0</v>
      </c>
      <c r="BK164" s="83">
        <v>0</v>
      </c>
      <c r="BM164" s="83">
        <v>0</v>
      </c>
      <c r="BO164" s="83">
        <v>0</v>
      </c>
      <c r="BQ164" s="83">
        <v>0</v>
      </c>
      <c r="BS164" s="85">
        <v>0</v>
      </c>
      <c r="BU164" s="46">
        <v>0</v>
      </c>
      <c r="BW164" s="46">
        <v>0</v>
      </c>
      <c r="BY164" s="46">
        <v>0</v>
      </c>
      <c r="CA164" s="46">
        <v>0</v>
      </c>
      <c r="CC164" s="46">
        <v>0</v>
      </c>
      <c r="CE164" s="209">
        <v>0</v>
      </c>
      <c r="CH164" s="41">
        <v>17727</v>
      </c>
      <c r="CJ164" s="41">
        <v>0</v>
      </c>
      <c r="CL164" s="41">
        <v>0</v>
      </c>
      <c r="CN164" s="41">
        <v>231468</v>
      </c>
      <c r="CP164" s="43">
        <v>249195</v>
      </c>
      <c r="CS164" s="39">
        <v>23.826599999999999</v>
      </c>
      <c r="CW164" s="39">
        <v>0</v>
      </c>
      <c r="CY164" s="39">
        <v>27.4284</v>
      </c>
      <c r="DA164" s="44">
        <v>27.136600000000001</v>
      </c>
      <c r="DC164" s="1" t="str">
        <f t="shared" si="2"/>
        <v>No</v>
      </c>
    </row>
    <row r="165" spans="1:107">
      <c r="A165" s="7" t="s">
        <v>437</v>
      </c>
      <c r="B165" s="7" t="s">
        <v>438</v>
      </c>
      <c r="C165" s="37" t="s">
        <v>83</v>
      </c>
      <c r="D165" s="296">
        <v>4002</v>
      </c>
      <c r="E165" s="297">
        <v>40002</v>
      </c>
      <c r="F165" s="27" t="s">
        <v>162</v>
      </c>
      <c r="G165" s="27" t="s">
        <v>158</v>
      </c>
      <c r="H165" s="35">
        <v>558696</v>
      </c>
      <c r="I165" s="35">
        <v>78</v>
      </c>
      <c r="J165" s="292"/>
      <c r="K165" s="8">
        <v>347516</v>
      </c>
      <c r="L165" s="8"/>
      <c r="M165" s="8">
        <v>87032</v>
      </c>
      <c r="N165" s="9"/>
      <c r="O165" s="8">
        <v>2050</v>
      </c>
      <c r="P165" s="9"/>
      <c r="Q165" s="8">
        <v>34822</v>
      </c>
      <c r="R165" s="9"/>
      <c r="S165" s="8">
        <v>0</v>
      </c>
      <c r="T165" s="9"/>
      <c r="U165" s="33">
        <v>471420</v>
      </c>
      <c r="V165" s="9"/>
      <c r="W165" s="30">
        <v>194.7</v>
      </c>
      <c r="X165" s="9"/>
      <c r="Y165" s="30">
        <v>48.6</v>
      </c>
      <c r="Z165" s="9"/>
      <c r="AA165" s="30">
        <v>1</v>
      </c>
      <c r="AB165" s="9"/>
      <c r="AC165" s="30">
        <v>16.100000000000001</v>
      </c>
      <c r="AD165" s="9"/>
      <c r="AE165" s="80">
        <v>0</v>
      </c>
      <c r="AF165" s="46"/>
      <c r="AG165" s="88">
        <v>260.39999999999998</v>
      </c>
      <c r="AH165" s="47"/>
      <c r="AJ165" s="83">
        <v>347516</v>
      </c>
      <c r="AL165" s="83">
        <v>83291</v>
      </c>
      <c r="AN165" s="83">
        <v>2050</v>
      </c>
      <c r="AP165" s="83">
        <v>34822</v>
      </c>
      <c r="AR165" s="83">
        <v>0</v>
      </c>
      <c r="AT165" s="204">
        <v>467679</v>
      </c>
      <c r="AV165" s="46">
        <v>194.7</v>
      </c>
      <c r="AX165" s="46">
        <v>44.6</v>
      </c>
      <c r="AZ165" s="46">
        <v>1</v>
      </c>
      <c r="BB165" s="46">
        <v>16.100000000000001</v>
      </c>
      <c r="BD165" s="46">
        <v>0</v>
      </c>
      <c r="BF165" s="209">
        <v>260.39999999999998</v>
      </c>
      <c r="BI165" s="83">
        <v>0</v>
      </c>
      <c r="BK165" s="83">
        <v>3741</v>
      </c>
      <c r="BM165" s="83">
        <v>0</v>
      </c>
      <c r="BO165" s="83">
        <v>0</v>
      </c>
      <c r="BQ165" s="83">
        <v>0</v>
      </c>
      <c r="BS165" s="85">
        <v>3741</v>
      </c>
      <c r="BU165" s="46">
        <v>0</v>
      </c>
      <c r="BW165" s="46">
        <v>4</v>
      </c>
      <c r="BY165" s="46">
        <v>0</v>
      </c>
      <c r="CA165" s="46">
        <v>0</v>
      </c>
      <c r="CC165" s="46">
        <v>0</v>
      </c>
      <c r="CE165" s="209">
        <v>4</v>
      </c>
      <c r="CH165" s="41">
        <v>6659120</v>
      </c>
      <c r="CJ165" s="41">
        <v>1637505</v>
      </c>
      <c r="CL165" s="41">
        <v>30839</v>
      </c>
      <c r="CN165" s="41">
        <v>731424</v>
      </c>
      <c r="CP165" s="43">
        <v>9058888</v>
      </c>
      <c r="CS165" s="39">
        <v>19.162099999999999</v>
      </c>
      <c r="CU165" s="39">
        <v>18.815000000000001</v>
      </c>
      <c r="CW165" s="39">
        <v>8.8700000000000001E-2</v>
      </c>
      <c r="CY165" s="39">
        <v>21.0047</v>
      </c>
      <c r="DA165" s="44">
        <v>19.216200000000001</v>
      </c>
      <c r="DC165" s="1" t="str">
        <f t="shared" si="2"/>
        <v>No</v>
      </c>
    </row>
    <row r="166" spans="1:107">
      <c r="A166" s="7" t="s">
        <v>1125</v>
      </c>
      <c r="B166" s="7" t="s">
        <v>1126</v>
      </c>
      <c r="C166" s="37" t="s">
        <v>45</v>
      </c>
      <c r="D166" s="296" t="s">
        <v>1127</v>
      </c>
      <c r="E166" s="297">
        <v>41105</v>
      </c>
      <c r="F166" s="27" t="s">
        <v>187</v>
      </c>
      <c r="G166" s="27" t="s">
        <v>158</v>
      </c>
      <c r="H166" s="35">
        <v>70543</v>
      </c>
      <c r="I166" s="35">
        <v>78</v>
      </c>
      <c r="J166" s="292"/>
      <c r="K166" s="8">
        <v>159460</v>
      </c>
      <c r="L166" s="8"/>
      <c r="M166" s="8">
        <v>8068</v>
      </c>
      <c r="N166" s="9"/>
      <c r="O166" s="8">
        <v>3835</v>
      </c>
      <c r="P166" s="9"/>
      <c r="Q166" s="8">
        <v>14973</v>
      </c>
      <c r="R166" s="9"/>
      <c r="S166" s="8">
        <v>0</v>
      </c>
      <c r="T166" s="9"/>
      <c r="U166" s="33">
        <v>186336</v>
      </c>
      <c r="V166" s="9" t="s">
        <v>121</v>
      </c>
      <c r="W166" s="30">
        <v>125</v>
      </c>
      <c r="X166" s="9"/>
      <c r="Y166" s="30">
        <v>6</v>
      </c>
      <c r="Z166" s="9"/>
      <c r="AA166" s="30">
        <v>2</v>
      </c>
      <c r="AB166" s="9"/>
      <c r="AC166" s="30">
        <v>12</v>
      </c>
      <c r="AD166" s="9"/>
      <c r="AE166" s="80">
        <v>0</v>
      </c>
      <c r="AF166" s="46"/>
      <c r="AG166" s="88">
        <v>145</v>
      </c>
      <c r="AH166" s="47"/>
      <c r="AJ166" s="83">
        <v>122764</v>
      </c>
      <c r="AL166" s="83">
        <v>8068</v>
      </c>
      <c r="AN166" s="83">
        <v>3835</v>
      </c>
      <c r="AP166" s="83">
        <v>13787</v>
      </c>
      <c r="AR166" s="83">
        <v>0</v>
      </c>
      <c r="AT166" s="204">
        <v>148454</v>
      </c>
      <c r="AU166" s="46" t="s">
        <v>121</v>
      </c>
      <c r="AV166" s="46">
        <v>70</v>
      </c>
      <c r="AX166" s="46">
        <v>6</v>
      </c>
      <c r="AZ166" s="46">
        <v>2</v>
      </c>
      <c r="BB166" s="46">
        <v>9</v>
      </c>
      <c r="BD166" s="46">
        <v>0</v>
      </c>
      <c r="BF166" s="209">
        <v>145</v>
      </c>
      <c r="BI166" s="83">
        <v>36696</v>
      </c>
      <c r="BK166" s="83">
        <v>0</v>
      </c>
      <c r="BM166" s="83">
        <v>0</v>
      </c>
      <c r="BO166" s="83">
        <v>1186</v>
      </c>
      <c r="BQ166" s="83">
        <v>0</v>
      </c>
      <c r="BS166" s="85">
        <v>37882</v>
      </c>
      <c r="BU166" s="46">
        <v>55</v>
      </c>
      <c r="BW166" s="46">
        <v>0</v>
      </c>
      <c r="BY166" s="46">
        <v>0</v>
      </c>
      <c r="CA166" s="46">
        <v>3</v>
      </c>
      <c r="CC166" s="46">
        <v>0</v>
      </c>
      <c r="CE166" s="209">
        <v>58</v>
      </c>
      <c r="CH166" s="41">
        <v>1895100</v>
      </c>
      <c r="CJ166" s="41">
        <v>157443</v>
      </c>
      <c r="CL166" s="41">
        <v>9262</v>
      </c>
      <c r="CM166" s="41" t="s">
        <v>121</v>
      </c>
      <c r="CN166" s="41">
        <v>254274</v>
      </c>
      <c r="CP166" s="43">
        <v>2316079</v>
      </c>
      <c r="CQ166" s="7" t="s">
        <v>121</v>
      </c>
      <c r="CS166" s="39">
        <v>11.884499999999999</v>
      </c>
      <c r="CU166" s="39">
        <v>19.514500000000002</v>
      </c>
      <c r="CW166" s="39">
        <v>5.8099999999999999E-2</v>
      </c>
      <c r="CX166" s="39" t="s">
        <v>121</v>
      </c>
      <c r="CY166" s="39">
        <v>16.982199999999999</v>
      </c>
      <c r="DA166" s="44">
        <v>12.429600000000001</v>
      </c>
      <c r="DB166" s="7" t="s">
        <v>121</v>
      </c>
      <c r="DC166" s="1" t="str">
        <f t="shared" si="2"/>
        <v>Yes</v>
      </c>
    </row>
    <row r="167" spans="1:107">
      <c r="A167" s="7" t="s">
        <v>456</v>
      </c>
      <c r="B167" s="7" t="s">
        <v>457</v>
      </c>
      <c r="C167" s="37" t="s">
        <v>47</v>
      </c>
      <c r="D167" s="296">
        <v>1005</v>
      </c>
      <c r="E167" s="297">
        <v>10005</v>
      </c>
      <c r="F167" s="27" t="s">
        <v>165</v>
      </c>
      <c r="G167" s="27" t="s">
        <v>158</v>
      </c>
      <c r="H167" s="35">
        <v>4181019</v>
      </c>
      <c r="I167" s="35">
        <v>78</v>
      </c>
      <c r="J167" s="292"/>
      <c r="K167" s="8">
        <v>28454</v>
      </c>
      <c r="L167" s="8"/>
      <c r="M167" s="8">
        <v>0</v>
      </c>
      <c r="N167" s="9"/>
      <c r="O167" s="8">
        <v>0</v>
      </c>
      <c r="P167" s="9"/>
      <c r="Q167" s="8">
        <v>553</v>
      </c>
      <c r="R167" s="9"/>
      <c r="S167" s="8">
        <v>0</v>
      </c>
      <c r="T167" s="9"/>
      <c r="U167" s="33">
        <v>29007</v>
      </c>
      <c r="V167" s="9"/>
      <c r="W167" s="30">
        <v>40.299999999999997</v>
      </c>
      <c r="X167" s="9"/>
      <c r="Y167" s="30">
        <v>0</v>
      </c>
      <c r="Z167" s="9"/>
      <c r="AA167" s="30">
        <v>0</v>
      </c>
      <c r="AB167" s="9"/>
      <c r="AC167" s="30">
        <v>0.3</v>
      </c>
      <c r="AD167" s="9"/>
      <c r="AE167" s="80">
        <v>0</v>
      </c>
      <c r="AF167" s="46"/>
      <c r="AG167" s="88">
        <v>40.6</v>
      </c>
      <c r="AH167" s="47"/>
      <c r="AJ167" s="83">
        <v>12779</v>
      </c>
      <c r="AL167" s="83">
        <v>0</v>
      </c>
      <c r="AN167" s="83">
        <v>0</v>
      </c>
      <c r="AP167" s="83">
        <v>553</v>
      </c>
      <c r="AR167" s="83">
        <v>0</v>
      </c>
      <c r="AT167" s="204">
        <v>13332</v>
      </c>
      <c r="AV167" s="46">
        <v>7.3</v>
      </c>
      <c r="AX167" s="46">
        <v>0</v>
      </c>
      <c r="AZ167" s="46">
        <v>0</v>
      </c>
      <c r="BB167" s="46">
        <v>0.3</v>
      </c>
      <c r="BD167" s="46">
        <v>0</v>
      </c>
      <c r="BF167" s="209">
        <v>40.6</v>
      </c>
      <c r="BI167" s="83">
        <v>15675</v>
      </c>
      <c r="BK167" s="83">
        <v>0</v>
      </c>
      <c r="BM167" s="83">
        <v>0</v>
      </c>
      <c r="BO167" s="83">
        <v>0</v>
      </c>
      <c r="BQ167" s="83">
        <v>0</v>
      </c>
      <c r="BS167" s="85">
        <v>15675</v>
      </c>
      <c r="BU167" s="46">
        <v>33</v>
      </c>
      <c r="BW167" s="46">
        <v>0</v>
      </c>
      <c r="BY167" s="46">
        <v>0</v>
      </c>
      <c r="CA167" s="46">
        <v>0</v>
      </c>
      <c r="CC167" s="46">
        <v>0</v>
      </c>
      <c r="CE167" s="209">
        <v>33</v>
      </c>
      <c r="CH167" s="41">
        <v>652726</v>
      </c>
      <c r="CJ167" s="41">
        <v>0</v>
      </c>
      <c r="CL167" s="41">
        <v>0</v>
      </c>
      <c r="CN167" s="41">
        <v>17098</v>
      </c>
      <c r="CP167" s="43">
        <v>669824</v>
      </c>
      <c r="CS167" s="39">
        <v>22.939699999999998</v>
      </c>
      <c r="CW167" s="39">
        <v>0</v>
      </c>
      <c r="CY167" s="39">
        <v>30.918600000000001</v>
      </c>
      <c r="DA167" s="44">
        <v>23.091799999999999</v>
      </c>
      <c r="DC167" s="1" t="str">
        <f t="shared" si="2"/>
        <v>No</v>
      </c>
    </row>
    <row r="168" spans="1:107">
      <c r="A168" s="7" t="s">
        <v>552</v>
      </c>
      <c r="B168" s="7" t="s">
        <v>553</v>
      </c>
      <c r="C168" s="37" t="s">
        <v>63</v>
      </c>
      <c r="D168" s="296">
        <v>2075</v>
      </c>
      <c r="E168" s="297">
        <v>20075</v>
      </c>
      <c r="F168" s="27" t="s">
        <v>165</v>
      </c>
      <c r="G168" s="27" t="s">
        <v>158</v>
      </c>
      <c r="H168" s="35">
        <v>5441567</v>
      </c>
      <c r="I168" s="35">
        <v>78</v>
      </c>
      <c r="J168" s="292"/>
      <c r="K168" s="8">
        <v>265733</v>
      </c>
      <c r="L168" s="8"/>
      <c r="M168" s="8">
        <v>111625</v>
      </c>
      <c r="N168" s="9"/>
      <c r="O168" s="8">
        <v>201799</v>
      </c>
      <c r="P168" s="9"/>
      <c r="Q168" s="8">
        <v>60079</v>
      </c>
      <c r="R168" s="9"/>
      <c r="S168" s="8">
        <v>30017</v>
      </c>
      <c r="T168" s="9"/>
      <c r="U168" s="33">
        <v>669253</v>
      </c>
      <c r="V168" s="9"/>
      <c r="W168" s="30">
        <v>136</v>
      </c>
      <c r="X168" s="9"/>
      <c r="Y168" s="30">
        <v>68</v>
      </c>
      <c r="Z168" s="9"/>
      <c r="AA168" s="30">
        <v>99</v>
      </c>
      <c r="AB168" s="9"/>
      <c r="AC168" s="30">
        <v>36</v>
      </c>
      <c r="AD168" s="9"/>
      <c r="AE168" s="80">
        <v>18</v>
      </c>
      <c r="AF168" s="46"/>
      <c r="AG168" s="88">
        <v>357</v>
      </c>
      <c r="AH168" s="47"/>
      <c r="AJ168" s="83">
        <v>264350</v>
      </c>
      <c r="AL168" s="83">
        <v>111625</v>
      </c>
      <c r="AN168" s="83">
        <v>199363</v>
      </c>
      <c r="AP168" s="83">
        <v>58172</v>
      </c>
      <c r="AR168" s="83">
        <v>30017</v>
      </c>
      <c r="AT168" s="204">
        <v>663527</v>
      </c>
      <c r="AV168" s="46">
        <v>134</v>
      </c>
      <c r="AX168" s="46">
        <v>68</v>
      </c>
      <c r="AZ168" s="46">
        <v>95</v>
      </c>
      <c r="BB168" s="46">
        <v>34</v>
      </c>
      <c r="BD168" s="46">
        <v>18</v>
      </c>
      <c r="BF168" s="209">
        <v>357</v>
      </c>
      <c r="BI168" s="83">
        <v>1383</v>
      </c>
      <c r="BK168" s="83">
        <v>0</v>
      </c>
      <c r="BM168" s="83">
        <v>2436</v>
      </c>
      <c r="BO168" s="83">
        <v>1907</v>
      </c>
      <c r="BQ168" s="83">
        <v>0</v>
      </c>
      <c r="BS168" s="85">
        <v>5726</v>
      </c>
      <c r="BU168" s="46">
        <v>2</v>
      </c>
      <c r="BW168" s="46">
        <v>0</v>
      </c>
      <c r="BY168" s="46">
        <v>4</v>
      </c>
      <c r="CA168" s="46">
        <v>2</v>
      </c>
      <c r="CC168" s="46">
        <v>0</v>
      </c>
      <c r="CE168" s="209">
        <v>8</v>
      </c>
      <c r="CH168" s="41">
        <v>7892049</v>
      </c>
      <c r="CJ168" s="41">
        <v>3915463</v>
      </c>
      <c r="CL168" s="41">
        <v>7072685</v>
      </c>
      <c r="CN168" s="41">
        <v>1622122</v>
      </c>
      <c r="CP168" s="43">
        <v>20502319</v>
      </c>
      <c r="CS168" s="39">
        <v>29.699200000000001</v>
      </c>
      <c r="CU168" s="39">
        <v>35.076900000000002</v>
      </c>
      <c r="CW168" s="39">
        <v>26.6158</v>
      </c>
      <c r="CY168" s="39">
        <v>26.9998</v>
      </c>
      <c r="DA168" s="44">
        <v>30.634599999999999</v>
      </c>
      <c r="DC168" s="1" t="str">
        <f t="shared" si="2"/>
        <v>No</v>
      </c>
    </row>
    <row r="169" spans="1:107">
      <c r="A169" s="7" t="s">
        <v>61</v>
      </c>
      <c r="B169" s="7" t="s">
        <v>625</v>
      </c>
      <c r="C169" s="37" t="s">
        <v>60</v>
      </c>
      <c r="D169" s="296">
        <v>7001</v>
      </c>
      <c r="E169" s="297">
        <v>70001</v>
      </c>
      <c r="F169" s="27" t="s">
        <v>162</v>
      </c>
      <c r="G169" s="27" t="s">
        <v>158</v>
      </c>
      <c r="H169" s="35">
        <v>258719</v>
      </c>
      <c r="I169" s="35">
        <v>78</v>
      </c>
      <c r="J169" s="292"/>
      <c r="K169" s="8">
        <v>189280</v>
      </c>
      <c r="L169" s="8"/>
      <c r="M169" s="8">
        <v>40480</v>
      </c>
      <c r="N169" s="9"/>
      <c r="O169" s="8">
        <v>0</v>
      </c>
      <c r="P169" s="9"/>
      <c r="Q169" s="8">
        <v>22699</v>
      </c>
      <c r="R169" s="9"/>
      <c r="S169" s="8">
        <v>0</v>
      </c>
      <c r="T169" s="9"/>
      <c r="U169" s="33">
        <v>252459</v>
      </c>
      <c r="V169" s="9"/>
      <c r="W169" s="30">
        <v>94.2</v>
      </c>
      <c r="X169" s="9"/>
      <c r="Y169" s="30">
        <v>20.6</v>
      </c>
      <c r="Z169" s="9"/>
      <c r="AA169" s="30">
        <v>0</v>
      </c>
      <c r="AB169" s="9"/>
      <c r="AC169" s="30">
        <v>10.8</v>
      </c>
      <c r="AD169" s="9"/>
      <c r="AE169" s="80">
        <v>0</v>
      </c>
      <c r="AF169" s="46"/>
      <c r="AG169" s="88">
        <v>125.6</v>
      </c>
      <c r="AH169" s="47"/>
      <c r="AJ169" s="83">
        <v>189280</v>
      </c>
      <c r="AL169" s="83">
        <v>40480</v>
      </c>
      <c r="AN169" s="83">
        <v>0</v>
      </c>
      <c r="AP169" s="83">
        <v>22699</v>
      </c>
      <c r="AR169" s="83">
        <v>0</v>
      </c>
      <c r="AT169" s="204">
        <v>252459</v>
      </c>
      <c r="AV169" s="46">
        <v>94.2</v>
      </c>
      <c r="AX169" s="46">
        <v>20.6</v>
      </c>
      <c r="AZ169" s="46">
        <v>0</v>
      </c>
      <c r="BB169" s="46">
        <v>10.8</v>
      </c>
      <c r="BD169" s="46">
        <v>0</v>
      </c>
      <c r="BF169" s="209">
        <v>125.6</v>
      </c>
      <c r="BI169" s="83">
        <v>0</v>
      </c>
      <c r="BK169" s="83">
        <v>0</v>
      </c>
      <c r="BM169" s="83">
        <v>0</v>
      </c>
      <c r="BO169" s="83">
        <v>0</v>
      </c>
      <c r="BQ169" s="83">
        <v>0</v>
      </c>
      <c r="BS169" s="85">
        <v>0</v>
      </c>
      <c r="BU169" s="46">
        <v>0</v>
      </c>
      <c r="BW169" s="46">
        <v>0</v>
      </c>
      <c r="BY169" s="46">
        <v>0</v>
      </c>
      <c r="CA169" s="46">
        <v>0</v>
      </c>
      <c r="CC169" s="46">
        <v>0</v>
      </c>
      <c r="CE169" s="209">
        <v>0</v>
      </c>
      <c r="CH169" s="41">
        <v>3983502</v>
      </c>
      <c r="CJ169" s="41">
        <v>853379</v>
      </c>
      <c r="CL169" s="41">
        <v>0</v>
      </c>
      <c r="CN169" s="41">
        <v>613823</v>
      </c>
      <c r="CP169" s="43">
        <v>5450704</v>
      </c>
      <c r="CS169" s="39">
        <v>21.0456</v>
      </c>
      <c r="CU169" s="39">
        <v>21.081499999999998</v>
      </c>
      <c r="CW169" s="39">
        <v>0</v>
      </c>
      <c r="CY169" s="39">
        <v>27.041899999999998</v>
      </c>
      <c r="DA169" s="44">
        <v>21.590499999999999</v>
      </c>
      <c r="DC169" s="1" t="str">
        <f t="shared" si="2"/>
        <v>No</v>
      </c>
    </row>
    <row r="170" spans="1:107">
      <c r="A170" s="7" t="s">
        <v>251</v>
      </c>
      <c r="B170" s="7" t="s">
        <v>252</v>
      </c>
      <c r="C170" s="37" t="s">
        <v>46</v>
      </c>
      <c r="D170" s="296">
        <v>6022</v>
      </c>
      <c r="E170" s="297">
        <v>60022</v>
      </c>
      <c r="F170" s="27" t="s">
        <v>165</v>
      </c>
      <c r="G170" s="27" t="s">
        <v>158</v>
      </c>
      <c r="H170" s="35">
        <v>594309</v>
      </c>
      <c r="I170" s="35">
        <v>78</v>
      </c>
      <c r="J170" s="292"/>
      <c r="K170" s="8">
        <v>361526</v>
      </c>
      <c r="L170" s="8"/>
      <c r="M170" s="8">
        <v>88693</v>
      </c>
      <c r="N170" s="9"/>
      <c r="O170" s="8">
        <v>30422</v>
      </c>
      <c r="P170" s="9"/>
      <c r="Q170" s="8">
        <v>90936</v>
      </c>
      <c r="R170" s="9"/>
      <c r="S170" s="8">
        <v>0</v>
      </c>
      <c r="T170" s="9"/>
      <c r="U170" s="33">
        <v>571577</v>
      </c>
      <c r="V170" s="9"/>
      <c r="W170" s="30">
        <v>174</v>
      </c>
      <c r="X170" s="9"/>
      <c r="Y170" s="30">
        <v>41</v>
      </c>
      <c r="Z170" s="9"/>
      <c r="AA170" s="30">
        <v>14</v>
      </c>
      <c r="AB170" s="9"/>
      <c r="AC170" s="30">
        <v>66</v>
      </c>
      <c r="AD170" s="9"/>
      <c r="AE170" s="80">
        <v>0</v>
      </c>
      <c r="AF170" s="46"/>
      <c r="AG170" s="88">
        <v>295</v>
      </c>
      <c r="AH170" s="47"/>
      <c r="AJ170" s="83">
        <v>358399</v>
      </c>
      <c r="AL170" s="83">
        <v>88693</v>
      </c>
      <c r="AN170" s="83">
        <v>30422</v>
      </c>
      <c r="AP170" s="83">
        <v>77147</v>
      </c>
      <c r="AR170" s="83">
        <v>0</v>
      </c>
      <c r="AT170" s="204">
        <v>554661</v>
      </c>
      <c r="AV170" s="46">
        <v>170</v>
      </c>
      <c r="AX170" s="46">
        <v>41</v>
      </c>
      <c r="AZ170" s="46">
        <v>14</v>
      </c>
      <c r="BB170" s="46">
        <v>35</v>
      </c>
      <c r="BD170" s="46">
        <v>0</v>
      </c>
      <c r="BF170" s="209">
        <v>295</v>
      </c>
      <c r="BI170" s="83">
        <v>3127</v>
      </c>
      <c r="BK170" s="83">
        <v>0</v>
      </c>
      <c r="BM170" s="83">
        <v>0</v>
      </c>
      <c r="BO170" s="83">
        <v>13789</v>
      </c>
      <c r="BQ170" s="83">
        <v>0</v>
      </c>
      <c r="BS170" s="85">
        <v>16916</v>
      </c>
      <c r="BU170" s="46">
        <v>4</v>
      </c>
      <c r="BW170" s="46">
        <v>0</v>
      </c>
      <c r="BY170" s="46">
        <v>0</v>
      </c>
      <c r="CA170" s="46">
        <v>31</v>
      </c>
      <c r="CC170" s="46">
        <v>0</v>
      </c>
      <c r="CE170" s="209">
        <v>35</v>
      </c>
      <c r="CH170" s="41">
        <v>7845122</v>
      </c>
      <c r="CJ170" s="41">
        <v>2252609</v>
      </c>
      <c r="CL170" s="41">
        <v>361003</v>
      </c>
      <c r="CN170" s="41">
        <v>1601526</v>
      </c>
      <c r="CP170" s="43">
        <v>12060260</v>
      </c>
      <c r="CS170" s="39">
        <v>21.7</v>
      </c>
      <c r="CU170" s="39">
        <v>25.3978</v>
      </c>
      <c r="CW170" s="39">
        <v>0.99860000000000004</v>
      </c>
      <c r="CY170" s="39">
        <v>17.611599999999999</v>
      </c>
      <c r="DA170" s="44">
        <v>21.1</v>
      </c>
      <c r="DC170" s="1" t="str">
        <f t="shared" si="2"/>
        <v>No</v>
      </c>
    </row>
    <row r="171" spans="1:107">
      <c r="A171" s="7" t="s">
        <v>263</v>
      </c>
      <c r="B171" s="7" t="s">
        <v>264</v>
      </c>
      <c r="C171" s="37" t="s">
        <v>75</v>
      </c>
      <c r="D171" s="296">
        <v>6017</v>
      </c>
      <c r="E171" s="297">
        <v>60017</v>
      </c>
      <c r="F171" s="27" t="s">
        <v>162</v>
      </c>
      <c r="G171" s="27" t="s">
        <v>158</v>
      </c>
      <c r="H171" s="35">
        <v>861505</v>
      </c>
      <c r="I171" s="35">
        <v>77</v>
      </c>
      <c r="J171" s="292"/>
      <c r="K171" s="8">
        <v>261329</v>
      </c>
      <c r="L171" s="8"/>
      <c r="M171" s="8">
        <v>80583</v>
      </c>
      <c r="N171" s="9"/>
      <c r="O171" s="8">
        <v>18519</v>
      </c>
      <c r="P171" s="9"/>
      <c r="Q171" s="8">
        <v>56457</v>
      </c>
      <c r="R171" s="9"/>
      <c r="S171" s="8">
        <v>0</v>
      </c>
      <c r="T171" s="9"/>
      <c r="U171" s="33">
        <v>416888</v>
      </c>
      <c r="V171" s="9"/>
      <c r="W171" s="30">
        <v>146</v>
      </c>
      <c r="X171" s="9"/>
      <c r="Y171" s="30">
        <v>48</v>
      </c>
      <c r="Z171" s="9"/>
      <c r="AA171" s="30">
        <v>11</v>
      </c>
      <c r="AB171" s="9"/>
      <c r="AC171" s="30">
        <v>38.049999999999997</v>
      </c>
      <c r="AD171" s="9"/>
      <c r="AE171" s="80">
        <v>0</v>
      </c>
      <c r="AF171" s="46"/>
      <c r="AG171" s="88">
        <v>243.05</v>
      </c>
      <c r="AH171" s="47"/>
      <c r="AJ171" s="83">
        <v>255329</v>
      </c>
      <c r="AL171" s="83">
        <v>80583</v>
      </c>
      <c r="AN171" s="83">
        <v>18519</v>
      </c>
      <c r="AP171" s="83">
        <v>53833</v>
      </c>
      <c r="AR171" s="83">
        <v>0</v>
      </c>
      <c r="AT171" s="204">
        <v>408264</v>
      </c>
      <c r="AV171" s="46">
        <v>142</v>
      </c>
      <c r="AX171" s="46">
        <v>48</v>
      </c>
      <c r="AZ171" s="46">
        <v>11</v>
      </c>
      <c r="BB171" s="46">
        <v>35.049999999999997</v>
      </c>
      <c r="BD171" s="46">
        <v>0</v>
      </c>
      <c r="BF171" s="209">
        <v>243.05</v>
      </c>
      <c r="BI171" s="83">
        <v>6000</v>
      </c>
      <c r="BK171" s="83">
        <v>0</v>
      </c>
      <c r="BM171" s="83">
        <v>0</v>
      </c>
      <c r="BO171" s="83">
        <v>2624</v>
      </c>
      <c r="BQ171" s="83">
        <v>0</v>
      </c>
      <c r="BS171" s="85">
        <v>8624</v>
      </c>
      <c r="BU171" s="46">
        <v>4</v>
      </c>
      <c r="BW171" s="46">
        <v>0</v>
      </c>
      <c r="BY171" s="46">
        <v>0</v>
      </c>
      <c r="CA171" s="46">
        <v>3</v>
      </c>
      <c r="CC171" s="46">
        <v>0</v>
      </c>
      <c r="CE171" s="209">
        <v>7</v>
      </c>
      <c r="CH171" s="41">
        <v>5963715</v>
      </c>
      <c r="CJ171" s="41">
        <v>2080858</v>
      </c>
      <c r="CL171" s="41">
        <v>460923</v>
      </c>
      <c r="CN171" s="41">
        <v>2163494</v>
      </c>
      <c r="CP171" s="43">
        <v>10668990</v>
      </c>
      <c r="CS171" s="39">
        <v>22.820699999999999</v>
      </c>
      <c r="CU171" s="39">
        <v>25.822500000000002</v>
      </c>
      <c r="CW171" s="39">
        <v>1.7638</v>
      </c>
      <c r="CY171" s="39">
        <v>38.321100000000001</v>
      </c>
      <c r="DA171" s="44">
        <v>25.591999999999999</v>
      </c>
      <c r="DC171" s="1" t="str">
        <f t="shared" si="2"/>
        <v>No</v>
      </c>
    </row>
    <row r="172" spans="1:107">
      <c r="A172" s="7" t="s">
        <v>458</v>
      </c>
      <c r="B172" s="7" t="s">
        <v>184</v>
      </c>
      <c r="C172" s="37" t="s">
        <v>77</v>
      </c>
      <c r="D172" s="296">
        <v>3015</v>
      </c>
      <c r="E172" s="297">
        <v>30015</v>
      </c>
      <c r="F172" s="27" t="s">
        <v>165</v>
      </c>
      <c r="G172" s="27" t="s">
        <v>158</v>
      </c>
      <c r="H172" s="35">
        <v>381502</v>
      </c>
      <c r="I172" s="35">
        <v>77</v>
      </c>
      <c r="J172" s="292"/>
      <c r="K172" s="8">
        <v>199316</v>
      </c>
      <c r="L172" s="8"/>
      <c r="M172" s="8">
        <v>39529</v>
      </c>
      <c r="N172" s="9"/>
      <c r="O172" s="8">
        <v>2517</v>
      </c>
      <c r="P172" s="9"/>
      <c r="Q172" s="8">
        <v>32953</v>
      </c>
      <c r="R172" s="9"/>
      <c r="S172" s="8">
        <v>0</v>
      </c>
      <c r="T172" s="9"/>
      <c r="U172" s="33">
        <v>274315</v>
      </c>
      <c r="V172" s="9"/>
      <c r="W172" s="30">
        <v>102.73</v>
      </c>
      <c r="X172" s="9"/>
      <c r="Y172" s="30">
        <v>24.57</v>
      </c>
      <c r="Z172" s="9"/>
      <c r="AA172" s="30">
        <v>2.0699999999999998</v>
      </c>
      <c r="AB172" s="9"/>
      <c r="AC172" s="30">
        <v>26.03</v>
      </c>
      <c r="AD172" s="9"/>
      <c r="AE172" s="80">
        <v>0</v>
      </c>
      <c r="AF172" s="46"/>
      <c r="AG172" s="88">
        <v>155.4</v>
      </c>
      <c r="AH172" s="47"/>
      <c r="AJ172" s="83">
        <v>171926</v>
      </c>
      <c r="AL172" s="83">
        <v>35705</v>
      </c>
      <c r="AN172" s="83">
        <v>1336</v>
      </c>
      <c r="AP172" s="83">
        <v>27983</v>
      </c>
      <c r="AR172" s="83">
        <v>0</v>
      </c>
      <c r="AT172" s="204">
        <v>236950</v>
      </c>
      <c r="AV172" s="46">
        <v>76.73</v>
      </c>
      <c r="AX172" s="46">
        <v>20.57</v>
      </c>
      <c r="AZ172" s="46">
        <v>1.07</v>
      </c>
      <c r="BB172" s="46">
        <v>15.03</v>
      </c>
      <c r="BD172" s="46">
        <v>0</v>
      </c>
      <c r="BF172" s="209">
        <v>155.4</v>
      </c>
      <c r="BI172" s="83">
        <v>27390</v>
      </c>
      <c r="BK172" s="83">
        <v>3824</v>
      </c>
      <c r="BM172" s="83">
        <v>1181</v>
      </c>
      <c r="BO172" s="83">
        <v>4970</v>
      </c>
      <c r="BQ172" s="83">
        <v>0</v>
      </c>
      <c r="BS172" s="85">
        <v>37365</v>
      </c>
      <c r="BU172" s="46">
        <v>26</v>
      </c>
      <c r="BW172" s="46">
        <v>4</v>
      </c>
      <c r="BY172" s="46">
        <v>1</v>
      </c>
      <c r="CA172" s="46">
        <v>11</v>
      </c>
      <c r="CC172" s="46">
        <v>0</v>
      </c>
      <c r="CE172" s="209">
        <v>42</v>
      </c>
      <c r="CH172" s="41">
        <v>3879687</v>
      </c>
      <c r="CJ172" s="41">
        <v>902066</v>
      </c>
      <c r="CL172" s="41">
        <v>59701</v>
      </c>
      <c r="CN172" s="41">
        <v>607259</v>
      </c>
      <c r="CP172" s="43">
        <v>5448713</v>
      </c>
      <c r="CS172" s="39">
        <v>19.465</v>
      </c>
      <c r="CU172" s="39">
        <v>22.820399999999999</v>
      </c>
      <c r="CW172" s="39">
        <v>0.29949999999999999</v>
      </c>
      <c r="CY172" s="39">
        <v>18.428000000000001</v>
      </c>
      <c r="DA172" s="44">
        <v>19.863</v>
      </c>
      <c r="DC172" s="1" t="str">
        <f t="shared" si="2"/>
        <v>No</v>
      </c>
    </row>
    <row r="173" spans="1:107">
      <c r="A173" s="7" t="s">
        <v>68</v>
      </c>
      <c r="B173" s="7" t="s">
        <v>172</v>
      </c>
      <c r="C173" s="37" t="s">
        <v>63</v>
      </c>
      <c r="D173" s="296">
        <v>2149</v>
      </c>
      <c r="E173" s="297">
        <v>20149</v>
      </c>
      <c r="F173" s="27" t="s">
        <v>173</v>
      </c>
      <c r="G173" s="27" t="s">
        <v>158</v>
      </c>
      <c r="H173" s="35">
        <v>18351295</v>
      </c>
      <c r="I173" s="35">
        <v>75</v>
      </c>
      <c r="J173" s="292"/>
      <c r="K173" s="8">
        <v>293395</v>
      </c>
      <c r="L173" s="8"/>
      <c r="M173" s="8">
        <v>49280</v>
      </c>
      <c r="N173" s="9"/>
      <c r="O173" s="8">
        <v>0</v>
      </c>
      <c r="P173" s="9"/>
      <c r="Q173" s="8">
        <v>5395</v>
      </c>
      <c r="R173" s="9"/>
      <c r="S173" s="8">
        <v>0</v>
      </c>
      <c r="T173" s="9"/>
      <c r="U173" s="33">
        <v>348070</v>
      </c>
      <c r="V173" s="9"/>
      <c r="W173" s="30">
        <v>135</v>
      </c>
      <c r="X173" s="9"/>
      <c r="Y173" s="30">
        <v>24</v>
      </c>
      <c r="Z173" s="9"/>
      <c r="AA173" s="30">
        <v>0</v>
      </c>
      <c r="AB173" s="9"/>
      <c r="AC173" s="30">
        <v>3</v>
      </c>
      <c r="AD173" s="9"/>
      <c r="AE173" s="80">
        <v>0</v>
      </c>
      <c r="AF173" s="46"/>
      <c r="AG173" s="88">
        <v>162</v>
      </c>
      <c r="AH173" s="47"/>
      <c r="AJ173" s="83">
        <v>284716</v>
      </c>
      <c r="AL173" s="83">
        <v>49280</v>
      </c>
      <c r="AN173" s="83">
        <v>0</v>
      </c>
      <c r="AP173" s="83">
        <v>5395</v>
      </c>
      <c r="AR173" s="83">
        <v>0</v>
      </c>
      <c r="AT173" s="204">
        <v>339391</v>
      </c>
      <c r="AV173" s="46">
        <v>131</v>
      </c>
      <c r="AX173" s="46">
        <v>24</v>
      </c>
      <c r="AZ173" s="46">
        <v>0</v>
      </c>
      <c r="BB173" s="46">
        <v>3</v>
      </c>
      <c r="BD173" s="46">
        <v>0</v>
      </c>
      <c r="BF173" s="209">
        <v>162</v>
      </c>
      <c r="BI173" s="83">
        <v>8679</v>
      </c>
      <c r="BK173" s="83">
        <v>0</v>
      </c>
      <c r="BM173" s="83">
        <v>0</v>
      </c>
      <c r="BO173" s="83">
        <v>0</v>
      </c>
      <c r="BQ173" s="83">
        <v>0</v>
      </c>
      <c r="BS173" s="85">
        <v>8679</v>
      </c>
      <c r="BU173" s="46">
        <v>4</v>
      </c>
      <c r="BW173" s="46">
        <v>0</v>
      </c>
      <c r="BY173" s="46">
        <v>0</v>
      </c>
      <c r="CA173" s="46">
        <v>0</v>
      </c>
      <c r="CC173" s="46">
        <v>0</v>
      </c>
      <c r="CE173" s="209">
        <v>4</v>
      </c>
      <c r="CH173" s="41">
        <v>6187619</v>
      </c>
      <c r="CJ173" s="41">
        <v>1060431</v>
      </c>
      <c r="CL173" s="41">
        <v>0</v>
      </c>
      <c r="CN173" s="41">
        <v>88828</v>
      </c>
      <c r="CP173" s="43">
        <v>7336878</v>
      </c>
      <c r="CS173" s="39">
        <v>21.089700000000001</v>
      </c>
      <c r="CU173" s="39">
        <v>21.5185</v>
      </c>
      <c r="CW173" s="39">
        <v>0</v>
      </c>
      <c r="CY173" s="39">
        <v>16.4649</v>
      </c>
      <c r="DA173" s="44">
        <v>21.078700000000001</v>
      </c>
      <c r="DC173" s="1" t="str">
        <f t="shared" si="2"/>
        <v>No</v>
      </c>
    </row>
    <row r="174" spans="1:107">
      <c r="A174" s="7" t="s">
        <v>231</v>
      </c>
      <c r="B174" s="7" t="s">
        <v>232</v>
      </c>
      <c r="C174" s="37" t="s">
        <v>84</v>
      </c>
      <c r="D174" s="296">
        <v>6059</v>
      </c>
      <c r="E174" s="297">
        <v>60059</v>
      </c>
      <c r="F174" s="27" t="s">
        <v>165</v>
      </c>
      <c r="G174" s="27" t="s">
        <v>158</v>
      </c>
      <c r="H174" s="35">
        <v>171345</v>
      </c>
      <c r="I174" s="35">
        <v>75</v>
      </c>
      <c r="J174" s="292"/>
      <c r="K174" s="8">
        <v>148658</v>
      </c>
      <c r="L174" s="8"/>
      <c r="M174" s="8">
        <v>36381</v>
      </c>
      <c r="N174" s="9"/>
      <c r="O174" s="8">
        <v>1841</v>
      </c>
      <c r="P174" s="9"/>
      <c r="Q174" s="8">
        <v>32553</v>
      </c>
      <c r="R174" s="9"/>
      <c r="S174" s="8">
        <v>0</v>
      </c>
      <c r="T174" s="9"/>
      <c r="U174" s="33">
        <v>219433</v>
      </c>
      <c r="V174" s="9"/>
      <c r="W174" s="30">
        <v>83</v>
      </c>
      <c r="X174" s="9"/>
      <c r="Y174" s="30">
        <v>18</v>
      </c>
      <c r="Z174" s="9"/>
      <c r="AA174" s="30">
        <v>2</v>
      </c>
      <c r="AB174" s="9"/>
      <c r="AC174" s="30">
        <v>18</v>
      </c>
      <c r="AD174" s="9"/>
      <c r="AE174" s="80">
        <v>0</v>
      </c>
      <c r="AF174" s="46"/>
      <c r="AG174" s="88">
        <v>121</v>
      </c>
      <c r="AH174" s="47"/>
      <c r="AJ174" s="83">
        <v>127094</v>
      </c>
      <c r="AL174" s="83">
        <v>36381</v>
      </c>
      <c r="AN174" s="83">
        <v>0</v>
      </c>
      <c r="AP174" s="83">
        <v>32553</v>
      </c>
      <c r="AR174" s="83">
        <v>0</v>
      </c>
      <c r="AT174" s="204">
        <v>196028</v>
      </c>
      <c r="AV174" s="46">
        <v>62</v>
      </c>
      <c r="AX174" s="46">
        <v>18</v>
      </c>
      <c r="AZ174" s="46">
        <v>0</v>
      </c>
      <c r="BB174" s="46">
        <v>18</v>
      </c>
      <c r="BD174" s="46">
        <v>0</v>
      </c>
      <c r="BF174" s="209">
        <v>121</v>
      </c>
      <c r="BI174" s="83">
        <v>21564</v>
      </c>
      <c r="BK174" s="83">
        <v>0</v>
      </c>
      <c r="BM174" s="83">
        <v>1841</v>
      </c>
      <c r="BO174" s="83">
        <v>0</v>
      </c>
      <c r="BQ174" s="83">
        <v>0</v>
      </c>
      <c r="BS174" s="85">
        <v>23405</v>
      </c>
      <c r="BU174" s="46">
        <v>21</v>
      </c>
      <c r="BW174" s="46">
        <v>0</v>
      </c>
      <c r="BY174" s="46">
        <v>2</v>
      </c>
      <c r="CA174" s="46">
        <v>0</v>
      </c>
      <c r="CC174" s="46">
        <v>0</v>
      </c>
      <c r="CE174" s="209">
        <v>23</v>
      </c>
      <c r="CH174" s="41">
        <v>1903498</v>
      </c>
      <c r="CJ174" s="41">
        <v>431846</v>
      </c>
      <c r="CL174" s="41">
        <v>35006</v>
      </c>
      <c r="CN174" s="41">
        <v>1072274</v>
      </c>
      <c r="CP174" s="43">
        <v>3442624</v>
      </c>
      <c r="CS174" s="39">
        <v>12.804500000000001</v>
      </c>
      <c r="CU174" s="39">
        <v>11.870100000000001</v>
      </c>
      <c r="CW174" s="39">
        <v>0.23549999999999999</v>
      </c>
      <c r="CY174" s="39">
        <v>32.939300000000003</v>
      </c>
      <c r="DA174" s="44">
        <v>15.688700000000001</v>
      </c>
      <c r="DC174" s="1" t="str">
        <f t="shared" si="2"/>
        <v>No</v>
      </c>
    </row>
    <row r="175" spans="1:107">
      <c r="A175" s="7" t="s">
        <v>281</v>
      </c>
      <c r="B175" s="7" t="s">
        <v>180</v>
      </c>
      <c r="C175" s="37" t="s">
        <v>88</v>
      </c>
      <c r="D175" s="296">
        <v>1066</v>
      </c>
      <c r="E175" s="297">
        <v>10066</v>
      </c>
      <c r="F175" s="27" t="s">
        <v>165</v>
      </c>
      <c r="G175" s="27" t="s">
        <v>158</v>
      </c>
      <c r="H175" s="35">
        <v>108740</v>
      </c>
      <c r="I175" s="35">
        <v>74</v>
      </c>
      <c r="J175" s="292"/>
      <c r="K175" s="8">
        <v>159489</v>
      </c>
      <c r="L175" s="8"/>
      <c r="M175" s="8">
        <v>38572</v>
      </c>
      <c r="N175" s="9"/>
      <c r="O175" s="8">
        <v>686</v>
      </c>
      <c r="P175" s="9"/>
      <c r="Q175" s="8">
        <v>29878</v>
      </c>
      <c r="R175" s="9"/>
      <c r="S175" s="8">
        <v>1022</v>
      </c>
      <c r="T175" s="9"/>
      <c r="U175" s="33">
        <v>229647</v>
      </c>
      <c r="V175" s="9"/>
      <c r="W175" s="30">
        <v>76</v>
      </c>
      <c r="X175" s="9"/>
      <c r="Y175" s="30">
        <v>18.7</v>
      </c>
      <c r="Z175" s="9"/>
      <c r="AA175" s="30">
        <v>0.37</v>
      </c>
      <c r="AB175" s="9"/>
      <c r="AC175" s="30">
        <v>17.8</v>
      </c>
      <c r="AD175" s="9"/>
      <c r="AE175" s="80">
        <v>0.6</v>
      </c>
      <c r="AF175" s="46"/>
      <c r="AG175" s="88">
        <v>113.47</v>
      </c>
      <c r="AH175" s="47"/>
      <c r="AJ175" s="83">
        <v>156798</v>
      </c>
      <c r="AL175" s="83">
        <v>38273</v>
      </c>
      <c r="AN175" s="83">
        <v>686</v>
      </c>
      <c r="AP175" s="83">
        <v>28689</v>
      </c>
      <c r="AR175" s="83">
        <v>1022</v>
      </c>
      <c r="AT175" s="204">
        <v>225468</v>
      </c>
      <c r="AV175" s="46">
        <v>72</v>
      </c>
      <c r="AX175" s="46">
        <v>18</v>
      </c>
      <c r="AZ175" s="46">
        <v>0.37</v>
      </c>
      <c r="BB175" s="46">
        <v>16</v>
      </c>
      <c r="BD175" s="46">
        <v>0.6</v>
      </c>
      <c r="BF175" s="209">
        <v>113.47</v>
      </c>
      <c r="BI175" s="83">
        <v>2691</v>
      </c>
      <c r="BK175" s="83">
        <v>299</v>
      </c>
      <c r="BM175" s="83">
        <v>0</v>
      </c>
      <c r="BO175" s="83">
        <v>1189</v>
      </c>
      <c r="BQ175" s="83">
        <v>0</v>
      </c>
      <c r="BS175" s="85">
        <v>4179</v>
      </c>
      <c r="BU175" s="46">
        <v>4</v>
      </c>
      <c r="BW175" s="46">
        <v>0.7</v>
      </c>
      <c r="BY175" s="46">
        <v>0</v>
      </c>
      <c r="CA175" s="46">
        <v>1.8</v>
      </c>
      <c r="CC175" s="46">
        <v>0</v>
      </c>
      <c r="CE175" s="209">
        <v>6.5</v>
      </c>
      <c r="CH175" s="41">
        <v>3913568</v>
      </c>
      <c r="CJ175" s="41">
        <v>849586</v>
      </c>
      <c r="CL175" s="41">
        <v>16121</v>
      </c>
      <c r="CN175" s="41">
        <v>665005</v>
      </c>
      <c r="CP175" s="43">
        <v>5444280</v>
      </c>
      <c r="CS175" s="39">
        <v>24.5382</v>
      </c>
      <c r="CU175" s="39">
        <v>22.026</v>
      </c>
      <c r="CW175" s="39">
        <v>0.1011</v>
      </c>
      <c r="CY175" s="39">
        <v>22.257300000000001</v>
      </c>
      <c r="DA175" s="44">
        <v>23.7072</v>
      </c>
      <c r="DC175" s="1" t="str">
        <f t="shared" si="2"/>
        <v>No</v>
      </c>
    </row>
    <row r="176" spans="1:107">
      <c r="A176" s="7" t="s">
        <v>125</v>
      </c>
      <c r="B176" s="7" t="s">
        <v>286</v>
      </c>
      <c r="C176" s="37" t="s">
        <v>93</v>
      </c>
      <c r="D176" s="296">
        <v>5001</v>
      </c>
      <c r="E176" s="297">
        <v>50001</v>
      </c>
      <c r="F176" s="27" t="s">
        <v>162</v>
      </c>
      <c r="G176" s="27" t="s">
        <v>158</v>
      </c>
      <c r="H176" s="35">
        <v>216154</v>
      </c>
      <c r="I176" s="35">
        <v>74</v>
      </c>
      <c r="J176" s="292"/>
      <c r="K176" s="8">
        <v>79209</v>
      </c>
      <c r="L176" s="8"/>
      <c r="M176" s="8">
        <v>11903</v>
      </c>
      <c r="N176" s="9"/>
      <c r="O176" s="8">
        <v>0</v>
      </c>
      <c r="P176" s="9"/>
      <c r="Q176" s="8">
        <v>13580</v>
      </c>
      <c r="R176" s="9"/>
      <c r="S176" s="8">
        <v>0</v>
      </c>
      <c r="T176" s="9"/>
      <c r="U176" s="33">
        <v>104692</v>
      </c>
      <c r="V176" s="9"/>
      <c r="W176" s="30">
        <v>44</v>
      </c>
      <c r="X176" s="9"/>
      <c r="Y176" s="30">
        <v>10</v>
      </c>
      <c r="Z176" s="9"/>
      <c r="AA176" s="30">
        <v>0</v>
      </c>
      <c r="AB176" s="9"/>
      <c r="AC176" s="30">
        <v>7</v>
      </c>
      <c r="AD176" s="9"/>
      <c r="AE176" s="80">
        <v>0</v>
      </c>
      <c r="AF176" s="46"/>
      <c r="AG176" s="88">
        <v>61</v>
      </c>
      <c r="AH176" s="47"/>
      <c r="AJ176" s="83">
        <v>75901</v>
      </c>
      <c r="AL176" s="83">
        <v>7969</v>
      </c>
      <c r="AN176" s="83">
        <v>0</v>
      </c>
      <c r="AP176" s="83">
        <v>13580</v>
      </c>
      <c r="AR176" s="83">
        <v>0</v>
      </c>
      <c r="AT176" s="204">
        <v>97450</v>
      </c>
      <c r="AV176" s="46">
        <v>38</v>
      </c>
      <c r="AX176" s="46">
        <v>4</v>
      </c>
      <c r="AZ176" s="46">
        <v>0</v>
      </c>
      <c r="BB176" s="46">
        <v>7</v>
      </c>
      <c r="BD176" s="46">
        <v>0</v>
      </c>
      <c r="BF176" s="209">
        <v>61</v>
      </c>
      <c r="BI176" s="83">
        <v>3308</v>
      </c>
      <c r="BK176" s="83">
        <v>3934</v>
      </c>
      <c r="BM176" s="83">
        <v>0</v>
      </c>
      <c r="BO176" s="83">
        <v>0</v>
      </c>
      <c r="BQ176" s="83">
        <v>0</v>
      </c>
      <c r="BS176" s="85">
        <v>7242</v>
      </c>
      <c r="BU176" s="46">
        <v>6</v>
      </c>
      <c r="BW176" s="46">
        <v>6</v>
      </c>
      <c r="BY176" s="46">
        <v>0</v>
      </c>
      <c r="CA176" s="46">
        <v>0</v>
      </c>
      <c r="CC176" s="46">
        <v>0</v>
      </c>
      <c r="CE176" s="209">
        <v>12</v>
      </c>
      <c r="CH176" s="41">
        <v>1917992</v>
      </c>
      <c r="CJ176" s="41">
        <v>284417</v>
      </c>
      <c r="CL176" s="41">
        <v>0</v>
      </c>
      <c r="CN176" s="41">
        <v>180407</v>
      </c>
      <c r="CP176" s="43">
        <v>2382816</v>
      </c>
      <c r="CS176" s="39">
        <v>24.214300000000001</v>
      </c>
      <c r="CU176" s="39">
        <v>23.894600000000001</v>
      </c>
      <c r="CW176" s="39">
        <v>0</v>
      </c>
      <c r="CY176" s="39">
        <v>13.284800000000001</v>
      </c>
      <c r="DA176" s="44">
        <v>22.760200000000001</v>
      </c>
      <c r="DC176" s="1" t="str">
        <f t="shared" si="2"/>
        <v>No</v>
      </c>
    </row>
    <row r="177" spans="1:107">
      <c r="A177" s="7" t="s">
        <v>67</v>
      </c>
      <c r="B177" s="7" t="s">
        <v>731</v>
      </c>
      <c r="C177" s="37" t="s">
        <v>63</v>
      </c>
      <c r="D177" s="296">
        <v>2190</v>
      </c>
      <c r="E177" s="297">
        <v>20190</v>
      </c>
      <c r="F177" s="27" t="s">
        <v>173</v>
      </c>
      <c r="G177" s="27" t="s">
        <v>158</v>
      </c>
      <c r="H177" s="35">
        <v>18351295</v>
      </c>
      <c r="I177" s="35">
        <v>74</v>
      </c>
      <c r="J177" s="292"/>
      <c r="K177" s="8">
        <v>258275</v>
      </c>
      <c r="L177" s="8"/>
      <c r="M177" s="8">
        <v>43800</v>
      </c>
      <c r="N177" s="9"/>
      <c r="O177" s="8">
        <v>14600</v>
      </c>
      <c r="P177" s="9"/>
      <c r="Q177" s="8">
        <v>78290</v>
      </c>
      <c r="R177" s="9"/>
      <c r="S177" s="8">
        <v>0</v>
      </c>
      <c r="T177" s="9"/>
      <c r="U177" s="33">
        <v>394965</v>
      </c>
      <c r="V177" s="9"/>
      <c r="W177" s="30">
        <v>136</v>
      </c>
      <c r="X177" s="9"/>
      <c r="Y177" s="30">
        <v>23</v>
      </c>
      <c r="Z177" s="9"/>
      <c r="AA177" s="30">
        <v>8</v>
      </c>
      <c r="AB177" s="9"/>
      <c r="AC177" s="30">
        <v>49</v>
      </c>
      <c r="AD177" s="9"/>
      <c r="AE177" s="80">
        <v>0</v>
      </c>
      <c r="AF177" s="46"/>
      <c r="AG177" s="88">
        <v>216</v>
      </c>
      <c r="AH177" s="47"/>
      <c r="AJ177" s="83">
        <v>228215</v>
      </c>
      <c r="AL177" s="83">
        <v>43800</v>
      </c>
      <c r="AN177" s="83">
        <v>13500</v>
      </c>
      <c r="AP177" s="83">
        <v>72250</v>
      </c>
      <c r="AR177" s="83">
        <v>0</v>
      </c>
      <c r="AT177" s="204">
        <v>357765</v>
      </c>
      <c r="AV177" s="46">
        <v>114</v>
      </c>
      <c r="AX177" s="46">
        <v>23</v>
      </c>
      <c r="AZ177" s="46">
        <v>7</v>
      </c>
      <c r="BB177" s="46">
        <v>43</v>
      </c>
      <c r="BD177" s="46">
        <v>0</v>
      </c>
      <c r="BF177" s="209">
        <v>216</v>
      </c>
      <c r="BI177" s="83">
        <v>30060</v>
      </c>
      <c r="BK177" s="83">
        <v>0</v>
      </c>
      <c r="BM177" s="83">
        <v>1100</v>
      </c>
      <c r="BO177" s="83">
        <v>6040</v>
      </c>
      <c r="BQ177" s="83">
        <v>0</v>
      </c>
      <c r="BS177" s="85">
        <v>37200</v>
      </c>
      <c r="BU177" s="46">
        <v>22</v>
      </c>
      <c r="BW177" s="46">
        <v>0</v>
      </c>
      <c r="BY177" s="46">
        <v>1</v>
      </c>
      <c r="CA177" s="46">
        <v>6</v>
      </c>
      <c r="CC177" s="46">
        <v>0</v>
      </c>
      <c r="CE177" s="209">
        <v>29</v>
      </c>
      <c r="CH177" s="41">
        <v>5893010</v>
      </c>
      <c r="CJ177" s="41">
        <v>1487621</v>
      </c>
      <c r="CL177" s="41">
        <v>300473</v>
      </c>
      <c r="CN177" s="41">
        <v>4936493</v>
      </c>
      <c r="CP177" s="43">
        <v>12617597</v>
      </c>
      <c r="CS177" s="39">
        <v>22.816800000000001</v>
      </c>
      <c r="CU177" s="39">
        <v>33.963900000000002</v>
      </c>
      <c r="CW177" s="39">
        <v>1.1634</v>
      </c>
      <c r="CY177" s="39">
        <v>63.053899999999999</v>
      </c>
      <c r="DA177" s="44">
        <v>31.946100000000001</v>
      </c>
      <c r="DC177" s="1" t="str">
        <f t="shared" si="2"/>
        <v>No</v>
      </c>
    </row>
    <row r="178" spans="1:107">
      <c r="A178" s="7" t="s">
        <v>501</v>
      </c>
      <c r="B178" s="7" t="s">
        <v>502</v>
      </c>
      <c r="C178" s="37" t="s">
        <v>56</v>
      </c>
      <c r="D178" s="296">
        <v>4014</v>
      </c>
      <c r="E178" s="297">
        <v>40014</v>
      </c>
      <c r="F178" s="27" t="s">
        <v>165</v>
      </c>
      <c r="G178" s="27" t="s">
        <v>158</v>
      </c>
      <c r="H178" s="35">
        <v>208948</v>
      </c>
      <c r="I178" s="35">
        <v>72</v>
      </c>
      <c r="J178" s="292"/>
      <c r="K178" s="8">
        <v>128868</v>
      </c>
      <c r="L178" s="8"/>
      <c r="M178" s="8">
        <v>23162</v>
      </c>
      <c r="N178" s="9"/>
      <c r="O178" s="8">
        <v>4407</v>
      </c>
      <c r="P178" s="9"/>
      <c r="Q178" s="8">
        <v>39319</v>
      </c>
      <c r="R178" s="9"/>
      <c r="S178" s="8">
        <v>0</v>
      </c>
      <c r="T178" s="9"/>
      <c r="U178" s="33">
        <v>195756</v>
      </c>
      <c r="V178" s="9"/>
      <c r="W178" s="30">
        <v>68</v>
      </c>
      <c r="X178" s="9"/>
      <c r="Y178" s="30">
        <v>11.73</v>
      </c>
      <c r="Z178" s="9"/>
      <c r="AA178" s="30">
        <v>1.92</v>
      </c>
      <c r="AB178" s="9"/>
      <c r="AC178" s="30">
        <v>18.350000000000001</v>
      </c>
      <c r="AD178" s="9"/>
      <c r="AE178" s="80">
        <v>0</v>
      </c>
      <c r="AF178" s="46"/>
      <c r="AG178" s="88">
        <v>100</v>
      </c>
      <c r="AH178" s="47"/>
      <c r="AJ178" s="83">
        <v>121078</v>
      </c>
      <c r="AL178" s="83">
        <v>20851</v>
      </c>
      <c r="AN178" s="83">
        <v>4407</v>
      </c>
      <c r="AP178" s="83">
        <v>38456</v>
      </c>
      <c r="AR178" s="83">
        <v>0</v>
      </c>
      <c r="AT178" s="204">
        <v>184792</v>
      </c>
      <c r="AV178" s="46">
        <v>63</v>
      </c>
      <c r="AX178" s="46">
        <v>9.77</v>
      </c>
      <c r="AZ178" s="46">
        <v>1.92</v>
      </c>
      <c r="BB178" s="46">
        <v>18.350000000000001</v>
      </c>
      <c r="BD178" s="46">
        <v>0</v>
      </c>
      <c r="BF178" s="209">
        <v>100</v>
      </c>
      <c r="BI178" s="83">
        <v>7790</v>
      </c>
      <c r="BK178" s="83">
        <v>2311</v>
      </c>
      <c r="BM178" s="83">
        <v>0</v>
      </c>
      <c r="BO178" s="83">
        <v>863</v>
      </c>
      <c r="BQ178" s="83">
        <v>0</v>
      </c>
      <c r="BS178" s="85">
        <v>10964</v>
      </c>
      <c r="BU178" s="46">
        <v>5</v>
      </c>
      <c r="BW178" s="46">
        <v>1.96</v>
      </c>
      <c r="BY178" s="46">
        <v>0</v>
      </c>
      <c r="CA178" s="46">
        <v>0</v>
      </c>
      <c r="CC178" s="46">
        <v>0</v>
      </c>
      <c r="CE178" s="209">
        <v>6.96</v>
      </c>
      <c r="CH178" s="41">
        <v>1895775</v>
      </c>
      <c r="CJ178" s="41">
        <v>359674</v>
      </c>
      <c r="CL178" s="41">
        <v>63020</v>
      </c>
      <c r="CN178" s="41">
        <v>635116</v>
      </c>
      <c r="CP178" s="43">
        <v>2953585</v>
      </c>
      <c r="CS178" s="39">
        <v>14.711</v>
      </c>
      <c r="CU178" s="39">
        <v>15.528600000000001</v>
      </c>
      <c r="CW178" s="39">
        <v>0.48899999999999999</v>
      </c>
      <c r="CY178" s="39">
        <v>16.152899999999999</v>
      </c>
      <c r="DA178" s="44">
        <v>15.088100000000001</v>
      </c>
      <c r="DC178" s="1" t="str">
        <f t="shared" si="2"/>
        <v>No</v>
      </c>
    </row>
    <row r="179" spans="1:107">
      <c r="A179" s="7" t="s">
        <v>751</v>
      </c>
      <c r="B179" s="7" t="s">
        <v>752</v>
      </c>
      <c r="C179" s="37" t="s">
        <v>84</v>
      </c>
      <c r="D179" s="296">
        <v>6114</v>
      </c>
      <c r="E179" s="297">
        <v>60114</v>
      </c>
      <c r="F179" s="27" t="s">
        <v>162</v>
      </c>
      <c r="G179" s="27" t="s">
        <v>158</v>
      </c>
      <c r="H179" s="35">
        <v>5121892</v>
      </c>
      <c r="I179" s="35">
        <v>71</v>
      </c>
      <c r="J179" s="292"/>
      <c r="K179" s="8">
        <v>157776</v>
      </c>
      <c r="L179" s="8"/>
      <c r="M179" s="8">
        <v>7655</v>
      </c>
      <c r="N179" s="9"/>
      <c r="O179" s="8">
        <v>1333</v>
      </c>
      <c r="P179" s="9"/>
      <c r="Q179" s="8">
        <v>21619</v>
      </c>
      <c r="R179" s="9"/>
      <c r="S179" s="8">
        <v>0</v>
      </c>
      <c r="T179" s="9"/>
      <c r="U179" s="33">
        <v>188383</v>
      </c>
      <c r="V179" s="9"/>
      <c r="W179" s="30">
        <v>89</v>
      </c>
      <c r="X179" s="9"/>
      <c r="Y179" s="30">
        <v>4</v>
      </c>
      <c r="Z179" s="9"/>
      <c r="AA179" s="30">
        <v>1</v>
      </c>
      <c r="AB179" s="9"/>
      <c r="AC179" s="30">
        <v>11</v>
      </c>
      <c r="AD179" s="9"/>
      <c r="AE179" s="80">
        <v>0</v>
      </c>
      <c r="AF179" s="46"/>
      <c r="AG179" s="88">
        <v>105</v>
      </c>
      <c r="AH179" s="47"/>
      <c r="AJ179" s="83">
        <v>153672</v>
      </c>
      <c r="AL179" s="83">
        <v>7655</v>
      </c>
      <c r="AN179" s="83">
        <v>0</v>
      </c>
      <c r="AP179" s="83">
        <v>21619</v>
      </c>
      <c r="AR179" s="83">
        <v>0</v>
      </c>
      <c r="AT179" s="204">
        <v>182946</v>
      </c>
      <c r="AV179" s="46">
        <v>70</v>
      </c>
      <c r="AX179" s="46">
        <v>4</v>
      </c>
      <c r="AZ179" s="46">
        <v>0</v>
      </c>
      <c r="BB179" s="46">
        <v>11</v>
      </c>
      <c r="BD179" s="46">
        <v>0</v>
      </c>
      <c r="BF179" s="209">
        <v>105</v>
      </c>
      <c r="BI179" s="83">
        <v>4104</v>
      </c>
      <c r="BK179" s="83">
        <v>0</v>
      </c>
      <c r="BM179" s="83">
        <v>1333</v>
      </c>
      <c r="BO179" s="83">
        <v>0</v>
      </c>
      <c r="BQ179" s="83">
        <v>0</v>
      </c>
      <c r="BS179" s="85">
        <v>5437</v>
      </c>
      <c r="BU179" s="46">
        <v>19</v>
      </c>
      <c r="BW179" s="46">
        <v>0</v>
      </c>
      <c r="BY179" s="46">
        <v>1</v>
      </c>
      <c r="CA179" s="46">
        <v>0</v>
      </c>
      <c r="CC179" s="46">
        <v>0</v>
      </c>
      <c r="CE179" s="209">
        <v>20</v>
      </c>
      <c r="CH179" s="41">
        <v>2127738</v>
      </c>
      <c r="CJ179" s="41">
        <v>144800</v>
      </c>
      <c r="CL179" s="41">
        <v>22231</v>
      </c>
      <c r="CN179" s="41">
        <v>598081</v>
      </c>
      <c r="CP179" s="43">
        <v>2892850</v>
      </c>
      <c r="CS179" s="39">
        <v>13.485799999999999</v>
      </c>
      <c r="CU179" s="39">
        <v>18.915700000000001</v>
      </c>
      <c r="CW179" s="39">
        <v>0.1409</v>
      </c>
      <c r="CY179" s="39">
        <v>27.6646</v>
      </c>
      <c r="DA179" s="44">
        <v>15.356199999999999</v>
      </c>
      <c r="DC179" s="1" t="str">
        <f t="shared" si="2"/>
        <v>No</v>
      </c>
    </row>
    <row r="180" spans="1:107">
      <c r="A180" s="7" t="s">
        <v>665</v>
      </c>
      <c r="B180" s="7" t="s">
        <v>666</v>
      </c>
      <c r="C180" s="37" t="s">
        <v>70</v>
      </c>
      <c r="D180" s="296">
        <v>2084</v>
      </c>
      <c r="E180" s="297">
        <v>20084</v>
      </c>
      <c r="F180" s="27" t="s">
        <v>162</v>
      </c>
      <c r="G180" s="27" t="s">
        <v>158</v>
      </c>
      <c r="H180" s="35">
        <v>18351295</v>
      </c>
      <c r="I180" s="35">
        <v>71</v>
      </c>
      <c r="J180" s="292"/>
      <c r="K180" s="8">
        <v>41006</v>
      </c>
      <c r="L180" s="8"/>
      <c r="M180" s="8">
        <v>0</v>
      </c>
      <c r="N180" s="9"/>
      <c r="O180" s="8">
        <v>0</v>
      </c>
      <c r="P180" s="9"/>
      <c r="Q180" s="8">
        <v>8793</v>
      </c>
      <c r="R180" s="9"/>
      <c r="S180" s="8">
        <v>0</v>
      </c>
      <c r="T180" s="9"/>
      <c r="U180" s="33">
        <v>49799</v>
      </c>
      <c r="V180" s="9"/>
      <c r="W180" s="30">
        <v>33</v>
      </c>
      <c r="X180" s="9"/>
      <c r="Y180" s="30">
        <v>0</v>
      </c>
      <c r="Z180" s="9"/>
      <c r="AA180" s="30">
        <v>0</v>
      </c>
      <c r="AB180" s="9"/>
      <c r="AC180" s="30">
        <v>14</v>
      </c>
      <c r="AD180" s="9"/>
      <c r="AE180" s="80">
        <v>0</v>
      </c>
      <c r="AF180" s="46"/>
      <c r="AG180" s="88">
        <v>47</v>
      </c>
      <c r="AH180" s="47"/>
      <c r="AJ180" s="83">
        <v>37902</v>
      </c>
      <c r="AL180" s="83">
        <v>0</v>
      </c>
      <c r="AN180" s="83">
        <v>0</v>
      </c>
      <c r="AP180" s="83">
        <v>3484</v>
      </c>
      <c r="AR180" s="83">
        <v>0</v>
      </c>
      <c r="AT180" s="204">
        <v>41386</v>
      </c>
      <c r="AV180" s="46">
        <v>27</v>
      </c>
      <c r="AX180" s="46">
        <v>0</v>
      </c>
      <c r="AZ180" s="46">
        <v>0</v>
      </c>
      <c r="BB180" s="46">
        <v>2</v>
      </c>
      <c r="BD180" s="46">
        <v>0</v>
      </c>
      <c r="BF180" s="209">
        <v>47</v>
      </c>
      <c r="BI180" s="83">
        <v>3104</v>
      </c>
      <c r="BK180" s="83">
        <v>0</v>
      </c>
      <c r="BM180" s="83">
        <v>0</v>
      </c>
      <c r="BO180" s="83">
        <v>5309</v>
      </c>
      <c r="BQ180" s="83">
        <v>0</v>
      </c>
      <c r="BS180" s="85">
        <v>8413</v>
      </c>
      <c r="BU180" s="46">
        <v>6</v>
      </c>
      <c r="BW180" s="46">
        <v>0</v>
      </c>
      <c r="BY180" s="46">
        <v>0</v>
      </c>
      <c r="CA180" s="46">
        <v>12</v>
      </c>
      <c r="CC180" s="46">
        <v>0</v>
      </c>
      <c r="CE180" s="209">
        <v>18</v>
      </c>
      <c r="CH180" s="41">
        <v>982177</v>
      </c>
      <c r="CJ180" s="41">
        <v>0</v>
      </c>
      <c r="CL180" s="41">
        <v>0</v>
      </c>
      <c r="CN180" s="41">
        <v>389154</v>
      </c>
      <c r="CP180" s="43">
        <v>1371331</v>
      </c>
      <c r="CS180" s="39">
        <v>23.952000000000002</v>
      </c>
      <c r="CW180" s="39">
        <v>0</v>
      </c>
      <c r="CY180" s="39">
        <v>44.257300000000001</v>
      </c>
      <c r="DA180" s="44">
        <v>27.537299999999998</v>
      </c>
      <c r="DC180" s="1" t="str">
        <f t="shared" si="2"/>
        <v>No</v>
      </c>
    </row>
    <row r="181" spans="1:107">
      <c r="A181" s="7" t="s">
        <v>255</v>
      </c>
      <c r="B181" s="7" t="s">
        <v>256</v>
      </c>
      <c r="C181" s="37" t="s">
        <v>6</v>
      </c>
      <c r="D181" s="296">
        <v>6033</v>
      </c>
      <c r="E181" s="297">
        <v>60033</v>
      </c>
      <c r="F181" s="27" t="s">
        <v>165</v>
      </c>
      <c r="G181" s="27" t="s">
        <v>158</v>
      </c>
      <c r="H181" s="35">
        <v>431388</v>
      </c>
      <c r="I181" s="35">
        <v>71</v>
      </c>
      <c r="J181" s="292"/>
      <c r="K181" s="8">
        <v>302820</v>
      </c>
      <c r="L181" s="8"/>
      <c r="M181" s="8">
        <v>63537</v>
      </c>
      <c r="N181" s="9"/>
      <c r="O181" s="8">
        <v>0</v>
      </c>
      <c r="P181" s="9"/>
      <c r="Q181" s="8">
        <v>34691</v>
      </c>
      <c r="R181" s="9"/>
      <c r="S181" s="8">
        <v>1872</v>
      </c>
      <c r="T181" s="9"/>
      <c r="U181" s="33">
        <v>402920</v>
      </c>
      <c r="V181" s="9"/>
      <c r="W181" s="30">
        <v>147.69999999999999</v>
      </c>
      <c r="X181" s="9"/>
      <c r="Y181" s="30">
        <v>32.6</v>
      </c>
      <c r="Z181" s="9"/>
      <c r="AA181" s="30">
        <v>0</v>
      </c>
      <c r="AB181" s="9"/>
      <c r="AC181" s="30">
        <v>20.7</v>
      </c>
      <c r="AD181" s="9"/>
      <c r="AE181" s="80">
        <v>1</v>
      </c>
      <c r="AF181" s="46"/>
      <c r="AG181" s="88">
        <v>202</v>
      </c>
      <c r="AH181" s="47"/>
      <c r="AJ181" s="83">
        <v>300576</v>
      </c>
      <c r="AL181" s="83">
        <v>63537</v>
      </c>
      <c r="AN181" s="83">
        <v>0</v>
      </c>
      <c r="AP181" s="83">
        <v>33335</v>
      </c>
      <c r="AR181" s="83">
        <v>1872</v>
      </c>
      <c r="AT181" s="204">
        <v>399320</v>
      </c>
      <c r="AV181" s="46">
        <v>145.69999999999999</v>
      </c>
      <c r="AX181" s="46">
        <v>32.6</v>
      </c>
      <c r="AZ181" s="46">
        <v>0</v>
      </c>
      <c r="BB181" s="46">
        <v>18.7</v>
      </c>
      <c r="BD181" s="46">
        <v>1</v>
      </c>
      <c r="BF181" s="209">
        <v>202</v>
      </c>
      <c r="BI181" s="83">
        <v>2244</v>
      </c>
      <c r="BK181" s="83">
        <v>0</v>
      </c>
      <c r="BM181" s="83">
        <v>0</v>
      </c>
      <c r="BO181" s="83">
        <v>1356</v>
      </c>
      <c r="BQ181" s="83">
        <v>0</v>
      </c>
      <c r="BS181" s="85">
        <v>3600</v>
      </c>
      <c r="BU181" s="46">
        <v>2</v>
      </c>
      <c r="BW181" s="46">
        <v>0</v>
      </c>
      <c r="BY181" s="46">
        <v>0</v>
      </c>
      <c r="CA181" s="46">
        <v>2</v>
      </c>
      <c r="CC181" s="46">
        <v>0</v>
      </c>
      <c r="CE181" s="209">
        <v>4</v>
      </c>
      <c r="CH181" s="41">
        <v>6260174</v>
      </c>
      <c r="CJ181" s="41">
        <v>1461102</v>
      </c>
      <c r="CL181" s="41">
        <v>0</v>
      </c>
      <c r="CN181" s="41">
        <v>793386</v>
      </c>
      <c r="CP181" s="43">
        <v>8514662</v>
      </c>
      <c r="CS181" s="39">
        <v>20.672899999999998</v>
      </c>
      <c r="CU181" s="39">
        <v>22.996099999999998</v>
      </c>
      <c r="CW181" s="39">
        <v>0</v>
      </c>
      <c r="CY181" s="39">
        <v>22.870100000000001</v>
      </c>
      <c r="DA181" s="44">
        <v>21.132400000000001</v>
      </c>
      <c r="DC181" s="1" t="str">
        <f t="shared" si="2"/>
        <v>No</v>
      </c>
    </row>
    <row r="182" spans="1:107">
      <c r="A182" s="7" t="s">
        <v>1100</v>
      </c>
      <c r="B182" s="7" t="s">
        <v>1101</v>
      </c>
      <c r="C182" s="37" t="s">
        <v>63</v>
      </c>
      <c r="D182" s="296">
        <v>2209</v>
      </c>
      <c r="E182" s="297">
        <v>20209</v>
      </c>
      <c r="F182" s="27" t="s">
        <v>162</v>
      </c>
      <c r="G182" s="27" t="s">
        <v>158</v>
      </c>
      <c r="H182" s="35">
        <v>18351295</v>
      </c>
      <c r="I182" s="35">
        <v>70</v>
      </c>
      <c r="J182" s="292"/>
      <c r="K182" s="8">
        <v>173825</v>
      </c>
      <c r="L182" s="8"/>
      <c r="M182" s="8">
        <v>0</v>
      </c>
      <c r="N182" s="9"/>
      <c r="O182" s="8">
        <v>0</v>
      </c>
      <c r="P182" s="9"/>
      <c r="Q182" s="8">
        <v>14942</v>
      </c>
      <c r="R182" s="9"/>
      <c r="S182" s="8">
        <v>0</v>
      </c>
      <c r="T182" s="9"/>
      <c r="U182" s="33">
        <v>188767</v>
      </c>
      <c r="V182" s="9"/>
      <c r="W182" s="30">
        <v>90</v>
      </c>
      <c r="X182" s="9"/>
      <c r="Y182" s="30">
        <v>0</v>
      </c>
      <c r="Z182" s="9"/>
      <c r="AA182" s="30">
        <v>0</v>
      </c>
      <c r="AB182" s="9"/>
      <c r="AC182" s="30">
        <v>8</v>
      </c>
      <c r="AD182" s="9"/>
      <c r="AE182" s="80">
        <v>0</v>
      </c>
      <c r="AF182" s="46"/>
      <c r="AG182" s="88">
        <v>98</v>
      </c>
      <c r="AH182" s="47"/>
      <c r="AJ182" s="83">
        <v>173825</v>
      </c>
      <c r="AL182" s="83">
        <v>0</v>
      </c>
      <c r="AN182" s="83">
        <v>0</v>
      </c>
      <c r="AP182" s="83">
        <v>14942</v>
      </c>
      <c r="AR182" s="83">
        <v>0</v>
      </c>
      <c r="AT182" s="204">
        <v>188767</v>
      </c>
      <c r="AV182" s="46">
        <v>90</v>
      </c>
      <c r="AX182" s="46">
        <v>0</v>
      </c>
      <c r="AZ182" s="46">
        <v>0</v>
      </c>
      <c r="BB182" s="46">
        <v>8</v>
      </c>
      <c r="BD182" s="46">
        <v>0</v>
      </c>
      <c r="BF182" s="209">
        <v>98</v>
      </c>
      <c r="BI182" s="83">
        <v>0</v>
      </c>
      <c r="BK182" s="83">
        <v>0</v>
      </c>
      <c r="BM182" s="83">
        <v>0</v>
      </c>
      <c r="BO182" s="83">
        <v>0</v>
      </c>
      <c r="BQ182" s="83">
        <v>0</v>
      </c>
      <c r="BS182" s="85">
        <v>0</v>
      </c>
      <c r="BU182" s="46">
        <v>0</v>
      </c>
      <c r="BW182" s="46">
        <v>0</v>
      </c>
      <c r="BY182" s="46">
        <v>0</v>
      </c>
      <c r="CA182" s="46">
        <v>0</v>
      </c>
      <c r="CC182" s="46">
        <v>0</v>
      </c>
      <c r="CE182" s="209">
        <v>0</v>
      </c>
      <c r="CH182" s="41">
        <v>3698364</v>
      </c>
      <c r="CJ182" s="41">
        <v>0</v>
      </c>
      <c r="CL182" s="41">
        <v>0</v>
      </c>
      <c r="CN182" s="41">
        <v>471934</v>
      </c>
      <c r="CP182" s="43">
        <v>4170298</v>
      </c>
      <c r="CS182" s="39">
        <v>21.276399999999999</v>
      </c>
      <c r="CW182" s="39">
        <v>0</v>
      </c>
      <c r="CY182" s="39">
        <v>31.584399999999999</v>
      </c>
      <c r="DA182" s="44">
        <v>22.092300000000002</v>
      </c>
      <c r="DC182" s="1" t="str">
        <f t="shared" si="2"/>
        <v>No</v>
      </c>
    </row>
    <row r="183" spans="1:107">
      <c r="A183" s="7" t="s">
        <v>523</v>
      </c>
      <c r="B183" s="7" t="s">
        <v>524</v>
      </c>
      <c r="C183" s="37" t="s">
        <v>42</v>
      </c>
      <c r="D183" s="296">
        <v>5104</v>
      </c>
      <c r="E183" s="297">
        <v>50104</v>
      </c>
      <c r="F183" s="27" t="s">
        <v>165</v>
      </c>
      <c r="G183" s="27" t="s">
        <v>158</v>
      </c>
      <c r="H183" s="35">
        <v>8608208</v>
      </c>
      <c r="I183" s="35">
        <v>70</v>
      </c>
      <c r="J183" s="292"/>
      <c r="K183" s="8">
        <v>257535</v>
      </c>
      <c r="L183" s="8"/>
      <c r="M183" s="8">
        <v>223744</v>
      </c>
      <c r="N183" s="9"/>
      <c r="O183" s="8">
        <v>105982</v>
      </c>
      <c r="P183" s="9"/>
      <c r="Q183" s="8">
        <v>52971</v>
      </c>
      <c r="R183" s="9"/>
      <c r="S183" s="8">
        <v>45116</v>
      </c>
      <c r="T183" s="9"/>
      <c r="U183" s="33">
        <v>685348</v>
      </c>
      <c r="V183" s="9"/>
      <c r="W183" s="30">
        <v>123</v>
      </c>
      <c r="X183" s="9"/>
      <c r="Y183" s="30">
        <v>112</v>
      </c>
      <c r="Z183" s="9"/>
      <c r="AA183" s="30">
        <v>52</v>
      </c>
      <c r="AB183" s="9"/>
      <c r="AC183" s="30">
        <v>30</v>
      </c>
      <c r="AD183" s="9"/>
      <c r="AE183" s="80">
        <v>21</v>
      </c>
      <c r="AF183" s="46"/>
      <c r="AG183" s="88">
        <v>338</v>
      </c>
      <c r="AH183" s="47"/>
      <c r="AJ183" s="83">
        <v>256060</v>
      </c>
      <c r="AL183" s="83">
        <v>223744</v>
      </c>
      <c r="AN183" s="83">
        <v>105982</v>
      </c>
      <c r="AP183" s="83">
        <v>52363</v>
      </c>
      <c r="AR183" s="83">
        <v>45116</v>
      </c>
      <c r="AT183" s="204">
        <v>683265</v>
      </c>
      <c r="AV183" s="46">
        <v>117</v>
      </c>
      <c r="AX183" s="46">
        <v>112</v>
      </c>
      <c r="AZ183" s="46">
        <v>52</v>
      </c>
      <c r="BB183" s="46">
        <v>29</v>
      </c>
      <c r="BD183" s="46">
        <v>21</v>
      </c>
      <c r="BF183" s="209">
        <v>338</v>
      </c>
      <c r="BI183" s="83">
        <v>1475</v>
      </c>
      <c r="BK183" s="83">
        <v>0</v>
      </c>
      <c r="BM183" s="83">
        <v>0</v>
      </c>
      <c r="BO183" s="83">
        <v>608</v>
      </c>
      <c r="BQ183" s="83">
        <v>0</v>
      </c>
      <c r="BS183" s="85">
        <v>2083</v>
      </c>
      <c r="BU183" s="46">
        <v>6</v>
      </c>
      <c r="BW183" s="46">
        <v>0</v>
      </c>
      <c r="BY183" s="46">
        <v>0</v>
      </c>
      <c r="CA183" s="46">
        <v>1</v>
      </c>
      <c r="CC183" s="46">
        <v>0</v>
      </c>
      <c r="CE183" s="209">
        <v>7</v>
      </c>
      <c r="CH183" s="41">
        <v>6400628</v>
      </c>
      <c r="CJ183" s="41">
        <v>5449792</v>
      </c>
      <c r="CL183" s="41">
        <v>2035152</v>
      </c>
      <c r="CN183" s="41">
        <v>2004041</v>
      </c>
      <c r="CP183" s="43">
        <v>15889613</v>
      </c>
      <c r="CS183" s="39">
        <v>24.853400000000001</v>
      </c>
      <c r="CU183" s="39">
        <v>24.357299999999999</v>
      </c>
      <c r="CW183" s="39">
        <v>7.9024000000000001</v>
      </c>
      <c r="CY183" s="39">
        <v>37.832799999999999</v>
      </c>
      <c r="DA183" s="44">
        <v>23.184699999999999</v>
      </c>
      <c r="DC183" s="1" t="str">
        <f t="shared" si="2"/>
        <v>No</v>
      </c>
    </row>
    <row r="184" spans="1:107">
      <c r="A184" s="7" t="s">
        <v>756</v>
      </c>
      <c r="B184" s="7" t="s">
        <v>757</v>
      </c>
      <c r="C184" s="37" t="s">
        <v>63</v>
      </c>
      <c r="D184" s="296">
        <v>2192</v>
      </c>
      <c r="E184" s="297">
        <v>20192</v>
      </c>
      <c r="F184" s="27" t="s">
        <v>162</v>
      </c>
      <c r="G184" s="27" t="s">
        <v>158</v>
      </c>
      <c r="H184" s="35">
        <v>18351295</v>
      </c>
      <c r="I184" s="35">
        <v>69</v>
      </c>
      <c r="J184" s="292"/>
      <c r="K184" s="8">
        <v>130931</v>
      </c>
      <c r="L184" s="8"/>
      <c r="M184" s="8">
        <v>2297</v>
      </c>
      <c r="N184" s="9"/>
      <c r="O184" s="8">
        <v>0</v>
      </c>
      <c r="P184" s="9"/>
      <c r="Q184" s="8">
        <v>11287</v>
      </c>
      <c r="R184" s="9"/>
      <c r="S184" s="8">
        <v>0</v>
      </c>
      <c r="T184" s="9"/>
      <c r="U184" s="33">
        <v>144515</v>
      </c>
      <c r="V184" s="9"/>
      <c r="W184" s="30">
        <v>92</v>
      </c>
      <c r="X184" s="9"/>
      <c r="Y184" s="30">
        <v>1</v>
      </c>
      <c r="Z184" s="9"/>
      <c r="AA184" s="30">
        <v>0</v>
      </c>
      <c r="AB184" s="9"/>
      <c r="AC184" s="30">
        <v>7</v>
      </c>
      <c r="AD184" s="9"/>
      <c r="AE184" s="80">
        <v>0</v>
      </c>
      <c r="AF184" s="46"/>
      <c r="AG184" s="88">
        <v>100</v>
      </c>
      <c r="AH184" s="47"/>
      <c r="AJ184" s="83">
        <v>123820</v>
      </c>
      <c r="AL184" s="83">
        <v>2297</v>
      </c>
      <c r="AN184" s="83">
        <v>0</v>
      </c>
      <c r="AP184" s="83">
        <v>11287</v>
      </c>
      <c r="AR184" s="83">
        <v>0</v>
      </c>
      <c r="AT184" s="204">
        <v>137404</v>
      </c>
      <c r="AV184" s="46">
        <v>85</v>
      </c>
      <c r="AX184" s="46">
        <v>1</v>
      </c>
      <c r="AZ184" s="46">
        <v>0</v>
      </c>
      <c r="BB184" s="46">
        <v>7</v>
      </c>
      <c r="BD184" s="46">
        <v>0</v>
      </c>
      <c r="BF184" s="209">
        <v>100</v>
      </c>
      <c r="BI184" s="83">
        <v>7111</v>
      </c>
      <c r="BK184" s="83">
        <v>0</v>
      </c>
      <c r="BM184" s="83">
        <v>0</v>
      </c>
      <c r="BO184" s="83">
        <v>0</v>
      </c>
      <c r="BQ184" s="83">
        <v>0</v>
      </c>
      <c r="BS184" s="85">
        <v>7111</v>
      </c>
      <c r="BU184" s="46">
        <v>7</v>
      </c>
      <c r="BW184" s="46">
        <v>0</v>
      </c>
      <c r="BY184" s="46">
        <v>0</v>
      </c>
      <c r="CA184" s="46">
        <v>0</v>
      </c>
      <c r="CC184" s="46">
        <v>0</v>
      </c>
      <c r="CE184" s="209">
        <v>7</v>
      </c>
      <c r="CH184" s="41">
        <v>2710833</v>
      </c>
      <c r="CJ184" s="41">
        <v>46581</v>
      </c>
      <c r="CL184" s="41">
        <v>0</v>
      </c>
      <c r="CN184" s="41">
        <v>364083</v>
      </c>
      <c r="CP184" s="43">
        <v>3121497</v>
      </c>
      <c r="CS184" s="39">
        <v>20.7043</v>
      </c>
      <c r="CU184" s="39">
        <v>20.2791</v>
      </c>
      <c r="CW184" s="39">
        <v>0</v>
      </c>
      <c r="CY184" s="39">
        <v>32.256799999999998</v>
      </c>
      <c r="DA184" s="44">
        <v>21.599799999999998</v>
      </c>
      <c r="DC184" s="1" t="str">
        <f t="shared" si="2"/>
        <v>No</v>
      </c>
    </row>
    <row r="185" spans="1:107">
      <c r="A185" s="7" t="s">
        <v>428</v>
      </c>
      <c r="B185" s="7" t="s">
        <v>429</v>
      </c>
      <c r="C185" s="37" t="s">
        <v>52</v>
      </c>
      <c r="D185" s="296">
        <v>5035</v>
      </c>
      <c r="E185" s="297">
        <v>50035</v>
      </c>
      <c r="F185" s="27" t="s">
        <v>162</v>
      </c>
      <c r="G185" s="27" t="s">
        <v>158</v>
      </c>
      <c r="H185" s="35">
        <v>209703</v>
      </c>
      <c r="I185" s="35">
        <v>69</v>
      </c>
      <c r="J185" s="292"/>
      <c r="K185" s="8">
        <v>108049</v>
      </c>
      <c r="L185" s="8"/>
      <c r="M185" s="8">
        <v>27603</v>
      </c>
      <c r="N185" s="9"/>
      <c r="O185" s="8">
        <v>1173</v>
      </c>
      <c r="P185" s="9"/>
      <c r="Q185" s="8">
        <v>6330</v>
      </c>
      <c r="R185" s="9"/>
      <c r="S185" s="8">
        <v>2008</v>
      </c>
      <c r="T185" s="9"/>
      <c r="U185" s="33">
        <v>145163</v>
      </c>
      <c r="V185" s="9"/>
      <c r="W185" s="30">
        <v>78.900000000000006</v>
      </c>
      <c r="X185" s="9"/>
      <c r="Y185" s="30">
        <v>18.8</v>
      </c>
      <c r="Z185" s="9"/>
      <c r="AA185" s="30">
        <v>0</v>
      </c>
      <c r="AB185" s="9"/>
      <c r="AC185" s="30">
        <v>5</v>
      </c>
      <c r="AD185" s="9"/>
      <c r="AE185" s="80">
        <v>1.8</v>
      </c>
      <c r="AF185" s="46"/>
      <c r="AG185" s="88">
        <v>104.5</v>
      </c>
      <c r="AH185" s="47"/>
      <c r="AJ185" s="83">
        <v>104427</v>
      </c>
      <c r="AL185" s="83">
        <v>27603</v>
      </c>
      <c r="AN185" s="83">
        <v>1173</v>
      </c>
      <c r="AP185" s="83">
        <v>5580</v>
      </c>
      <c r="AR185" s="83">
        <v>2008</v>
      </c>
      <c r="AT185" s="204">
        <v>140791</v>
      </c>
      <c r="AV185" s="46">
        <v>72.900000000000006</v>
      </c>
      <c r="AX185" s="46">
        <v>18.8</v>
      </c>
      <c r="AZ185" s="46">
        <v>0</v>
      </c>
      <c r="BB185" s="46">
        <v>4.2</v>
      </c>
      <c r="BD185" s="46">
        <v>1.8</v>
      </c>
      <c r="BF185" s="209">
        <v>104.5</v>
      </c>
      <c r="BI185" s="83">
        <v>3622</v>
      </c>
      <c r="BK185" s="83">
        <v>0</v>
      </c>
      <c r="BM185" s="83">
        <v>0</v>
      </c>
      <c r="BO185" s="83">
        <v>750</v>
      </c>
      <c r="BQ185" s="83">
        <v>0</v>
      </c>
      <c r="BS185" s="85">
        <v>4372</v>
      </c>
      <c r="BU185" s="46">
        <v>6</v>
      </c>
      <c r="BW185" s="46">
        <v>0</v>
      </c>
      <c r="BY185" s="46">
        <v>0</v>
      </c>
      <c r="CA185" s="46">
        <v>0.8</v>
      </c>
      <c r="CC185" s="46">
        <v>0</v>
      </c>
      <c r="CE185" s="209">
        <v>6.8</v>
      </c>
      <c r="CH185" s="41">
        <v>2136509</v>
      </c>
      <c r="CJ185" s="41">
        <v>576138</v>
      </c>
      <c r="CL185" s="41">
        <v>27278</v>
      </c>
      <c r="CN185" s="41">
        <v>107301</v>
      </c>
      <c r="CP185" s="43">
        <v>2847226</v>
      </c>
      <c r="CS185" s="39">
        <v>19.773499999999999</v>
      </c>
      <c r="CU185" s="39">
        <v>20.872299999999999</v>
      </c>
      <c r="CW185" s="39">
        <v>0.2525</v>
      </c>
      <c r="CY185" s="39">
        <v>16.9512</v>
      </c>
      <c r="DA185" s="44">
        <v>19.614000000000001</v>
      </c>
      <c r="DC185" s="1" t="str">
        <f t="shared" si="2"/>
        <v>No</v>
      </c>
    </row>
    <row r="186" spans="1:107">
      <c r="A186" s="7" t="s">
        <v>612</v>
      </c>
      <c r="B186" s="7" t="s">
        <v>613</v>
      </c>
      <c r="C186" s="37" t="s">
        <v>17</v>
      </c>
      <c r="D186" s="296">
        <v>9035</v>
      </c>
      <c r="E186" s="297">
        <v>90035</v>
      </c>
      <c r="F186" s="27" t="s">
        <v>165</v>
      </c>
      <c r="G186" s="27" t="s">
        <v>158</v>
      </c>
      <c r="H186" s="35">
        <v>367260</v>
      </c>
      <c r="I186" s="35">
        <v>67</v>
      </c>
      <c r="J186" s="292"/>
      <c r="K186" s="8">
        <v>256994</v>
      </c>
      <c r="L186" s="8"/>
      <c r="M186" s="8">
        <v>37569</v>
      </c>
      <c r="N186" s="9"/>
      <c r="O186" s="8">
        <v>3774</v>
      </c>
      <c r="P186" s="9"/>
      <c r="Q186" s="8">
        <v>40743</v>
      </c>
      <c r="R186" s="9"/>
      <c r="S186" s="8">
        <v>1950</v>
      </c>
      <c r="T186" s="9"/>
      <c r="U186" s="33">
        <v>341030</v>
      </c>
      <c r="V186" s="9"/>
      <c r="W186" s="30">
        <v>145</v>
      </c>
      <c r="X186" s="9"/>
      <c r="Y186" s="30">
        <v>22</v>
      </c>
      <c r="Z186" s="9"/>
      <c r="AA186" s="30">
        <v>2</v>
      </c>
      <c r="AB186" s="9"/>
      <c r="AC186" s="30">
        <v>26</v>
      </c>
      <c r="AD186" s="9"/>
      <c r="AE186" s="80">
        <v>2</v>
      </c>
      <c r="AF186" s="46"/>
      <c r="AG186" s="88">
        <v>197</v>
      </c>
      <c r="AH186" s="47"/>
      <c r="AJ186" s="83">
        <v>235018</v>
      </c>
      <c r="AL186" s="83">
        <v>37569</v>
      </c>
      <c r="AN186" s="83">
        <v>3774</v>
      </c>
      <c r="AP186" s="83">
        <v>40536</v>
      </c>
      <c r="AR186" s="83">
        <v>1399</v>
      </c>
      <c r="AT186" s="204">
        <v>318296</v>
      </c>
      <c r="AV186" s="46">
        <v>127</v>
      </c>
      <c r="AX186" s="46">
        <v>22</v>
      </c>
      <c r="AZ186" s="46">
        <v>2</v>
      </c>
      <c r="BB186" s="46">
        <v>25</v>
      </c>
      <c r="BD186" s="46">
        <v>1</v>
      </c>
      <c r="BF186" s="209">
        <v>197</v>
      </c>
      <c r="BI186" s="83">
        <v>21976</v>
      </c>
      <c r="BK186" s="83">
        <v>0</v>
      </c>
      <c r="BM186" s="83">
        <v>0</v>
      </c>
      <c r="BO186" s="83">
        <v>207</v>
      </c>
      <c r="BQ186" s="83">
        <v>551</v>
      </c>
      <c r="BS186" s="85">
        <v>22734</v>
      </c>
      <c r="BU186" s="46">
        <v>18</v>
      </c>
      <c r="BW186" s="46">
        <v>0</v>
      </c>
      <c r="BY186" s="46">
        <v>0</v>
      </c>
      <c r="CA186" s="46">
        <v>1</v>
      </c>
      <c r="CC186" s="46">
        <v>1</v>
      </c>
      <c r="CE186" s="209">
        <v>20</v>
      </c>
      <c r="CH186" s="41">
        <v>6286428</v>
      </c>
      <c r="CJ186" s="41">
        <v>1007539</v>
      </c>
      <c r="CL186" s="41">
        <v>62427</v>
      </c>
      <c r="CN186" s="41">
        <v>1473726</v>
      </c>
      <c r="CP186" s="43">
        <v>8830120</v>
      </c>
      <c r="CS186" s="39">
        <v>24.461400000000001</v>
      </c>
      <c r="CU186" s="39">
        <v>26.8184</v>
      </c>
      <c r="CW186" s="39">
        <v>0.2429</v>
      </c>
      <c r="CY186" s="39">
        <v>36.171300000000002</v>
      </c>
      <c r="DA186" s="44">
        <v>25.892499999999998</v>
      </c>
      <c r="DC186" s="1" t="str">
        <f t="shared" si="2"/>
        <v>No</v>
      </c>
    </row>
    <row r="187" spans="1:107">
      <c r="A187" s="7" t="s">
        <v>609</v>
      </c>
      <c r="B187" s="7" t="s">
        <v>312</v>
      </c>
      <c r="C187" s="37" t="s">
        <v>17</v>
      </c>
      <c r="D187" s="296">
        <v>9089</v>
      </c>
      <c r="E187" s="297">
        <v>90089</v>
      </c>
      <c r="F187" s="27" t="s">
        <v>162</v>
      </c>
      <c r="G187" s="27" t="s">
        <v>158</v>
      </c>
      <c r="H187" s="35">
        <v>308231</v>
      </c>
      <c r="I187" s="35">
        <v>66</v>
      </c>
      <c r="J187" s="292"/>
      <c r="K187" s="8">
        <v>1066</v>
      </c>
      <c r="L187" s="8"/>
      <c r="M187" s="8">
        <v>0</v>
      </c>
      <c r="N187" s="9"/>
      <c r="O187" s="8">
        <v>0</v>
      </c>
      <c r="P187" s="9"/>
      <c r="Q187" s="8">
        <v>3</v>
      </c>
      <c r="R187" s="9"/>
      <c r="S187" s="8">
        <v>0</v>
      </c>
      <c r="T187" s="9"/>
      <c r="U187" s="33">
        <v>1069</v>
      </c>
      <c r="V187" s="9"/>
      <c r="W187" s="30">
        <v>1</v>
      </c>
      <c r="X187" s="9"/>
      <c r="Y187" s="30">
        <v>0</v>
      </c>
      <c r="Z187" s="9"/>
      <c r="AA187" s="30">
        <v>0</v>
      </c>
      <c r="AB187" s="9"/>
      <c r="AC187" s="30">
        <v>0.01</v>
      </c>
      <c r="AD187" s="9"/>
      <c r="AE187" s="80">
        <v>0</v>
      </c>
      <c r="AF187" s="46"/>
      <c r="AG187" s="88">
        <v>1.01</v>
      </c>
      <c r="AH187" s="47"/>
      <c r="AJ187" s="83">
        <v>1066</v>
      </c>
      <c r="AL187" s="83">
        <v>0</v>
      </c>
      <c r="AN187" s="83">
        <v>0</v>
      </c>
      <c r="AP187" s="83">
        <v>0</v>
      </c>
      <c r="AR187" s="83">
        <v>0</v>
      </c>
      <c r="AT187" s="204">
        <v>1066</v>
      </c>
      <c r="AV187" s="46">
        <v>1</v>
      </c>
      <c r="AX187" s="46">
        <v>0</v>
      </c>
      <c r="AZ187" s="46">
        <v>0</v>
      </c>
      <c r="BB187" s="46">
        <v>0</v>
      </c>
      <c r="BD187" s="46">
        <v>0</v>
      </c>
      <c r="BF187" s="209">
        <v>1.01</v>
      </c>
      <c r="BI187" s="83">
        <v>0</v>
      </c>
      <c r="BK187" s="83">
        <v>0</v>
      </c>
      <c r="BM187" s="83">
        <v>0</v>
      </c>
      <c r="BO187" s="83">
        <v>3</v>
      </c>
      <c r="BQ187" s="83">
        <v>0</v>
      </c>
      <c r="BS187" s="85">
        <v>3</v>
      </c>
      <c r="BU187" s="46">
        <v>0</v>
      </c>
      <c r="BW187" s="46">
        <v>0</v>
      </c>
      <c r="BY187" s="46">
        <v>0</v>
      </c>
      <c r="CA187" s="46">
        <v>0.01</v>
      </c>
      <c r="CC187" s="46">
        <v>0</v>
      </c>
      <c r="CE187" s="209">
        <v>0.01</v>
      </c>
      <c r="CH187" s="41">
        <v>33819</v>
      </c>
      <c r="CJ187" s="41">
        <v>0</v>
      </c>
      <c r="CL187" s="41">
        <v>0</v>
      </c>
      <c r="CN187" s="41">
        <v>150</v>
      </c>
      <c r="CP187" s="43">
        <v>33969</v>
      </c>
      <c r="CS187" s="39">
        <v>31.725100000000001</v>
      </c>
      <c r="CW187" s="39">
        <v>0</v>
      </c>
      <c r="CY187" s="39">
        <v>50</v>
      </c>
      <c r="DA187" s="44">
        <v>31.776399999999999</v>
      </c>
      <c r="DC187" s="1" t="str">
        <f t="shared" si="2"/>
        <v>No</v>
      </c>
    </row>
    <row r="188" spans="1:107">
      <c r="A188" s="7" t="s">
        <v>695</v>
      </c>
      <c r="B188" s="7" t="s">
        <v>696</v>
      </c>
      <c r="C188" s="37" t="s">
        <v>58</v>
      </c>
      <c r="D188" s="296">
        <v>4012</v>
      </c>
      <c r="E188" s="297">
        <v>40012</v>
      </c>
      <c r="F188" s="27" t="s">
        <v>165</v>
      </c>
      <c r="G188" s="27" t="s">
        <v>158</v>
      </c>
      <c r="H188" s="35">
        <v>391024</v>
      </c>
      <c r="I188" s="35">
        <v>66</v>
      </c>
      <c r="J188" s="292"/>
      <c r="K188" s="8">
        <v>229822</v>
      </c>
      <c r="L188" s="8"/>
      <c r="M188" s="8">
        <v>49804</v>
      </c>
      <c r="N188" s="9"/>
      <c r="O188" s="8">
        <v>11502</v>
      </c>
      <c r="P188" s="9"/>
      <c r="Q188" s="8">
        <v>31877</v>
      </c>
      <c r="R188" s="9"/>
      <c r="S188" s="8">
        <v>0</v>
      </c>
      <c r="T188" s="9"/>
      <c r="U188" s="33">
        <v>323005</v>
      </c>
      <c r="V188" s="9"/>
      <c r="W188" s="30">
        <v>125</v>
      </c>
      <c r="X188" s="9"/>
      <c r="Y188" s="30">
        <v>27</v>
      </c>
      <c r="Z188" s="9"/>
      <c r="AA188" s="30">
        <v>8</v>
      </c>
      <c r="AB188" s="9"/>
      <c r="AC188" s="30">
        <v>19</v>
      </c>
      <c r="AD188" s="9"/>
      <c r="AE188" s="80">
        <v>0</v>
      </c>
      <c r="AF188" s="46"/>
      <c r="AG188" s="88">
        <v>179</v>
      </c>
      <c r="AH188" s="47"/>
      <c r="AJ188" s="83">
        <v>206228</v>
      </c>
      <c r="AL188" s="83">
        <v>43404</v>
      </c>
      <c r="AN188" s="83">
        <v>0</v>
      </c>
      <c r="AP188" s="83">
        <v>27200</v>
      </c>
      <c r="AR188" s="83">
        <v>0</v>
      </c>
      <c r="AT188" s="204">
        <v>276832</v>
      </c>
      <c r="AV188" s="46">
        <v>104</v>
      </c>
      <c r="AX188" s="46">
        <v>23</v>
      </c>
      <c r="AZ188" s="46">
        <v>0</v>
      </c>
      <c r="BB188" s="46">
        <v>15</v>
      </c>
      <c r="BD188" s="46">
        <v>0</v>
      </c>
      <c r="BF188" s="209">
        <v>179</v>
      </c>
      <c r="BI188" s="83">
        <v>23594</v>
      </c>
      <c r="BK188" s="83">
        <v>6400</v>
      </c>
      <c r="BM188" s="83">
        <v>11502</v>
      </c>
      <c r="BO188" s="83">
        <v>4677</v>
      </c>
      <c r="BQ188" s="83">
        <v>0</v>
      </c>
      <c r="BS188" s="85">
        <v>46173</v>
      </c>
      <c r="BU188" s="46">
        <v>21</v>
      </c>
      <c r="BW188" s="46">
        <v>4</v>
      </c>
      <c r="BY188" s="46">
        <v>8</v>
      </c>
      <c r="CA188" s="46">
        <v>4</v>
      </c>
      <c r="CC188" s="46">
        <v>0</v>
      </c>
      <c r="CE188" s="209">
        <v>37</v>
      </c>
      <c r="CH188" s="41">
        <v>5145152</v>
      </c>
      <c r="CJ188" s="41">
        <v>1168854</v>
      </c>
      <c r="CL188" s="41">
        <v>202621</v>
      </c>
      <c r="CN188" s="41">
        <v>840136</v>
      </c>
      <c r="CP188" s="43">
        <v>7356763</v>
      </c>
      <c r="CS188" s="39">
        <v>22.387599999999999</v>
      </c>
      <c r="CU188" s="39">
        <v>23.469100000000001</v>
      </c>
      <c r="CW188" s="39">
        <v>0.88160000000000005</v>
      </c>
      <c r="CY188" s="39">
        <v>26.355599999999999</v>
      </c>
      <c r="DA188" s="44">
        <v>22.776</v>
      </c>
      <c r="DC188" s="1" t="str">
        <f t="shared" si="2"/>
        <v>No</v>
      </c>
    </row>
    <row r="189" spans="1:107">
      <c r="A189" s="7" t="s">
        <v>747</v>
      </c>
      <c r="B189" s="7" t="s">
        <v>654</v>
      </c>
      <c r="C189" s="37" t="s">
        <v>26</v>
      </c>
      <c r="D189" s="296">
        <v>8106</v>
      </c>
      <c r="E189" s="297">
        <v>80106</v>
      </c>
      <c r="F189" s="27" t="s">
        <v>195</v>
      </c>
      <c r="G189" s="27" t="s">
        <v>158</v>
      </c>
      <c r="H189" s="35">
        <v>264465</v>
      </c>
      <c r="I189" s="35">
        <v>66</v>
      </c>
      <c r="J189" s="292"/>
      <c r="K189" s="8">
        <v>0</v>
      </c>
      <c r="L189" s="8"/>
      <c r="M189" s="8">
        <v>0</v>
      </c>
      <c r="N189" s="9"/>
      <c r="O189" s="8">
        <v>0</v>
      </c>
      <c r="P189" s="9"/>
      <c r="Q189" s="8">
        <v>5466</v>
      </c>
      <c r="R189" s="9"/>
      <c r="S189" s="8">
        <v>0</v>
      </c>
      <c r="T189" s="9"/>
      <c r="U189" s="33">
        <v>5466</v>
      </c>
      <c r="V189" s="9"/>
      <c r="W189" s="30">
        <v>0</v>
      </c>
      <c r="X189" s="9"/>
      <c r="Y189" s="30">
        <v>0</v>
      </c>
      <c r="Z189" s="9"/>
      <c r="AA189" s="30">
        <v>0</v>
      </c>
      <c r="AB189" s="9"/>
      <c r="AC189" s="30">
        <v>9</v>
      </c>
      <c r="AD189" s="9"/>
      <c r="AE189" s="80">
        <v>0</v>
      </c>
      <c r="AF189" s="46"/>
      <c r="AG189" s="88">
        <v>9</v>
      </c>
      <c r="AH189" s="47"/>
      <c r="AJ189" s="83">
        <v>0</v>
      </c>
      <c r="AL189" s="83">
        <v>0</v>
      </c>
      <c r="AN189" s="83">
        <v>0</v>
      </c>
      <c r="AP189" s="83">
        <v>1969</v>
      </c>
      <c r="AR189" s="83">
        <v>0</v>
      </c>
      <c r="AT189" s="204">
        <v>1969</v>
      </c>
      <c r="AV189" s="46">
        <v>0</v>
      </c>
      <c r="AX189" s="46">
        <v>0</v>
      </c>
      <c r="AZ189" s="46">
        <v>0</v>
      </c>
      <c r="BB189" s="46">
        <v>1</v>
      </c>
      <c r="BD189" s="46">
        <v>0</v>
      </c>
      <c r="BF189" s="209">
        <v>9</v>
      </c>
      <c r="BI189" s="83">
        <v>0</v>
      </c>
      <c r="BK189" s="83">
        <v>0</v>
      </c>
      <c r="BM189" s="83">
        <v>0</v>
      </c>
      <c r="BO189" s="83">
        <v>3497</v>
      </c>
      <c r="BQ189" s="83">
        <v>0</v>
      </c>
      <c r="BS189" s="85">
        <v>3497</v>
      </c>
      <c r="BU189" s="46">
        <v>0</v>
      </c>
      <c r="BW189" s="46">
        <v>0</v>
      </c>
      <c r="BY189" s="46">
        <v>0</v>
      </c>
      <c r="CA189" s="46">
        <v>8</v>
      </c>
      <c r="CC189" s="46">
        <v>0</v>
      </c>
      <c r="CE189" s="209">
        <v>8</v>
      </c>
      <c r="CH189" s="41">
        <v>0</v>
      </c>
      <c r="CJ189" s="41">
        <v>0</v>
      </c>
      <c r="CL189" s="41">
        <v>0</v>
      </c>
      <c r="CN189" s="41">
        <v>167944</v>
      </c>
      <c r="CP189" s="43">
        <v>167944</v>
      </c>
      <c r="CY189" s="39">
        <v>30.725200000000001</v>
      </c>
      <c r="DA189" s="44">
        <v>30.725200000000001</v>
      </c>
      <c r="DC189" s="1" t="str">
        <f t="shared" si="2"/>
        <v>No</v>
      </c>
    </row>
    <row r="190" spans="1:107">
      <c r="A190" s="7" t="s">
        <v>391</v>
      </c>
      <c r="B190" s="7" t="s">
        <v>392</v>
      </c>
      <c r="C190" s="37" t="s">
        <v>28</v>
      </c>
      <c r="D190" s="296">
        <v>1050</v>
      </c>
      <c r="E190" s="297">
        <v>10050</v>
      </c>
      <c r="F190" s="27" t="s">
        <v>165</v>
      </c>
      <c r="G190" s="27" t="s">
        <v>158</v>
      </c>
      <c r="H190" s="35">
        <v>923311</v>
      </c>
      <c r="I190" s="35">
        <v>64</v>
      </c>
      <c r="J190" s="292"/>
      <c r="K190" s="8">
        <v>234950</v>
      </c>
      <c r="L190" s="8"/>
      <c r="M190" s="8">
        <v>65306</v>
      </c>
      <c r="N190" s="9"/>
      <c r="O190" s="8">
        <v>3676</v>
      </c>
      <c r="P190" s="9"/>
      <c r="Q190" s="8">
        <v>26672</v>
      </c>
      <c r="R190" s="9"/>
      <c r="S190" s="8">
        <v>0</v>
      </c>
      <c r="T190" s="9"/>
      <c r="U190" s="33">
        <v>330604</v>
      </c>
      <c r="V190" s="9"/>
      <c r="W190" s="30">
        <v>131</v>
      </c>
      <c r="X190" s="9"/>
      <c r="Y190" s="30">
        <v>36</v>
      </c>
      <c r="Z190" s="9"/>
      <c r="AA190" s="30">
        <v>2</v>
      </c>
      <c r="AB190" s="9"/>
      <c r="AC190" s="30">
        <v>17</v>
      </c>
      <c r="AD190" s="9"/>
      <c r="AE190" s="80">
        <v>0</v>
      </c>
      <c r="AF190" s="46"/>
      <c r="AG190" s="88">
        <v>186</v>
      </c>
      <c r="AH190" s="47"/>
      <c r="AJ190" s="83">
        <v>216189</v>
      </c>
      <c r="AL190" s="83">
        <v>62331</v>
      </c>
      <c r="AN190" s="83">
        <v>3676</v>
      </c>
      <c r="AP190" s="83">
        <v>24489</v>
      </c>
      <c r="AR190" s="83">
        <v>0</v>
      </c>
      <c r="AT190" s="204">
        <v>306685</v>
      </c>
      <c r="AV190" s="46">
        <v>109</v>
      </c>
      <c r="AX190" s="46">
        <v>33</v>
      </c>
      <c r="AZ190" s="46">
        <v>2</v>
      </c>
      <c r="BB190" s="46">
        <v>15</v>
      </c>
      <c r="BD190" s="46">
        <v>0</v>
      </c>
      <c r="BF190" s="209">
        <v>186</v>
      </c>
      <c r="BI190" s="83">
        <v>18761</v>
      </c>
      <c r="BK190" s="83">
        <v>2975</v>
      </c>
      <c r="BM190" s="83">
        <v>0</v>
      </c>
      <c r="BO190" s="83">
        <v>2183</v>
      </c>
      <c r="BQ190" s="83">
        <v>0</v>
      </c>
      <c r="BS190" s="85">
        <v>23919</v>
      </c>
      <c r="BU190" s="46">
        <v>22</v>
      </c>
      <c r="BW190" s="46">
        <v>3</v>
      </c>
      <c r="BY190" s="46">
        <v>0</v>
      </c>
      <c r="CA190" s="46">
        <v>2</v>
      </c>
      <c r="CC190" s="46">
        <v>0</v>
      </c>
      <c r="CE190" s="209">
        <v>27</v>
      </c>
      <c r="CH190" s="41">
        <v>6088472</v>
      </c>
      <c r="CJ190" s="41">
        <v>1640146</v>
      </c>
      <c r="CL190" s="41">
        <v>99527</v>
      </c>
      <c r="CN190" s="41">
        <v>827327</v>
      </c>
      <c r="CP190" s="43">
        <v>8655472</v>
      </c>
      <c r="CS190" s="39">
        <v>25.913900000000002</v>
      </c>
      <c r="CU190" s="39">
        <v>25.114799999999999</v>
      </c>
      <c r="CW190" s="39">
        <v>0.42359999999999998</v>
      </c>
      <c r="CY190" s="39">
        <v>31.018599999999999</v>
      </c>
      <c r="DA190" s="44">
        <v>26.180800000000001</v>
      </c>
      <c r="DC190" s="1" t="str">
        <f t="shared" si="2"/>
        <v>No</v>
      </c>
    </row>
    <row r="191" spans="1:107">
      <c r="A191" s="7" t="s">
        <v>87</v>
      </c>
      <c r="B191" s="7" t="s">
        <v>736</v>
      </c>
      <c r="C191" s="37" t="s">
        <v>86</v>
      </c>
      <c r="D191" s="296">
        <v>3045</v>
      </c>
      <c r="E191" s="297">
        <v>30045</v>
      </c>
      <c r="F191" s="27" t="s">
        <v>401</v>
      </c>
      <c r="G191" s="27" t="s">
        <v>158</v>
      </c>
      <c r="H191" s="35">
        <v>92359</v>
      </c>
      <c r="I191" s="35">
        <v>63</v>
      </c>
      <c r="J191" s="292"/>
      <c r="K191" s="8">
        <v>184879</v>
      </c>
      <c r="L191" s="8"/>
      <c r="M191" s="8">
        <v>6022</v>
      </c>
      <c r="N191" s="9"/>
      <c r="O191" s="8">
        <v>177</v>
      </c>
      <c r="P191" s="9"/>
      <c r="Q191" s="8">
        <v>18708</v>
      </c>
      <c r="R191" s="9"/>
      <c r="S191" s="8">
        <v>0</v>
      </c>
      <c r="T191" s="9"/>
      <c r="U191" s="33">
        <v>209786</v>
      </c>
      <c r="V191" s="9"/>
      <c r="W191" s="30">
        <v>106</v>
      </c>
      <c r="X191" s="9"/>
      <c r="Y191" s="30">
        <v>2.9</v>
      </c>
      <c r="Z191" s="9"/>
      <c r="AA191" s="30">
        <v>0.1</v>
      </c>
      <c r="AB191" s="9"/>
      <c r="AC191" s="30">
        <v>9</v>
      </c>
      <c r="AD191" s="9"/>
      <c r="AE191" s="80">
        <v>0</v>
      </c>
      <c r="AF191" s="46"/>
      <c r="AG191" s="88">
        <v>118</v>
      </c>
      <c r="AH191" s="47"/>
      <c r="AJ191" s="83">
        <v>137735</v>
      </c>
      <c r="AL191" s="83">
        <v>6022</v>
      </c>
      <c r="AN191" s="83">
        <v>177</v>
      </c>
      <c r="AP191" s="83">
        <v>18708</v>
      </c>
      <c r="AR191" s="83">
        <v>0</v>
      </c>
      <c r="AT191" s="204">
        <v>162642</v>
      </c>
      <c r="AV191" s="46">
        <v>69</v>
      </c>
      <c r="AX191" s="46">
        <v>2.9</v>
      </c>
      <c r="AZ191" s="46">
        <v>0.1</v>
      </c>
      <c r="BB191" s="46">
        <v>9</v>
      </c>
      <c r="BD191" s="46">
        <v>0</v>
      </c>
      <c r="BF191" s="209">
        <v>118</v>
      </c>
      <c r="BI191" s="83">
        <v>47144</v>
      </c>
      <c r="BK191" s="83">
        <v>0</v>
      </c>
      <c r="BM191" s="83">
        <v>0</v>
      </c>
      <c r="BO191" s="83">
        <v>0</v>
      </c>
      <c r="BQ191" s="83">
        <v>0</v>
      </c>
      <c r="BS191" s="85">
        <v>47144</v>
      </c>
      <c r="BU191" s="46">
        <v>37</v>
      </c>
      <c r="BW191" s="46">
        <v>0</v>
      </c>
      <c r="BY191" s="46">
        <v>0</v>
      </c>
      <c r="CA191" s="46">
        <v>0</v>
      </c>
      <c r="CC191" s="46">
        <v>0</v>
      </c>
      <c r="CE191" s="209">
        <v>37</v>
      </c>
      <c r="CH191" s="41">
        <v>2863502</v>
      </c>
      <c r="CJ191" s="41">
        <v>149077</v>
      </c>
      <c r="CL191" s="41">
        <v>8821</v>
      </c>
      <c r="CN191" s="41">
        <v>544607</v>
      </c>
      <c r="CP191" s="43">
        <v>3566007</v>
      </c>
      <c r="CS191" s="39">
        <v>15.4885</v>
      </c>
      <c r="CU191" s="39">
        <v>24.755400000000002</v>
      </c>
      <c r="CW191" s="39">
        <v>4.7699999999999999E-2</v>
      </c>
      <c r="CY191" s="39">
        <v>29.110900000000001</v>
      </c>
      <c r="DA191" s="44">
        <v>16.9983</v>
      </c>
      <c r="DC191" s="1" t="str">
        <f t="shared" si="2"/>
        <v>No</v>
      </c>
    </row>
    <row r="192" spans="1:107">
      <c r="A192" s="7" t="s">
        <v>626</v>
      </c>
      <c r="B192" s="7" t="s">
        <v>627</v>
      </c>
      <c r="C192" s="37" t="s">
        <v>73</v>
      </c>
      <c r="D192" s="296">
        <v>5011</v>
      </c>
      <c r="E192" s="297">
        <v>50011</v>
      </c>
      <c r="F192" s="27" t="s">
        <v>165</v>
      </c>
      <c r="G192" s="27" t="s">
        <v>158</v>
      </c>
      <c r="H192" s="35">
        <v>279245</v>
      </c>
      <c r="I192" s="35">
        <v>63</v>
      </c>
      <c r="J192" s="292"/>
      <c r="K192" s="8">
        <v>305985</v>
      </c>
      <c r="L192" s="8"/>
      <c r="M192" s="8">
        <v>51409</v>
      </c>
      <c r="N192" s="9"/>
      <c r="O192" s="8">
        <v>4817</v>
      </c>
      <c r="P192" s="9"/>
      <c r="Q192" s="8">
        <v>34558</v>
      </c>
      <c r="R192" s="9"/>
      <c r="S192" s="8">
        <v>0</v>
      </c>
      <c r="T192" s="9"/>
      <c r="U192" s="33">
        <v>396769</v>
      </c>
      <c r="V192" s="9"/>
      <c r="W192" s="30">
        <v>163</v>
      </c>
      <c r="X192" s="9"/>
      <c r="Y192" s="30">
        <v>28</v>
      </c>
      <c r="Z192" s="9"/>
      <c r="AA192" s="30">
        <v>3</v>
      </c>
      <c r="AB192" s="9"/>
      <c r="AC192" s="30">
        <v>19</v>
      </c>
      <c r="AD192" s="9"/>
      <c r="AE192" s="80">
        <v>0</v>
      </c>
      <c r="AF192" s="46"/>
      <c r="AG192" s="88">
        <v>213</v>
      </c>
      <c r="AH192" s="47"/>
      <c r="AJ192" s="83">
        <v>305985</v>
      </c>
      <c r="AL192" s="83">
        <v>51409</v>
      </c>
      <c r="AN192" s="83">
        <v>4817</v>
      </c>
      <c r="AP192" s="83">
        <v>34558</v>
      </c>
      <c r="AR192" s="83">
        <v>0</v>
      </c>
      <c r="AT192" s="204">
        <v>396769</v>
      </c>
      <c r="AV192" s="46">
        <v>163</v>
      </c>
      <c r="AX192" s="46">
        <v>28</v>
      </c>
      <c r="AZ192" s="46">
        <v>3</v>
      </c>
      <c r="BB192" s="46">
        <v>19</v>
      </c>
      <c r="BD192" s="46">
        <v>0</v>
      </c>
      <c r="BF192" s="209">
        <v>213</v>
      </c>
      <c r="BI192" s="83">
        <v>0</v>
      </c>
      <c r="BK192" s="83">
        <v>0</v>
      </c>
      <c r="BM192" s="83">
        <v>0</v>
      </c>
      <c r="BO192" s="83">
        <v>0</v>
      </c>
      <c r="BQ192" s="83">
        <v>0</v>
      </c>
      <c r="BS192" s="85">
        <v>0</v>
      </c>
      <c r="BU192" s="46">
        <v>0</v>
      </c>
      <c r="BW192" s="46">
        <v>0</v>
      </c>
      <c r="BY192" s="46">
        <v>0</v>
      </c>
      <c r="CA192" s="46">
        <v>0</v>
      </c>
      <c r="CC192" s="46">
        <v>0</v>
      </c>
      <c r="CE192" s="209">
        <v>0</v>
      </c>
      <c r="CH192" s="41">
        <v>5486369</v>
      </c>
      <c r="CJ192" s="41">
        <v>1049718</v>
      </c>
      <c r="CL192" s="41">
        <v>91773</v>
      </c>
      <c r="CN192" s="41">
        <v>919055</v>
      </c>
      <c r="CP192" s="43">
        <v>7546915</v>
      </c>
      <c r="CS192" s="39">
        <v>17.930199999999999</v>
      </c>
      <c r="CU192" s="39">
        <v>20.419</v>
      </c>
      <c r="CW192" s="39">
        <v>0.2999</v>
      </c>
      <c r="CY192" s="39">
        <v>26.5946</v>
      </c>
      <c r="DA192" s="44">
        <v>19.020900000000001</v>
      </c>
      <c r="DC192" s="1" t="str">
        <f t="shared" si="2"/>
        <v>No</v>
      </c>
    </row>
    <row r="193" spans="1:107">
      <c r="A193" s="7" t="s">
        <v>701</v>
      </c>
      <c r="B193" s="7" t="s">
        <v>702</v>
      </c>
      <c r="C193" s="37" t="s">
        <v>89</v>
      </c>
      <c r="D193" s="296">
        <v>6</v>
      </c>
      <c r="E193" s="297">
        <v>6</v>
      </c>
      <c r="F193" s="27" t="s">
        <v>162</v>
      </c>
      <c r="G193" s="27" t="s">
        <v>158</v>
      </c>
      <c r="H193" s="35">
        <v>129534</v>
      </c>
      <c r="I193" s="35">
        <v>63</v>
      </c>
      <c r="J193" s="292"/>
      <c r="K193" s="8">
        <v>93740</v>
      </c>
      <c r="L193" s="8"/>
      <c r="M193" s="8">
        <v>11455</v>
      </c>
      <c r="N193" s="9"/>
      <c r="O193" s="8">
        <v>0</v>
      </c>
      <c r="P193" s="9"/>
      <c r="Q193" s="8">
        <v>14141</v>
      </c>
      <c r="R193" s="9"/>
      <c r="S193" s="8">
        <v>0</v>
      </c>
      <c r="T193" s="9"/>
      <c r="U193" s="33">
        <v>119336</v>
      </c>
      <c r="V193" s="9"/>
      <c r="W193" s="30">
        <v>63</v>
      </c>
      <c r="X193" s="9"/>
      <c r="Y193" s="30">
        <v>11</v>
      </c>
      <c r="Z193" s="9"/>
      <c r="AA193" s="30">
        <v>0</v>
      </c>
      <c r="AB193" s="9"/>
      <c r="AC193" s="30">
        <v>8</v>
      </c>
      <c r="AD193" s="9"/>
      <c r="AE193" s="80">
        <v>0</v>
      </c>
      <c r="AF193" s="46"/>
      <c r="AG193" s="88">
        <v>82</v>
      </c>
      <c r="AH193" s="47"/>
      <c r="AJ193" s="83">
        <v>65821</v>
      </c>
      <c r="AL193" s="83">
        <v>5612</v>
      </c>
      <c r="AN193" s="83">
        <v>0</v>
      </c>
      <c r="AP193" s="83">
        <v>14141</v>
      </c>
      <c r="AR193" s="83">
        <v>0</v>
      </c>
      <c r="AT193" s="204">
        <v>85574</v>
      </c>
      <c r="AV193" s="46">
        <v>34</v>
      </c>
      <c r="AX193" s="46">
        <v>4</v>
      </c>
      <c r="AZ193" s="46">
        <v>0</v>
      </c>
      <c r="BB193" s="46">
        <v>8</v>
      </c>
      <c r="BD193" s="46">
        <v>0</v>
      </c>
      <c r="BF193" s="209">
        <v>82</v>
      </c>
      <c r="BI193" s="83">
        <v>27919</v>
      </c>
      <c r="BK193" s="83">
        <v>5843</v>
      </c>
      <c r="BM193" s="83">
        <v>0</v>
      </c>
      <c r="BO193" s="83">
        <v>0</v>
      </c>
      <c r="BQ193" s="83">
        <v>0</v>
      </c>
      <c r="BS193" s="85">
        <v>33762</v>
      </c>
      <c r="BU193" s="46">
        <v>29</v>
      </c>
      <c r="BW193" s="46">
        <v>7</v>
      </c>
      <c r="BY193" s="46">
        <v>0</v>
      </c>
      <c r="CA193" s="46">
        <v>0</v>
      </c>
      <c r="CC193" s="46">
        <v>0</v>
      </c>
      <c r="CE193" s="209">
        <v>36</v>
      </c>
      <c r="CH193" s="41">
        <v>2061662</v>
      </c>
      <c r="CJ193" s="41">
        <v>189985</v>
      </c>
      <c r="CL193" s="41">
        <v>0</v>
      </c>
      <c r="CN193" s="41">
        <v>357994</v>
      </c>
      <c r="CP193" s="43">
        <v>2609641</v>
      </c>
      <c r="CS193" s="39">
        <v>21.993400000000001</v>
      </c>
      <c r="CU193" s="39">
        <v>16.5853</v>
      </c>
      <c r="CW193" s="39">
        <v>0</v>
      </c>
      <c r="CY193" s="39">
        <v>25.315999999999999</v>
      </c>
      <c r="DA193" s="44">
        <v>21.867999999999999</v>
      </c>
      <c r="DC193" s="1" t="str">
        <f t="shared" si="2"/>
        <v>No</v>
      </c>
    </row>
    <row r="194" spans="1:107">
      <c r="A194" s="7" t="s">
        <v>649</v>
      </c>
      <c r="B194" s="7" t="s">
        <v>650</v>
      </c>
      <c r="C194" s="37" t="s">
        <v>70</v>
      </c>
      <c r="D194" s="296">
        <v>2145</v>
      </c>
      <c r="E194" s="297">
        <v>20145</v>
      </c>
      <c r="F194" s="27" t="s">
        <v>187</v>
      </c>
      <c r="G194" s="27" t="s">
        <v>158</v>
      </c>
      <c r="H194" s="35">
        <v>53661</v>
      </c>
      <c r="I194" s="35">
        <v>62</v>
      </c>
      <c r="J194" s="292"/>
      <c r="K194" s="8">
        <v>183558</v>
      </c>
      <c r="L194" s="8"/>
      <c r="M194" s="8">
        <v>29359</v>
      </c>
      <c r="N194" s="9"/>
      <c r="O194" s="8">
        <v>3940</v>
      </c>
      <c r="P194" s="9"/>
      <c r="Q194" s="8">
        <v>27512</v>
      </c>
      <c r="R194" s="9"/>
      <c r="S194" s="8">
        <v>0</v>
      </c>
      <c r="T194" s="9"/>
      <c r="U194" s="33">
        <v>244369</v>
      </c>
      <c r="V194" s="9"/>
      <c r="W194" s="30">
        <v>91</v>
      </c>
      <c r="X194" s="9"/>
      <c r="Y194" s="30">
        <v>14</v>
      </c>
      <c r="Z194" s="9"/>
      <c r="AA194" s="30">
        <v>2</v>
      </c>
      <c r="AB194" s="9"/>
      <c r="AC194" s="30">
        <v>13</v>
      </c>
      <c r="AD194" s="9"/>
      <c r="AE194" s="80">
        <v>0</v>
      </c>
      <c r="AF194" s="46"/>
      <c r="AG194" s="88">
        <v>120</v>
      </c>
      <c r="AH194" s="47"/>
      <c r="AJ194" s="83">
        <v>183558</v>
      </c>
      <c r="AL194" s="83">
        <v>29359</v>
      </c>
      <c r="AN194" s="83">
        <v>3940</v>
      </c>
      <c r="AP194" s="83">
        <v>27512</v>
      </c>
      <c r="AR194" s="83">
        <v>0</v>
      </c>
      <c r="AT194" s="204">
        <v>244369</v>
      </c>
      <c r="AV194" s="46">
        <v>91</v>
      </c>
      <c r="AX194" s="46">
        <v>14</v>
      </c>
      <c r="AZ194" s="46">
        <v>2</v>
      </c>
      <c r="BB194" s="46">
        <v>13</v>
      </c>
      <c r="BD194" s="46">
        <v>0</v>
      </c>
      <c r="BF194" s="209">
        <v>120</v>
      </c>
      <c r="BI194" s="83">
        <v>0</v>
      </c>
      <c r="BK194" s="83">
        <v>0</v>
      </c>
      <c r="BM194" s="83">
        <v>0</v>
      </c>
      <c r="BO194" s="83">
        <v>0</v>
      </c>
      <c r="BQ194" s="83">
        <v>0</v>
      </c>
      <c r="BS194" s="85">
        <v>0</v>
      </c>
      <c r="BU194" s="46">
        <v>0</v>
      </c>
      <c r="BW194" s="46">
        <v>0</v>
      </c>
      <c r="BY194" s="46">
        <v>0</v>
      </c>
      <c r="CA194" s="46">
        <v>0</v>
      </c>
      <c r="CC194" s="46">
        <v>0</v>
      </c>
      <c r="CE194" s="209">
        <v>0</v>
      </c>
      <c r="CH194" s="41">
        <v>4700966</v>
      </c>
      <c r="CJ194" s="41">
        <v>699848</v>
      </c>
      <c r="CL194" s="41">
        <v>120546</v>
      </c>
      <c r="CN194" s="41">
        <v>688691</v>
      </c>
      <c r="CP194" s="43">
        <v>6210051</v>
      </c>
      <c r="CS194" s="39">
        <v>25.610199999999999</v>
      </c>
      <c r="CU194" s="39">
        <v>23.837599999999998</v>
      </c>
      <c r="CW194" s="39">
        <v>0.65669999999999995</v>
      </c>
      <c r="CY194" s="39">
        <v>25.032399999999999</v>
      </c>
      <c r="DA194" s="44">
        <v>25.412600000000001</v>
      </c>
      <c r="DC194" s="1" t="str">
        <f t="shared" si="2"/>
        <v>No</v>
      </c>
    </row>
    <row r="195" spans="1:107">
      <c r="A195" s="7" t="s">
        <v>569</v>
      </c>
      <c r="B195" s="7" t="s">
        <v>570</v>
      </c>
      <c r="C195" s="37" t="s">
        <v>40</v>
      </c>
      <c r="D195" s="296">
        <v>5057</v>
      </c>
      <c r="E195" s="297">
        <v>50057</v>
      </c>
      <c r="F195" s="27" t="s">
        <v>165</v>
      </c>
      <c r="G195" s="27" t="s">
        <v>158</v>
      </c>
      <c r="H195" s="35">
        <v>280051</v>
      </c>
      <c r="I195" s="35">
        <v>62</v>
      </c>
      <c r="J195" s="292"/>
      <c r="K195" s="8">
        <v>225788</v>
      </c>
      <c r="L195" s="8"/>
      <c r="M195" s="8">
        <v>37669</v>
      </c>
      <c r="N195" s="9"/>
      <c r="O195" s="8">
        <v>2735</v>
      </c>
      <c r="P195" s="9"/>
      <c r="Q195" s="8">
        <v>30787</v>
      </c>
      <c r="R195" s="9"/>
      <c r="S195" s="8">
        <v>0</v>
      </c>
      <c r="T195" s="9"/>
      <c r="U195" s="33">
        <v>296979</v>
      </c>
      <c r="V195" s="9"/>
      <c r="W195" s="30">
        <v>123</v>
      </c>
      <c r="X195" s="9"/>
      <c r="Y195" s="30">
        <v>21.5</v>
      </c>
      <c r="Z195" s="9"/>
      <c r="AA195" s="30">
        <v>1.5</v>
      </c>
      <c r="AB195" s="9"/>
      <c r="AC195" s="30">
        <v>23</v>
      </c>
      <c r="AD195" s="9"/>
      <c r="AE195" s="80">
        <v>0</v>
      </c>
      <c r="AF195" s="46"/>
      <c r="AG195" s="88">
        <v>169</v>
      </c>
      <c r="AH195" s="47"/>
      <c r="AJ195" s="83">
        <v>201028</v>
      </c>
      <c r="AL195" s="83">
        <v>30736</v>
      </c>
      <c r="AN195" s="83">
        <v>2735</v>
      </c>
      <c r="AP195" s="83">
        <v>26051</v>
      </c>
      <c r="AR195" s="83">
        <v>0</v>
      </c>
      <c r="AT195" s="204">
        <v>260550</v>
      </c>
      <c r="AV195" s="46">
        <v>102</v>
      </c>
      <c r="AX195" s="46">
        <v>16.5</v>
      </c>
      <c r="AZ195" s="46">
        <v>1.5</v>
      </c>
      <c r="BB195" s="46">
        <v>14</v>
      </c>
      <c r="BD195" s="46">
        <v>0</v>
      </c>
      <c r="BF195" s="209">
        <v>169</v>
      </c>
      <c r="BI195" s="83">
        <v>24760</v>
      </c>
      <c r="BK195" s="83">
        <v>6933</v>
      </c>
      <c r="BM195" s="83">
        <v>0</v>
      </c>
      <c r="BO195" s="83">
        <v>4736</v>
      </c>
      <c r="BQ195" s="83">
        <v>0</v>
      </c>
      <c r="BS195" s="85">
        <v>36429</v>
      </c>
      <c r="BU195" s="46">
        <v>21</v>
      </c>
      <c r="BW195" s="46">
        <v>5</v>
      </c>
      <c r="BY195" s="46">
        <v>0</v>
      </c>
      <c r="CA195" s="46">
        <v>9</v>
      </c>
      <c r="CC195" s="46">
        <v>0</v>
      </c>
      <c r="CE195" s="209">
        <v>35</v>
      </c>
      <c r="CH195" s="41">
        <v>4945072</v>
      </c>
      <c r="CJ195" s="41">
        <v>995069</v>
      </c>
      <c r="CL195" s="41">
        <v>55846</v>
      </c>
      <c r="CN195" s="41">
        <v>865074</v>
      </c>
      <c r="CP195" s="43">
        <v>6861061</v>
      </c>
      <c r="CS195" s="39">
        <v>21.901399999999999</v>
      </c>
      <c r="CU195" s="39">
        <v>26.4161</v>
      </c>
      <c r="CW195" s="39">
        <v>0.24729999999999999</v>
      </c>
      <c r="CY195" s="39">
        <v>28.098700000000001</v>
      </c>
      <c r="DA195" s="44">
        <v>23.102799999999998</v>
      </c>
      <c r="DC195" s="1" t="str">
        <f t="shared" ref="DC195:DC258" si="3">IF(DB195&amp;CZ195&amp;CX195&amp;CV195&amp;CT195&amp;CQ195&amp;CO195&amp;CM195&amp;CK195&amp;CI195&amp;CF195&amp;CD195&amp;CB195&amp;BZ195&amp;BX195&amp;BV195&amp;BT195&amp;BR195&amp;BP195&amp;BN195&amp;BL195&amp;BJ195&amp;BG195&amp;BE195&amp;BC195&amp;BA195&amp;AY195&amp;AW195&amp;AS195&amp;AQ195&amp;AO195&amp;AM195&amp;AK195&amp;AH195&amp;AF195&amp;AD195&amp;AB195&amp;Z195&amp;X195&amp;V195&amp;T195&amp;R195&amp;P195&amp;N195&amp;L195&lt;&gt;"","Yes","No")</f>
        <v>No</v>
      </c>
    </row>
    <row r="196" spans="1:107">
      <c r="A196" s="7" t="s">
        <v>336</v>
      </c>
      <c r="B196" s="7" t="s">
        <v>337</v>
      </c>
      <c r="C196" s="37" t="s">
        <v>77</v>
      </c>
      <c r="D196" s="296">
        <v>3025</v>
      </c>
      <c r="E196" s="297">
        <v>30025</v>
      </c>
      <c r="F196" s="27" t="s">
        <v>165</v>
      </c>
      <c r="G196" s="27" t="s">
        <v>158</v>
      </c>
      <c r="H196" s="35">
        <v>381502</v>
      </c>
      <c r="I196" s="35">
        <v>62</v>
      </c>
      <c r="J196" s="292"/>
      <c r="K196" s="8">
        <v>151488</v>
      </c>
      <c r="L196" s="8"/>
      <c r="M196" s="8">
        <v>18046</v>
      </c>
      <c r="N196" s="9"/>
      <c r="O196" s="8">
        <v>9943</v>
      </c>
      <c r="P196" s="9"/>
      <c r="Q196" s="8">
        <v>31950</v>
      </c>
      <c r="R196" s="9"/>
      <c r="S196" s="8">
        <v>0</v>
      </c>
      <c r="T196" s="9"/>
      <c r="U196" s="33">
        <v>211427</v>
      </c>
      <c r="V196" s="9"/>
      <c r="W196" s="30">
        <v>91</v>
      </c>
      <c r="X196" s="9"/>
      <c r="Y196" s="30">
        <v>9</v>
      </c>
      <c r="Z196" s="9"/>
      <c r="AA196" s="30">
        <v>7</v>
      </c>
      <c r="AB196" s="9"/>
      <c r="AC196" s="30">
        <v>23</v>
      </c>
      <c r="AD196" s="9"/>
      <c r="AE196" s="80">
        <v>0</v>
      </c>
      <c r="AF196" s="46"/>
      <c r="AG196" s="88">
        <v>130</v>
      </c>
      <c r="AH196" s="47"/>
      <c r="AJ196" s="83">
        <v>142720</v>
      </c>
      <c r="AL196" s="83">
        <v>18046</v>
      </c>
      <c r="AN196" s="83">
        <v>7262</v>
      </c>
      <c r="AP196" s="83">
        <v>30274</v>
      </c>
      <c r="AR196" s="83">
        <v>0</v>
      </c>
      <c r="AT196" s="204">
        <v>198302</v>
      </c>
      <c r="AV196" s="46">
        <v>76</v>
      </c>
      <c r="AX196" s="46">
        <v>9</v>
      </c>
      <c r="AZ196" s="46">
        <v>4</v>
      </c>
      <c r="BB196" s="46">
        <v>18</v>
      </c>
      <c r="BD196" s="46">
        <v>0</v>
      </c>
      <c r="BF196" s="209">
        <v>130</v>
      </c>
      <c r="BI196" s="83">
        <v>8768</v>
      </c>
      <c r="BK196" s="83">
        <v>0</v>
      </c>
      <c r="BM196" s="83">
        <v>2681</v>
      </c>
      <c r="BO196" s="83">
        <v>1676</v>
      </c>
      <c r="BQ196" s="83">
        <v>0</v>
      </c>
      <c r="BS196" s="85">
        <v>13125</v>
      </c>
      <c r="BU196" s="46">
        <v>15</v>
      </c>
      <c r="BW196" s="46">
        <v>0</v>
      </c>
      <c r="BY196" s="46">
        <v>3</v>
      </c>
      <c r="CA196" s="46">
        <v>5</v>
      </c>
      <c r="CC196" s="46">
        <v>0</v>
      </c>
      <c r="CE196" s="209">
        <v>23</v>
      </c>
      <c r="CH196" s="41">
        <v>3896366</v>
      </c>
      <c r="CJ196" s="41">
        <v>471207</v>
      </c>
      <c r="CL196" s="41">
        <v>314139</v>
      </c>
      <c r="CN196" s="41">
        <v>826067</v>
      </c>
      <c r="CP196" s="43">
        <v>5507779</v>
      </c>
      <c r="CS196" s="39">
        <v>25.720600000000001</v>
      </c>
      <c r="CU196" s="39">
        <v>26.1114</v>
      </c>
      <c r="CW196" s="39">
        <v>2.0737000000000001</v>
      </c>
      <c r="CY196" s="39">
        <v>25.855</v>
      </c>
      <c r="DA196" s="44">
        <v>26.0505</v>
      </c>
      <c r="DC196" s="1" t="str">
        <f t="shared" si="3"/>
        <v>No</v>
      </c>
    </row>
    <row r="197" spans="1:107">
      <c r="A197" s="7" t="s">
        <v>1128</v>
      </c>
      <c r="B197" s="7" t="s">
        <v>442</v>
      </c>
      <c r="C197" s="37" t="s">
        <v>32</v>
      </c>
      <c r="D197" s="296">
        <v>4031</v>
      </c>
      <c r="E197" s="297">
        <v>40031</v>
      </c>
      <c r="F197" s="27" t="s">
        <v>165</v>
      </c>
      <c r="G197" s="27" t="s">
        <v>158</v>
      </c>
      <c r="H197" s="35">
        <v>262596</v>
      </c>
      <c r="I197" s="35">
        <v>61</v>
      </c>
      <c r="J197" s="292"/>
      <c r="K197" s="8">
        <v>182058</v>
      </c>
      <c r="L197" s="8"/>
      <c r="M197" s="8">
        <v>39828</v>
      </c>
      <c r="N197" s="9"/>
      <c r="O197" s="8">
        <v>12147</v>
      </c>
      <c r="P197" s="9"/>
      <c r="Q197" s="8">
        <v>98539</v>
      </c>
      <c r="R197" s="9"/>
      <c r="S197" s="8">
        <v>0</v>
      </c>
      <c r="T197" s="9"/>
      <c r="U197" s="33">
        <v>332572</v>
      </c>
      <c r="V197" s="9"/>
      <c r="W197" s="30">
        <v>99</v>
      </c>
      <c r="X197" s="9"/>
      <c r="Y197" s="30">
        <v>25</v>
      </c>
      <c r="Z197" s="9"/>
      <c r="AA197" s="30">
        <v>8</v>
      </c>
      <c r="AB197" s="9"/>
      <c r="AC197" s="30">
        <v>57</v>
      </c>
      <c r="AD197" s="9"/>
      <c r="AE197" s="80">
        <v>0</v>
      </c>
      <c r="AF197" s="46"/>
      <c r="AG197" s="88">
        <v>189</v>
      </c>
      <c r="AH197" s="47"/>
      <c r="AJ197" s="83">
        <v>179438</v>
      </c>
      <c r="AL197" s="83">
        <v>31598</v>
      </c>
      <c r="AN197" s="83">
        <v>10127</v>
      </c>
      <c r="AP197" s="83">
        <v>95544</v>
      </c>
      <c r="AR197" s="83">
        <v>0</v>
      </c>
      <c r="AT197" s="204">
        <v>316707</v>
      </c>
      <c r="AV197" s="46">
        <v>93</v>
      </c>
      <c r="AX197" s="46">
        <v>15</v>
      </c>
      <c r="AZ197" s="46">
        <v>6</v>
      </c>
      <c r="BB197" s="46">
        <v>51</v>
      </c>
      <c r="BD197" s="46">
        <v>0</v>
      </c>
      <c r="BF197" s="209">
        <v>189</v>
      </c>
      <c r="BI197" s="83">
        <v>2620</v>
      </c>
      <c r="BK197" s="83">
        <v>8230</v>
      </c>
      <c r="BM197" s="83">
        <v>2020</v>
      </c>
      <c r="BO197" s="83">
        <v>2995</v>
      </c>
      <c r="BQ197" s="83">
        <v>0</v>
      </c>
      <c r="BS197" s="85">
        <v>15865</v>
      </c>
      <c r="BU197" s="46">
        <v>6</v>
      </c>
      <c r="BW197" s="46">
        <v>10</v>
      </c>
      <c r="BY197" s="46">
        <v>2</v>
      </c>
      <c r="CA197" s="46">
        <v>6</v>
      </c>
      <c r="CC197" s="46">
        <v>0</v>
      </c>
      <c r="CE197" s="209">
        <v>24</v>
      </c>
      <c r="CH197" s="41">
        <v>3870366</v>
      </c>
      <c r="CJ197" s="41">
        <v>691746</v>
      </c>
      <c r="CL197" s="41">
        <v>197539</v>
      </c>
      <c r="CN197" s="41">
        <v>1650151</v>
      </c>
      <c r="CP197" s="43">
        <v>6409802</v>
      </c>
      <c r="CS197" s="39">
        <v>21.259</v>
      </c>
      <c r="CU197" s="39">
        <v>17.368300000000001</v>
      </c>
      <c r="CW197" s="39">
        <v>1.085</v>
      </c>
      <c r="CY197" s="39">
        <v>16.746200000000002</v>
      </c>
      <c r="DA197" s="44">
        <v>19.273399999999999</v>
      </c>
      <c r="DC197" s="1" t="str">
        <f t="shared" si="3"/>
        <v>No</v>
      </c>
    </row>
    <row r="198" spans="1:107">
      <c r="A198" s="7" t="s">
        <v>393</v>
      </c>
      <c r="B198" s="7" t="s">
        <v>304</v>
      </c>
      <c r="C198" s="37" t="s">
        <v>42</v>
      </c>
      <c r="D198" s="296">
        <v>5051</v>
      </c>
      <c r="E198" s="297">
        <v>50051</v>
      </c>
      <c r="F198" s="27" t="s">
        <v>165</v>
      </c>
      <c r="G198" s="27" t="s">
        <v>158</v>
      </c>
      <c r="H198" s="35">
        <v>147725</v>
      </c>
      <c r="I198" s="35">
        <v>61</v>
      </c>
      <c r="J198" s="292"/>
      <c r="K198" s="8">
        <v>193796</v>
      </c>
      <c r="L198" s="8"/>
      <c r="M198" s="8">
        <v>29593</v>
      </c>
      <c r="N198" s="9"/>
      <c r="O198" s="8">
        <v>0</v>
      </c>
      <c r="P198" s="9"/>
      <c r="Q198" s="8">
        <v>15222</v>
      </c>
      <c r="R198" s="9"/>
      <c r="S198" s="8">
        <v>904</v>
      </c>
      <c r="T198" s="9"/>
      <c r="U198" s="33">
        <v>239515</v>
      </c>
      <c r="V198" s="9"/>
      <c r="W198" s="30">
        <v>120</v>
      </c>
      <c r="X198" s="9"/>
      <c r="Y198" s="30">
        <v>16</v>
      </c>
      <c r="Z198" s="9"/>
      <c r="AA198" s="30">
        <v>0</v>
      </c>
      <c r="AB198" s="9"/>
      <c r="AC198" s="30">
        <v>9</v>
      </c>
      <c r="AD198" s="9"/>
      <c r="AE198" s="80">
        <v>1</v>
      </c>
      <c r="AF198" s="46"/>
      <c r="AG198" s="88">
        <v>146</v>
      </c>
      <c r="AH198" s="47"/>
      <c r="AJ198" s="83">
        <v>177684</v>
      </c>
      <c r="AL198" s="83">
        <v>29593</v>
      </c>
      <c r="AN198" s="83">
        <v>0</v>
      </c>
      <c r="AP198" s="83">
        <v>13865</v>
      </c>
      <c r="AR198" s="83">
        <v>904</v>
      </c>
      <c r="AT198" s="204">
        <v>222046</v>
      </c>
      <c r="AV198" s="46">
        <v>104</v>
      </c>
      <c r="AX198" s="46">
        <v>16</v>
      </c>
      <c r="AZ198" s="46">
        <v>0</v>
      </c>
      <c r="BB198" s="46">
        <v>7</v>
      </c>
      <c r="BD198" s="46">
        <v>1</v>
      </c>
      <c r="BF198" s="209">
        <v>146</v>
      </c>
      <c r="BI198" s="83">
        <v>16112</v>
      </c>
      <c r="BK198" s="83">
        <v>0</v>
      </c>
      <c r="BM198" s="83">
        <v>0</v>
      </c>
      <c r="BO198" s="83">
        <v>1357</v>
      </c>
      <c r="BQ198" s="83">
        <v>0</v>
      </c>
      <c r="BS198" s="85">
        <v>17469</v>
      </c>
      <c r="BU198" s="46">
        <v>16</v>
      </c>
      <c r="BW198" s="46">
        <v>0</v>
      </c>
      <c r="BY198" s="46">
        <v>0</v>
      </c>
      <c r="CA198" s="46">
        <v>2</v>
      </c>
      <c r="CC198" s="46">
        <v>0</v>
      </c>
      <c r="CE198" s="209">
        <v>18</v>
      </c>
      <c r="CH198" s="41">
        <v>4087126</v>
      </c>
      <c r="CJ198" s="41">
        <v>608253</v>
      </c>
      <c r="CL198" s="41">
        <v>0</v>
      </c>
      <c r="CN198" s="41">
        <v>648746</v>
      </c>
      <c r="CP198" s="43">
        <v>5344125</v>
      </c>
      <c r="CS198" s="39">
        <v>21.0898</v>
      </c>
      <c r="CU198" s="39">
        <v>20.553899999999999</v>
      </c>
      <c r="CW198" s="39">
        <v>0</v>
      </c>
      <c r="CY198" s="39">
        <v>42.619</v>
      </c>
      <c r="DA198" s="44">
        <v>22.3123</v>
      </c>
      <c r="DC198" s="1" t="str">
        <f t="shared" si="3"/>
        <v>No</v>
      </c>
    </row>
    <row r="199" spans="1:107">
      <c r="A199" s="7" t="s">
        <v>229</v>
      </c>
      <c r="B199" s="7" t="s">
        <v>230</v>
      </c>
      <c r="C199" s="37" t="s">
        <v>2</v>
      </c>
      <c r="D199" s="296">
        <v>11</v>
      </c>
      <c r="E199" s="297">
        <v>11</v>
      </c>
      <c r="F199" s="27" t="s">
        <v>165</v>
      </c>
      <c r="G199" s="27" t="s">
        <v>158</v>
      </c>
      <c r="H199" s="35">
        <v>349684</v>
      </c>
      <c r="I199" s="35">
        <v>60</v>
      </c>
      <c r="J199" s="292"/>
      <c r="K199" s="8">
        <v>171849</v>
      </c>
      <c r="L199" s="8"/>
      <c r="M199" s="8">
        <v>42108</v>
      </c>
      <c r="N199" s="9"/>
      <c r="O199" s="8">
        <v>0</v>
      </c>
      <c r="P199" s="9"/>
      <c r="Q199" s="8">
        <v>13564</v>
      </c>
      <c r="R199" s="9"/>
      <c r="S199" s="8">
        <v>0</v>
      </c>
      <c r="T199" s="9"/>
      <c r="U199" s="33">
        <v>227521</v>
      </c>
      <c r="V199" s="9"/>
      <c r="W199" s="30">
        <v>96.7</v>
      </c>
      <c r="X199" s="9"/>
      <c r="Y199" s="30">
        <v>22.91</v>
      </c>
      <c r="Z199" s="9"/>
      <c r="AA199" s="30">
        <v>0</v>
      </c>
      <c r="AB199" s="9"/>
      <c r="AC199" s="30">
        <v>7.71</v>
      </c>
      <c r="AD199" s="9"/>
      <c r="AE199" s="80">
        <v>0</v>
      </c>
      <c r="AF199" s="46"/>
      <c r="AG199" s="88">
        <v>127.32</v>
      </c>
      <c r="AH199" s="47"/>
      <c r="AJ199" s="83">
        <v>160777</v>
      </c>
      <c r="AL199" s="83">
        <v>40196</v>
      </c>
      <c r="AN199" s="83">
        <v>0</v>
      </c>
      <c r="AP199" s="83">
        <v>12756</v>
      </c>
      <c r="AR199" s="83">
        <v>0</v>
      </c>
      <c r="AT199" s="204">
        <v>213729</v>
      </c>
      <c r="AV199" s="46">
        <v>85.57</v>
      </c>
      <c r="AX199" s="46">
        <v>19.91</v>
      </c>
      <c r="AZ199" s="46">
        <v>0</v>
      </c>
      <c r="BB199" s="46">
        <v>6.21</v>
      </c>
      <c r="BD199" s="46">
        <v>0</v>
      </c>
      <c r="BF199" s="209">
        <v>127.32</v>
      </c>
      <c r="BI199" s="83">
        <v>11072</v>
      </c>
      <c r="BK199" s="83">
        <v>1912</v>
      </c>
      <c r="BM199" s="83">
        <v>0</v>
      </c>
      <c r="BO199" s="83">
        <v>808</v>
      </c>
      <c r="BQ199" s="83">
        <v>0</v>
      </c>
      <c r="BS199" s="85">
        <v>13792</v>
      </c>
      <c r="BU199" s="46">
        <v>11.13</v>
      </c>
      <c r="BW199" s="46">
        <v>3</v>
      </c>
      <c r="BY199" s="46">
        <v>0</v>
      </c>
      <c r="CA199" s="46">
        <v>1.5</v>
      </c>
      <c r="CC199" s="46">
        <v>0</v>
      </c>
      <c r="CE199" s="209">
        <v>15.63</v>
      </c>
      <c r="CH199" s="41">
        <v>3447587</v>
      </c>
      <c r="CJ199" s="41">
        <v>929113</v>
      </c>
      <c r="CL199" s="41">
        <v>0</v>
      </c>
      <c r="CN199" s="41">
        <v>296681</v>
      </c>
      <c r="CP199" s="43">
        <v>4673381</v>
      </c>
      <c r="CS199" s="39">
        <v>20.061699999999998</v>
      </c>
      <c r="CU199" s="39">
        <v>22.065000000000001</v>
      </c>
      <c r="CW199" s="39">
        <v>0</v>
      </c>
      <c r="CY199" s="39">
        <v>21.872699999999998</v>
      </c>
      <c r="DA199" s="44">
        <v>20.540400000000002</v>
      </c>
      <c r="DC199" s="1" t="str">
        <f t="shared" si="3"/>
        <v>No</v>
      </c>
    </row>
    <row r="200" spans="1:107">
      <c r="A200" s="7" t="s">
        <v>622</v>
      </c>
      <c r="B200" s="7" t="s">
        <v>284</v>
      </c>
      <c r="C200" s="37" t="s">
        <v>40</v>
      </c>
      <c r="D200" s="296">
        <v>5059</v>
      </c>
      <c r="E200" s="297">
        <v>50059</v>
      </c>
      <c r="F200" s="27" t="s">
        <v>165</v>
      </c>
      <c r="G200" s="27" t="s">
        <v>158</v>
      </c>
      <c r="H200" s="35">
        <v>161316</v>
      </c>
      <c r="I200" s="35">
        <v>60</v>
      </c>
      <c r="J200" s="292"/>
      <c r="K200" s="8">
        <v>210127</v>
      </c>
      <c r="L200" s="8"/>
      <c r="M200" s="8">
        <v>40193</v>
      </c>
      <c r="N200" s="9"/>
      <c r="O200" s="8">
        <v>0</v>
      </c>
      <c r="P200" s="9"/>
      <c r="Q200" s="8">
        <v>18040</v>
      </c>
      <c r="R200" s="9"/>
      <c r="S200" s="8">
        <v>0</v>
      </c>
      <c r="T200" s="9"/>
      <c r="U200" s="33">
        <v>268360</v>
      </c>
      <c r="V200" s="9"/>
      <c r="W200" s="30">
        <v>112</v>
      </c>
      <c r="X200" s="9"/>
      <c r="Y200" s="30">
        <v>21</v>
      </c>
      <c r="Z200" s="9"/>
      <c r="AA200" s="30">
        <v>0</v>
      </c>
      <c r="AB200" s="9"/>
      <c r="AC200" s="30">
        <v>11</v>
      </c>
      <c r="AD200" s="9"/>
      <c r="AE200" s="80">
        <v>0</v>
      </c>
      <c r="AF200" s="46"/>
      <c r="AG200" s="88">
        <v>144</v>
      </c>
      <c r="AH200" s="47"/>
      <c r="AJ200" s="83">
        <v>117113</v>
      </c>
      <c r="AL200" s="83">
        <v>40193</v>
      </c>
      <c r="AN200" s="83">
        <v>0</v>
      </c>
      <c r="AP200" s="83">
        <v>18040</v>
      </c>
      <c r="AR200" s="83">
        <v>0</v>
      </c>
      <c r="AT200" s="204">
        <v>175346</v>
      </c>
      <c r="AV200" s="46">
        <v>60</v>
      </c>
      <c r="AX200" s="46">
        <v>21</v>
      </c>
      <c r="AZ200" s="46">
        <v>0</v>
      </c>
      <c r="BB200" s="46">
        <v>11</v>
      </c>
      <c r="BD200" s="46">
        <v>0</v>
      </c>
      <c r="BF200" s="209">
        <v>144</v>
      </c>
      <c r="BI200" s="83">
        <v>93014</v>
      </c>
      <c r="BK200" s="83">
        <v>0</v>
      </c>
      <c r="BM200" s="83">
        <v>0</v>
      </c>
      <c r="BO200" s="83">
        <v>0</v>
      </c>
      <c r="BQ200" s="83">
        <v>0</v>
      </c>
      <c r="BS200" s="85">
        <v>93014</v>
      </c>
      <c r="BU200" s="46">
        <v>52</v>
      </c>
      <c r="BW200" s="46">
        <v>0</v>
      </c>
      <c r="BY200" s="46">
        <v>0</v>
      </c>
      <c r="CA200" s="46">
        <v>0</v>
      </c>
      <c r="CC200" s="46">
        <v>0</v>
      </c>
      <c r="CE200" s="209">
        <v>52</v>
      </c>
      <c r="CH200" s="41">
        <v>4641922</v>
      </c>
      <c r="CJ200" s="41">
        <v>1000928</v>
      </c>
      <c r="CL200" s="41">
        <v>0</v>
      </c>
      <c r="CN200" s="41">
        <v>506079</v>
      </c>
      <c r="CP200" s="43">
        <v>6148929</v>
      </c>
      <c r="CS200" s="39">
        <v>22.091000000000001</v>
      </c>
      <c r="CU200" s="39">
        <v>24.902999999999999</v>
      </c>
      <c r="CW200" s="39">
        <v>0</v>
      </c>
      <c r="CY200" s="39">
        <v>28.0532</v>
      </c>
      <c r="DA200" s="44">
        <v>22.913</v>
      </c>
      <c r="DC200" s="1" t="str">
        <f t="shared" si="3"/>
        <v>No</v>
      </c>
    </row>
    <row r="201" spans="1:107">
      <c r="A201" s="7" t="s">
        <v>754</v>
      </c>
      <c r="B201" s="7" t="s">
        <v>755</v>
      </c>
      <c r="C201" s="37" t="s">
        <v>45</v>
      </c>
      <c r="D201" s="296">
        <v>4191</v>
      </c>
      <c r="E201" s="297">
        <v>40191</v>
      </c>
      <c r="F201" s="27" t="s">
        <v>165</v>
      </c>
      <c r="G201" s="27" t="s">
        <v>158</v>
      </c>
      <c r="H201" s="35">
        <v>73467</v>
      </c>
      <c r="I201" s="35">
        <v>59</v>
      </c>
      <c r="J201" s="292"/>
      <c r="K201" s="8">
        <v>119287</v>
      </c>
      <c r="L201" s="8"/>
      <c r="M201" s="8">
        <v>2686</v>
      </c>
      <c r="N201" s="9"/>
      <c r="O201" s="8">
        <v>2625</v>
      </c>
      <c r="P201" s="9"/>
      <c r="Q201" s="8">
        <v>17610</v>
      </c>
      <c r="R201" s="9"/>
      <c r="S201" s="8">
        <v>0</v>
      </c>
      <c r="T201" s="9"/>
      <c r="U201" s="33">
        <v>142208</v>
      </c>
      <c r="V201" s="9"/>
      <c r="W201" s="30">
        <v>98</v>
      </c>
      <c r="X201" s="9"/>
      <c r="Y201" s="30">
        <v>1.19</v>
      </c>
      <c r="Z201" s="9"/>
      <c r="AA201" s="30">
        <v>1.26</v>
      </c>
      <c r="AB201" s="9"/>
      <c r="AC201" s="30">
        <v>11.5</v>
      </c>
      <c r="AD201" s="9"/>
      <c r="AE201" s="80">
        <v>0</v>
      </c>
      <c r="AF201" s="46"/>
      <c r="AG201" s="88">
        <v>111.95</v>
      </c>
      <c r="AH201" s="47"/>
      <c r="AJ201" s="83">
        <v>109900</v>
      </c>
      <c r="AL201" s="83">
        <v>2686</v>
      </c>
      <c r="AN201" s="83">
        <v>2625</v>
      </c>
      <c r="AP201" s="83">
        <v>14360</v>
      </c>
      <c r="AR201" s="83">
        <v>0</v>
      </c>
      <c r="AT201" s="204">
        <v>129571</v>
      </c>
      <c r="AV201" s="46">
        <v>90</v>
      </c>
      <c r="AX201" s="46">
        <v>1.19</v>
      </c>
      <c r="AZ201" s="46">
        <v>1.26</v>
      </c>
      <c r="BB201" s="46">
        <v>7</v>
      </c>
      <c r="BD201" s="46">
        <v>0</v>
      </c>
      <c r="BF201" s="209">
        <v>111.95</v>
      </c>
      <c r="BI201" s="83">
        <v>9387</v>
      </c>
      <c r="BK201" s="83">
        <v>0</v>
      </c>
      <c r="BM201" s="83">
        <v>0</v>
      </c>
      <c r="BO201" s="83">
        <v>3250</v>
      </c>
      <c r="BQ201" s="83">
        <v>0</v>
      </c>
      <c r="BS201" s="85">
        <v>12637</v>
      </c>
      <c r="BU201" s="46">
        <v>8</v>
      </c>
      <c r="BW201" s="46">
        <v>0</v>
      </c>
      <c r="BY201" s="46">
        <v>0</v>
      </c>
      <c r="CA201" s="46">
        <v>4.5</v>
      </c>
      <c r="CC201" s="46">
        <v>0</v>
      </c>
      <c r="CE201" s="209">
        <v>12.5</v>
      </c>
      <c r="CH201" s="41">
        <v>1450058</v>
      </c>
      <c r="CJ201" s="41">
        <v>49948</v>
      </c>
      <c r="CL201" s="41">
        <v>21949</v>
      </c>
      <c r="CN201" s="41">
        <v>246596</v>
      </c>
      <c r="CP201" s="43">
        <v>1768551</v>
      </c>
      <c r="CS201" s="39">
        <v>12.156000000000001</v>
      </c>
      <c r="CU201" s="39">
        <v>18.595700000000001</v>
      </c>
      <c r="CW201" s="39">
        <v>0.184</v>
      </c>
      <c r="CY201" s="39">
        <v>14.0032</v>
      </c>
      <c r="DA201" s="44">
        <v>12.436400000000001</v>
      </c>
      <c r="DC201" s="1" t="str">
        <f t="shared" si="3"/>
        <v>No</v>
      </c>
    </row>
    <row r="202" spans="1:107">
      <c r="A202" s="7" t="s">
        <v>66</v>
      </c>
      <c r="B202" s="7" t="s">
        <v>350</v>
      </c>
      <c r="C202" s="37" t="s">
        <v>63</v>
      </c>
      <c r="D202" s="296">
        <v>2163</v>
      </c>
      <c r="E202" s="297">
        <v>20163</v>
      </c>
      <c r="F202" s="27" t="s">
        <v>173</v>
      </c>
      <c r="G202" s="27" t="s">
        <v>158</v>
      </c>
      <c r="H202" s="35">
        <v>18351295</v>
      </c>
      <c r="I202" s="35">
        <v>59</v>
      </c>
      <c r="J202" s="292"/>
      <c r="K202" s="8">
        <v>159358</v>
      </c>
      <c r="L202" s="8"/>
      <c r="M202" s="8">
        <v>52863</v>
      </c>
      <c r="N202" s="9"/>
      <c r="O202" s="8">
        <v>27551</v>
      </c>
      <c r="P202" s="9"/>
      <c r="Q202" s="8">
        <v>36345</v>
      </c>
      <c r="R202" s="9"/>
      <c r="S202" s="8">
        <v>0</v>
      </c>
      <c r="T202" s="9"/>
      <c r="U202" s="33">
        <v>276117</v>
      </c>
      <c r="V202" s="9"/>
      <c r="W202" s="30">
        <v>90</v>
      </c>
      <c r="X202" s="9"/>
      <c r="Y202" s="30">
        <v>29</v>
      </c>
      <c r="Z202" s="9"/>
      <c r="AA202" s="30">
        <v>26</v>
      </c>
      <c r="AB202" s="9"/>
      <c r="AC202" s="30">
        <v>28</v>
      </c>
      <c r="AD202" s="9"/>
      <c r="AE202" s="80">
        <v>0</v>
      </c>
      <c r="AF202" s="46"/>
      <c r="AG202" s="88">
        <v>173</v>
      </c>
      <c r="AH202" s="47"/>
      <c r="AJ202" s="83">
        <v>144300</v>
      </c>
      <c r="AL202" s="83">
        <v>45784</v>
      </c>
      <c r="AN202" s="83">
        <v>7650</v>
      </c>
      <c r="AP202" s="83">
        <v>31095</v>
      </c>
      <c r="AR202" s="83">
        <v>0</v>
      </c>
      <c r="AT202" s="204">
        <v>228829</v>
      </c>
      <c r="AV202" s="46">
        <v>78</v>
      </c>
      <c r="AX202" s="46">
        <v>24</v>
      </c>
      <c r="AZ202" s="46">
        <v>4</v>
      </c>
      <c r="BB202" s="46">
        <v>20</v>
      </c>
      <c r="BD202" s="46">
        <v>0</v>
      </c>
      <c r="BF202" s="209">
        <v>173</v>
      </c>
      <c r="BI202" s="83">
        <v>15058</v>
      </c>
      <c r="BK202" s="83">
        <v>7079</v>
      </c>
      <c r="BM202" s="83">
        <v>19901</v>
      </c>
      <c r="BO202" s="83">
        <v>5250</v>
      </c>
      <c r="BQ202" s="83">
        <v>0</v>
      </c>
      <c r="BS202" s="85">
        <v>47288</v>
      </c>
      <c r="BU202" s="46">
        <v>12</v>
      </c>
      <c r="BW202" s="46">
        <v>5</v>
      </c>
      <c r="BY202" s="46">
        <v>22</v>
      </c>
      <c r="CA202" s="46">
        <v>8</v>
      </c>
      <c r="CC202" s="46">
        <v>0</v>
      </c>
      <c r="CE202" s="209">
        <v>47</v>
      </c>
      <c r="CH202" s="41">
        <v>5318096</v>
      </c>
      <c r="CJ202" s="41">
        <v>2002049</v>
      </c>
      <c r="CL202" s="41">
        <v>295156</v>
      </c>
      <c r="CN202" s="41">
        <v>1764740</v>
      </c>
      <c r="CP202" s="43">
        <v>9380041</v>
      </c>
      <c r="CS202" s="39">
        <v>33.372</v>
      </c>
      <c r="CU202" s="39">
        <v>37.872399999999999</v>
      </c>
      <c r="CW202" s="39">
        <v>1.8522000000000001</v>
      </c>
      <c r="CY202" s="39">
        <v>48.555199999999999</v>
      </c>
      <c r="DA202" s="44">
        <v>33.971299999999999</v>
      </c>
      <c r="DC202" s="1" t="str">
        <f t="shared" si="3"/>
        <v>No</v>
      </c>
    </row>
    <row r="203" spans="1:107">
      <c r="A203" s="7" t="s">
        <v>366</v>
      </c>
      <c r="B203" s="7" t="s">
        <v>367</v>
      </c>
      <c r="C203" s="37" t="s">
        <v>89</v>
      </c>
      <c r="D203" s="296">
        <v>5</v>
      </c>
      <c r="E203" s="297">
        <v>5</v>
      </c>
      <c r="F203" s="27" t="s">
        <v>162</v>
      </c>
      <c r="G203" s="27" t="s">
        <v>158</v>
      </c>
      <c r="H203" s="35">
        <v>3059393</v>
      </c>
      <c r="I203" s="35">
        <v>58</v>
      </c>
      <c r="J203" s="292"/>
      <c r="K203" s="8">
        <v>209501</v>
      </c>
      <c r="L203" s="8"/>
      <c r="M203" s="8">
        <v>24455</v>
      </c>
      <c r="N203" s="9"/>
      <c r="O203" s="8">
        <v>12310</v>
      </c>
      <c r="P203" s="9"/>
      <c r="Q203" s="8">
        <v>45156</v>
      </c>
      <c r="R203" s="9"/>
      <c r="S203" s="8">
        <v>0</v>
      </c>
      <c r="T203" s="9"/>
      <c r="U203" s="33">
        <v>291422</v>
      </c>
      <c r="V203" s="9"/>
      <c r="W203" s="30">
        <v>116</v>
      </c>
      <c r="X203" s="9"/>
      <c r="Y203" s="30">
        <v>12</v>
      </c>
      <c r="Z203" s="9"/>
      <c r="AA203" s="30">
        <v>10.1</v>
      </c>
      <c r="AB203" s="9"/>
      <c r="AC203" s="30">
        <v>21.8</v>
      </c>
      <c r="AD203" s="9"/>
      <c r="AE203" s="80">
        <v>0</v>
      </c>
      <c r="AF203" s="46"/>
      <c r="AG203" s="88">
        <v>159.9</v>
      </c>
      <c r="AH203" s="47"/>
      <c r="AJ203" s="83">
        <v>209501</v>
      </c>
      <c r="AL203" s="83">
        <v>24455</v>
      </c>
      <c r="AN203" s="83">
        <v>12310</v>
      </c>
      <c r="AP203" s="83">
        <v>45156</v>
      </c>
      <c r="AR203" s="83">
        <v>0</v>
      </c>
      <c r="AT203" s="204">
        <v>291422</v>
      </c>
      <c r="AV203" s="46">
        <v>116</v>
      </c>
      <c r="AX203" s="46">
        <v>12</v>
      </c>
      <c r="AZ203" s="46">
        <v>10.1</v>
      </c>
      <c r="BB203" s="46">
        <v>21.8</v>
      </c>
      <c r="BD203" s="46">
        <v>0</v>
      </c>
      <c r="BF203" s="209">
        <v>159.9</v>
      </c>
      <c r="BI203" s="83">
        <v>0</v>
      </c>
      <c r="BK203" s="83">
        <v>0</v>
      </c>
      <c r="BM203" s="83">
        <v>0</v>
      </c>
      <c r="BO203" s="83">
        <v>0</v>
      </c>
      <c r="BQ203" s="83">
        <v>0</v>
      </c>
      <c r="BS203" s="85">
        <v>0</v>
      </c>
      <c r="BU203" s="46">
        <v>0</v>
      </c>
      <c r="BW203" s="46">
        <v>0</v>
      </c>
      <c r="BY203" s="46">
        <v>0</v>
      </c>
      <c r="CA203" s="46">
        <v>0</v>
      </c>
      <c r="CC203" s="46">
        <v>0</v>
      </c>
      <c r="CE203" s="209">
        <v>0</v>
      </c>
      <c r="CH203" s="41">
        <v>6064538</v>
      </c>
      <c r="CJ203" s="41">
        <v>760239</v>
      </c>
      <c r="CL203" s="41">
        <v>316750</v>
      </c>
      <c r="CN203" s="41">
        <v>1607280</v>
      </c>
      <c r="CP203" s="43">
        <v>8748807</v>
      </c>
      <c r="CS203" s="39">
        <v>28.947500000000002</v>
      </c>
      <c r="CU203" s="39">
        <v>31.087299999999999</v>
      </c>
      <c r="CW203" s="39">
        <v>1.5119</v>
      </c>
      <c r="CY203" s="39">
        <v>35.593899999999998</v>
      </c>
      <c r="DA203" s="44">
        <v>30.021100000000001</v>
      </c>
      <c r="DC203" s="1" t="str">
        <f t="shared" si="3"/>
        <v>No</v>
      </c>
    </row>
    <row r="204" spans="1:107">
      <c r="A204" s="7" t="s">
        <v>356</v>
      </c>
      <c r="B204" s="7" t="s">
        <v>357</v>
      </c>
      <c r="C204" s="37" t="s">
        <v>54</v>
      </c>
      <c r="D204" s="296">
        <v>5025</v>
      </c>
      <c r="E204" s="297">
        <v>50025</v>
      </c>
      <c r="F204" s="27" t="s">
        <v>165</v>
      </c>
      <c r="G204" s="27" t="s">
        <v>158</v>
      </c>
      <c r="H204" s="35">
        <v>120378</v>
      </c>
      <c r="I204" s="35">
        <v>57</v>
      </c>
      <c r="J204" s="292"/>
      <c r="K204" s="8">
        <v>183261</v>
      </c>
      <c r="L204" s="8"/>
      <c r="M204" s="8">
        <v>25368</v>
      </c>
      <c r="N204" s="9"/>
      <c r="O204" s="8">
        <v>19781</v>
      </c>
      <c r="P204" s="9"/>
      <c r="Q204" s="8">
        <v>31160</v>
      </c>
      <c r="R204" s="9"/>
      <c r="S204" s="8">
        <v>0</v>
      </c>
      <c r="T204" s="9"/>
      <c r="U204" s="33">
        <v>259570</v>
      </c>
      <c r="V204" s="9"/>
      <c r="W204" s="30">
        <v>107</v>
      </c>
      <c r="X204" s="9"/>
      <c r="Y204" s="30">
        <v>14</v>
      </c>
      <c r="Z204" s="9"/>
      <c r="AA204" s="30">
        <v>11</v>
      </c>
      <c r="AB204" s="9"/>
      <c r="AC204" s="30">
        <v>19</v>
      </c>
      <c r="AD204" s="9"/>
      <c r="AE204" s="80">
        <v>0</v>
      </c>
      <c r="AF204" s="46"/>
      <c r="AG204" s="88">
        <v>151</v>
      </c>
      <c r="AH204" s="47"/>
      <c r="AJ204" s="83">
        <v>174498</v>
      </c>
      <c r="AL204" s="83">
        <v>25368</v>
      </c>
      <c r="AN204" s="83">
        <v>19781</v>
      </c>
      <c r="AP204" s="83">
        <v>27686</v>
      </c>
      <c r="AR204" s="83">
        <v>0</v>
      </c>
      <c r="AT204" s="204">
        <v>247333</v>
      </c>
      <c r="AV204" s="46">
        <v>96</v>
      </c>
      <c r="AX204" s="46">
        <v>14</v>
      </c>
      <c r="AZ204" s="46">
        <v>11</v>
      </c>
      <c r="BB204" s="46">
        <v>16</v>
      </c>
      <c r="BD204" s="46">
        <v>0</v>
      </c>
      <c r="BF204" s="209">
        <v>151</v>
      </c>
      <c r="BI204" s="83">
        <v>8763</v>
      </c>
      <c r="BK204" s="83">
        <v>0</v>
      </c>
      <c r="BM204" s="83">
        <v>0</v>
      </c>
      <c r="BO204" s="83">
        <v>3474</v>
      </c>
      <c r="BQ204" s="83">
        <v>0</v>
      </c>
      <c r="BS204" s="85">
        <v>12237</v>
      </c>
      <c r="BU204" s="46">
        <v>11</v>
      </c>
      <c r="BW204" s="46">
        <v>0</v>
      </c>
      <c r="BY204" s="46">
        <v>0</v>
      </c>
      <c r="CA204" s="46">
        <v>3</v>
      </c>
      <c r="CC204" s="46">
        <v>0</v>
      </c>
      <c r="CE204" s="209">
        <v>14</v>
      </c>
      <c r="CH204" s="41">
        <v>4138729</v>
      </c>
      <c r="CJ204" s="41">
        <v>507372</v>
      </c>
      <c r="CL204" s="41">
        <v>384195</v>
      </c>
      <c r="CN204" s="41">
        <v>744495</v>
      </c>
      <c r="CP204" s="43">
        <v>5774791</v>
      </c>
      <c r="CS204" s="39">
        <v>22.5838</v>
      </c>
      <c r="CU204" s="39">
        <v>20.000499999999999</v>
      </c>
      <c r="CW204" s="39">
        <v>2.0964</v>
      </c>
      <c r="CY204" s="39">
        <v>23.892700000000001</v>
      </c>
      <c r="DA204" s="44">
        <v>22.247499999999999</v>
      </c>
      <c r="DC204" s="1" t="str">
        <f t="shared" si="3"/>
        <v>No</v>
      </c>
    </row>
    <row r="205" spans="1:107">
      <c r="A205" s="7" t="s">
        <v>65</v>
      </c>
      <c r="B205" s="7" t="s">
        <v>346</v>
      </c>
      <c r="C205" s="37" t="s">
        <v>63</v>
      </c>
      <c r="D205" s="296">
        <v>2161</v>
      </c>
      <c r="E205" s="297">
        <v>20161</v>
      </c>
      <c r="F205" s="27" t="s">
        <v>173</v>
      </c>
      <c r="G205" s="27" t="s">
        <v>158</v>
      </c>
      <c r="H205" s="35">
        <v>18351295</v>
      </c>
      <c r="I205" s="35">
        <v>57</v>
      </c>
      <c r="J205" s="292"/>
      <c r="K205" s="8">
        <v>207716</v>
      </c>
      <c r="L205" s="8"/>
      <c r="M205" s="8">
        <v>63611</v>
      </c>
      <c r="N205" s="9"/>
      <c r="O205" s="8">
        <v>0</v>
      </c>
      <c r="P205" s="9"/>
      <c r="Q205" s="8">
        <v>43279</v>
      </c>
      <c r="R205" s="9"/>
      <c r="S205" s="8">
        <v>0</v>
      </c>
      <c r="T205" s="9"/>
      <c r="U205" s="33">
        <v>314606</v>
      </c>
      <c r="V205" s="9"/>
      <c r="W205" s="30">
        <v>104</v>
      </c>
      <c r="X205" s="9"/>
      <c r="Y205" s="30">
        <v>32</v>
      </c>
      <c r="Z205" s="9"/>
      <c r="AA205" s="30">
        <v>0</v>
      </c>
      <c r="AB205" s="9"/>
      <c r="AC205" s="30">
        <v>22</v>
      </c>
      <c r="AD205" s="9"/>
      <c r="AE205" s="80">
        <v>0</v>
      </c>
      <c r="AF205" s="46"/>
      <c r="AG205" s="88">
        <v>158</v>
      </c>
      <c r="AH205" s="47"/>
      <c r="AJ205" s="83">
        <v>207716</v>
      </c>
      <c r="AL205" s="83">
        <v>63611</v>
      </c>
      <c r="AN205" s="83">
        <v>0</v>
      </c>
      <c r="AP205" s="83">
        <v>43279</v>
      </c>
      <c r="AR205" s="83">
        <v>0</v>
      </c>
      <c r="AT205" s="204">
        <v>314606</v>
      </c>
      <c r="AV205" s="46">
        <v>104</v>
      </c>
      <c r="AX205" s="46">
        <v>32</v>
      </c>
      <c r="AZ205" s="46">
        <v>0</v>
      </c>
      <c r="BB205" s="46">
        <v>22</v>
      </c>
      <c r="BD205" s="46">
        <v>0</v>
      </c>
      <c r="BF205" s="209">
        <v>158</v>
      </c>
      <c r="BI205" s="83">
        <v>0</v>
      </c>
      <c r="BK205" s="83">
        <v>0</v>
      </c>
      <c r="BM205" s="83">
        <v>0</v>
      </c>
      <c r="BO205" s="83">
        <v>0</v>
      </c>
      <c r="BQ205" s="83">
        <v>0</v>
      </c>
      <c r="BS205" s="85">
        <v>0</v>
      </c>
      <c r="BU205" s="46">
        <v>0</v>
      </c>
      <c r="BW205" s="46">
        <v>0</v>
      </c>
      <c r="BY205" s="46">
        <v>0</v>
      </c>
      <c r="CA205" s="46">
        <v>0</v>
      </c>
      <c r="CC205" s="46">
        <v>0</v>
      </c>
      <c r="CE205" s="209">
        <v>0</v>
      </c>
      <c r="CH205" s="41">
        <v>4953507</v>
      </c>
      <c r="CJ205" s="41">
        <v>1276876</v>
      </c>
      <c r="CL205" s="41">
        <v>0</v>
      </c>
      <c r="CN205" s="41">
        <v>677069</v>
      </c>
      <c r="CP205" s="43">
        <v>6907452</v>
      </c>
      <c r="CS205" s="39">
        <v>23.8475</v>
      </c>
      <c r="CU205" s="39">
        <v>20.0732</v>
      </c>
      <c r="CW205" s="39">
        <v>0</v>
      </c>
      <c r="CY205" s="39">
        <v>15.644299999999999</v>
      </c>
      <c r="DA205" s="44">
        <v>21.9559</v>
      </c>
      <c r="DC205" s="1" t="str">
        <f t="shared" si="3"/>
        <v>No</v>
      </c>
    </row>
    <row r="206" spans="1:107">
      <c r="A206" s="7" t="s">
        <v>761</v>
      </c>
      <c r="B206" s="7" t="s">
        <v>762</v>
      </c>
      <c r="C206" s="37" t="s">
        <v>63</v>
      </c>
      <c r="D206" s="296">
        <v>2204</v>
      </c>
      <c r="E206" s="297">
        <v>20204</v>
      </c>
      <c r="F206" s="27" t="s">
        <v>187</v>
      </c>
      <c r="G206" s="27" t="s">
        <v>158</v>
      </c>
      <c r="H206" s="35">
        <v>5441567</v>
      </c>
      <c r="I206" s="35">
        <v>56</v>
      </c>
      <c r="J206" s="292"/>
      <c r="K206" s="8">
        <v>93942</v>
      </c>
      <c r="L206" s="8"/>
      <c r="M206" s="8">
        <v>4237</v>
      </c>
      <c r="N206" s="9"/>
      <c r="O206" s="8">
        <v>0</v>
      </c>
      <c r="P206" s="9"/>
      <c r="Q206" s="8">
        <v>19826</v>
      </c>
      <c r="R206" s="9"/>
      <c r="S206" s="8">
        <v>0</v>
      </c>
      <c r="T206" s="9"/>
      <c r="U206" s="33">
        <v>118005</v>
      </c>
      <c r="V206" s="9"/>
      <c r="W206" s="30">
        <v>80</v>
      </c>
      <c r="X206" s="9"/>
      <c r="Y206" s="30">
        <v>2</v>
      </c>
      <c r="Z206" s="9"/>
      <c r="AA206" s="30">
        <v>0</v>
      </c>
      <c r="AB206" s="9"/>
      <c r="AC206" s="30">
        <v>17</v>
      </c>
      <c r="AD206" s="9"/>
      <c r="AE206" s="80">
        <v>0</v>
      </c>
      <c r="AF206" s="46"/>
      <c r="AG206" s="88">
        <v>99</v>
      </c>
      <c r="AH206" s="47"/>
      <c r="AJ206" s="83">
        <v>60656</v>
      </c>
      <c r="AL206" s="83">
        <v>4237</v>
      </c>
      <c r="AN206" s="83">
        <v>0</v>
      </c>
      <c r="AP206" s="83">
        <v>11942</v>
      </c>
      <c r="AR206" s="83">
        <v>0</v>
      </c>
      <c r="AT206" s="204">
        <v>76835</v>
      </c>
      <c r="AV206" s="46">
        <v>47</v>
      </c>
      <c r="AX206" s="46">
        <v>2</v>
      </c>
      <c r="AZ206" s="46">
        <v>0</v>
      </c>
      <c r="BB206" s="46">
        <v>7</v>
      </c>
      <c r="BD206" s="46">
        <v>0</v>
      </c>
      <c r="BF206" s="209">
        <v>99</v>
      </c>
      <c r="BI206" s="83">
        <v>33286</v>
      </c>
      <c r="BK206" s="83">
        <v>0</v>
      </c>
      <c r="BM206" s="83">
        <v>0</v>
      </c>
      <c r="BO206" s="83">
        <v>7884</v>
      </c>
      <c r="BQ206" s="83">
        <v>0</v>
      </c>
      <c r="BS206" s="85">
        <v>41170</v>
      </c>
      <c r="BU206" s="46">
        <v>33</v>
      </c>
      <c r="BW206" s="46">
        <v>0</v>
      </c>
      <c r="BY206" s="46">
        <v>0</v>
      </c>
      <c r="CA206" s="46">
        <v>10</v>
      </c>
      <c r="CC206" s="46">
        <v>0</v>
      </c>
      <c r="CE206" s="209">
        <v>43</v>
      </c>
      <c r="CH206" s="41">
        <v>1549780</v>
      </c>
      <c r="CJ206" s="41">
        <v>102407</v>
      </c>
      <c r="CL206" s="41">
        <v>0</v>
      </c>
      <c r="CN206" s="41">
        <v>267415</v>
      </c>
      <c r="CP206" s="43">
        <v>1919602</v>
      </c>
      <c r="CS206" s="39">
        <v>16.497199999999999</v>
      </c>
      <c r="CU206" s="39">
        <v>24.169699999999999</v>
      </c>
      <c r="CW206" s="39">
        <v>0</v>
      </c>
      <c r="CY206" s="39">
        <v>13.488099999999999</v>
      </c>
      <c r="DA206" s="44">
        <v>16.267099999999999</v>
      </c>
      <c r="DC206" s="1" t="str">
        <f t="shared" si="3"/>
        <v>No</v>
      </c>
    </row>
    <row r="207" spans="1:107">
      <c r="A207" s="7" t="s">
        <v>244</v>
      </c>
      <c r="B207" s="7" t="s">
        <v>245</v>
      </c>
      <c r="C207" s="37" t="s">
        <v>77</v>
      </c>
      <c r="D207" s="296">
        <v>3012</v>
      </c>
      <c r="E207" s="297">
        <v>30012</v>
      </c>
      <c r="F207" s="27" t="s">
        <v>165</v>
      </c>
      <c r="G207" s="27" t="s">
        <v>158</v>
      </c>
      <c r="H207" s="35">
        <v>69014</v>
      </c>
      <c r="I207" s="35">
        <v>54</v>
      </c>
      <c r="J207" s="292"/>
      <c r="K207" s="8">
        <v>144872</v>
      </c>
      <c r="L207" s="8"/>
      <c r="M207" s="8">
        <v>34607</v>
      </c>
      <c r="N207" s="9"/>
      <c r="O207" s="8">
        <v>17839</v>
      </c>
      <c r="P207" s="9"/>
      <c r="Q207" s="8">
        <v>41901</v>
      </c>
      <c r="R207" s="9"/>
      <c r="S207" s="8">
        <v>0</v>
      </c>
      <c r="T207" s="9"/>
      <c r="U207" s="33">
        <v>239219</v>
      </c>
      <c r="V207" s="9"/>
      <c r="W207" s="30">
        <v>92</v>
      </c>
      <c r="X207" s="9"/>
      <c r="Y207" s="30">
        <v>17.399999999999999</v>
      </c>
      <c r="Z207" s="9"/>
      <c r="AA207" s="30">
        <v>11.6</v>
      </c>
      <c r="AB207" s="9"/>
      <c r="AC207" s="30">
        <v>31</v>
      </c>
      <c r="AD207" s="9"/>
      <c r="AE207" s="80">
        <v>0</v>
      </c>
      <c r="AF207" s="46"/>
      <c r="AG207" s="88">
        <v>152</v>
      </c>
      <c r="AH207" s="47"/>
      <c r="AJ207" s="83">
        <v>111846</v>
      </c>
      <c r="AL207" s="83">
        <v>34607</v>
      </c>
      <c r="AN207" s="83">
        <v>11282</v>
      </c>
      <c r="AP207" s="83">
        <v>36274</v>
      </c>
      <c r="AR207" s="83">
        <v>0</v>
      </c>
      <c r="AT207" s="204">
        <v>194009</v>
      </c>
      <c r="AV207" s="46">
        <v>66</v>
      </c>
      <c r="AX207" s="46">
        <v>17.399999999999999</v>
      </c>
      <c r="AZ207" s="46">
        <v>7.6</v>
      </c>
      <c r="BB207" s="46">
        <v>18</v>
      </c>
      <c r="BD207" s="46">
        <v>0</v>
      </c>
      <c r="BF207" s="209">
        <v>152</v>
      </c>
      <c r="BI207" s="83">
        <v>33026</v>
      </c>
      <c r="BK207" s="83">
        <v>0</v>
      </c>
      <c r="BM207" s="83">
        <v>6557</v>
      </c>
      <c r="BO207" s="83">
        <v>5627</v>
      </c>
      <c r="BQ207" s="83">
        <v>0</v>
      </c>
      <c r="BS207" s="85">
        <v>45210</v>
      </c>
      <c r="BU207" s="46">
        <v>26</v>
      </c>
      <c r="BW207" s="46">
        <v>0</v>
      </c>
      <c r="BY207" s="46">
        <v>4</v>
      </c>
      <c r="CA207" s="46">
        <v>13</v>
      </c>
      <c r="CC207" s="46">
        <v>0</v>
      </c>
      <c r="CE207" s="209">
        <v>43</v>
      </c>
      <c r="CH207" s="41">
        <v>3054639</v>
      </c>
      <c r="CJ207" s="41">
        <v>691179</v>
      </c>
      <c r="CL207" s="41">
        <v>192572</v>
      </c>
      <c r="CN207" s="41">
        <v>658726</v>
      </c>
      <c r="CP207" s="43">
        <v>4597116</v>
      </c>
      <c r="CS207" s="39">
        <v>21.085100000000001</v>
      </c>
      <c r="CU207" s="39">
        <v>19.972200000000001</v>
      </c>
      <c r="CW207" s="39">
        <v>1.3292999999999999</v>
      </c>
      <c r="CY207" s="39">
        <v>15.721</v>
      </c>
      <c r="DA207" s="44">
        <v>19.217199999999998</v>
      </c>
      <c r="DC207" s="1" t="str">
        <f t="shared" si="3"/>
        <v>No</v>
      </c>
    </row>
    <row r="208" spans="1:107">
      <c r="A208" s="7" t="s">
        <v>602</v>
      </c>
      <c r="B208" s="7" t="s">
        <v>603</v>
      </c>
      <c r="C208" s="37" t="s">
        <v>46</v>
      </c>
      <c r="D208" s="296">
        <v>6024</v>
      </c>
      <c r="E208" s="297">
        <v>60024</v>
      </c>
      <c r="F208" s="27" t="s">
        <v>162</v>
      </c>
      <c r="G208" s="27" t="s">
        <v>158</v>
      </c>
      <c r="H208" s="35">
        <v>298317</v>
      </c>
      <c r="I208" s="35">
        <v>54</v>
      </c>
      <c r="J208" s="292"/>
      <c r="K208" s="8">
        <v>249291</v>
      </c>
      <c r="L208" s="8"/>
      <c r="M208" s="8">
        <v>38622</v>
      </c>
      <c r="N208" s="9"/>
      <c r="O208" s="8">
        <v>28101</v>
      </c>
      <c r="P208" s="9"/>
      <c r="Q208" s="8">
        <v>20598</v>
      </c>
      <c r="R208" s="9"/>
      <c r="S208" s="8">
        <v>0</v>
      </c>
      <c r="T208" s="9"/>
      <c r="U208" s="33">
        <v>336612</v>
      </c>
      <c r="V208" s="9"/>
      <c r="W208" s="30">
        <v>115</v>
      </c>
      <c r="X208" s="9"/>
      <c r="Y208" s="30">
        <v>18</v>
      </c>
      <c r="Z208" s="9"/>
      <c r="AA208" s="30">
        <v>12.4</v>
      </c>
      <c r="AB208" s="9"/>
      <c r="AC208" s="30">
        <v>10.6</v>
      </c>
      <c r="AD208" s="9"/>
      <c r="AE208" s="80">
        <v>0</v>
      </c>
      <c r="AF208" s="46"/>
      <c r="AG208" s="88">
        <v>156</v>
      </c>
      <c r="AH208" s="47"/>
      <c r="AJ208" s="83">
        <v>249291</v>
      </c>
      <c r="AL208" s="83">
        <v>38622</v>
      </c>
      <c r="AN208" s="83">
        <v>28101</v>
      </c>
      <c r="AP208" s="83">
        <v>20598</v>
      </c>
      <c r="AR208" s="83">
        <v>0</v>
      </c>
      <c r="AT208" s="204">
        <v>336612</v>
      </c>
      <c r="AV208" s="46">
        <v>115</v>
      </c>
      <c r="AX208" s="46">
        <v>18</v>
      </c>
      <c r="AZ208" s="46">
        <v>12.4</v>
      </c>
      <c r="BB208" s="46">
        <v>10.6</v>
      </c>
      <c r="BD208" s="46">
        <v>0</v>
      </c>
      <c r="BF208" s="209">
        <v>156</v>
      </c>
      <c r="BI208" s="83">
        <v>0</v>
      </c>
      <c r="BK208" s="83">
        <v>0</v>
      </c>
      <c r="BM208" s="83">
        <v>0</v>
      </c>
      <c r="BO208" s="83">
        <v>0</v>
      </c>
      <c r="BQ208" s="83">
        <v>0</v>
      </c>
      <c r="BS208" s="85">
        <v>0</v>
      </c>
      <c r="BU208" s="46">
        <v>0</v>
      </c>
      <c r="BW208" s="46">
        <v>0</v>
      </c>
      <c r="BY208" s="46">
        <v>0</v>
      </c>
      <c r="CA208" s="46">
        <v>0</v>
      </c>
      <c r="CC208" s="46">
        <v>0</v>
      </c>
      <c r="CE208" s="209">
        <v>0</v>
      </c>
      <c r="CH208" s="41">
        <v>4238147</v>
      </c>
      <c r="CJ208" s="41">
        <v>831926</v>
      </c>
      <c r="CL208" s="41">
        <v>499768</v>
      </c>
      <c r="CN208" s="41">
        <v>343204</v>
      </c>
      <c r="CP208" s="43">
        <v>5913045</v>
      </c>
      <c r="CS208" s="39">
        <v>17.000800000000002</v>
      </c>
      <c r="CU208" s="39">
        <v>21.540199999999999</v>
      </c>
      <c r="CW208" s="39">
        <v>2.0047999999999999</v>
      </c>
      <c r="CY208" s="39">
        <v>16.661999999999999</v>
      </c>
      <c r="DA208" s="44">
        <v>17.566400000000002</v>
      </c>
      <c r="DC208" s="1" t="str">
        <f t="shared" si="3"/>
        <v>No</v>
      </c>
    </row>
    <row r="209" spans="1:107">
      <c r="A209" s="7" t="s">
        <v>233</v>
      </c>
      <c r="B209" s="7" t="s">
        <v>234</v>
      </c>
      <c r="C209" s="37" t="s">
        <v>70</v>
      </c>
      <c r="D209" s="296">
        <v>2003</v>
      </c>
      <c r="E209" s="297">
        <v>20003</v>
      </c>
      <c r="F209" s="27" t="s">
        <v>162</v>
      </c>
      <c r="G209" s="27" t="s">
        <v>158</v>
      </c>
      <c r="H209" s="35">
        <v>158084</v>
      </c>
      <c r="I209" s="35">
        <v>54</v>
      </c>
      <c r="J209" s="292"/>
      <c r="K209" s="8">
        <v>131027</v>
      </c>
      <c r="L209" s="8"/>
      <c r="M209" s="8">
        <v>26817</v>
      </c>
      <c r="N209" s="9"/>
      <c r="O209" s="8">
        <v>6203</v>
      </c>
      <c r="P209" s="9"/>
      <c r="Q209" s="8">
        <v>9657</v>
      </c>
      <c r="R209" s="9"/>
      <c r="S209" s="8">
        <v>0</v>
      </c>
      <c r="T209" s="9"/>
      <c r="U209" s="33">
        <v>173704</v>
      </c>
      <c r="V209" s="9"/>
      <c r="W209" s="30">
        <v>72.2</v>
      </c>
      <c r="X209" s="9"/>
      <c r="Y209" s="30">
        <v>16.5</v>
      </c>
      <c r="Z209" s="9"/>
      <c r="AA209" s="30">
        <v>4.8499999999999996</v>
      </c>
      <c r="AB209" s="9"/>
      <c r="AC209" s="30">
        <v>5.8</v>
      </c>
      <c r="AD209" s="9"/>
      <c r="AE209" s="80">
        <v>0</v>
      </c>
      <c r="AF209" s="46"/>
      <c r="AG209" s="88">
        <v>99.35</v>
      </c>
      <c r="AH209" s="47"/>
      <c r="AJ209" s="83">
        <v>92231</v>
      </c>
      <c r="AL209" s="83">
        <v>26817</v>
      </c>
      <c r="AN209" s="83">
        <v>4456</v>
      </c>
      <c r="AP209" s="83">
        <v>9657</v>
      </c>
      <c r="AR209" s="83">
        <v>0</v>
      </c>
      <c r="AT209" s="204">
        <v>133161</v>
      </c>
      <c r="AV209" s="46">
        <v>49</v>
      </c>
      <c r="AX209" s="46">
        <v>16.5</v>
      </c>
      <c r="AZ209" s="46">
        <v>2.35</v>
      </c>
      <c r="BB209" s="46">
        <v>5.8</v>
      </c>
      <c r="BD209" s="46">
        <v>0</v>
      </c>
      <c r="BF209" s="209">
        <v>99.35</v>
      </c>
      <c r="BI209" s="83">
        <v>38796</v>
      </c>
      <c r="BK209" s="83">
        <v>0</v>
      </c>
      <c r="BM209" s="83">
        <v>1747</v>
      </c>
      <c r="BO209" s="83">
        <v>0</v>
      </c>
      <c r="BQ209" s="83">
        <v>0</v>
      </c>
      <c r="BS209" s="85">
        <v>40543</v>
      </c>
      <c r="BU209" s="46">
        <v>23.2</v>
      </c>
      <c r="BW209" s="46">
        <v>0</v>
      </c>
      <c r="BY209" s="46">
        <v>2.5</v>
      </c>
      <c r="CA209" s="46">
        <v>0</v>
      </c>
      <c r="CC209" s="46">
        <v>0</v>
      </c>
      <c r="CE209" s="209">
        <v>25.7</v>
      </c>
      <c r="CH209" s="41">
        <v>3241961</v>
      </c>
      <c r="CJ209" s="41">
        <v>841398</v>
      </c>
      <c r="CL209" s="41">
        <v>109640</v>
      </c>
      <c r="CN209" s="41">
        <v>211247</v>
      </c>
      <c r="CP209" s="43">
        <v>4404246</v>
      </c>
      <c r="CS209" s="39">
        <v>24.742699999999999</v>
      </c>
      <c r="CU209" s="39">
        <v>31.375499999999999</v>
      </c>
      <c r="CW209" s="39">
        <v>0.83679999999999999</v>
      </c>
      <c r="CY209" s="39">
        <v>21.875</v>
      </c>
      <c r="DA209" s="44">
        <v>25.354900000000001</v>
      </c>
      <c r="DC209" s="1" t="str">
        <f t="shared" si="3"/>
        <v>No</v>
      </c>
    </row>
    <row r="210" spans="1:107">
      <c r="A210" s="7" t="s">
        <v>445</v>
      </c>
      <c r="B210" s="7" t="s">
        <v>446</v>
      </c>
      <c r="C210" s="37" t="s">
        <v>84</v>
      </c>
      <c r="D210" s="296">
        <v>6009</v>
      </c>
      <c r="E210" s="297">
        <v>60009</v>
      </c>
      <c r="F210" s="27" t="s">
        <v>162</v>
      </c>
      <c r="G210" s="27" t="s">
        <v>158</v>
      </c>
      <c r="H210" s="35">
        <v>235730</v>
      </c>
      <c r="I210" s="35">
        <v>54</v>
      </c>
      <c r="J210" s="292"/>
      <c r="K210" s="8">
        <v>236041</v>
      </c>
      <c r="L210" s="8"/>
      <c r="M210" s="8">
        <v>54791</v>
      </c>
      <c r="N210" s="9"/>
      <c r="O210" s="8">
        <v>23231</v>
      </c>
      <c r="P210" s="9"/>
      <c r="Q210" s="8">
        <v>15498</v>
      </c>
      <c r="R210" s="9"/>
      <c r="S210" s="8">
        <v>0</v>
      </c>
      <c r="T210" s="9"/>
      <c r="U210" s="33">
        <v>329561</v>
      </c>
      <c r="V210" s="9"/>
      <c r="W210" s="30">
        <v>125</v>
      </c>
      <c r="X210" s="9"/>
      <c r="Y210" s="30">
        <v>32</v>
      </c>
      <c r="Z210" s="9"/>
      <c r="AA210" s="30">
        <v>15</v>
      </c>
      <c r="AB210" s="9"/>
      <c r="AC210" s="30">
        <v>9.6999999999999993</v>
      </c>
      <c r="AD210" s="9"/>
      <c r="AE210" s="80">
        <v>0</v>
      </c>
      <c r="AF210" s="46"/>
      <c r="AG210" s="88">
        <v>181.7</v>
      </c>
      <c r="AH210" s="47"/>
      <c r="AJ210" s="83">
        <v>213837</v>
      </c>
      <c r="AL210" s="83">
        <v>54791</v>
      </c>
      <c r="AN210" s="83">
        <v>23231</v>
      </c>
      <c r="AP210" s="83">
        <v>15498</v>
      </c>
      <c r="AR210" s="83">
        <v>0</v>
      </c>
      <c r="AT210" s="204">
        <v>307357</v>
      </c>
      <c r="AV210" s="46">
        <v>108</v>
      </c>
      <c r="AX210" s="46">
        <v>32</v>
      </c>
      <c r="AZ210" s="46">
        <v>15</v>
      </c>
      <c r="BB210" s="46">
        <v>9.6999999999999993</v>
      </c>
      <c r="BD210" s="46">
        <v>0</v>
      </c>
      <c r="BF210" s="209">
        <v>181.7</v>
      </c>
      <c r="BI210" s="83">
        <v>22204</v>
      </c>
      <c r="BK210" s="83">
        <v>0</v>
      </c>
      <c r="BM210" s="83">
        <v>0</v>
      </c>
      <c r="BO210" s="83">
        <v>0</v>
      </c>
      <c r="BQ210" s="83">
        <v>0</v>
      </c>
      <c r="BS210" s="85">
        <v>22204</v>
      </c>
      <c r="BU210" s="46">
        <v>17</v>
      </c>
      <c r="BW210" s="46">
        <v>0</v>
      </c>
      <c r="BY210" s="46">
        <v>0</v>
      </c>
      <c r="CA210" s="46">
        <v>0</v>
      </c>
      <c r="CC210" s="46">
        <v>0</v>
      </c>
      <c r="CE210" s="209">
        <v>17</v>
      </c>
      <c r="CH210" s="41">
        <v>4844766</v>
      </c>
      <c r="CJ210" s="41">
        <v>1203486</v>
      </c>
      <c r="CL210" s="41">
        <v>330647</v>
      </c>
      <c r="CN210" s="41">
        <v>286197</v>
      </c>
      <c r="CP210" s="43">
        <v>6665096</v>
      </c>
      <c r="CS210" s="39">
        <v>20.525099999999998</v>
      </c>
      <c r="CU210" s="39">
        <v>21.965</v>
      </c>
      <c r="CW210" s="39">
        <v>1.4008</v>
      </c>
      <c r="CY210" s="39">
        <v>18.466699999999999</v>
      </c>
      <c r="DA210" s="44">
        <v>20.2242</v>
      </c>
      <c r="DC210" s="1" t="str">
        <f t="shared" si="3"/>
        <v>No</v>
      </c>
    </row>
    <row r="211" spans="1:107">
      <c r="A211" s="7" t="s">
        <v>430</v>
      </c>
      <c r="B211" s="7" t="s">
        <v>431</v>
      </c>
      <c r="C211" s="37" t="s">
        <v>96</v>
      </c>
      <c r="D211" s="296">
        <v>3001</v>
      </c>
      <c r="E211" s="297">
        <v>30001</v>
      </c>
      <c r="F211" s="27" t="s">
        <v>165</v>
      </c>
      <c r="G211" s="27" t="s">
        <v>158</v>
      </c>
      <c r="H211" s="35">
        <v>153199</v>
      </c>
      <c r="I211" s="35">
        <v>54</v>
      </c>
      <c r="J211" s="292"/>
      <c r="K211" s="8">
        <v>202650</v>
      </c>
      <c r="L211" s="8"/>
      <c r="M211" s="8">
        <v>51774</v>
      </c>
      <c r="N211" s="9"/>
      <c r="O211" s="8">
        <v>3969</v>
      </c>
      <c r="P211" s="9"/>
      <c r="Q211" s="8">
        <v>22849</v>
      </c>
      <c r="R211" s="9"/>
      <c r="S211" s="8">
        <v>0</v>
      </c>
      <c r="T211" s="9"/>
      <c r="U211" s="33">
        <v>281242</v>
      </c>
      <c r="V211" s="9"/>
      <c r="W211" s="30">
        <v>105</v>
      </c>
      <c r="X211" s="9"/>
      <c r="Y211" s="30">
        <v>26</v>
      </c>
      <c r="Z211" s="9"/>
      <c r="AA211" s="30">
        <v>2</v>
      </c>
      <c r="AB211" s="9"/>
      <c r="AC211" s="30">
        <v>11</v>
      </c>
      <c r="AD211" s="9"/>
      <c r="AE211" s="80">
        <v>0</v>
      </c>
      <c r="AF211" s="46"/>
      <c r="AG211" s="88">
        <v>144</v>
      </c>
      <c r="AH211" s="47"/>
      <c r="AJ211" s="83">
        <v>199509</v>
      </c>
      <c r="AL211" s="83">
        <v>51774</v>
      </c>
      <c r="AN211" s="83">
        <v>3969</v>
      </c>
      <c r="AP211" s="83">
        <v>22849</v>
      </c>
      <c r="AR211" s="83">
        <v>0</v>
      </c>
      <c r="AT211" s="204">
        <v>278101</v>
      </c>
      <c r="AV211" s="46">
        <v>102</v>
      </c>
      <c r="AX211" s="46">
        <v>26</v>
      </c>
      <c r="AZ211" s="46">
        <v>2</v>
      </c>
      <c r="BB211" s="46">
        <v>11</v>
      </c>
      <c r="BD211" s="46">
        <v>0</v>
      </c>
      <c r="BF211" s="209">
        <v>144</v>
      </c>
      <c r="BI211" s="83">
        <v>3141</v>
      </c>
      <c r="BK211" s="83">
        <v>0</v>
      </c>
      <c r="BM211" s="83">
        <v>0</v>
      </c>
      <c r="BO211" s="83">
        <v>0</v>
      </c>
      <c r="BQ211" s="83">
        <v>0</v>
      </c>
      <c r="BS211" s="85">
        <v>3141</v>
      </c>
      <c r="BU211" s="46">
        <v>3</v>
      </c>
      <c r="BW211" s="46">
        <v>0</v>
      </c>
      <c r="BY211" s="46">
        <v>0</v>
      </c>
      <c r="CA211" s="46">
        <v>0</v>
      </c>
      <c r="CC211" s="46">
        <v>0</v>
      </c>
      <c r="CE211" s="209">
        <v>3</v>
      </c>
      <c r="CH211" s="41">
        <v>3902286</v>
      </c>
      <c r="CJ211" s="41">
        <v>1078965</v>
      </c>
      <c r="CL211" s="41">
        <v>73439</v>
      </c>
      <c r="CN211" s="41">
        <v>498886</v>
      </c>
      <c r="CP211" s="43">
        <v>5553576</v>
      </c>
      <c r="CS211" s="39">
        <v>19.2563</v>
      </c>
      <c r="CU211" s="39">
        <v>20.8399</v>
      </c>
      <c r="CW211" s="39">
        <v>0.3624</v>
      </c>
      <c r="CY211" s="39">
        <v>21.834</v>
      </c>
      <c r="DA211" s="44">
        <v>19.746600000000001</v>
      </c>
      <c r="DC211" s="1" t="str">
        <f t="shared" si="3"/>
        <v>No</v>
      </c>
    </row>
    <row r="212" spans="1:107">
      <c r="A212" s="7" t="s">
        <v>1129</v>
      </c>
      <c r="B212" s="7" t="s">
        <v>654</v>
      </c>
      <c r="C212" s="37" t="s">
        <v>26</v>
      </c>
      <c r="D212" s="296">
        <v>8011</v>
      </c>
      <c r="E212" s="297">
        <v>80011</v>
      </c>
      <c r="F212" s="27" t="s">
        <v>162</v>
      </c>
      <c r="G212" s="27" t="s">
        <v>158</v>
      </c>
      <c r="H212" s="35">
        <v>264465</v>
      </c>
      <c r="I212" s="35">
        <v>54</v>
      </c>
      <c r="J212" s="292"/>
      <c r="K212" s="8">
        <v>210697</v>
      </c>
      <c r="L212" s="8"/>
      <c r="M212" s="8">
        <v>0</v>
      </c>
      <c r="N212" s="9"/>
      <c r="O212" s="8">
        <v>0</v>
      </c>
      <c r="P212" s="9"/>
      <c r="Q212" s="8">
        <v>32097</v>
      </c>
      <c r="R212" s="9"/>
      <c r="S212" s="8">
        <v>0</v>
      </c>
      <c r="T212" s="9"/>
      <c r="U212" s="33">
        <v>242794</v>
      </c>
      <c r="V212" s="9"/>
      <c r="W212" s="30">
        <v>127.05</v>
      </c>
      <c r="X212" s="9"/>
      <c r="Y212" s="30">
        <v>0</v>
      </c>
      <c r="Z212" s="9"/>
      <c r="AA212" s="30">
        <v>0</v>
      </c>
      <c r="AB212" s="9"/>
      <c r="AC212" s="30">
        <v>21</v>
      </c>
      <c r="AD212" s="9"/>
      <c r="AE212" s="80">
        <v>0</v>
      </c>
      <c r="AF212" s="46"/>
      <c r="AG212" s="88">
        <v>148.05000000000001</v>
      </c>
      <c r="AH212" s="47"/>
      <c r="AJ212" s="83">
        <v>109625</v>
      </c>
      <c r="AL212" s="83">
        <v>0</v>
      </c>
      <c r="AN212" s="83">
        <v>0</v>
      </c>
      <c r="AP212" s="83">
        <v>29348</v>
      </c>
      <c r="AR212" s="83">
        <v>0</v>
      </c>
      <c r="AT212" s="204">
        <v>138973</v>
      </c>
      <c r="AV212" s="46">
        <v>66</v>
      </c>
      <c r="AX212" s="46">
        <v>0</v>
      </c>
      <c r="AZ212" s="46">
        <v>0</v>
      </c>
      <c r="BB212" s="46">
        <v>20</v>
      </c>
      <c r="BD212" s="46">
        <v>0</v>
      </c>
      <c r="BF212" s="209">
        <v>148.05000000000001</v>
      </c>
      <c r="BI212" s="83">
        <v>101072</v>
      </c>
      <c r="BK212" s="83">
        <v>0</v>
      </c>
      <c r="BM212" s="83">
        <v>0</v>
      </c>
      <c r="BO212" s="83">
        <v>2749</v>
      </c>
      <c r="BQ212" s="83">
        <v>0</v>
      </c>
      <c r="BS212" s="85">
        <v>103821</v>
      </c>
      <c r="BU212" s="46">
        <v>61.05</v>
      </c>
      <c r="BW212" s="46">
        <v>0</v>
      </c>
      <c r="BY212" s="46">
        <v>0</v>
      </c>
      <c r="CA212" s="46">
        <v>1</v>
      </c>
      <c r="CC212" s="46">
        <v>0</v>
      </c>
      <c r="CE212" s="209">
        <v>62.05</v>
      </c>
      <c r="CH212" s="41">
        <v>5335294</v>
      </c>
      <c r="CJ212" s="41">
        <v>0</v>
      </c>
      <c r="CL212" s="41">
        <v>0</v>
      </c>
      <c r="CN212" s="41">
        <v>979129</v>
      </c>
      <c r="CP212" s="43">
        <v>6314423</v>
      </c>
      <c r="CS212" s="39">
        <v>25.322099999999999</v>
      </c>
      <c r="CW212" s="39">
        <v>0</v>
      </c>
      <c r="CY212" s="39">
        <v>30.505299999999998</v>
      </c>
      <c r="DA212" s="44">
        <v>26.007300000000001</v>
      </c>
      <c r="DC212" s="1" t="str">
        <f t="shared" si="3"/>
        <v>No</v>
      </c>
    </row>
    <row r="213" spans="1:107">
      <c r="A213" s="7" t="s">
        <v>402</v>
      </c>
      <c r="B213" s="7" t="s">
        <v>403</v>
      </c>
      <c r="C213" s="37" t="s">
        <v>86</v>
      </c>
      <c r="D213" s="296">
        <v>3007</v>
      </c>
      <c r="E213" s="297">
        <v>30007</v>
      </c>
      <c r="F213" s="27" t="s">
        <v>401</v>
      </c>
      <c r="G213" s="27" t="s">
        <v>158</v>
      </c>
      <c r="H213" s="35">
        <v>210111</v>
      </c>
      <c r="I213" s="35">
        <v>53</v>
      </c>
      <c r="J213" s="292"/>
      <c r="K213" s="8">
        <v>151674</v>
      </c>
      <c r="L213" s="8"/>
      <c r="M213" s="8">
        <v>26191</v>
      </c>
      <c r="N213" s="9"/>
      <c r="O213" s="8">
        <v>9201</v>
      </c>
      <c r="P213" s="9"/>
      <c r="Q213" s="8">
        <v>25135</v>
      </c>
      <c r="R213" s="9"/>
      <c r="S213" s="8">
        <v>0</v>
      </c>
      <c r="T213" s="9"/>
      <c r="U213" s="33">
        <v>212201</v>
      </c>
      <c r="V213" s="9"/>
      <c r="W213" s="30">
        <v>81</v>
      </c>
      <c r="X213" s="9"/>
      <c r="Y213" s="30">
        <v>14</v>
      </c>
      <c r="Z213" s="9"/>
      <c r="AA213" s="30">
        <v>4.5</v>
      </c>
      <c r="AB213" s="9"/>
      <c r="AC213" s="30">
        <v>15</v>
      </c>
      <c r="AD213" s="9"/>
      <c r="AE213" s="80">
        <v>0</v>
      </c>
      <c r="AF213" s="46"/>
      <c r="AG213" s="88">
        <v>114.5</v>
      </c>
      <c r="AH213" s="47"/>
      <c r="AJ213" s="83">
        <v>147399</v>
      </c>
      <c r="AL213" s="83">
        <v>24095</v>
      </c>
      <c r="AN213" s="83">
        <v>8911</v>
      </c>
      <c r="AP213" s="83">
        <v>21319</v>
      </c>
      <c r="AR213" s="83">
        <v>0</v>
      </c>
      <c r="AT213" s="204">
        <v>201724</v>
      </c>
      <c r="AV213" s="46">
        <v>77</v>
      </c>
      <c r="AX213" s="46">
        <v>12</v>
      </c>
      <c r="AZ213" s="46">
        <v>4</v>
      </c>
      <c r="BB213" s="46">
        <v>11</v>
      </c>
      <c r="BD213" s="46">
        <v>0</v>
      </c>
      <c r="BF213" s="209">
        <v>114.5</v>
      </c>
      <c r="BI213" s="83">
        <v>4275</v>
      </c>
      <c r="BK213" s="83">
        <v>2096</v>
      </c>
      <c r="BM213" s="83">
        <v>290</v>
      </c>
      <c r="BO213" s="83">
        <v>3816</v>
      </c>
      <c r="BQ213" s="83">
        <v>0</v>
      </c>
      <c r="BS213" s="85">
        <v>10477</v>
      </c>
      <c r="BU213" s="46">
        <v>4</v>
      </c>
      <c r="BW213" s="46">
        <v>2</v>
      </c>
      <c r="BY213" s="46">
        <v>0.5</v>
      </c>
      <c r="CA213" s="46">
        <v>4</v>
      </c>
      <c r="CC213" s="46">
        <v>0</v>
      </c>
      <c r="CE213" s="209">
        <v>10.5</v>
      </c>
      <c r="CH213" s="41">
        <v>2534318</v>
      </c>
      <c r="CJ213" s="41">
        <v>471226</v>
      </c>
      <c r="CL213" s="41">
        <v>90099</v>
      </c>
      <c r="CN213" s="41">
        <v>369406</v>
      </c>
      <c r="CP213" s="43">
        <v>3465049</v>
      </c>
      <c r="CS213" s="39">
        <v>16.709</v>
      </c>
      <c r="CU213" s="39">
        <v>17.991900000000001</v>
      </c>
      <c r="CW213" s="39">
        <v>0.59399999999999997</v>
      </c>
      <c r="CY213" s="39">
        <v>14.696899999999999</v>
      </c>
      <c r="DA213" s="44">
        <v>16.3291</v>
      </c>
      <c r="DC213" s="1" t="str">
        <f t="shared" si="3"/>
        <v>No</v>
      </c>
    </row>
    <row r="214" spans="1:107">
      <c r="A214" s="7" t="s">
        <v>434</v>
      </c>
      <c r="B214" s="7" t="s">
        <v>435</v>
      </c>
      <c r="C214" s="37" t="s">
        <v>93</v>
      </c>
      <c r="D214" s="296">
        <v>5003</v>
      </c>
      <c r="E214" s="297">
        <v>50003</v>
      </c>
      <c r="F214" s="27" t="s">
        <v>162</v>
      </c>
      <c r="G214" s="27" t="s">
        <v>158</v>
      </c>
      <c r="H214" s="35">
        <v>124064</v>
      </c>
      <c r="I214" s="35">
        <v>52</v>
      </c>
      <c r="J214" s="292"/>
      <c r="K214" s="8">
        <v>79648</v>
      </c>
      <c r="L214" s="8"/>
      <c r="M214" s="8">
        <v>17405</v>
      </c>
      <c r="N214" s="9"/>
      <c r="O214" s="8">
        <v>2450</v>
      </c>
      <c r="P214" s="9"/>
      <c r="Q214" s="8">
        <v>13074</v>
      </c>
      <c r="R214" s="9"/>
      <c r="S214" s="8">
        <v>0</v>
      </c>
      <c r="T214" s="9"/>
      <c r="U214" s="33">
        <v>112577</v>
      </c>
      <c r="V214" s="9"/>
      <c r="W214" s="30">
        <v>56</v>
      </c>
      <c r="X214" s="9"/>
      <c r="Y214" s="30">
        <v>9.5</v>
      </c>
      <c r="Z214" s="9"/>
      <c r="AA214" s="30">
        <v>1.9</v>
      </c>
      <c r="AB214" s="9"/>
      <c r="AC214" s="30">
        <v>8.5</v>
      </c>
      <c r="AD214" s="9"/>
      <c r="AE214" s="80">
        <v>0</v>
      </c>
      <c r="AF214" s="46"/>
      <c r="AG214" s="88">
        <v>75.900000000000006</v>
      </c>
      <c r="AH214" s="47"/>
      <c r="AJ214" s="83">
        <v>55686</v>
      </c>
      <c r="AL214" s="83">
        <v>15400</v>
      </c>
      <c r="AN214" s="83">
        <v>1000</v>
      </c>
      <c r="AP214" s="83">
        <v>11723</v>
      </c>
      <c r="AR214" s="83">
        <v>0</v>
      </c>
      <c r="AT214" s="204">
        <v>83809</v>
      </c>
      <c r="AV214" s="46">
        <v>31.5</v>
      </c>
      <c r="AX214" s="46">
        <v>7.5</v>
      </c>
      <c r="AZ214" s="46">
        <v>0.5</v>
      </c>
      <c r="BB214" s="46">
        <v>7</v>
      </c>
      <c r="BD214" s="46">
        <v>0</v>
      </c>
      <c r="BF214" s="209">
        <v>75.900000000000006</v>
      </c>
      <c r="BI214" s="83">
        <v>23962</v>
      </c>
      <c r="BK214" s="83">
        <v>2005</v>
      </c>
      <c r="BM214" s="83">
        <v>1450</v>
      </c>
      <c r="BO214" s="83">
        <v>1351</v>
      </c>
      <c r="BQ214" s="83">
        <v>0</v>
      </c>
      <c r="BS214" s="85">
        <v>28768</v>
      </c>
      <c r="BU214" s="46">
        <v>24.5</v>
      </c>
      <c r="BW214" s="46">
        <v>2</v>
      </c>
      <c r="BY214" s="46">
        <v>1.4</v>
      </c>
      <c r="CA214" s="46">
        <v>1.5</v>
      </c>
      <c r="CC214" s="46">
        <v>0</v>
      </c>
      <c r="CE214" s="209">
        <v>29.4</v>
      </c>
      <c r="CH214" s="41">
        <v>1730211</v>
      </c>
      <c r="CJ214" s="41">
        <v>450046</v>
      </c>
      <c r="CL214" s="41">
        <v>50637</v>
      </c>
      <c r="CN214" s="41">
        <v>187366</v>
      </c>
      <c r="CP214" s="43">
        <v>2418260</v>
      </c>
      <c r="CS214" s="39">
        <v>21.723199999999999</v>
      </c>
      <c r="CU214" s="39">
        <v>25.857299999999999</v>
      </c>
      <c r="CW214" s="39">
        <v>0.63580000000000003</v>
      </c>
      <c r="CY214" s="39">
        <v>14.331200000000001</v>
      </c>
      <c r="DA214" s="44">
        <v>21.480899999999998</v>
      </c>
      <c r="DC214" s="1" t="str">
        <f t="shared" si="3"/>
        <v>No</v>
      </c>
    </row>
    <row r="215" spans="1:107">
      <c r="A215" s="7" t="s">
        <v>556</v>
      </c>
      <c r="B215" s="7" t="s">
        <v>557</v>
      </c>
      <c r="C215" s="37" t="s">
        <v>73</v>
      </c>
      <c r="D215" s="296">
        <v>5021</v>
      </c>
      <c r="E215" s="297">
        <v>50021</v>
      </c>
      <c r="F215" s="27" t="s">
        <v>165</v>
      </c>
      <c r="G215" s="27" t="s">
        <v>158</v>
      </c>
      <c r="H215" s="35">
        <v>569499</v>
      </c>
      <c r="I215" s="35">
        <v>52</v>
      </c>
      <c r="J215" s="292"/>
      <c r="K215" s="8">
        <v>173076</v>
      </c>
      <c r="L215" s="8"/>
      <c r="M215" s="8">
        <v>27469</v>
      </c>
      <c r="N215" s="9"/>
      <c r="O215" s="8">
        <v>11036</v>
      </c>
      <c r="P215" s="9"/>
      <c r="Q215" s="8">
        <v>23998</v>
      </c>
      <c r="R215" s="9"/>
      <c r="S215" s="8">
        <v>1920</v>
      </c>
      <c r="T215" s="9"/>
      <c r="U215" s="33">
        <v>237499</v>
      </c>
      <c r="V215" s="9"/>
      <c r="W215" s="30">
        <v>152.1</v>
      </c>
      <c r="X215" s="9"/>
      <c r="Y215" s="30">
        <v>19.100000000000001</v>
      </c>
      <c r="Z215" s="9"/>
      <c r="AA215" s="30">
        <v>1</v>
      </c>
      <c r="AB215" s="9"/>
      <c r="AC215" s="30">
        <v>13</v>
      </c>
      <c r="AD215" s="9"/>
      <c r="AE215" s="80">
        <v>1</v>
      </c>
      <c r="AF215" s="46"/>
      <c r="AG215" s="88">
        <v>186.2</v>
      </c>
      <c r="AH215" s="47"/>
      <c r="AJ215" s="83">
        <v>89200</v>
      </c>
      <c r="AL215" s="83">
        <v>24781</v>
      </c>
      <c r="AN215" s="83">
        <v>2036</v>
      </c>
      <c r="AP215" s="83">
        <v>22251</v>
      </c>
      <c r="AR215" s="83">
        <v>1920</v>
      </c>
      <c r="AT215" s="204">
        <v>140188</v>
      </c>
      <c r="AV215" s="46">
        <v>45</v>
      </c>
      <c r="AX215" s="46">
        <v>13</v>
      </c>
      <c r="AZ215" s="46">
        <v>1</v>
      </c>
      <c r="BB215" s="46">
        <v>12</v>
      </c>
      <c r="BD215" s="46">
        <v>1</v>
      </c>
      <c r="BF215" s="209">
        <v>186.2</v>
      </c>
      <c r="BI215" s="83">
        <v>83876</v>
      </c>
      <c r="BK215" s="83">
        <v>2688</v>
      </c>
      <c r="BM215" s="83">
        <v>9000</v>
      </c>
      <c r="BO215" s="83">
        <v>1747</v>
      </c>
      <c r="BQ215" s="83">
        <v>0</v>
      </c>
      <c r="BS215" s="85">
        <v>97311</v>
      </c>
      <c r="BU215" s="46">
        <v>107.1</v>
      </c>
      <c r="BW215" s="46">
        <v>6.1</v>
      </c>
      <c r="BY215" s="46">
        <v>0</v>
      </c>
      <c r="CA215" s="46">
        <v>1</v>
      </c>
      <c r="CC215" s="46">
        <v>0</v>
      </c>
      <c r="CE215" s="209">
        <v>114.2</v>
      </c>
      <c r="CH215" s="41">
        <v>2670285</v>
      </c>
      <c r="CJ215" s="41">
        <v>697131</v>
      </c>
      <c r="CL215" s="41">
        <v>147416</v>
      </c>
      <c r="CN215" s="41">
        <v>794021</v>
      </c>
      <c r="CP215" s="43">
        <v>4308853</v>
      </c>
      <c r="CS215" s="39">
        <v>15.4284</v>
      </c>
      <c r="CU215" s="39">
        <v>25.378799999999998</v>
      </c>
      <c r="CW215" s="39">
        <v>0.85170000000000001</v>
      </c>
      <c r="CY215" s="39">
        <v>33.087000000000003</v>
      </c>
      <c r="DA215" s="44">
        <v>18.142600000000002</v>
      </c>
      <c r="DC215" s="1" t="str">
        <f t="shared" si="3"/>
        <v>No</v>
      </c>
    </row>
    <row r="216" spans="1:107">
      <c r="A216" s="7" t="s">
        <v>354</v>
      </c>
      <c r="B216" s="7" t="s">
        <v>355</v>
      </c>
      <c r="C216" s="37" t="s">
        <v>36</v>
      </c>
      <c r="D216" s="296">
        <v>4082</v>
      </c>
      <c r="E216" s="297">
        <v>40082</v>
      </c>
      <c r="F216" s="27" t="s">
        <v>162</v>
      </c>
      <c r="G216" s="27" t="s">
        <v>158</v>
      </c>
      <c r="H216" s="35">
        <v>4515419</v>
      </c>
      <c r="I216" s="35">
        <v>52</v>
      </c>
      <c r="J216" s="292"/>
      <c r="K216" s="8">
        <v>10837</v>
      </c>
      <c r="L216" s="8"/>
      <c r="M216" s="8">
        <v>1832</v>
      </c>
      <c r="N216" s="9"/>
      <c r="O216" s="8">
        <v>0</v>
      </c>
      <c r="P216" s="9"/>
      <c r="Q216" s="8">
        <v>7572</v>
      </c>
      <c r="R216" s="9"/>
      <c r="S216" s="8">
        <v>0</v>
      </c>
      <c r="T216" s="9"/>
      <c r="U216" s="33">
        <v>20241</v>
      </c>
      <c r="V216" s="9"/>
      <c r="W216" s="30">
        <v>7</v>
      </c>
      <c r="X216" s="9"/>
      <c r="Y216" s="30">
        <v>1</v>
      </c>
      <c r="Z216" s="9"/>
      <c r="AA216" s="30">
        <v>0</v>
      </c>
      <c r="AB216" s="9"/>
      <c r="AC216" s="30">
        <v>5.5</v>
      </c>
      <c r="AD216" s="9"/>
      <c r="AE216" s="80">
        <v>0</v>
      </c>
      <c r="AF216" s="46"/>
      <c r="AG216" s="88">
        <v>13.5</v>
      </c>
      <c r="AH216" s="47"/>
      <c r="AJ216" s="83">
        <v>9680</v>
      </c>
      <c r="AL216" s="83">
        <v>1832</v>
      </c>
      <c r="AN216" s="83">
        <v>0</v>
      </c>
      <c r="AP216" s="83">
        <v>3496</v>
      </c>
      <c r="AR216" s="83">
        <v>0</v>
      </c>
      <c r="AT216" s="204">
        <v>15008</v>
      </c>
      <c r="AV216" s="46">
        <v>5</v>
      </c>
      <c r="AX216" s="46">
        <v>1</v>
      </c>
      <c r="AZ216" s="46">
        <v>0</v>
      </c>
      <c r="BB216" s="46">
        <v>2</v>
      </c>
      <c r="BD216" s="46">
        <v>0</v>
      </c>
      <c r="BF216" s="209">
        <v>13.5</v>
      </c>
      <c r="BI216" s="83">
        <v>1157</v>
      </c>
      <c r="BK216" s="83">
        <v>0</v>
      </c>
      <c r="BM216" s="83">
        <v>0</v>
      </c>
      <c r="BO216" s="83">
        <v>4076</v>
      </c>
      <c r="BQ216" s="83">
        <v>0</v>
      </c>
      <c r="BS216" s="85">
        <v>5233</v>
      </c>
      <c r="BU216" s="46">
        <v>2</v>
      </c>
      <c r="BW216" s="46">
        <v>0</v>
      </c>
      <c r="BY216" s="46">
        <v>0</v>
      </c>
      <c r="CA216" s="46">
        <v>3.5</v>
      </c>
      <c r="CC216" s="46">
        <v>0</v>
      </c>
      <c r="CE216" s="209">
        <v>5.5</v>
      </c>
      <c r="CH216" s="41">
        <v>106559</v>
      </c>
      <c r="CJ216" s="41">
        <v>31456</v>
      </c>
      <c r="CL216" s="41">
        <v>0</v>
      </c>
      <c r="CN216" s="41">
        <v>174459</v>
      </c>
      <c r="CP216" s="43">
        <v>312474</v>
      </c>
      <c r="CS216" s="39">
        <v>9.8329000000000004</v>
      </c>
      <c r="CU216" s="39">
        <v>17.170300000000001</v>
      </c>
      <c r="CW216" s="39">
        <v>0</v>
      </c>
      <c r="CY216" s="39">
        <v>23.04</v>
      </c>
      <c r="DA216" s="44">
        <v>15.4377</v>
      </c>
      <c r="DC216" s="1" t="str">
        <f t="shared" si="3"/>
        <v>No</v>
      </c>
    </row>
    <row r="217" spans="1:107">
      <c r="A217" s="7" t="s">
        <v>623</v>
      </c>
      <c r="B217" s="7" t="s">
        <v>624</v>
      </c>
      <c r="C217" s="37" t="s">
        <v>54</v>
      </c>
      <c r="D217" s="296">
        <v>5028</v>
      </c>
      <c r="E217" s="297">
        <v>50028</v>
      </c>
      <c r="F217" s="27" t="s">
        <v>165</v>
      </c>
      <c r="G217" s="27" t="s">
        <v>158</v>
      </c>
      <c r="H217" s="35">
        <v>110621</v>
      </c>
      <c r="I217" s="35">
        <v>52</v>
      </c>
      <c r="J217" s="292"/>
      <c r="K217" s="8">
        <v>196789</v>
      </c>
      <c r="L217" s="8"/>
      <c r="M217" s="8">
        <v>23250</v>
      </c>
      <c r="N217" s="9"/>
      <c r="O217" s="8">
        <v>3526</v>
      </c>
      <c r="P217" s="9"/>
      <c r="Q217" s="8">
        <v>27604</v>
      </c>
      <c r="R217" s="9"/>
      <c r="S217" s="8">
        <v>0</v>
      </c>
      <c r="T217" s="9"/>
      <c r="U217" s="33">
        <v>251169</v>
      </c>
      <c r="V217" s="9"/>
      <c r="W217" s="30">
        <v>122.65</v>
      </c>
      <c r="X217" s="9"/>
      <c r="Y217" s="30">
        <v>14.79</v>
      </c>
      <c r="Z217" s="9"/>
      <c r="AA217" s="30">
        <v>3.19</v>
      </c>
      <c r="AB217" s="9"/>
      <c r="AC217" s="30">
        <v>16.3</v>
      </c>
      <c r="AD217" s="9"/>
      <c r="AE217" s="80">
        <v>0</v>
      </c>
      <c r="AF217" s="46"/>
      <c r="AG217" s="88">
        <v>156.93</v>
      </c>
      <c r="AH217" s="47"/>
      <c r="AJ217" s="83">
        <v>173994</v>
      </c>
      <c r="AL217" s="83">
        <v>18856</v>
      </c>
      <c r="AN217" s="83">
        <v>1925</v>
      </c>
      <c r="AP217" s="83">
        <v>18864</v>
      </c>
      <c r="AR217" s="83">
        <v>0</v>
      </c>
      <c r="AT217" s="204">
        <v>213639</v>
      </c>
      <c r="AV217" s="46">
        <v>96.77</v>
      </c>
      <c r="AX217" s="46">
        <v>9.64</v>
      </c>
      <c r="AZ217" s="46">
        <v>1</v>
      </c>
      <c r="BB217" s="46">
        <v>9</v>
      </c>
      <c r="BD217" s="46">
        <v>0</v>
      </c>
      <c r="BF217" s="209">
        <v>156.93</v>
      </c>
      <c r="BI217" s="83">
        <v>22795</v>
      </c>
      <c r="BK217" s="83">
        <v>4394</v>
      </c>
      <c r="BM217" s="83">
        <v>1601</v>
      </c>
      <c r="BO217" s="83">
        <v>8740</v>
      </c>
      <c r="BQ217" s="83">
        <v>0</v>
      </c>
      <c r="BS217" s="85">
        <v>37530</v>
      </c>
      <c r="BU217" s="46">
        <v>25.88</v>
      </c>
      <c r="BW217" s="46">
        <v>5.15</v>
      </c>
      <c r="BY217" s="46">
        <v>2.19</v>
      </c>
      <c r="CA217" s="46">
        <v>7.3</v>
      </c>
      <c r="CC217" s="46">
        <v>0</v>
      </c>
      <c r="CE217" s="209">
        <v>40.520000000000003</v>
      </c>
      <c r="CH217" s="41">
        <v>4765049</v>
      </c>
      <c r="CJ217" s="41">
        <v>627873</v>
      </c>
      <c r="CL217" s="41">
        <v>57190</v>
      </c>
      <c r="CN217" s="41">
        <v>623324</v>
      </c>
      <c r="CP217" s="43">
        <v>6073436</v>
      </c>
      <c r="CS217" s="39">
        <v>24.213999999999999</v>
      </c>
      <c r="CU217" s="39">
        <v>27.005299999999998</v>
      </c>
      <c r="CW217" s="39">
        <v>0.29060000000000002</v>
      </c>
      <c r="CY217" s="39">
        <v>22.5809</v>
      </c>
      <c r="DA217" s="44">
        <v>24.180700000000002</v>
      </c>
      <c r="DC217" s="1" t="str">
        <f t="shared" si="3"/>
        <v>No</v>
      </c>
    </row>
    <row r="218" spans="1:107">
      <c r="A218" s="7" t="s">
        <v>207</v>
      </c>
      <c r="B218" s="7" t="s">
        <v>208</v>
      </c>
      <c r="C218" s="37" t="s">
        <v>52</v>
      </c>
      <c r="D218" s="296">
        <v>5029</v>
      </c>
      <c r="E218" s="297">
        <v>50029</v>
      </c>
      <c r="F218" s="27" t="s">
        <v>165</v>
      </c>
      <c r="G218" s="27" t="s">
        <v>158</v>
      </c>
      <c r="H218" s="35">
        <v>70585</v>
      </c>
      <c r="I218" s="35">
        <v>52</v>
      </c>
      <c r="J218" s="292"/>
      <c r="K218" s="8">
        <v>120832</v>
      </c>
      <c r="L218" s="8"/>
      <c r="M218" s="8">
        <v>22909</v>
      </c>
      <c r="N218" s="9"/>
      <c r="O218" s="8">
        <v>5652</v>
      </c>
      <c r="P218" s="9"/>
      <c r="Q218" s="8">
        <v>22045</v>
      </c>
      <c r="R218" s="9"/>
      <c r="S218" s="8">
        <v>0</v>
      </c>
      <c r="T218" s="9"/>
      <c r="U218" s="33">
        <v>171438</v>
      </c>
      <c r="V218" s="9"/>
      <c r="W218" s="30">
        <v>65</v>
      </c>
      <c r="X218" s="9"/>
      <c r="Y218" s="30">
        <v>13</v>
      </c>
      <c r="Z218" s="9"/>
      <c r="AA218" s="30">
        <v>3</v>
      </c>
      <c r="AB218" s="9"/>
      <c r="AC218" s="30">
        <v>12</v>
      </c>
      <c r="AD218" s="9"/>
      <c r="AE218" s="80">
        <v>0</v>
      </c>
      <c r="AF218" s="46"/>
      <c r="AG218" s="88">
        <v>93</v>
      </c>
      <c r="AH218" s="47"/>
      <c r="AJ218" s="83">
        <v>107191</v>
      </c>
      <c r="AL218" s="83">
        <v>22909</v>
      </c>
      <c r="AN218" s="83">
        <v>5652</v>
      </c>
      <c r="AP218" s="83">
        <v>22045</v>
      </c>
      <c r="AR218" s="83">
        <v>0</v>
      </c>
      <c r="AT218" s="204">
        <v>157797</v>
      </c>
      <c r="AV218" s="46">
        <v>53</v>
      </c>
      <c r="AX218" s="46">
        <v>13</v>
      </c>
      <c r="AZ218" s="46">
        <v>3</v>
      </c>
      <c r="BB218" s="46">
        <v>12</v>
      </c>
      <c r="BD218" s="46">
        <v>0</v>
      </c>
      <c r="BF218" s="209">
        <v>93</v>
      </c>
      <c r="BI218" s="83">
        <v>13641</v>
      </c>
      <c r="BK218" s="83">
        <v>0</v>
      </c>
      <c r="BM218" s="83">
        <v>0</v>
      </c>
      <c r="BO218" s="83">
        <v>0</v>
      </c>
      <c r="BQ218" s="83">
        <v>0</v>
      </c>
      <c r="BS218" s="85">
        <v>13641</v>
      </c>
      <c r="BU218" s="46">
        <v>12</v>
      </c>
      <c r="BW218" s="46">
        <v>0</v>
      </c>
      <c r="BY218" s="46">
        <v>0</v>
      </c>
      <c r="CA218" s="46">
        <v>0</v>
      </c>
      <c r="CC218" s="46">
        <v>0</v>
      </c>
      <c r="CE218" s="209">
        <v>12</v>
      </c>
      <c r="CH218" s="41">
        <v>2212491</v>
      </c>
      <c r="CJ218" s="41">
        <v>479713</v>
      </c>
      <c r="CL218" s="41">
        <v>113711</v>
      </c>
      <c r="CN218" s="41">
        <v>537220</v>
      </c>
      <c r="CP218" s="43">
        <v>3343135</v>
      </c>
      <c r="CS218" s="39">
        <v>18.310500000000001</v>
      </c>
      <c r="CU218" s="39">
        <v>20.939900000000002</v>
      </c>
      <c r="CW218" s="39">
        <v>0.94110000000000005</v>
      </c>
      <c r="CY218" s="39">
        <v>24.369199999999999</v>
      </c>
      <c r="DA218" s="44">
        <v>19.500499999999999</v>
      </c>
      <c r="DC218" s="1" t="str">
        <f t="shared" si="3"/>
        <v>No</v>
      </c>
    </row>
    <row r="219" spans="1:107">
      <c r="A219" s="7" t="s">
        <v>748</v>
      </c>
      <c r="B219" s="7" t="s">
        <v>206</v>
      </c>
      <c r="C219" s="37" t="s">
        <v>36</v>
      </c>
      <c r="D219" s="296">
        <v>4180</v>
      </c>
      <c r="E219" s="297">
        <v>40180</v>
      </c>
      <c r="F219" s="27" t="s">
        <v>114</v>
      </c>
      <c r="G219" s="27" t="s">
        <v>158</v>
      </c>
      <c r="H219" s="35">
        <v>128754</v>
      </c>
      <c r="I219" s="35">
        <v>51</v>
      </c>
      <c r="J219" s="292"/>
      <c r="K219" s="8">
        <v>230040</v>
      </c>
      <c r="L219" s="8"/>
      <c r="M219" s="8">
        <v>20305</v>
      </c>
      <c r="N219" s="9"/>
      <c r="O219" s="8">
        <v>0</v>
      </c>
      <c r="P219" s="9"/>
      <c r="Q219" s="8">
        <v>9194</v>
      </c>
      <c r="R219" s="9"/>
      <c r="S219" s="8">
        <v>0</v>
      </c>
      <c r="T219" s="9"/>
      <c r="U219" s="33">
        <v>259539</v>
      </c>
      <c r="V219" s="9"/>
      <c r="W219" s="30">
        <v>243</v>
      </c>
      <c r="X219" s="9"/>
      <c r="Y219" s="30">
        <v>12</v>
      </c>
      <c r="Z219" s="9"/>
      <c r="AA219" s="30">
        <v>0</v>
      </c>
      <c r="AB219" s="9"/>
      <c r="AC219" s="30">
        <v>6</v>
      </c>
      <c r="AD219" s="9"/>
      <c r="AE219" s="80">
        <v>0</v>
      </c>
      <c r="AF219" s="46"/>
      <c r="AG219" s="88">
        <v>261</v>
      </c>
      <c r="AH219" s="47"/>
      <c r="AJ219" s="83">
        <v>99042</v>
      </c>
      <c r="AL219" s="83">
        <v>20305</v>
      </c>
      <c r="AN219" s="83">
        <v>0</v>
      </c>
      <c r="AP219" s="83">
        <v>8684</v>
      </c>
      <c r="AR219" s="83">
        <v>0</v>
      </c>
      <c r="AT219" s="204">
        <v>128031</v>
      </c>
      <c r="AV219" s="46">
        <v>52</v>
      </c>
      <c r="AX219" s="46">
        <v>12</v>
      </c>
      <c r="AZ219" s="46">
        <v>0</v>
      </c>
      <c r="BB219" s="46">
        <v>4</v>
      </c>
      <c r="BD219" s="46">
        <v>0</v>
      </c>
      <c r="BF219" s="209">
        <v>261</v>
      </c>
      <c r="BI219" s="83">
        <v>130998</v>
      </c>
      <c r="BK219" s="83">
        <v>0</v>
      </c>
      <c r="BM219" s="83">
        <v>0</v>
      </c>
      <c r="BO219" s="83">
        <v>510</v>
      </c>
      <c r="BQ219" s="83">
        <v>0</v>
      </c>
      <c r="BS219" s="85">
        <v>131508</v>
      </c>
      <c r="BU219" s="46">
        <v>191</v>
      </c>
      <c r="BW219" s="46">
        <v>0</v>
      </c>
      <c r="BY219" s="46">
        <v>0</v>
      </c>
      <c r="CA219" s="46">
        <v>2</v>
      </c>
      <c r="CC219" s="46">
        <v>0</v>
      </c>
      <c r="CE219" s="209">
        <v>193</v>
      </c>
      <c r="CH219" s="41">
        <v>3080452</v>
      </c>
      <c r="CJ219" s="41">
        <v>434057</v>
      </c>
      <c r="CL219" s="41">
        <v>0</v>
      </c>
      <c r="CN219" s="41">
        <v>206689</v>
      </c>
      <c r="CP219" s="43">
        <v>3721198</v>
      </c>
      <c r="CS219" s="39">
        <v>13.3909</v>
      </c>
      <c r="CU219" s="39">
        <v>21.376899999999999</v>
      </c>
      <c r="CW219" s="39">
        <v>0</v>
      </c>
      <c r="CY219" s="39">
        <v>22.480899999999998</v>
      </c>
      <c r="DA219" s="44">
        <v>14.3377</v>
      </c>
      <c r="DC219" s="1" t="str">
        <f t="shared" si="3"/>
        <v>No</v>
      </c>
    </row>
    <row r="220" spans="1:107">
      <c r="A220" s="7" t="s">
        <v>571</v>
      </c>
      <c r="B220" s="7" t="s">
        <v>572</v>
      </c>
      <c r="C220" s="37" t="s">
        <v>40</v>
      </c>
      <c r="D220" s="296">
        <v>5058</v>
      </c>
      <c r="E220" s="297">
        <v>50058</v>
      </c>
      <c r="F220" s="27" t="s">
        <v>165</v>
      </c>
      <c r="G220" s="27" t="s">
        <v>158</v>
      </c>
      <c r="H220" s="35">
        <v>296863</v>
      </c>
      <c r="I220" s="35">
        <v>51</v>
      </c>
      <c r="J220" s="292"/>
      <c r="K220" s="8">
        <v>191595</v>
      </c>
      <c r="L220" s="8"/>
      <c r="M220" s="8">
        <v>27914</v>
      </c>
      <c r="N220" s="9"/>
      <c r="O220" s="8">
        <v>9257</v>
      </c>
      <c r="P220" s="9"/>
      <c r="Q220" s="8">
        <v>24562</v>
      </c>
      <c r="R220" s="9"/>
      <c r="S220" s="8">
        <v>0</v>
      </c>
      <c r="T220" s="9"/>
      <c r="U220" s="33">
        <v>253328</v>
      </c>
      <c r="V220" s="9"/>
      <c r="W220" s="30">
        <v>98</v>
      </c>
      <c r="X220" s="9"/>
      <c r="Y220" s="30">
        <v>17.399999999999999</v>
      </c>
      <c r="Z220" s="9"/>
      <c r="AA220" s="30">
        <v>6</v>
      </c>
      <c r="AB220" s="9"/>
      <c r="AC220" s="30">
        <v>13.8</v>
      </c>
      <c r="AD220" s="9"/>
      <c r="AE220" s="80">
        <v>0</v>
      </c>
      <c r="AF220" s="46"/>
      <c r="AG220" s="88">
        <v>135.19999999999999</v>
      </c>
      <c r="AH220" s="47"/>
      <c r="AJ220" s="83">
        <v>166511</v>
      </c>
      <c r="AL220" s="83">
        <v>24923</v>
      </c>
      <c r="AN220" s="83">
        <v>9257</v>
      </c>
      <c r="AP220" s="83">
        <v>24562</v>
      </c>
      <c r="AR220" s="83">
        <v>0</v>
      </c>
      <c r="AT220" s="204">
        <v>225253</v>
      </c>
      <c r="AV220" s="46">
        <v>84.4</v>
      </c>
      <c r="AX220" s="46">
        <v>15.4</v>
      </c>
      <c r="AZ220" s="46">
        <v>6</v>
      </c>
      <c r="BB220" s="46">
        <v>13.8</v>
      </c>
      <c r="BD220" s="46">
        <v>0</v>
      </c>
      <c r="BF220" s="209">
        <v>135.19999999999999</v>
      </c>
      <c r="BI220" s="83">
        <v>25084</v>
      </c>
      <c r="BK220" s="83">
        <v>2991</v>
      </c>
      <c r="BM220" s="83">
        <v>0</v>
      </c>
      <c r="BO220" s="83">
        <v>0</v>
      </c>
      <c r="BQ220" s="83">
        <v>0</v>
      </c>
      <c r="BS220" s="85">
        <v>28075</v>
      </c>
      <c r="BU220" s="46">
        <v>13.6</v>
      </c>
      <c r="BW220" s="46">
        <v>2</v>
      </c>
      <c r="BY220" s="46">
        <v>0</v>
      </c>
      <c r="CA220" s="46">
        <v>0</v>
      </c>
      <c r="CC220" s="46">
        <v>0</v>
      </c>
      <c r="CE220" s="209">
        <v>15.6</v>
      </c>
      <c r="CH220" s="41">
        <v>4178193</v>
      </c>
      <c r="CJ220" s="41">
        <v>774583</v>
      </c>
      <c r="CL220" s="41">
        <v>238678</v>
      </c>
      <c r="CN220" s="41">
        <v>825508</v>
      </c>
      <c r="CP220" s="43">
        <v>6016962</v>
      </c>
      <c r="CS220" s="39">
        <v>21.807400000000001</v>
      </c>
      <c r="CU220" s="39">
        <v>27.748899999999999</v>
      </c>
      <c r="CW220" s="39">
        <v>1.2457</v>
      </c>
      <c r="CY220" s="39">
        <v>33.609200000000001</v>
      </c>
      <c r="DA220" s="44">
        <v>23.7517</v>
      </c>
      <c r="DC220" s="1" t="str">
        <f t="shared" si="3"/>
        <v>No</v>
      </c>
    </row>
    <row r="221" spans="1:107">
      <c r="A221" s="7" t="s">
        <v>685</v>
      </c>
      <c r="B221" s="7" t="s">
        <v>686</v>
      </c>
      <c r="C221" s="37" t="s">
        <v>73</v>
      </c>
      <c r="D221" s="296">
        <v>5024</v>
      </c>
      <c r="E221" s="297">
        <v>50024</v>
      </c>
      <c r="F221" s="27" t="s">
        <v>165</v>
      </c>
      <c r="G221" s="27" t="s">
        <v>158</v>
      </c>
      <c r="H221" s="35">
        <v>387550</v>
      </c>
      <c r="I221" s="35">
        <v>51</v>
      </c>
      <c r="J221" s="292"/>
      <c r="K221" s="8">
        <v>159478</v>
      </c>
      <c r="L221" s="8"/>
      <c r="M221" s="8">
        <v>27127</v>
      </c>
      <c r="N221" s="9"/>
      <c r="O221" s="8">
        <v>2138</v>
      </c>
      <c r="P221" s="9"/>
      <c r="Q221" s="8">
        <v>9225</v>
      </c>
      <c r="R221" s="9"/>
      <c r="S221" s="8">
        <v>0</v>
      </c>
      <c r="T221" s="9"/>
      <c r="U221" s="33">
        <v>197968</v>
      </c>
      <c r="V221" s="9"/>
      <c r="W221" s="30">
        <v>77</v>
      </c>
      <c r="X221" s="9"/>
      <c r="Y221" s="30">
        <v>15</v>
      </c>
      <c r="Z221" s="9"/>
      <c r="AA221" s="30">
        <v>1</v>
      </c>
      <c r="AB221" s="9"/>
      <c r="AC221" s="30">
        <v>5</v>
      </c>
      <c r="AD221" s="9"/>
      <c r="AE221" s="80">
        <v>0</v>
      </c>
      <c r="AF221" s="46"/>
      <c r="AG221" s="88">
        <v>98</v>
      </c>
      <c r="AH221" s="47"/>
      <c r="AJ221" s="83">
        <v>159478</v>
      </c>
      <c r="AL221" s="83">
        <v>27127</v>
      </c>
      <c r="AN221" s="83">
        <v>2138</v>
      </c>
      <c r="AP221" s="83">
        <v>9225</v>
      </c>
      <c r="AR221" s="83">
        <v>0</v>
      </c>
      <c r="AT221" s="204">
        <v>197968</v>
      </c>
      <c r="AV221" s="46">
        <v>77</v>
      </c>
      <c r="AX221" s="46">
        <v>15</v>
      </c>
      <c r="AZ221" s="46">
        <v>1</v>
      </c>
      <c r="BB221" s="46">
        <v>5</v>
      </c>
      <c r="BD221" s="46">
        <v>0</v>
      </c>
      <c r="BF221" s="209">
        <v>98</v>
      </c>
      <c r="BI221" s="83">
        <v>0</v>
      </c>
      <c r="BK221" s="83">
        <v>0</v>
      </c>
      <c r="BM221" s="83">
        <v>0</v>
      </c>
      <c r="BO221" s="83">
        <v>0</v>
      </c>
      <c r="BQ221" s="83">
        <v>0</v>
      </c>
      <c r="BS221" s="85">
        <v>0</v>
      </c>
      <c r="BU221" s="46">
        <v>0</v>
      </c>
      <c r="BW221" s="46">
        <v>0</v>
      </c>
      <c r="BY221" s="46">
        <v>0</v>
      </c>
      <c r="CA221" s="46">
        <v>0</v>
      </c>
      <c r="CC221" s="46">
        <v>0</v>
      </c>
      <c r="CE221" s="209">
        <v>0</v>
      </c>
      <c r="CH221" s="41">
        <v>3456863</v>
      </c>
      <c r="CJ221" s="41">
        <v>631280</v>
      </c>
      <c r="CL221" s="41">
        <v>43048</v>
      </c>
      <c r="CN221" s="41">
        <v>284067</v>
      </c>
      <c r="CP221" s="43">
        <v>4415258</v>
      </c>
      <c r="CS221" s="39">
        <v>21.676100000000002</v>
      </c>
      <c r="CU221" s="39">
        <v>23.2713</v>
      </c>
      <c r="CW221" s="39">
        <v>0.26989999999999997</v>
      </c>
      <c r="CY221" s="39">
        <v>30.793199999999999</v>
      </c>
      <c r="DA221" s="44">
        <v>22.302900000000001</v>
      </c>
      <c r="DC221" s="1" t="str">
        <f t="shared" si="3"/>
        <v>No</v>
      </c>
    </row>
    <row r="222" spans="1:107">
      <c r="A222" s="7" t="s">
        <v>1130</v>
      </c>
      <c r="B222" s="7" t="s">
        <v>653</v>
      </c>
      <c r="C222" s="37" t="s">
        <v>77</v>
      </c>
      <c r="D222" s="296">
        <v>2169</v>
      </c>
      <c r="E222" s="297">
        <v>20169</v>
      </c>
      <c r="F222" s="27" t="s">
        <v>173</v>
      </c>
      <c r="G222" s="27" t="s">
        <v>158</v>
      </c>
      <c r="H222" s="35">
        <v>18351295</v>
      </c>
      <c r="I222" s="35">
        <v>50</v>
      </c>
      <c r="J222" s="292"/>
      <c r="K222" s="8">
        <v>240213</v>
      </c>
      <c r="L222" s="8"/>
      <c r="M222" s="8">
        <v>61973</v>
      </c>
      <c r="N222" s="9"/>
      <c r="O222" s="8">
        <v>4582</v>
      </c>
      <c r="P222" s="9"/>
      <c r="Q222" s="8">
        <v>75103</v>
      </c>
      <c r="R222" s="9"/>
      <c r="S222" s="8">
        <v>0</v>
      </c>
      <c r="T222" s="9"/>
      <c r="U222" s="33">
        <v>381871</v>
      </c>
      <c r="V222" s="9"/>
      <c r="W222" s="30">
        <v>124</v>
      </c>
      <c r="X222" s="9"/>
      <c r="Y222" s="30">
        <v>33</v>
      </c>
      <c r="Z222" s="9"/>
      <c r="AA222" s="30">
        <v>3</v>
      </c>
      <c r="AB222" s="9"/>
      <c r="AC222" s="30">
        <v>56</v>
      </c>
      <c r="AD222" s="9"/>
      <c r="AE222" s="80">
        <v>0</v>
      </c>
      <c r="AF222" s="46"/>
      <c r="AG222" s="88">
        <v>216</v>
      </c>
      <c r="AH222" s="47"/>
      <c r="AJ222" s="83">
        <v>195019</v>
      </c>
      <c r="AL222" s="83">
        <v>59122</v>
      </c>
      <c r="AN222" s="83">
        <v>3810</v>
      </c>
      <c r="AP222" s="83">
        <v>55344</v>
      </c>
      <c r="AR222" s="83">
        <v>0</v>
      </c>
      <c r="AT222" s="204">
        <v>313295</v>
      </c>
      <c r="AV222" s="46">
        <v>83</v>
      </c>
      <c r="AX222" s="46">
        <v>30</v>
      </c>
      <c r="AZ222" s="46">
        <v>2</v>
      </c>
      <c r="BB222" s="46">
        <v>27</v>
      </c>
      <c r="BD222" s="46">
        <v>0</v>
      </c>
      <c r="BF222" s="209">
        <v>216</v>
      </c>
      <c r="BI222" s="83">
        <v>45194</v>
      </c>
      <c r="BK222" s="83">
        <v>2851</v>
      </c>
      <c r="BM222" s="83">
        <v>772</v>
      </c>
      <c r="BO222" s="83">
        <v>19759</v>
      </c>
      <c r="BQ222" s="83">
        <v>0</v>
      </c>
      <c r="BS222" s="85">
        <v>68576</v>
      </c>
      <c r="BU222" s="46">
        <v>41</v>
      </c>
      <c r="BW222" s="46">
        <v>3</v>
      </c>
      <c r="BY222" s="46">
        <v>1</v>
      </c>
      <c r="CA222" s="46">
        <v>29</v>
      </c>
      <c r="CC222" s="46">
        <v>0</v>
      </c>
      <c r="CE222" s="209">
        <v>74</v>
      </c>
      <c r="CH222" s="41">
        <v>4490410</v>
      </c>
      <c r="CJ222" s="41">
        <v>1192549</v>
      </c>
      <c r="CL222" s="41">
        <v>74643</v>
      </c>
      <c r="CN222" s="41">
        <v>1616880</v>
      </c>
      <c r="CP222" s="43">
        <v>7374482</v>
      </c>
      <c r="CS222" s="39">
        <v>18.6935</v>
      </c>
      <c r="CU222" s="39">
        <v>19.242999999999999</v>
      </c>
      <c r="CW222" s="39">
        <v>0.31069999999999998</v>
      </c>
      <c r="CY222" s="39">
        <v>21.5288</v>
      </c>
      <c r="DA222" s="44">
        <v>19.311399999999999</v>
      </c>
      <c r="DC222" s="1" t="str">
        <f t="shared" si="3"/>
        <v>No</v>
      </c>
    </row>
    <row r="223" spans="1:107">
      <c r="A223" s="7" t="s">
        <v>362</v>
      </c>
      <c r="B223" s="7" t="s">
        <v>363</v>
      </c>
      <c r="C223" s="37" t="s">
        <v>93</v>
      </c>
      <c r="D223" s="296">
        <v>5099</v>
      </c>
      <c r="E223" s="297">
        <v>50099</v>
      </c>
      <c r="F223" s="27" t="s">
        <v>162</v>
      </c>
      <c r="G223" s="27" t="s">
        <v>158</v>
      </c>
      <c r="H223" s="35">
        <v>102852</v>
      </c>
      <c r="I223" s="35">
        <v>50</v>
      </c>
      <c r="J223" s="292"/>
      <c r="K223" s="8">
        <v>54825</v>
      </c>
      <c r="L223" s="8"/>
      <c r="M223" s="8">
        <v>8757</v>
      </c>
      <c r="N223" s="9"/>
      <c r="O223" s="8">
        <v>0</v>
      </c>
      <c r="P223" s="9"/>
      <c r="Q223" s="8">
        <v>7119</v>
      </c>
      <c r="R223" s="9"/>
      <c r="S223" s="8">
        <v>0</v>
      </c>
      <c r="T223" s="9"/>
      <c r="U223" s="33">
        <v>70701</v>
      </c>
      <c r="V223" s="9"/>
      <c r="W223" s="30">
        <v>31</v>
      </c>
      <c r="X223" s="9"/>
      <c r="Y223" s="30">
        <v>6</v>
      </c>
      <c r="Z223" s="9"/>
      <c r="AA223" s="30">
        <v>0</v>
      </c>
      <c r="AB223" s="9"/>
      <c r="AC223" s="30">
        <v>5</v>
      </c>
      <c r="AD223" s="9"/>
      <c r="AE223" s="80">
        <v>0</v>
      </c>
      <c r="AF223" s="46"/>
      <c r="AG223" s="88">
        <v>42</v>
      </c>
      <c r="AH223" s="47"/>
      <c r="AJ223" s="83">
        <v>49797</v>
      </c>
      <c r="AL223" s="83">
        <v>7952</v>
      </c>
      <c r="AN223" s="83">
        <v>0</v>
      </c>
      <c r="AP223" s="83">
        <v>6840</v>
      </c>
      <c r="AR223" s="83">
        <v>0</v>
      </c>
      <c r="AT223" s="204">
        <v>64589</v>
      </c>
      <c r="AV223" s="46">
        <v>25</v>
      </c>
      <c r="AX223" s="46">
        <v>5</v>
      </c>
      <c r="AZ223" s="46">
        <v>0</v>
      </c>
      <c r="BB223" s="46">
        <v>4</v>
      </c>
      <c r="BD223" s="46">
        <v>0</v>
      </c>
      <c r="BF223" s="209">
        <v>42</v>
      </c>
      <c r="BI223" s="83">
        <v>5028</v>
      </c>
      <c r="BK223" s="83">
        <v>805</v>
      </c>
      <c r="BM223" s="83">
        <v>0</v>
      </c>
      <c r="BO223" s="83">
        <v>279</v>
      </c>
      <c r="BQ223" s="83">
        <v>0</v>
      </c>
      <c r="BS223" s="85">
        <v>6112</v>
      </c>
      <c r="BU223" s="46">
        <v>6</v>
      </c>
      <c r="BW223" s="46">
        <v>1</v>
      </c>
      <c r="BY223" s="46">
        <v>0</v>
      </c>
      <c r="CA223" s="46">
        <v>1</v>
      </c>
      <c r="CC223" s="46">
        <v>0</v>
      </c>
      <c r="CE223" s="209">
        <v>8</v>
      </c>
      <c r="CH223" s="41">
        <v>1555541</v>
      </c>
      <c r="CJ223" s="41">
        <v>200351</v>
      </c>
      <c r="CL223" s="41">
        <v>0</v>
      </c>
      <c r="CN223" s="41">
        <v>169322</v>
      </c>
      <c r="CP223" s="43">
        <v>1925214</v>
      </c>
      <c r="CS223" s="39">
        <v>28.372800000000002</v>
      </c>
      <c r="CU223" s="39">
        <v>22.879000000000001</v>
      </c>
      <c r="CW223" s="39">
        <v>0</v>
      </c>
      <c r="CY223" s="39">
        <v>23.784500000000001</v>
      </c>
      <c r="DA223" s="44">
        <v>27.230399999999999</v>
      </c>
      <c r="DC223" s="1" t="str">
        <f t="shared" si="3"/>
        <v>No</v>
      </c>
    </row>
    <row r="224" spans="1:107">
      <c r="A224" s="7" t="s">
        <v>295</v>
      </c>
      <c r="B224" s="7" t="s">
        <v>296</v>
      </c>
      <c r="C224" s="37" t="s">
        <v>17</v>
      </c>
      <c r="D224" s="296">
        <v>9042</v>
      </c>
      <c r="E224" s="297">
        <v>90042</v>
      </c>
      <c r="F224" s="27" t="s">
        <v>162</v>
      </c>
      <c r="G224" s="27" t="s">
        <v>158</v>
      </c>
      <c r="H224" s="35">
        <v>12150996</v>
      </c>
      <c r="I224" s="35">
        <v>49</v>
      </c>
      <c r="J224" s="292"/>
      <c r="K224" s="8">
        <v>193860</v>
      </c>
      <c r="L224" s="8"/>
      <c r="M224" s="8">
        <v>38139</v>
      </c>
      <c r="N224" s="9"/>
      <c r="O224" s="8">
        <v>8716</v>
      </c>
      <c r="P224" s="9"/>
      <c r="Q224" s="8">
        <v>22830</v>
      </c>
      <c r="R224" s="9"/>
      <c r="S224" s="8">
        <v>0</v>
      </c>
      <c r="T224" s="9"/>
      <c r="U224" s="33">
        <v>263545</v>
      </c>
      <c r="V224" s="9"/>
      <c r="W224" s="30">
        <v>105.5</v>
      </c>
      <c r="X224" s="9"/>
      <c r="Y224" s="30">
        <v>20.8</v>
      </c>
      <c r="Z224" s="9"/>
      <c r="AA224" s="30">
        <v>6.75</v>
      </c>
      <c r="AB224" s="9"/>
      <c r="AC224" s="30">
        <v>15</v>
      </c>
      <c r="AD224" s="9"/>
      <c r="AE224" s="80">
        <v>0</v>
      </c>
      <c r="AF224" s="46"/>
      <c r="AG224" s="88">
        <v>148.05000000000001</v>
      </c>
      <c r="AH224" s="47"/>
      <c r="AJ224" s="83">
        <v>117278</v>
      </c>
      <c r="AL224" s="83">
        <v>38139</v>
      </c>
      <c r="AN224" s="83">
        <v>8716</v>
      </c>
      <c r="AP224" s="83">
        <v>16509</v>
      </c>
      <c r="AR224" s="83">
        <v>0</v>
      </c>
      <c r="AT224" s="204">
        <v>180642</v>
      </c>
      <c r="AV224" s="46">
        <v>66.5</v>
      </c>
      <c r="AX224" s="46">
        <v>20.8</v>
      </c>
      <c r="AZ224" s="46">
        <v>6.75</v>
      </c>
      <c r="BB224" s="46">
        <v>10</v>
      </c>
      <c r="BD224" s="46">
        <v>0</v>
      </c>
      <c r="BF224" s="209">
        <v>148.05000000000001</v>
      </c>
      <c r="BI224" s="83">
        <v>76582</v>
      </c>
      <c r="BK224" s="83">
        <v>0</v>
      </c>
      <c r="BM224" s="83">
        <v>0</v>
      </c>
      <c r="BO224" s="83">
        <v>6321</v>
      </c>
      <c r="BQ224" s="83">
        <v>0</v>
      </c>
      <c r="BS224" s="85">
        <v>82903</v>
      </c>
      <c r="BU224" s="46">
        <v>39</v>
      </c>
      <c r="BW224" s="46">
        <v>0</v>
      </c>
      <c r="BY224" s="46">
        <v>0</v>
      </c>
      <c r="CA224" s="46">
        <v>5</v>
      </c>
      <c r="CC224" s="46">
        <v>0</v>
      </c>
      <c r="CE224" s="209">
        <v>44</v>
      </c>
      <c r="CH224" s="41">
        <v>6017986</v>
      </c>
      <c r="CJ224" s="41">
        <v>1261091</v>
      </c>
      <c r="CL224" s="41">
        <v>257494</v>
      </c>
      <c r="CN224" s="41">
        <v>770651</v>
      </c>
      <c r="CP224" s="43">
        <v>8307222</v>
      </c>
      <c r="CS224" s="39">
        <v>31.042899999999999</v>
      </c>
      <c r="CU224" s="39">
        <v>33.0657</v>
      </c>
      <c r="CW224" s="39">
        <v>1.3282</v>
      </c>
      <c r="CY224" s="39">
        <v>33.756100000000004</v>
      </c>
      <c r="DA224" s="44">
        <v>31.521100000000001</v>
      </c>
      <c r="DC224" s="1" t="str">
        <f t="shared" si="3"/>
        <v>No</v>
      </c>
    </row>
    <row r="225" spans="1:107">
      <c r="A225" s="7" t="s">
        <v>1131</v>
      </c>
      <c r="B225" s="7" t="s">
        <v>735</v>
      </c>
      <c r="C225" s="37" t="s">
        <v>58</v>
      </c>
      <c r="D225" s="296">
        <v>4172</v>
      </c>
      <c r="E225" s="297">
        <v>40172</v>
      </c>
      <c r="F225" s="27" t="s">
        <v>165</v>
      </c>
      <c r="G225" s="27" t="s">
        <v>158</v>
      </c>
      <c r="H225" s="35">
        <v>212195</v>
      </c>
      <c r="I225" s="35">
        <v>49</v>
      </c>
      <c r="J225" s="292"/>
      <c r="K225" s="8">
        <v>110138</v>
      </c>
      <c r="L225" s="8"/>
      <c r="M225" s="8">
        <v>8408</v>
      </c>
      <c r="N225" s="9"/>
      <c r="O225" s="8">
        <v>0</v>
      </c>
      <c r="P225" s="9"/>
      <c r="Q225" s="8">
        <v>17220</v>
      </c>
      <c r="R225" s="9"/>
      <c r="S225" s="8">
        <v>0</v>
      </c>
      <c r="T225" s="9"/>
      <c r="U225" s="33">
        <v>135766</v>
      </c>
      <c r="V225" s="9"/>
      <c r="W225" s="30">
        <v>66</v>
      </c>
      <c r="X225" s="9"/>
      <c r="Y225" s="30">
        <v>4.25</v>
      </c>
      <c r="Z225" s="9"/>
      <c r="AA225" s="30">
        <v>0</v>
      </c>
      <c r="AB225" s="9"/>
      <c r="AC225" s="30">
        <v>10</v>
      </c>
      <c r="AD225" s="9"/>
      <c r="AE225" s="80">
        <v>0</v>
      </c>
      <c r="AF225" s="46"/>
      <c r="AG225" s="88">
        <v>80.25</v>
      </c>
      <c r="AH225" s="47"/>
      <c r="AJ225" s="83">
        <v>72166</v>
      </c>
      <c r="AL225" s="83">
        <v>8408</v>
      </c>
      <c r="AN225" s="83">
        <v>0</v>
      </c>
      <c r="AP225" s="83">
        <v>17220</v>
      </c>
      <c r="AR225" s="83">
        <v>0</v>
      </c>
      <c r="AT225" s="204">
        <v>97794</v>
      </c>
      <c r="AV225" s="46">
        <v>37</v>
      </c>
      <c r="AX225" s="46">
        <v>4.25</v>
      </c>
      <c r="AZ225" s="46">
        <v>0</v>
      </c>
      <c r="BB225" s="46">
        <v>10</v>
      </c>
      <c r="BD225" s="46">
        <v>0</v>
      </c>
      <c r="BF225" s="209">
        <v>80.25</v>
      </c>
      <c r="BI225" s="83">
        <v>37972</v>
      </c>
      <c r="BK225" s="83">
        <v>0</v>
      </c>
      <c r="BM225" s="83">
        <v>0</v>
      </c>
      <c r="BO225" s="83">
        <v>0</v>
      </c>
      <c r="BQ225" s="83">
        <v>0</v>
      </c>
      <c r="BS225" s="85">
        <v>37972</v>
      </c>
      <c r="BU225" s="46">
        <v>29</v>
      </c>
      <c r="BW225" s="46">
        <v>0</v>
      </c>
      <c r="BY225" s="46">
        <v>0</v>
      </c>
      <c r="CA225" s="46">
        <v>0</v>
      </c>
      <c r="CC225" s="46">
        <v>0</v>
      </c>
      <c r="CE225" s="209">
        <v>29</v>
      </c>
      <c r="CH225" s="41">
        <v>1406932</v>
      </c>
      <c r="CJ225" s="41">
        <v>121455</v>
      </c>
      <c r="CL225" s="41">
        <v>0</v>
      </c>
      <c r="CN225" s="41">
        <v>403222</v>
      </c>
      <c r="CP225" s="43">
        <v>1931609</v>
      </c>
      <c r="CS225" s="39">
        <v>12.7743</v>
      </c>
      <c r="CU225" s="39">
        <v>14.4452</v>
      </c>
      <c r="CW225" s="39">
        <v>0</v>
      </c>
      <c r="CY225" s="39">
        <v>23.415900000000001</v>
      </c>
      <c r="DA225" s="44">
        <v>14.227499999999999</v>
      </c>
      <c r="DC225" s="1" t="str">
        <f t="shared" si="3"/>
        <v>No</v>
      </c>
    </row>
    <row r="226" spans="1:107">
      <c r="A226" s="7" t="s">
        <v>727</v>
      </c>
      <c r="B226" s="7" t="s">
        <v>728</v>
      </c>
      <c r="C226" s="37" t="s">
        <v>84</v>
      </c>
      <c r="D226" s="296">
        <v>6102</v>
      </c>
      <c r="E226" s="297">
        <v>60102</v>
      </c>
      <c r="F226" s="27" t="s">
        <v>165</v>
      </c>
      <c r="G226" s="27" t="s">
        <v>158</v>
      </c>
      <c r="H226" s="35">
        <v>92984</v>
      </c>
      <c r="I226" s="35">
        <v>49</v>
      </c>
      <c r="J226" s="292"/>
      <c r="K226" s="8">
        <v>90239</v>
      </c>
      <c r="L226" s="8"/>
      <c r="M226" s="8">
        <v>0</v>
      </c>
      <c r="N226" s="9"/>
      <c r="O226" s="8">
        <v>1444</v>
      </c>
      <c r="P226" s="9"/>
      <c r="Q226" s="8">
        <v>30632</v>
      </c>
      <c r="R226" s="9"/>
      <c r="S226" s="8">
        <v>0</v>
      </c>
      <c r="T226" s="9"/>
      <c r="U226" s="33">
        <v>122315</v>
      </c>
      <c r="V226" s="9"/>
      <c r="W226" s="30">
        <v>54</v>
      </c>
      <c r="X226" s="9"/>
      <c r="Y226" s="30">
        <v>0</v>
      </c>
      <c r="Z226" s="9"/>
      <c r="AA226" s="30">
        <v>2</v>
      </c>
      <c r="AB226" s="9"/>
      <c r="AC226" s="30">
        <v>19</v>
      </c>
      <c r="AD226" s="9"/>
      <c r="AE226" s="80">
        <v>0</v>
      </c>
      <c r="AF226" s="46"/>
      <c r="AG226" s="88">
        <v>75</v>
      </c>
      <c r="AH226" s="47"/>
      <c r="AJ226" s="83">
        <v>83241</v>
      </c>
      <c r="AL226" s="83">
        <v>0</v>
      </c>
      <c r="AN226" s="83">
        <v>0</v>
      </c>
      <c r="AP226" s="83">
        <v>29563</v>
      </c>
      <c r="AR226" s="83">
        <v>0</v>
      </c>
      <c r="AT226" s="204">
        <v>112804</v>
      </c>
      <c r="AV226" s="46">
        <v>46</v>
      </c>
      <c r="AX226" s="46">
        <v>0</v>
      </c>
      <c r="AZ226" s="46">
        <v>0</v>
      </c>
      <c r="BB226" s="46">
        <v>17</v>
      </c>
      <c r="BD226" s="46">
        <v>0</v>
      </c>
      <c r="BF226" s="209">
        <v>75</v>
      </c>
      <c r="BI226" s="83">
        <v>6998</v>
      </c>
      <c r="BK226" s="83">
        <v>0</v>
      </c>
      <c r="BM226" s="83">
        <v>1444</v>
      </c>
      <c r="BO226" s="83">
        <v>1069</v>
      </c>
      <c r="BQ226" s="83">
        <v>0</v>
      </c>
      <c r="BS226" s="85">
        <v>9511</v>
      </c>
      <c r="BU226" s="46">
        <v>8</v>
      </c>
      <c r="BW226" s="46">
        <v>0</v>
      </c>
      <c r="BY226" s="46">
        <v>2</v>
      </c>
      <c r="CA226" s="46">
        <v>2</v>
      </c>
      <c r="CC226" s="46">
        <v>0</v>
      </c>
      <c r="CE226" s="209">
        <v>12</v>
      </c>
      <c r="CH226" s="41">
        <v>1113170</v>
      </c>
      <c r="CJ226" s="41">
        <v>0</v>
      </c>
      <c r="CL226" s="41">
        <v>15458</v>
      </c>
      <c r="CN226" s="41">
        <v>524754</v>
      </c>
      <c r="CP226" s="43">
        <v>1653382</v>
      </c>
      <c r="CS226" s="39">
        <v>12.335800000000001</v>
      </c>
      <c r="CW226" s="39">
        <v>0.17130000000000001</v>
      </c>
      <c r="CY226" s="39">
        <v>17.1309</v>
      </c>
      <c r="DA226" s="44">
        <v>13.5174</v>
      </c>
      <c r="DC226" s="1" t="str">
        <f t="shared" si="3"/>
        <v>No</v>
      </c>
    </row>
    <row r="227" spans="1:107">
      <c r="A227" s="7" t="s">
        <v>538</v>
      </c>
      <c r="B227" s="7" t="s">
        <v>533</v>
      </c>
      <c r="C227" s="37" t="s">
        <v>63</v>
      </c>
      <c r="D227" s="296">
        <v>2166</v>
      </c>
      <c r="E227" s="297">
        <v>20166</v>
      </c>
      <c r="F227" s="27" t="s">
        <v>173</v>
      </c>
      <c r="G227" s="27" t="s">
        <v>158</v>
      </c>
      <c r="H227" s="35">
        <v>18351295</v>
      </c>
      <c r="I227" s="35">
        <v>49</v>
      </c>
      <c r="J227" s="292"/>
      <c r="K227" s="8">
        <v>223828</v>
      </c>
      <c r="L227" s="8"/>
      <c r="M227" s="8">
        <v>33454</v>
      </c>
      <c r="N227" s="9"/>
      <c r="O227" s="8">
        <v>8251</v>
      </c>
      <c r="P227" s="9"/>
      <c r="Q227" s="8">
        <v>6899</v>
      </c>
      <c r="R227" s="9"/>
      <c r="S227" s="8">
        <v>0</v>
      </c>
      <c r="T227" s="9"/>
      <c r="U227" s="33">
        <v>272432</v>
      </c>
      <c r="V227" s="9"/>
      <c r="W227" s="30">
        <v>106</v>
      </c>
      <c r="X227" s="9"/>
      <c r="Y227" s="30">
        <v>14</v>
      </c>
      <c r="Z227" s="9"/>
      <c r="AA227" s="30">
        <v>4</v>
      </c>
      <c r="AB227" s="9"/>
      <c r="AC227" s="30">
        <v>3</v>
      </c>
      <c r="AD227" s="9"/>
      <c r="AE227" s="80">
        <v>0</v>
      </c>
      <c r="AF227" s="46"/>
      <c r="AG227" s="88">
        <v>127</v>
      </c>
      <c r="AH227" s="47"/>
      <c r="AJ227" s="83">
        <v>219478</v>
      </c>
      <c r="AL227" s="83">
        <v>33454</v>
      </c>
      <c r="AN227" s="83">
        <v>8251</v>
      </c>
      <c r="AP227" s="83">
        <v>6899</v>
      </c>
      <c r="AR227" s="83">
        <v>0</v>
      </c>
      <c r="AT227" s="204">
        <v>268082</v>
      </c>
      <c r="AV227" s="46">
        <v>96</v>
      </c>
      <c r="AX227" s="46">
        <v>14</v>
      </c>
      <c r="AZ227" s="46">
        <v>4</v>
      </c>
      <c r="BB227" s="46">
        <v>3</v>
      </c>
      <c r="BD227" s="46">
        <v>0</v>
      </c>
      <c r="BF227" s="209">
        <v>127</v>
      </c>
      <c r="BI227" s="83">
        <v>4350</v>
      </c>
      <c r="BK227" s="83">
        <v>0</v>
      </c>
      <c r="BM227" s="83">
        <v>0</v>
      </c>
      <c r="BO227" s="83">
        <v>0</v>
      </c>
      <c r="BQ227" s="83">
        <v>0</v>
      </c>
      <c r="BS227" s="85">
        <v>4350</v>
      </c>
      <c r="BU227" s="46">
        <v>10</v>
      </c>
      <c r="BW227" s="46">
        <v>0</v>
      </c>
      <c r="BY227" s="46">
        <v>0</v>
      </c>
      <c r="CA227" s="46">
        <v>0</v>
      </c>
      <c r="CC227" s="46">
        <v>0</v>
      </c>
      <c r="CE227" s="209">
        <v>10</v>
      </c>
      <c r="CH227" s="41">
        <v>4938623</v>
      </c>
      <c r="CJ227" s="41">
        <v>778475</v>
      </c>
      <c r="CL227" s="41">
        <v>222242</v>
      </c>
      <c r="CN227" s="41">
        <v>260400</v>
      </c>
      <c r="CP227" s="43">
        <v>6199740</v>
      </c>
      <c r="CS227" s="39">
        <v>22.064399999999999</v>
      </c>
      <c r="CU227" s="39">
        <v>23.27</v>
      </c>
      <c r="CW227" s="39">
        <v>0.9929</v>
      </c>
      <c r="CY227" s="39">
        <v>37.744599999999998</v>
      </c>
      <c r="DA227" s="44">
        <v>22.757000000000001</v>
      </c>
      <c r="DC227" s="1" t="str">
        <f t="shared" si="3"/>
        <v>No</v>
      </c>
    </row>
    <row r="228" spans="1:107">
      <c r="A228" s="7" t="s">
        <v>1111</v>
      </c>
      <c r="B228" s="7" t="s">
        <v>1112</v>
      </c>
      <c r="C228" s="37" t="s">
        <v>84</v>
      </c>
      <c r="D228" s="296">
        <v>6090</v>
      </c>
      <c r="E228" s="297">
        <v>60090</v>
      </c>
      <c r="F228" s="27" t="s">
        <v>195</v>
      </c>
      <c r="G228" s="27" t="s">
        <v>158</v>
      </c>
      <c r="H228" s="35">
        <v>728825</v>
      </c>
      <c r="I228" s="35">
        <v>48</v>
      </c>
      <c r="J228" s="292"/>
      <c r="K228" s="8">
        <v>122156</v>
      </c>
      <c r="L228" s="8"/>
      <c r="M228" s="8">
        <v>12751</v>
      </c>
      <c r="N228" s="9"/>
      <c r="O228" s="8">
        <v>0</v>
      </c>
      <c r="P228" s="9"/>
      <c r="Q228" s="8">
        <v>12342</v>
      </c>
      <c r="R228" s="9"/>
      <c r="S228" s="8">
        <v>0</v>
      </c>
      <c r="T228" s="9"/>
      <c r="U228" s="33">
        <v>147249</v>
      </c>
      <c r="V228" s="9"/>
      <c r="W228" s="30">
        <v>65.48</v>
      </c>
      <c r="X228" s="9"/>
      <c r="Y228" s="30">
        <v>7.08</v>
      </c>
      <c r="Z228" s="9"/>
      <c r="AA228" s="30">
        <v>0</v>
      </c>
      <c r="AB228" s="9"/>
      <c r="AC228" s="30">
        <v>6.86</v>
      </c>
      <c r="AD228" s="9"/>
      <c r="AE228" s="80">
        <v>0</v>
      </c>
      <c r="AF228" s="46"/>
      <c r="AG228" s="88">
        <v>79.42</v>
      </c>
      <c r="AH228" s="47"/>
      <c r="AJ228" s="83">
        <v>118798</v>
      </c>
      <c r="AL228" s="83">
        <v>12751</v>
      </c>
      <c r="AN228" s="83">
        <v>0</v>
      </c>
      <c r="AP228" s="83">
        <v>12342</v>
      </c>
      <c r="AR228" s="83">
        <v>0</v>
      </c>
      <c r="AT228" s="204">
        <v>143891</v>
      </c>
      <c r="AV228" s="46">
        <v>63.37</v>
      </c>
      <c r="AX228" s="46">
        <v>7.08</v>
      </c>
      <c r="AZ228" s="46">
        <v>0</v>
      </c>
      <c r="BB228" s="46">
        <v>6.86</v>
      </c>
      <c r="BD228" s="46">
        <v>0</v>
      </c>
      <c r="BF228" s="209">
        <v>79.42</v>
      </c>
      <c r="BI228" s="83">
        <v>3358</v>
      </c>
      <c r="BK228" s="83">
        <v>0</v>
      </c>
      <c r="BM228" s="83">
        <v>0</v>
      </c>
      <c r="BO228" s="83">
        <v>0</v>
      </c>
      <c r="BQ228" s="83">
        <v>0</v>
      </c>
      <c r="BS228" s="85">
        <v>3358</v>
      </c>
      <c r="BU228" s="46">
        <v>2.11</v>
      </c>
      <c r="BW228" s="46">
        <v>0</v>
      </c>
      <c r="BY228" s="46">
        <v>0</v>
      </c>
      <c r="CA228" s="46">
        <v>0</v>
      </c>
      <c r="CC228" s="46">
        <v>0</v>
      </c>
      <c r="CE228" s="209">
        <v>2.11</v>
      </c>
      <c r="CH228" s="41">
        <v>1655222</v>
      </c>
      <c r="CJ228" s="41">
        <v>265513</v>
      </c>
      <c r="CL228" s="41">
        <v>0</v>
      </c>
      <c r="CN228" s="41">
        <v>340727</v>
      </c>
      <c r="CP228" s="43">
        <v>2261462</v>
      </c>
      <c r="CS228" s="39">
        <v>13.5501</v>
      </c>
      <c r="CU228" s="39">
        <v>20.822900000000001</v>
      </c>
      <c r="CW228" s="39">
        <v>0</v>
      </c>
      <c r="CY228" s="39">
        <v>27.607099999999999</v>
      </c>
      <c r="DA228" s="44">
        <v>15.3581</v>
      </c>
      <c r="DC228" s="1" t="str">
        <f t="shared" si="3"/>
        <v>No</v>
      </c>
    </row>
    <row r="229" spans="1:107">
      <c r="A229" s="7" t="s">
        <v>126</v>
      </c>
      <c r="B229" s="7" t="s">
        <v>772</v>
      </c>
      <c r="C229" s="37" t="s">
        <v>96</v>
      </c>
      <c r="D229" s="296">
        <v>3107</v>
      </c>
      <c r="E229" s="297">
        <v>30107</v>
      </c>
      <c r="F229" s="27" t="s">
        <v>114</v>
      </c>
      <c r="G229" s="27" t="s">
        <v>158</v>
      </c>
      <c r="H229" s="35">
        <v>70350</v>
      </c>
      <c r="I229" s="35">
        <v>48</v>
      </c>
      <c r="J229" s="292"/>
      <c r="K229" s="8">
        <v>14198</v>
      </c>
      <c r="L229" s="8"/>
      <c r="M229" s="8">
        <v>24575</v>
      </c>
      <c r="N229" s="9"/>
      <c r="O229" s="8">
        <v>18967</v>
      </c>
      <c r="P229" s="9"/>
      <c r="Q229" s="8">
        <v>19160</v>
      </c>
      <c r="R229" s="9"/>
      <c r="S229" s="8">
        <v>0</v>
      </c>
      <c r="T229" s="9"/>
      <c r="U229" s="33">
        <v>76900</v>
      </c>
      <c r="V229" s="9"/>
      <c r="W229" s="30">
        <v>8</v>
      </c>
      <c r="X229" s="9"/>
      <c r="Y229" s="30">
        <v>16</v>
      </c>
      <c r="Z229" s="9"/>
      <c r="AA229" s="30">
        <v>13</v>
      </c>
      <c r="AB229" s="9"/>
      <c r="AC229" s="30">
        <v>12</v>
      </c>
      <c r="AD229" s="9"/>
      <c r="AE229" s="80">
        <v>0</v>
      </c>
      <c r="AF229" s="46"/>
      <c r="AG229" s="88">
        <v>49</v>
      </c>
      <c r="AH229" s="47"/>
      <c r="AJ229" s="83">
        <v>14198</v>
      </c>
      <c r="AL229" s="83">
        <v>22850</v>
      </c>
      <c r="AN229" s="83">
        <v>18967</v>
      </c>
      <c r="AP229" s="83">
        <v>18350</v>
      </c>
      <c r="AR229" s="83">
        <v>0</v>
      </c>
      <c r="AT229" s="204">
        <v>74365</v>
      </c>
      <c r="AV229" s="46">
        <v>8</v>
      </c>
      <c r="AX229" s="46">
        <v>14</v>
      </c>
      <c r="AZ229" s="46">
        <v>13</v>
      </c>
      <c r="BB229" s="46">
        <v>11</v>
      </c>
      <c r="BD229" s="46">
        <v>0</v>
      </c>
      <c r="BF229" s="209">
        <v>49</v>
      </c>
      <c r="BI229" s="83">
        <v>0</v>
      </c>
      <c r="BK229" s="83">
        <v>1725</v>
      </c>
      <c r="BM229" s="83">
        <v>0</v>
      </c>
      <c r="BO229" s="83">
        <v>810</v>
      </c>
      <c r="BQ229" s="83">
        <v>0</v>
      </c>
      <c r="BS229" s="85">
        <v>2535</v>
      </c>
      <c r="BU229" s="46">
        <v>0</v>
      </c>
      <c r="BW229" s="46">
        <v>2</v>
      </c>
      <c r="BY229" s="46">
        <v>0</v>
      </c>
      <c r="CA229" s="46">
        <v>1</v>
      </c>
      <c r="CC229" s="46">
        <v>0</v>
      </c>
      <c r="CE229" s="209">
        <v>3</v>
      </c>
      <c r="CH229" s="41">
        <v>331103</v>
      </c>
      <c r="CJ229" s="41">
        <v>625298</v>
      </c>
      <c r="CL229" s="41">
        <v>453013</v>
      </c>
      <c r="CN229" s="41">
        <v>683117</v>
      </c>
      <c r="CP229" s="43">
        <v>2092531</v>
      </c>
      <c r="CS229" s="39">
        <v>23.320399999999999</v>
      </c>
      <c r="CU229" s="39">
        <v>25.444500000000001</v>
      </c>
      <c r="CW229" s="39">
        <v>31.9068</v>
      </c>
      <c r="CY229" s="39">
        <v>35.653300000000002</v>
      </c>
      <c r="DA229" s="44">
        <v>27.211099999999998</v>
      </c>
      <c r="DC229" s="1" t="str">
        <f t="shared" si="3"/>
        <v>No</v>
      </c>
    </row>
    <row r="230" spans="1:107">
      <c r="A230" s="7" t="s">
        <v>475</v>
      </c>
      <c r="B230" s="7" t="s">
        <v>476</v>
      </c>
      <c r="C230" s="37" t="s">
        <v>9</v>
      </c>
      <c r="D230" s="296">
        <v>4043</v>
      </c>
      <c r="E230" s="297">
        <v>40043</v>
      </c>
      <c r="F230" s="27" t="s">
        <v>162</v>
      </c>
      <c r="G230" s="27" t="s">
        <v>158</v>
      </c>
      <c r="H230" s="35">
        <v>326183</v>
      </c>
      <c r="I230" s="35">
        <v>48</v>
      </c>
      <c r="J230" s="292"/>
      <c r="K230" s="8">
        <v>169345</v>
      </c>
      <c r="L230" s="8"/>
      <c r="M230" s="8">
        <v>40110</v>
      </c>
      <c r="N230" s="9"/>
      <c r="O230" s="8">
        <v>1898</v>
      </c>
      <c r="P230" s="9"/>
      <c r="Q230" s="8">
        <v>24218</v>
      </c>
      <c r="R230" s="9"/>
      <c r="S230" s="8">
        <v>0</v>
      </c>
      <c r="T230" s="9"/>
      <c r="U230" s="33">
        <v>235571</v>
      </c>
      <c r="V230" s="9"/>
      <c r="W230" s="30">
        <v>83</v>
      </c>
      <c r="X230" s="9"/>
      <c r="Y230" s="30">
        <v>20</v>
      </c>
      <c r="Z230" s="9"/>
      <c r="AA230" s="30">
        <v>1</v>
      </c>
      <c r="AB230" s="9"/>
      <c r="AC230" s="30">
        <v>13</v>
      </c>
      <c r="AD230" s="9"/>
      <c r="AE230" s="80">
        <v>0</v>
      </c>
      <c r="AF230" s="46"/>
      <c r="AG230" s="88">
        <v>117</v>
      </c>
      <c r="AH230" s="47"/>
      <c r="AJ230" s="83">
        <v>169345</v>
      </c>
      <c r="AL230" s="83">
        <v>40110</v>
      </c>
      <c r="AN230" s="83">
        <v>1898</v>
      </c>
      <c r="AP230" s="83">
        <v>24218</v>
      </c>
      <c r="AR230" s="83">
        <v>0</v>
      </c>
      <c r="AT230" s="204">
        <v>235571</v>
      </c>
      <c r="AV230" s="46">
        <v>83</v>
      </c>
      <c r="AX230" s="46">
        <v>20</v>
      </c>
      <c r="AZ230" s="46">
        <v>1</v>
      </c>
      <c r="BB230" s="46">
        <v>13</v>
      </c>
      <c r="BD230" s="46">
        <v>0</v>
      </c>
      <c r="BF230" s="209">
        <v>117</v>
      </c>
      <c r="BI230" s="83">
        <v>0</v>
      </c>
      <c r="BK230" s="83">
        <v>0</v>
      </c>
      <c r="BM230" s="83">
        <v>0</v>
      </c>
      <c r="BO230" s="83">
        <v>0</v>
      </c>
      <c r="BQ230" s="83">
        <v>0</v>
      </c>
      <c r="BS230" s="85">
        <v>0</v>
      </c>
      <c r="BU230" s="46">
        <v>0</v>
      </c>
      <c r="BW230" s="46">
        <v>0</v>
      </c>
      <c r="BY230" s="46">
        <v>0</v>
      </c>
      <c r="CA230" s="46">
        <v>0</v>
      </c>
      <c r="CC230" s="46">
        <v>0</v>
      </c>
      <c r="CE230" s="209">
        <v>0</v>
      </c>
      <c r="CH230" s="41">
        <v>3052722</v>
      </c>
      <c r="CJ230" s="41">
        <v>636823</v>
      </c>
      <c r="CL230" s="41">
        <v>24935</v>
      </c>
      <c r="CN230" s="41">
        <v>332341</v>
      </c>
      <c r="CP230" s="43">
        <v>4046821</v>
      </c>
      <c r="CS230" s="39">
        <v>18.026599999999998</v>
      </c>
      <c r="CU230" s="39">
        <v>15.876899999999999</v>
      </c>
      <c r="CW230" s="39">
        <v>0.1472</v>
      </c>
      <c r="CY230" s="39">
        <v>13.722899999999999</v>
      </c>
      <c r="DA230" s="44">
        <v>17.178799999999999</v>
      </c>
      <c r="DC230" s="1" t="str">
        <f t="shared" si="3"/>
        <v>No</v>
      </c>
    </row>
    <row r="231" spans="1:107">
      <c r="A231" s="7" t="s">
        <v>770</v>
      </c>
      <c r="B231" s="7" t="s">
        <v>771</v>
      </c>
      <c r="C231" s="37" t="s">
        <v>76</v>
      </c>
      <c r="D231" s="296">
        <v>57</v>
      </c>
      <c r="E231" s="297">
        <v>57</v>
      </c>
      <c r="F231" s="27" t="s">
        <v>195</v>
      </c>
      <c r="G231" s="27" t="s">
        <v>158</v>
      </c>
      <c r="H231" s="35">
        <v>83794</v>
      </c>
      <c r="I231" s="35">
        <v>47</v>
      </c>
      <c r="J231" s="292"/>
      <c r="K231" s="8">
        <v>44968</v>
      </c>
      <c r="L231" s="8"/>
      <c r="M231" s="8">
        <v>0</v>
      </c>
      <c r="N231" s="9"/>
      <c r="O231" s="8">
        <v>0</v>
      </c>
      <c r="P231" s="9"/>
      <c r="Q231" s="8">
        <v>15916</v>
      </c>
      <c r="R231" s="9"/>
      <c r="S231" s="8">
        <v>0</v>
      </c>
      <c r="T231" s="9"/>
      <c r="U231" s="33">
        <v>60884</v>
      </c>
      <c r="V231" s="9"/>
      <c r="W231" s="30">
        <v>48.37</v>
      </c>
      <c r="X231" s="9"/>
      <c r="Y231" s="30">
        <v>0</v>
      </c>
      <c r="Z231" s="9"/>
      <c r="AA231" s="30">
        <v>0</v>
      </c>
      <c r="AB231" s="9"/>
      <c r="AC231" s="30">
        <v>8.9</v>
      </c>
      <c r="AD231" s="9"/>
      <c r="AE231" s="80">
        <v>0</v>
      </c>
      <c r="AF231" s="46"/>
      <c r="AG231" s="88">
        <v>57.27</v>
      </c>
      <c r="AH231" s="47"/>
      <c r="AJ231" s="83">
        <v>23404</v>
      </c>
      <c r="AL231" s="83">
        <v>0</v>
      </c>
      <c r="AN231" s="83">
        <v>0</v>
      </c>
      <c r="AP231" s="83">
        <v>14391</v>
      </c>
      <c r="AR231" s="83">
        <v>0</v>
      </c>
      <c r="AT231" s="204">
        <v>37795</v>
      </c>
      <c r="AV231" s="46">
        <v>14.87</v>
      </c>
      <c r="AX231" s="46">
        <v>0</v>
      </c>
      <c r="AZ231" s="46">
        <v>0</v>
      </c>
      <c r="BB231" s="46">
        <v>7.7</v>
      </c>
      <c r="BD231" s="46">
        <v>0</v>
      </c>
      <c r="BF231" s="209">
        <v>57.27</v>
      </c>
      <c r="BI231" s="83">
        <v>21564</v>
      </c>
      <c r="BK231" s="83">
        <v>0</v>
      </c>
      <c r="BM231" s="83">
        <v>0</v>
      </c>
      <c r="BO231" s="83">
        <v>1525</v>
      </c>
      <c r="BQ231" s="83">
        <v>0</v>
      </c>
      <c r="BS231" s="85">
        <v>23089</v>
      </c>
      <c r="BU231" s="46">
        <v>33.5</v>
      </c>
      <c r="BW231" s="46">
        <v>0</v>
      </c>
      <c r="BY231" s="46">
        <v>0</v>
      </c>
      <c r="CA231" s="46">
        <v>1.2</v>
      </c>
      <c r="CC231" s="46">
        <v>0</v>
      </c>
      <c r="CE231" s="209">
        <v>34.700000000000003</v>
      </c>
      <c r="CH231" s="41">
        <v>724615</v>
      </c>
      <c r="CJ231" s="41">
        <v>0</v>
      </c>
      <c r="CL231" s="41">
        <v>0</v>
      </c>
      <c r="CN231" s="41">
        <v>294560</v>
      </c>
      <c r="CP231" s="43">
        <v>1019175</v>
      </c>
      <c r="CS231" s="39">
        <v>16.114000000000001</v>
      </c>
      <c r="CW231" s="39">
        <v>0</v>
      </c>
      <c r="CY231" s="39">
        <v>18.507200000000001</v>
      </c>
      <c r="DA231" s="44">
        <v>16.739599999999999</v>
      </c>
      <c r="DC231" s="1" t="str">
        <f t="shared" si="3"/>
        <v>No</v>
      </c>
    </row>
    <row r="232" spans="1:107">
      <c r="A232" s="7" t="s">
        <v>340</v>
      </c>
      <c r="B232" s="7" t="s">
        <v>341</v>
      </c>
      <c r="C232" s="37" t="s">
        <v>17</v>
      </c>
      <c r="D232" s="296">
        <v>9039</v>
      </c>
      <c r="E232" s="297">
        <v>90039</v>
      </c>
      <c r="F232" s="27" t="s">
        <v>162</v>
      </c>
      <c r="G232" s="27" t="s">
        <v>158</v>
      </c>
      <c r="H232" s="35">
        <v>12150996</v>
      </c>
      <c r="I232" s="35">
        <v>46</v>
      </c>
      <c r="J232" s="292"/>
      <c r="K232" s="8">
        <v>246725</v>
      </c>
      <c r="L232" s="8"/>
      <c r="M232" s="8">
        <v>24740</v>
      </c>
      <c r="N232" s="9"/>
      <c r="O232" s="8">
        <v>2740</v>
      </c>
      <c r="P232" s="9"/>
      <c r="Q232" s="8">
        <v>21257</v>
      </c>
      <c r="R232" s="9"/>
      <c r="S232" s="8">
        <v>0</v>
      </c>
      <c r="T232" s="9"/>
      <c r="U232" s="33">
        <v>295462</v>
      </c>
      <c r="V232" s="9"/>
      <c r="W232" s="30">
        <v>123.06</v>
      </c>
      <c r="X232" s="9"/>
      <c r="Y232" s="30">
        <v>12.4</v>
      </c>
      <c r="Z232" s="9"/>
      <c r="AA232" s="30">
        <v>1.38</v>
      </c>
      <c r="AB232" s="9"/>
      <c r="AC232" s="30">
        <v>11.09</v>
      </c>
      <c r="AD232" s="9"/>
      <c r="AE232" s="80">
        <v>0</v>
      </c>
      <c r="AF232" s="46"/>
      <c r="AG232" s="88">
        <v>147.93</v>
      </c>
      <c r="AH232" s="47"/>
      <c r="AJ232" s="83">
        <v>191522</v>
      </c>
      <c r="AL232" s="83">
        <v>24740</v>
      </c>
      <c r="AN232" s="83">
        <v>2740</v>
      </c>
      <c r="AP232" s="83">
        <v>18986</v>
      </c>
      <c r="AR232" s="83">
        <v>0</v>
      </c>
      <c r="AT232" s="204">
        <v>237988</v>
      </c>
      <c r="AV232" s="46">
        <v>95.46</v>
      </c>
      <c r="AX232" s="46">
        <v>12.4</v>
      </c>
      <c r="AZ232" s="46">
        <v>1.38</v>
      </c>
      <c r="BB232" s="46">
        <v>9.49</v>
      </c>
      <c r="BD232" s="46">
        <v>0</v>
      </c>
      <c r="BF232" s="209">
        <v>147.93</v>
      </c>
      <c r="BI232" s="83">
        <v>55203</v>
      </c>
      <c r="BK232" s="83">
        <v>0</v>
      </c>
      <c r="BM232" s="83">
        <v>0</v>
      </c>
      <c r="BO232" s="83">
        <v>2271</v>
      </c>
      <c r="BQ232" s="83">
        <v>0</v>
      </c>
      <c r="BS232" s="85">
        <v>57474</v>
      </c>
      <c r="BU232" s="46">
        <v>27.6</v>
      </c>
      <c r="BW232" s="46">
        <v>0</v>
      </c>
      <c r="BY232" s="46">
        <v>0</v>
      </c>
      <c r="CA232" s="46">
        <v>1.6</v>
      </c>
      <c r="CC232" s="46">
        <v>0</v>
      </c>
      <c r="CE232" s="209">
        <v>29.2</v>
      </c>
      <c r="CH232" s="41">
        <v>7346384</v>
      </c>
      <c r="CJ232" s="41">
        <v>1388742</v>
      </c>
      <c r="CL232" s="41">
        <v>153724</v>
      </c>
      <c r="CN232" s="41">
        <v>709740</v>
      </c>
      <c r="CP232" s="43">
        <v>9598590</v>
      </c>
      <c r="CS232" s="39">
        <v>29.775600000000001</v>
      </c>
      <c r="CU232" s="39">
        <v>56.133499999999998</v>
      </c>
      <c r="CW232" s="39">
        <v>0.62309999999999999</v>
      </c>
      <c r="CY232" s="39">
        <v>33.388500000000001</v>
      </c>
      <c r="DA232" s="44">
        <v>32.486699999999999</v>
      </c>
      <c r="DC232" s="1" t="str">
        <f t="shared" si="3"/>
        <v>No</v>
      </c>
    </row>
    <row r="233" spans="1:107">
      <c r="A233" s="7" t="s">
        <v>610</v>
      </c>
      <c r="B233" s="7" t="s">
        <v>611</v>
      </c>
      <c r="C233" s="37" t="s">
        <v>42</v>
      </c>
      <c r="D233" s="296">
        <v>5052</v>
      </c>
      <c r="E233" s="297">
        <v>50052</v>
      </c>
      <c r="F233" s="27" t="s">
        <v>165</v>
      </c>
      <c r="G233" s="27" t="s">
        <v>158</v>
      </c>
      <c r="H233" s="35">
        <v>278165</v>
      </c>
      <c r="I233" s="35">
        <v>46</v>
      </c>
      <c r="J233" s="292"/>
      <c r="K233" s="8">
        <v>184267</v>
      </c>
      <c r="L233" s="8"/>
      <c r="M233" s="8">
        <v>23149</v>
      </c>
      <c r="N233" s="9"/>
      <c r="O233" s="8">
        <v>7525</v>
      </c>
      <c r="P233" s="9"/>
      <c r="Q233" s="8">
        <v>20808</v>
      </c>
      <c r="R233" s="9"/>
      <c r="S233" s="8">
        <v>0</v>
      </c>
      <c r="T233" s="9"/>
      <c r="U233" s="33">
        <v>235749</v>
      </c>
      <c r="V233" s="9"/>
      <c r="W233" s="30">
        <v>75</v>
      </c>
      <c r="X233" s="9"/>
      <c r="Y233" s="30">
        <v>10.1</v>
      </c>
      <c r="Z233" s="9"/>
      <c r="AA233" s="30">
        <v>4.5</v>
      </c>
      <c r="AB233" s="9"/>
      <c r="AC233" s="30">
        <v>10.8</v>
      </c>
      <c r="AD233" s="9"/>
      <c r="AE233" s="80">
        <v>0</v>
      </c>
      <c r="AF233" s="46"/>
      <c r="AG233" s="88">
        <v>100.4</v>
      </c>
      <c r="AH233" s="47"/>
      <c r="AJ233" s="83">
        <v>173782</v>
      </c>
      <c r="AL233" s="83">
        <v>23149</v>
      </c>
      <c r="AN233" s="83">
        <v>6449</v>
      </c>
      <c r="AP233" s="83">
        <v>20491</v>
      </c>
      <c r="AR233" s="83">
        <v>0</v>
      </c>
      <c r="AT233" s="204">
        <v>223871</v>
      </c>
      <c r="AV233" s="46">
        <v>68</v>
      </c>
      <c r="AX233" s="46">
        <v>10.1</v>
      </c>
      <c r="AZ233" s="46">
        <v>3.5</v>
      </c>
      <c r="BB233" s="46">
        <v>10</v>
      </c>
      <c r="BD233" s="46">
        <v>0</v>
      </c>
      <c r="BF233" s="209">
        <v>100.4</v>
      </c>
      <c r="BI233" s="83">
        <v>10485</v>
      </c>
      <c r="BK233" s="83">
        <v>0</v>
      </c>
      <c r="BM233" s="83">
        <v>1076</v>
      </c>
      <c r="BO233" s="83">
        <v>317</v>
      </c>
      <c r="BQ233" s="83">
        <v>0</v>
      </c>
      <c r="BS233" s="85">
        <v>11878</v>
      </c>
      <c r="BU233" s="46">
        <v>7</v>
      </c>
      <c r="BW233" s="46">
        <v>0</v>
      </c>
      <c r="BY233" s="46">
        <v>1</v>
      </c>
      <c r="CA233" s="46">
        <v>0.8</v>
      </c>
      <c r="CC233" s="46">
        <v>0</v>
      </c>
      <c r="CE233" s="209">
        <v>8.8000000000000007</v>
      </c>
      <c r="CH233" s="41">
        <v>4096003</v>
      </c>
      <c r="CJ233" s="41">
        <v>637757</v>
      </c>
      <c r="CL233" s="41">
        <v>75610</v>
      </c>
      <c r="CN233" s="41">
        <v>404767</v>
      </c>
      <c r="CP233" s="43">
        <v>5214137</v>
      </c>
      <c r="CS233" s="39">
        <v>22.2286</v>
      </c>
      <c r="CU233" s="39">
        <v>27.5501</v>
      </c>
      <c r="CW233" s="39">
        <v>0.4103</v>
      </c>
      <c r="CY233" s="39">
        <v>19.452500000000001</v>
      </c>
      <c r="DA233" s="44">
        <v>22.1173</v>
      </c>
      <c r="DC233" s="1" t="str">
        <f t="shared" si="3"/>
        <v>No</v>
      </c>
    </row>
    <row r="234" spans="1:107">
      <c r="A234" s="7" t="s">
        <v>463</v>
      </c>
      <c r="B234" s="7" t="s">
        <v>464</v>
      </c>
      <c r="C234" s="37" t="s">
        <v>32</v>
      </c>
      <c r="D234" s="296">
        <v>4026</v>
      </c>
      <c r="E234" s="297">
        <v>40026</v>
      </c>
      <c r="F234" s="27" t="s">
        <v>162</v>
      </c>
      <c r="G234" s="27" t="s">
        <v>158</v>
      </c>
      <c r="H234" s="35">
        <v>643260</v>
      </c>
      <c r="I234" s="35">
        <v>45</v>
      </c>
      <c r="J234" s="292"/>
      <c r="K234" s="8">
        <v>207612</v>
      </c>
      <c r="L234" s="8"/>
      <c r="M234" s="8">
        <v>11477</v>
      </c>
      <c r="N234" s="9"/>
      <c r="O234" s="8">
        <v>1649</v>
      </c>
      <c r="P234" s="9"/>
      <c r="Q234" s="8">
        <v>20232</v>
      </c>
      <c r="R234" s="9"/>
      <c r="S234" s="8">
        <v>0</v>
      </c>
      <c r="T234" s="9"/>
      <c r="U234" s="33">
        <v>240970</v>
      </c>
      <c r="V234" s="9"/>
      <c r="W234" s="30">
        <v>108</v>
      </c>
      <c r="X234" s="9"/>
      <c r="Y234" s="30">
        <v>5</v>
      </c>
      <c r="Z234" s="9"/>
      <c r="AA234" s="30">
        <v>1</v>
      </c>
      <c r="AB234" s="9"/>
      <c r="AC234" s="30">
        <v>13</v>
      </c>
      <c r="AD234" s="9"/>
      <c r="AE234" s="80">
        <v>0</v>
      </c>
      <c r="AF234" s="46"/>
      <c r="AG234" s="88">
        <v>127</v>
      </c>
      <c r="AH234" s="47"/>
      <c r="AJ234" s="83">
        <v>201877</v>
      </c>
      <c r="AL234" s="83">
        <v>11477</v>
      </c>
      <c r="AN234" s="83">
        <v>1649</v>
      </c>
      <c r="AP234" s="83">
        <v>20232</v>
      </c>
      <c r="AR234" s="83">
        <v>0</v>
      </c>
      <c r="AT234" s="204">
        <v>235235</v>
      </c>
      <c r="AV234" s="46">
        <v>103</v>
      </c>
      <c r="AX234" s="46">
        <v>5</v>
      </c>
      <c r="AZ234" s="46">
        <v>1</v>
      </c>
      <c r="BB234" s="46">
        <v>13</v>
      </c>
      <c r="BD234" s="46">
        <v>0</v>
      </c>
      <c r="BF234" s="209">
        <v>127</v>
      </c>
      <c r="BI234" s="83">
        <v>5735</v>
      </c>
      <c r="BK234" s="83">
        <v>0</v>
      </c>
      <c r="BM234" s="83">
        <v>0</v>
      </c>
      <c r="BO234" s="83">
        <v>0</v>
      </c>
      <c r="BQ234" s="83">
        <v>0</v>
      </c>
      <c r="BS234" s="85">
        <v>5735</v>
      </c>
      <c r="BU234" s="46">
        <v>5</v>
      </c>
      <c r="BW234" s="46">
        <v>0</v>
      </c>
      <c r="BY234" s="46">
        <v>0</v>
      </c>
      <c r="CA234" s="46">
        <v>0</v>
      </c>
      <c r="CC234" s="46">
        <v>0</v>
      </c>
      <c r="CE234" s="209">
        <v>5</v>
      </c>
      <c r="CH234" s="41">
        <v>3012365</v>
      </c>
      <c r="CJ234" s="41">
        <v>131341</v>
      </c>
      <c r="CL234" s="41">
        <v>34501</v>
      </c>
      <c r="CN234" s="41">
        <v>504144</v>
      </c>
      <c r="CP234" s="43">
        <v>3682351</v>
      </c>
      <c r="CS234" s="39">
        <v>14.509600000000001</v>
      </c>
      <c r="CU234" s="39">
        <v>11.4438</v>
      </c>
      <c r="CW234" s="39">
        <v>0.16619999999999999</v>
      </c>
      <c r="CY234" s="39">
        <v>24.918099999999999</v>
      </c>
      <c r="DA234" s="44">
        <v>15.2814</v>
      </c>
      <c r="DC234" s="1" t="str">
        <f t="shared" si="3"/>
        <v>No</v>
      </c>
    </row>
    <row r="235" spans="1:107">
      <c r="A235" s="7" t="s">
        <v>718</v>
      </c>
      <c r="B235" s="7" t="s">
        <v>719</v>
      </c>
      <c r="C235" s="37" t="s">
        <v>48</v>
      </c>
      <c r="D235" s="296">
        <v>3096</v>
      </c>
      <c r="E235" s="297">
        <v>30096</v>
      </c>
      <c r="F235" s="27" t="s">
        <v>165</v>
      </c>
      <c r="G235" s="27" t="s">
        <v>158</v>
      </c>
      <c r="H235" s="35">
        <v>98081</v>
      </c>
      <c r="I235" s="35">
        <v>44</v>
      </c>
      <c r="J235" s="292"/>
      <c r="K235" s="8">
        <v>183104</v>
      </c>
      <c r="L235" s="8"/>
      <c r="M235" s="8">
        <v>14535</v>
      </c>
      <c r="N235" s="9"/>
      <c r="O235" s="8">
        <v>2028</v>
      </c>
      <c r="P235" s="9"/>
      <c r="Q235" s="8">
        <v>29399</v>
      </c>
      <c r="R235" s="9"/>
      <c r="S235" s="8">
        <v>0</v>
      </c>
      <c r="T235" s="9"/>
      <c r="U235" s="33">
        <v>229066</v>
      </c>
      <c r="V235" s="9"/>
      <c r="W235" s="30">
        <v>105</v>
      </c>
      <c r="X235" s="9"/>
      <c r="Y235" s="30">
        <v>7</v>
      </c>
      <c r="Z235" s="9"/>
      <c r="AA235" s="30">
        <v>1</v>
      </c>
      <c r="AB235" s="9"/>
      <c r="AC235" s="30">
        <v>15</v>
      </c>
      <c r="AD235" s="9"/>
      <c r="AE235" s="80">
        <v>0</v>
      </c>
      <c r="AF235" s="46"/>
      <c r="AG235" s="88">
        <v>128</v>
      </c>
      <c r="AH235" s="47"/>
      <c r="AJ235" s="83">
        <v>168019</v>
      </c>
      <c r="AL235" s="83">
        <v>14535</v>
      </c>
      <c r="AN235" s="83">
        <v>2028</v>
      </c>
      <c r="AP235" s="83">
        <v>28017</v>
      </c>
      <c r="AR235" s="83">
        <v>0</v>
      </c>
      <c r="AT235" s="204">
        <v>212599</v>
      </c>
      <c r="AV235" s="46">
        <v>89</v>
      </c>
      <c r="AX235" s="46">
        <v>7</v>
      </c>
      <c r="AZ235" s="46">
        <v>1</v>
      </c>
      <c r="BB235" s="46">
        <v>14</v>
      </c>
      <c r="BD235" s="46">
        <v>0</v>
      </c>
      <c r="BF235" s="209">
        <v>128</v>
      </c>
      <c r="BI235" s="83">
        <v>15085</v>
      </c>
      <c r="BK235" s="83">
        <v>0</v>
      </c>
      <c r="BM235" s="83">
        <v>0</v>
      </c>
      <c r="BO235" s="83">
        <v>1382</v>
      </c>
      <c r="BQ235" s="83">
        <v>0</v>
      </c>
      <c r="BS235" s="85">
        <v>16467</v>
      </c>
      <c r="BU235" s="46">
        <v>16</v>
      </c>
      <c r="BW235" s="46">
        <v>0</v>
      </c>
      <c r="BY235" s="46">
        <v>0</v>
      </c>
      <c r="CA235" s="46">
        <v>1</v>
      </c>
      <c r="CC235" s="46">
        <v>0</v>
      </c>
      <c r="CE235" s="209">
        <v>17</v>
      </c>
      <c r="CH235" s="41">
        <v>2112939</v>
      </c>
      <c r="CJ235" s="41">
        <v>251820</v>
      </c>
      <c r="CL235" s="41">
        <v>49811</v>
      </c>
      <c r="CN235" s="41">
        <v>420223</v>
      </c>
      <c r="CP235" s="43">
        <v>2834793</v>
      </c>
      <c r="CS235" s="39">
        <v>11.5396</v>
      </c>
      <c r="CU235" s="39">
        <v>17.325099999999999</v>
      </c>
      <c r="CW235" s="39">
        <v>0.27200000000000002</v>
      </c>
      <c r="CY235" s="39">
        <v>14.293799999999999</v>
      </c>
      <c r="DA235" s="44">
        <v>12.375400000000001</v>
      </c>
      <c r="DC235" s="1" t="str">
        <f t="shared" si="3"/>
        <v>No</v>
      </c>
    </row>
    <row r="236" spans="1:107">
      <c r="A236" s="7" t="s">
        <v>91</v>
      </c>
      <c r="B236" s="7" t="s">
        <v>179</v>
      </c>
      <c r="C236" s="37" t="s">
        <v>89</v>
      </c>
      <c r="D236" s="296">
        <v>43</v>
      </c>
      <c r="E236" s="297">
        <v>43</v>
      </c>
      <c r="F236" s="27" t="s">
        <v>165</v>
      </c>
      <c r="G236" s="27" t="s">
        <v>158</v>
      </c>
      <c r="H236" s="35">
        <v>67227</v>
      </c>
      <c r="I236" s="35">
        <v>44</v>
      </c>
      <c r="J236" s="292"/>
      <c r="K236" s="8">
        <v>143092</v>
      </c>
      <c r="L236" s="8"/>
      <c r="M236" s="8">
        <v>31063</v>
      </c>
      <c r="N236" s="9"/>
      <c r="O236" s="8">
        <v>9722</v>
      </c>
      <c r="P236" s="9"/>
      <c r="Q236" s="8">
        <v>41275</v>
      </c>
      <c r="R236" s="9"/>
      <c r="S236" s="8">
        <v>550</v>
      </c>
      <c r="T236" s="9"/>
      <c r="U236" s="33">
        <v>225702</v>
      </c>
      <c r="V236" s="9"/>
      <c r="W236" s="30">
        <v>78</v>
      </c>
      <c r="X236" s="9"/>
      <c r="Y236" s="30">
        <v>16</v>
      </c>
      <c r="Z236" s="9"/>
      <c r="AA236" s="30">
        <v>6</v>
      </c>
      <c r="AB236" s="9"/>
      <c r="AC236" s="30">
        <v>23</v>
      </c>
      <c r="AD236" s="9"/>
      <c r="AE236" s="80">
        <v>0.3</v>
      </c>
      <c r="AF236" s="46"/>
      <c r="AG236" s="88">
        <v>123.3</v>
      </c>
      <c r="AH236" s="47"/>
      <c r="AJ236" s="83">
        <v>141743</v>
      </c>
      <c r="AL236" s="83">
        <v>31063</v>
      </c>
      <c r="AN236" s="83">
        <v>7228</v>
      </c>
      <c r="AP236" s="83">
        <v>41275</v>
      </c>
      <c r="AR236" s="83">
        <v>550</v>
      </c>
      <c r="AT236" s="204">
        <v>221859</v>
      </c>
      <c r="AV236" s="46">
        <v>74</v>
      </c>
      <c r="AX236" s="46">
        <v>16</v>
      </c>
      <c r="AZ236" s="46">
        <v>4</v>
      </c>
      <c r="BB236" s="46">
        <v>23</v>
      </c>
      <c r="BD236" s="46">
        <v>0.3</v>
      </c>
      <c r="BF236" s="209">
        <v>123.3</v>
      </c>
      <c r="BI236" s="83">
        <v>1349</v>
      </c>
      <c r="BK236" s="83">
        <v>0</v>
      </c>
      <c r="BM236" s="83">
        <v>2494</v>
      </c>
      <c r="BO236" s="83">
        <v>0</v>
      </c>
      <c r="BQ236" s="83">
        <v>0</v>
      </c>
      <c r="BS236" s="85">
        <v>3843</v>
      </c>
      <c r="BU236" s="46">
        <v>4</v>
      </c>
      <c r="BW236" s="46">
        <v>0</v>
      </c>
      <c r="BY236" s="46">
        <v>2</v>
      </c>
      <c r="CA236" s="46">
        <v>0</v>
      </c>
      <c r="CC236" s="46">
        <v>0</v>
      </c>
      <c r="CE236" s="209">
        <v>6</v>
      </c>
      <c r="CH236" s="41">
        <v>3192500</v>
      </c>
      <c r="CJ236" s="41">
        <v>841376</v>
      </c>
      <c r="CL236" s="41">
        <v>206254</v>
      </c>
      <c r="CN236" s="41">
        <v>1210034</v>
      </c>
      <c r="CP236" s="43">
        <v>5450164</v>
      </c>
      <c r="CS236" s="39">
        <v>22.3108</v>
      </c>
      <c r="CU236" s="39">
        <v>27.086099999999998</v>
      </c>
      <c r="CW236" s="39">
        <v>1.4414</v>
      </c>
      <c r="CY236" s="39">
        <v>29.316400000000002</v>
      </c>
      <c r="DA236" s="44">
        <v>24.147600000000001</v>
      </c>
      <c r="DC236" s="1" t="str">
        <f t="shared" si="3"/>
        <v>No</v>
      </c>
    </row>
    <row r="237" spans="1:107">
      <c r="A237" s="7" t="s">
        <v>628</v>
      </c>
      <c r="B237" s="7" t="s">
        <v>629</v>
      </c>
      <c r="C237" s="37" t="s">
        <v>70</v>
      </c>
      <c r="D237" s="296">
        <v>2099</v>
      </c>
      <c r="E237" s="297">
        <v>20099</v>
      </c>
      <c r="F237" s="27" t="s">
        <v>165</v>
      </c>
      <c r="G237" s="27" t="s">
        <v>158</v>
      </c>
      <c r="H237" s="35">
        <v>18351295</v>
      </c>
      <c r="I237" s="35">
        <v>44</v>
      </c>
      <c r="J237" s="292"/>
      <c r="K237" s="8">
        <v>213977</v>
      </c>
      <c r="L237" s="8"/>
      <c r="M237" s="8">
        <v>95525</v>
      </c>
      <c r="N237" s="9"/>
      <c r="O237" s="8">
        <v>215888</v>
      </c>
      <c r="P237" s="9"/>
      <c r="Q237" s="8">
        <v>42031</v>
      </c>
      <c r="R237" s="9"/>
      <c r="S237" s="8">
        <v>0</v>
      </c>
      <c r="T237" s="9"/>
      <c r="U237" s="33">
        <v>567421</v>
      </c>
      <c r="V237" s="9"/>
      <c r="W237" s="30">
        <v>112</v>
      </c>
      <c r="X237" s="9"/>
      <c r="Y237" s="30">
        <v>50</v>
      </c>
      <c r="Z237" s="9"/>
      <c r="AA237" s="30">
        <v>113</v>
      </c>
      <c r="AB237" s="9"/>
      <c r="AC237" s="30">
        <v>22</v>
      </c>
      <c r="AD237" s="9"/>
      <c r="AE237" s="80">
        <v>0</v>
      </c>
      <c r="AF237" s="46"/>
      <c r="AG237" s="88">
        <v>297</v>
      </c>
      <c r="AH237" s="47"/>
      <c r="AJ237" s="83">
        <v>213977</v>
      </c>
      <c r="AL237" s="83">
        <v>95525</v>
      </c>
      <c r="AN237" s="83">
        <v>215888</v>
      </c>
      <c r="AP237" s="83">
        <v>42031</v>
      </c>
      <c r="AR237" s="83">
        <v>0</v>
      </c>
      <c r="AT237" s="204">
        <v>567421</v>
      </c>
      <c r="AV237" s="46">
        <v>112</v>
      </c>
      <c r="AX237" s="46">
        <v>50</v>
      </c>
      <c r="AZ237" s="46">
        <v>113</v>
      </c>
      <c r="BB237" s="46">
        <v>22</v>
      </c>
      <c r="BD237" s="46">
        <v>0</v>
      </c>
      <c r="BF237" s="209">
        <v>297</v>
      </c>
      <c r="BI237" s="83">
        <v>0</v>
      </c>
      <c r="BK237" s="83">
        <v>0</v>
      </c>
      <c r="BM237" s="83">
        <v>0</v>
      </c>
      <c r="BO237" s="83">
        <v>0</v>
      </c>
      <c r="BQ237" s="83">
        <v>0</v>
      </c>
      <c r="BS237" s="85">
        <v>0</v>
      </c>
      <c r="BU237" s="46">
        <v>0</v>
      </c>
      <c r="BW237" s="46">
        <v>0</v>
      </c>
      <c r="BY237" s="46">
        <v>0</v>
      </c>
      <c r="CA237" s="46">
        <v>0</v>
      </c>
      <c r="CC237" s="46">
        <v>0</v>
      </c>
      <c r="CE237" s="209">
        <v>0</v>
      </c>
      <c r="CH237" s="41">
        <v>7982088</v>
      </c>
      <c r="CJ237" s="41">
        <v>3518984</v>
      </c>
      <c r="CL237" s="41">
        <v>9621321</v>
      </c>
      <c r="CN237" s="41">
        <v>2972243</v>
      </c>
      <c r="CP237" s="43">
        <v>24094636</v>
      </c>
      <c r="CS237" s="39">
        <v>37.3035</v>
      </c>
      <c r="CU237" s="39">
        <v>36.8384</v>
      </c>
      <c r="CW237" s="39">
        <v>44.964300000000001</v>
      </c>
      <c r="CY237" s="39">
        <v>70.715500000000006</v>
      </c>
      <c r="DA237" s="44">
        <v>42.4634</v>
      </c>
      <c r="DC237" s="1" t="str">
        <f t="shared" si="3"/>
        <v>No</v>
      </c>
    </row>
    <row r="238" spans="1:107">
      <c r="A238" s="7" t="s">
        <v>595</v>
      </c>
      <c r="B238" s="7" t="s">
        <v>596</v>
      </c>
      <c r="C238" s="37" t="s">
        <v>81</v>
      </c>
      <c r="D238" s="296">
        <v>4100</v>
      </c>
      <c r="E238" s="297">
        <v>40100</v>
      </c>
      <c r="F238" s="27" t="s">
        <v>165</v>
      </c>
      <c r="G238" s="27" t="s">
        <v>158</v>
      </c>
      <c r="H238" s="35">
        <v>73107</v>
      </c>
      <c r="I238" s="35">
        <v>43</v>
      </c>
      <c r="J238" s="292"/>
      <c r="K238" s="8">
        <v>57021</v>
      </c>
      <c r="L238" s="8"/>
      <c r="M238" s="8">
        <v>12978</v>
      </c>
      <c r="N238" s="9"/>
      <c r="O238" s="8">
        <v>1337</v>
      </c>
      <c r="P238" s="9"/>
      <c r="Q238" s="8">
        <v>14640</v>
      </c>
      <c r="R238" s="9"/>
      <c r="S238" s="8">
        <v>0</v>
      </c>
      <c r="T238" s="9"/>
      <c r="U238" s="33">
        <v>85976</v>
      </c>
      <c r="V238" s="9"/>
      <c r="W238" s="30">
        <v>32.67</v>
      </c>
      <c r="X238" s="9"/>
      <c r="Y238" s="30">
        <v>7</v>
      </c>
      <c r="Z238" s="9"/>
      <c r="AA238" s="30">
        <v>1</v>
      </c>
      <c r="AB238" s="9"/>
      <c r="AC238" s="30">
        <v>9</v>
      </c>
      <c r="AD238" s="9"/>
      <c r="AE238" s="80">
        <v>0</v>
      </c>
      <c r="AF238" s="46"/>
      <c r="AG238" s="88">
        <v>49.67</v>
      </c>
      <c r="AH238" s="47"/>
      <c r="AJ238" s="83">
        <v>41719</v>
      </c>
      <c r="AL238" s="83">
        <v>9994</v>
      </c>
      <c r="AN238" s="83">
        <v>0</v>
      </c>
      <c r="AP238" s="83">
        <v>14006</v>
      </c>
      <c r="AR238" s="83">
        <v>0</v>
      </c>
      <c r="AT238" s="204">
        <v>65719</v>
      </c>
      <c r="AV238" s="46">
        <v>22</v>
      </c>
      <c r="AX238" s="46">
        <v>5</v>
      </c>
      <c r="AZ238" s="46">
        <v>0</v>
      </c>
      <c r="BB238" s="46">
        <v>7</v>
      </c>
      <c r="BD238" s="46">
        <v>0</v>
      </c>
      <c r="BF238" s="209">
        <v>49.67</v>
      </c>
      <c r="BI238" s="83">
        <v>15302</v>
      </c>
      <c r="BK238" s="83">
        <v>2984</v>
      </c>
      <c r="BM238" s="83">
        <v>1337</v>
      </c>
      <c r="BO238" s="83">
        <v>634</v>
      </c>
      <c r="BQ238" s="83">
        <v>0</v>
      </c>
      <c r="BS238" s="85">
        <v>20257</v>
      </c>
      <c r="BU238" s="46">
        <v>10.67</v>
      </c>
      <c r="BW238" s="46">
        <v>2</v>
      </c>
      <c r="BY238" s="46">
        <v>1</v>
      </c>
      <c r="CA238" s="46">
        <v>2</v>
      </c>
      <c r="CC238" s="46">
        <v>0</v>
      </c>
      <c r="CE238" s="209">
        <v>15.67</v>
      </c>
      <c r="CH238" s="41">
        <v>643855</v>
      </c>
      <c r="CJ238" s="41">
        <v>184123</v>
      </c>
      <c r="CL238" s="41">
        <v>14535</v>
      </c>
      <c r="CN238" s="41">
        <v>264198</v>
      </c>
      <c r="CP238" s="43">
        <v>1106711</v>
      </c>
      <c r="CS238" s="39">
        <v>11.291499999999999</v>
      </c>
      <c r="CU238" s="39">
        <v>14.1873</v>
      </c>
      <c r="CW238" s="39">
        <v>0.25490000000000002</v>
      </c>
      <c r="CY238" s="39">
        <v>18.046299999999999</v>
      </c>
      <c r="DA238" s="44">
        <v>12.872299999999999</v>
      </c>
      <c r="DC238" s="1" t="str">
        <f t="shared" si="3"/>
        <v>No</v>
      </c>
    </row>
    <row r="239" spans="1:107">
      <c r="A239" s="7" t="s">
        <v>697</v>
      </c>
      <c r="B239" s="7" t="s">
        <v>698</v>
      </c>
      <c r="C239" s="37" t="s">
        <v>9</v>
      </c>
      <c r="D239" s="296">
        <v>4103</v>
      </c>
      <c r="E239" s="297">
        <v>40103</v>
      </c>
      <c r="F239" s="27" t="s">
        <v>195</v>
      </c>
      <c r="G239" s="27" t="s">
        <v>158</v>
      </c>
      <c r="H239" s="35">
        <v>68781</v>
      </c>
      <c r="I239" s="35">
        <v>43</v>
      </c>
      <c r="J239" s="292"/>
      <c r="K239" s="8">
        <v>28088</v>
      </c>
      <c r="L239" s="8"/>
      <c r="M239" s="8">
        <v>0</v>
      </c>
      <c r="N239" s="9"/>
      <c r="O239" s="8">
        <v>338</v>
      </c>
      <c r="P239" s="9"/>
      <c r="Q239" s="8">
        <v>1817</v>
      </c>
      <c r="R239" s="9"/>
      <c r="S239" s="8">
        <v>0</v>
      </c>
      <c r="T239" s="9"/>
      <c r="U239" s="33">
        <v>30243</v>
      </c>
      <c r="V239" s="9"/>
      <c r="W239" s="30">
        <v>35</v>
      </c>
      <c r="X239" s="9"/>
      <c r="Y239" s="30">
        <v>0</v>
      </c>
      <c r="Z239" s="9"/>
      <c r="AA239" s="30">
        <v>1</v>
      </c>
      <c r="AB239" s="9"/>
      <c r="AC239" s="30">
        <v>0.87</v>
      </c>
      <c r="AD239" s="9"/>
      <c r="AE239" s="80">
        <v>0</v>
      </c>
      <c r="AF239" s="46"/>
      <c r="AG239" s="88">
        <v>36.869999999999997</v>
      </c>
      <c r="AH239" s="47"/>
      <c r="AJ239" s="83">
        <v>21713</v>
      </c>
      <c r="AL239" s="83">
        <v>0</v>
      </c>
      <c r="AN239" s="83">
        <v>0</v>
      </c>
      <c r="AP239" s="83">
        <v>1817</v>
      </c>
      <c r="AR239" s="83">
        <v>0</v>
      </c>
      <c r="AT239" s="204">
        <v>23530</v>
      </c>
      <c r="AV239" s="46">
        <v>21</v>
      </c>
      <c r="AX239" s="46">
        <v>0</v>
      </c>
      <c r="AZ239" s="46">
        <v>0</v>
      </c>
      <c r="BB239" s="46">
        <v>0.87</v>
      </c>
      <c r="BD239" s="46">
        <v>0</v>
      </c>
      <c r="BF239" s="209">
        <v>36.869999999999997</v>
      </c>
      <c r="BI239" s="83">
        <v>6375</v>
      </c>
      <c r="BK239" s="83">
        <v>0</v>
      </c>
      <c r="BM239" s="83">
        <v>338</v>
      </c>
      <c r="BO239" s="83">
        <v>0</v>
      </c>
      <c r="BQ239" s="83">
        <v>0</v>
      </c>
      <c r="BS239" s="85">
        <v>6713</v>
      </c>
      <c r="BU239" s="46">
        <v>14</v>
      </c>
      <c r="BW239" s="46">
        <v>0</v>
      </c>
      <c r="BY239" s="46">
        <v>1</v>
      </c>
      <c r="CA239" s="46">
        <v>0</v>
      </c>
      <c r="CC239" s="46">
        <v>0</v>
      </c>
      <c r="CE239" s="209">
        <v>15</v>
      </c>
      <c r="CH239" s="41">
        <v>366215</v>
      </c>
      <c r="CJ239" s="41">
        <v>0</v>
      </c>
      <c r="CL239" s="41">
        <v>2560</v>
      </c>
      <c r="CN239" s="41">
        <v>43216</v>
      </c>
      <c r="CP239" s="43">
        <v>411991</v>
      </c>
      <c r="CS239" s="39">
        <v>13.0381</v>
      </c>
      <c r="CW239" s="39">
        <v>9.11E-2</v>
      </c>
      <c r="CY239" s="39">
        <v>23.784300000000002</v>
      </c>
      <c r="DA239" s="44">
        <v>13.6227</v>
      </c>
      <c r="DC239" s="1" t="str">
        <f t="shared" si="3"/>
        <v>No</v>
      </c>
    </row>
    <row r="240" spans="1:107">
      <c r="A240" s="7" t="s">
        <v>1103</v>
      </c>
      <c r="B240" s="7" t="s">
        <v>794</v>
      </c>
      <c r="C240" s="37" t="s">
        <v>81</v>
      </c>
      <c r="D240" s="296"/>
      <c r="E240" s="297">
        <v>40244</v>
      </c>
      <c r="F240" s="27" t="s">
        <v>157</v>
      </c>
      <c r="G240" s="27" t="s">
        <v>158</v>
      </c>
      <c r="H240" s="35">
        <v>180786</v>
      </c>
      <c r="I240" s="35">
        <v>43</v>
      </c>
      <c r="J240" s="292"/>
      <c r="K240" s="8">
        <v>102574</v>
      </c>
      <c r="L240" s="8"/>
      <c r="M240" s="8">
        <v>0</v>
      </c>
      <c r="N240" s="9"/>
      <c r="O240" s="8">
        <v>0</v>
      </c>
      <c r="P240" s="9"/>
      <c r="Q240" s="8">
        <v>23400</v>
      </c>
      <c r="R240" s="9"/>
      <c r="S240" s="8">
        <v>0</v>
      </c>
      <c r="T240" s="9"/>
      <c r="U240" s="33">
        <v>125974</v>
      </c>
      <c r="V240" s="9"/>
      <c r="W240" s="30">
        <v>54</v>
      </c>
      <c r="X240" s="9"/>
      <c r="Y240" s="30">
        <v>0</v>
      </c>
      <c r="Z240" s="9"/>
      <c r="AA240" s="30">
        <v>0</v>
      </c>
      <c r="AB240" s="9"/>
      <c r="AC240" s="30">
        <v>13</v>
      </c>
      <c r="AD240" s="9"/>
      <c r="AE240" s="80">
        <v>0</v>
      </c>
      <c r="AF240" s="46"/>
      <c r="AG240" s="88">
        <v>67</v>
      </c>
      <c r="AH240" s="47"/>
      <c r="AJ240" s="83">
        <v>88240</v>
      </c>
      <c r="AL240" s="83">
        <v>0</v>
      </c>
      <c r="AN240" s="83">
        <v>0</v>
      </c>
      <c r="AP240" s="83">
        <v>22464</v>
      </c>
      <c r="AR240" s="83">
        <v>0</v>
      </c>
      <c r="AT240" s="204">
        <v>110704</v>
      </c>
      <c r="AV240" s="46">
        <v>45</v>
      </c>
      <c r="AX240" s="46">
        <v>0</v>
      </c>
      <c r="AZ240" s="46">
        <v>0</v>
      </c>
      <c r="BB240" s="46">
        <v>12</v>
      </c>
      <c r="BD240" s="46">
        <v>0</v>
      </c>
      <c r="BF240" s="209">
        <v>67</v>
      </c>
      <c r="BI240" s="83">
        <v>14334</v>
      </c>
      <c r="BK240" s="83">
        <v>0</v>
      </c>
      <c r="BM240" s="83">
        <v>0</v>
      </c>
      <c r="BO240" s="83">
        <v>936</v>
      </c>
      <c r="BQ240" s="83">
        <v>0</v>
      </c>
      <c r="BS240" s="85">
        <v>15270</v>
      </c>
      <c r="BU240" s="46">
        <v>9</v>
      </c>
      <c r="BW240" s="46">
        <v>0</v>
      </c>
      <c r="BY240" s="46">
        <v>0</v>
      </c>
      <c r="CA240" s="46">
        <v>1</v>
      </c>
      <c r="CC240" s="46">
        <v>0</v>
      </c>
      <c r="CE240" s="209">
        <v>10</v>
      </c>
      <c r="CH240" s="41">
        <v>1478025</v>
      </c>
      <c r="CJ240" s="41">
        <v>0</v>
      </c>
      <c r="CL240" s="41">
        <v>0</v>
      </c>
      <c r="CN240" s="41">
        <v>412889</v>
      </c>
      <c r="CP240" s="43">
        <v>1890914</v>
      </c>
      <c r="CS240" s="39">
        <v>14.4094</v>
      </c>
      <c r="CW240" s="39">
        <v>0</v>
      </c>
      <c r="CY240" s="39">
        <v>17.6448</v>
      </c>
      <c r="DA240" s="44">
        <v>15.010400000000001</v>
      </c>
      <c r="DC240" s="1" t="str">
        <f t="shared" si="3"/>
        <v>No</v>
      </c>
    </row>
    <row r="241" spans="1:107">
      <c r="A241" s="7" t="s">
        <v>721</v>
      </c>
      <c r="B241" s="7" t="s">
        <v>722</v>
      </c>
      <c r="C241" s="37" t="s">
        <v>17</v>
      </c>
      <c r="D241" s="296">
        <v>9206</v>
      </c>
      <c r="E241" s="297">
        <v>90206</v>
      </c>
      <c r="F241" s="27" t="s">
        <v>165</v>
      </c>
      <c r="G241" s="27" t="s">
        <v>158</v>
      </c>
      <c r="H241" s="35">
        <v>59219</v>
      </c>
      <c r="I241" s="35">
        <v>43</v>
      </c>
      <c r="J241" s="292"/>
      <c r="K241" s="8">
        <v>172307</v>
      </c>
      <c r="L241" s="8"/>
      <c r="M241" s="8">
        <v>30164</v>
      </c>
      <c r="N241" s="9"/>
      <c r="O241" s="8">
        <v>0</v>
      </c>
      <c r="P241" s="9"/>
      <c r="Q241" s="8">
        <v>12720</v>
      </c>
      <c r="R241" s="9"/>
      <c r="S241" s="8">
        <v>0</v>
      </c>
      <c r="T241" s="9"/>
      <c r="U241" s="33">
        <v>215191</v>
      </c>
      <c r="V241" s="9"/>
      <c r="W241" s="30">
        <v>103.21</v>
      </c>
      <c r="X241" s="9"/>
      <c r="Y241" s="30">
        <v>15.66</v>
      </c>
      <c r="Z241" s="9"/>
      <c r="AA241" s="30">
        <v>0</v>
      </c>
      <c r="AB241" s="9"/>
      <c r="AC241" s="30">
        <v>7.02</v>
      </c>
      <c r="AD241" s="9"/>
      <c r="AE241" s="80">
        <v>0</v>
      </c>
      <c r="AF241" s="46"/>
      <c r="AG241" s="88">
        <v>125.89</v>
      </c>
      <c r="AH241" s="47"/>
      <c r="AJ241" s="83">
        <v>141019</v>
      </c>
      <c r="AL241" s="83">
        <v>30164</v>
      </c>
      <c r="AN241" s="83">
        <v>0</v>
      </c>
      <c r="AP241" s="83">
        <v>12720</v>
      </c>
      <c r="AR241" s="83">
        <v>0</v>
      </c>
      <c r="AT241" s="204">
        <v>183903</v>
      </c>
      <c r="AV241" s="46">
        <v>73.12</v>
      </c>
      <c r="AX241" s="46">
        <v>15.66</v>
      </c>
      <c r="AZ241" s="46">
        <v>0</v>
      </c>
      <c r="BB241" s="46">
        <v>7.02</v>
      </c>
      <c r="BD241" s="46">
        <v>0</v>
      </c>
      <c r="BF241" s="209">
        <v>125.89</v>
      </c>
      <c r="BI241" s="83">
        <v>31288</v>
      </c>
      <c r="BK241" s="83">
        <v>0</v>
      </c>
      <c r="BM241" s="83">
        <v>0</v>
      </c>
      <c r="BO241" s="83">
        <v>0</v>
      </c>
      <c r="BQ241" s="83">
        <v>0</v>
      </c>
      <c r="BS241" s="85">
        <v>31288</v>
      </c>
      <c r="BU241" s="46">
        <v>30.09</v>
      </c>
      <c r="BW241" s="46">
        <v>0</v>
      </c>
      <c r="BY241" s="46">
        <v>0</v>
      </c>
      <c r="CA241" s="46">
        <v>0</v>
      </c>
      <c r="CC241" s="46">
        <v>0</v>
      </c>
      <c r="CE241" s="209">
        <v>30.09</v>
      </c>
      <c r="CH241" s="41">
        <v>3038018</v>
      </c>
      <c r="CJ241" s="41">
        <v>739957</v>
      </c>
      <c r="CL241" s="41">
        <v>0</v>
      </c>
      <c r="CN241" s="41">
        <v>463277</v>
      </c>
      <c r="CP241" s="43">
        <v>4241252</v>
      </c>
      <c r="CS241" s="39">
        <v>17.631399999999999</v>
      </c>
      <c r="CU241" s="39">
        <v>24.531099999999999</v>
      </c>
      <c r="CW241" s="39">
        <v>0</v>
      </c>
      <c r="CY241" s="39">
        <v>36.421100000000003</v>
      </c>
      <c r="DA241" s="44">
        <v>19.709199999999999</v>
      </c>
      <c r="DC241" s="1" t="str">
        <f t="shared" si="3"/>
        <v>No</v>
      </c>
    </row>
    <row r="242" spans="1:107">
      <c r="A242" s="7" t="s">
        <v>693</v>
      </c>
      <c r="B242" s="7" t="s">
        <v>694</v>
      </c>
      <c r="C242" s="37" t="s">
        <v>58</v>
      </c>
      <c r="D242" s="296">
        <v>4006</v>
      </c>
      <c r="E242" s="297">
        <v>40006</v>
      </c>
      <c r="F242" s="27" t="s">
        <v>165</v>
      </c>
      <c r="G242" s="27" t="s">
        <v>158</v>
      </c>
      <c r="H242" s="35">
        <v>219957</v>
      </c>
      <c r="I242" s="35">
        <v>43</v>
      </c>
      <c r="J242" s="292"/>
      <c r="K242" s="8">
        <v>40665</v>
      </c>
      <c r="L242" s="8"/>
      <c r="M242" s="8">
        <v>0</v>
      </c>
      <c r="N242" s="9"/>
      <c r="O242" s="8">
        <v>1021</v>
      </c>
      <c r="P242" s="9"/>
      <c r="Q242" s="8">
        <v>4774</v>
      </c>
      <c r="R242" s="9"/>
      <c r="S242" s="8">
        <v>0</v>
      </c>
      <c r="T242" s="9"/>
      <c r="U242" s="33">
        <v>46460</v>
      </c>
      <c r="V242" s="9"/>
      <c r="W242" s="30">
        <v>25</v>
      </c>
      <c r="X242" s="9"/>
      <c r="Y242" s="30">
        <v>0</v>
      </c>
      <c r="Z242" s="9"/>
      <c r="AA242" s="30">
        <v>0.55000000000000004</v>
      </c>
      <c r="AB242" s="9"/>
      <c r="AC242" s="30">
        <v>3.05</v>
      </c>
      <c r="AD242" s="9"/>
      <c r="AE242" s="80">
        <v>0</v>
      </c>
      <c r="AF242" s="46"/>
      <c r="AG242" s="88">
        <v>28.6</v>
      </c>
      <c r="AH242" s="47"/>
      <c r="AJ242" s="83">
        <v>22508</v>
      </c>
      <c r="AL242" s="83">
        <v>0</v>
      </c>
      <c r="AN242" s="83">
        <v>1021</v>
      </c>
      <c r="AP242" s="83">
        <v>4774</v>
      </c>
      <c r="AR242" s="83">
        <v>0</v>
      </c>
      <c r="AT242" s="204">
        <v>28303</v>
      </c>
      <c r="AV242" s="46">
        <v>8</v>
      </c>
      <c r="AX242" s="46">
        <v>0</v>
      </c>
      <c r="AZ242" s="46">
        <v>0.55000000000000004</v>
      </c>
      <c r="BB242" s="46">
        <v>3.05</v>
      </c>
      <c r="BD242" s="46">
        <v>0</v>
      </c>
      <c r="BF242" s="209">
        <v>28.6</v>
      </c>
      <c r="BI242" s="83">
        <v>18157</v>
      </c>
      <c r="BK242" s="83">
        <v>0</v>
      </c>
      <c r="BM242" s="83">
        <v>0</v>
      </c>
      <c r="BO242" s="83">
        <v>0</v>
      </c>
      <c r="BQ242" s="83">
        <v>0</v>
      </c>
      <c r="BS242" s="85">
        <v>18157</v>
      </c>
      <c r="BU242" s="46">
        <v>17</v>
      </c>
      <c r="BW242" s="46">
        <v>0</v>
      </c>
      <c r="BY242" s="46">
        <v>0</v>
      </c>
      <c r="CA242" s="46">
        <v>0</v>
      </c>
      <c r="CC242" s="46">
        <v>0</v>
      </c>
      <c r="CE242" s="209">
        <v>17</v>
      </c>
      <c r="CH242" s="41">
        <v>503534</v>
      </c>
      <c r="CJ242" s="41">
        <v>0</v>
      </c>
      <c r="CL242" s="41">
        <v>12134</v>
      </c>
      <c r="CN242" s="41">
        <v>144153</v>
      </c>
      <c r="CP242" s="43">
        <v>659821</v>
      </c>
      <c r="CS242" s="39">
        <v>12.3825</v>
      </c>
      <c r="CW242" s="39">
        <v>0.2984</v>
      </c>
      <c r="CY242" s="39">
        <v>30.195399999999999</v>
      </c>
      <c r="DA242" s="44">
        <v>14.2019</v>
      </c>
      <c r="DC242" s="1" t="str">
        <f t="shared" si="3"/>
        <v>No</v>
      </c>
    </row>
    <row r="243" spans="1:107">
      <c r="A243" s="7" t="s">
        <v>177</v>
      </c>
      <c r="B243" s="7" t="s">
        <v>178</v>
      </c>
      <c r="C243" s="37" t="s">
        <v>73</v>
      </c>
      <c r="D243" s="296">
        <v>5166</v>
      </c>
      <c r="E243" s="297">
        <v>50166</v>
      </c>
      <c r="F243" s="27" t="s">
        <v>162</v>
      </c>
      <c r="G243" s="27" t="s">
        <v>158</v>
      </c>
      <c r="H243" s="35">
        <v>1624827</v>
      </c>
      <c r="I243" s="35">
        <v>43</v>
      </c>
      <c r="J243" s="292"/>
      <c r="K243" s="8">
        <v>48466</v>
      </c>
      <c r="L243" s="8"/>
      <c r="M243" s="8">
        <v>0</v>
      </c>
      <c r="N243" s="9"/>
      <c r="O243" s="8">
        <v>0</v>
      </c>
      <c r="P243" s="9"/>
      <c r="Q243" s="8">
        <v>3740</v>
      </c>
      <c r="R243" s="9"/>
      <c r="S243" s="8">
        <v>0</v>
      </c>
      <c r="T243" s="9"/>
      <c r="U243" s="33">
        <v>52206</v>
      </c>
      <c r="V243" s="9"/>
      <c r="W243" s="30">
        <v>28</v>
      </c>
      <c r="X243" s="9"/>
      <c r="Y243" s="30">
        <v>0</v>
      </c>
      <c r="Z243" s="9"/>
      <c r="AA243" s="30">
        <v>0</v>
      </c>
      <c r="AB243" s="9"/>
      <c r="AC243" s="30">
        <v>2</v>
      </c>
      <c r="AD243" s="9"/>
      <c r="AE243" s="80">
        <v>0</v>
      </c>
      <c r="AF243" s="46"/>
      <c r="AG243" s="88">
        <v>30</v>
      </c>
      <c r="AH243" s="47"/>
      <c r="AJ243" s="83">
        <v>47168</v>
      </c>
      <c r="AL243" s="83">
        <v>0</v>
      </c>
      <c r="AN243" s="83">
        <v>0</v>
      </c>
      <c r="AP243" s="83">
        <v>3740</v>
      </c>
      <c r="AR243" s="83">
        <v>0</v>
      </c>
      <c r="AT243" s="204">
        <v>50908</v>
      </c>
      <c r="AV243" s="46">
        <v>27</v>
      </c>
      <c r="AX243" s="46">
        <v>0</v>
      </c>
      <c r="AZ243" s="46">
        <v>0</v>
      </c>
      <c r="BB243" s="46">
        <v>2</v>
      </c>
      <c r="BD243" s="46">
        <v>0</v>
      </c>
      <c r="BF243" s="209">
        <v>30</v>
      </c>
      <c r="BI243" s="83">
        <v>1298</v>
      </c>
      <c r="BK243" s="83">
        <v>0</v>
      </c>
      <c r="BM243" s="83">
        <v>0</v>
      </c>
      <c r="BO243" s="83">
        <v>0</v>
      </c>
      <c r="BQ243" s="83">
        <v>0</v>
      </c>
      <c r="BS243" s="85">
        <v>1298</v>
      </c>
      <c r="BU243" s="46">
        <v>1</v>
      </c>
      <c r="BW243" s="46">
        <v>0</v>
      </c>
      <c r="BY243" s="46">
        <v>0</v>
      </c>
      <c r="CA243" s="46">
        <v>0</v>
      </c>
      <c r="CC243" s="46">
        <v>0</v>
      </c>
      <c r="CE243" s="209">
        <v>1</v>
      </c>
      <c r="CH243" s="41">
        <v>530009</v>
      </c>
      <c r="CJ243" s="41">
        <v>0</v>
      </c>
      <c r="CL243" s="41">
        <v>0</v>
      </c>
      <c r="CN243" s="41">
        <v>73329</v>
      </c>
      <c r="CP243" s="43">
        <v>603338</v>
      </c>
      <c r="CS243" s="39">
        <v>10.935700000000001</v>
      </c>
      <c r="CW243" s="39">
        <v>0</v>
      </c>
      <c r="CY243" s="39">
        <v>19.6067</v>
      </c>
      <c r="DA243" s="44">
        <v>11.556900000000001</v>
      </c>
      <c r="DC243" s="1" t="str">
        <f t="shared" si="3"/>
        <v>No</v>
      </c>
    </row>
    <row r="244" spans="1:107">
      <c r="A244" s="7" t="s">
        <v>1132</v>
      </c>
      <c r="B244" s="7" t="s">
        <v>412</v>
      </c>
      <c r="C244" s="37" t="s">
        <v>28</v>
      </c>
      <c r="D244" s="296">
        <v>1051</v>
      </c>
      <c r="E244" s="297">
        <v>10051</v>
      </c>
      <c r="F244" s="27" t="s">
        <v>165</v>
      </c>
      <c r="G244" s="27" t="s">
        <v>158</v>
      </c>
      <c r="H244" s="35">
        <v>168136</v>
      </c>
      <c r="I244" s="35">
        <v>43</v>
      </c>
      <c r="J244" s="292"/>
      <c r="K244" s="8">
        <v>132257</v>
      </c>
      <c r="L244" s="8"/>
      <c r="M244" s="8">
        <v>20133</v>
      </c>
      <c r="N244" s="9"/>
      <c r="O244" s="8">
        <v>0</v>
      </c>
      <c r="P244" s="9"/>
      <c r="Q244" s="8">
        <v>16988</v>
      </c>
      <c r="R244" s="9"/>
      <c r="S244" s="8">
        <v>0</v>
      </c>
      <c r="T244" s="9"/>
      <c r="U244" s="33">
        <v>169378</v>
      </c>
      <c r="V244" s="9"/>
      <c r="W244" s="30">
        <v>70.3</v>
      </c>
      <c r="X244" s="9"/>
      <c r="Y244" s="30">
        <v>12</v>
      </c>
      <c r="Z244" s="9"/>
      <c r="AA244" s="30">
        <v>0</v>
      </c>
      <c r="AB244" s="9"/>
      <c r="AC244" s="30">
        <v>10.5</v>
      </c>
      <c r="AD244" s="9"/>
      <c r="AE244" s="80">
        <v>0</v>
      </c>
      <c r="AF244" s="46"/>
      <c r="AG244" s="88">
        <v>92.8</v>
      </c>
      <c r="AH244" s="47"/>
      <c r="AJ244" s="83">
        <v>126185</v>
      </c>
      <c r="AL244" s="83">
        <v>18690</v>
      </c>
      <c r="AN244" s="83">
        <v>0</v>
      </c>
      <c r="AP244" s="83">
        <v>15894</v>
      </c>
      <c r="AR244" s="83">
        <v>0</v>
      </c>
      <c r="AT244" s="204">
        <v>160769</v>
      </c>
      <c r="AV244" s="46">
        <v>63</v>
      </c>
      <c r="AX244" s="46">
        <v>10</v>
      </c>
      <c r="AZ244" s="46">
        <v>0</v>
      </c>
      <c r="BB244" s="46">
        <v>9</v>
      </c>
      <c r="BD244" s="46">
        <v>0</v>
      </c>
      <c r="BF244" s="209">
        <v>92.8</v>
      </c>
      <c r="BI244" s="83">
        <v>6072</v>
      </c>
      <c r="BK244" s="83">
        <v>1443</v>
      </c>
      <c r="BM244" s="83">
        <v>0</v>
      </c>
      <c r="BO244" s="83">
        <v>1094</v>
      </c>
      <c r="BQ244" s="83">
        <v>0</v>
      </c>
      <c r="BS244" s="85">
        <v>8609</v>
      </c>
      <c r="BU244" s="46">
        <v>7.3</v>
      </c>
      <c r="BW244" s="46">
        <v>2</v>
      </c>
      <c r="BY244" s="46">
        <v>0</v>
      </c>
      <c r="CA244" s="46">
        <v>1.5</v>
      </c>
      <c r="CC244" s="46">
        <v>0</v>
      </c>
      <c r="CE244" s="209">
        <v>10.8</v>
      </c>
      <c r="CH244" s="41">
        <v>3178230</v>
      </c>
      <c r="CJ244" s="41">
        <v>501084</v>
      </c>
      <c r="CL244" s="41">
        <v>0</v>
      </c>
      <c r="CN244" s="41">
        <v>572421</v>
      </c>
      <c r="CP244" s="43">
        <v>4251735</v>
      </c>
      <c r="CS244" s="39">
        <v>24.0307</v>
      </c>
      <c r="CU244" s="39">
        <v>24.8887</v>
      </c>
      <c r="CW244" s="39">
        <v>0</v>
      </c>
      <c r="CY244" s="39">
        <v>33.695599999999999</v>
      </c>
      <c r="DA244" s="44">
        <v>25.102</v>
      </c>
      <c r="DC244" s="1" t="str">
        <f t="shared" si="3"/>
        <v>No</v>
      </c>
    </row>
    <row r="245" spans="1:107">
      <c r="A245" s="7" t="s">
        <v>1104</v>
      </c>
      <c r="B245" s="7" t="s">
        <v>1105</v>
      </c>
      <c r="C245" s="37" t="s">
        <v>32</v>
      </c>
      <c r="D245" s="296"/>
      <c r="E245" s="297">
        <v>40245</v>
      </c>
      <c r="F245" s="27" t="s">
        <v>187</v>
      </c>
      <c r="G245" s="27" t="s">
        <v>158</v>
      </c>
      <c r="H245" s="35">
        <v>1065219</v>
      </c>
      <c r="I245" s="35">
        <v>43</v>
      </c>
      <c r="J245" s="292"/>
      <c r="K245" s="8">
        <v>92334</v>
      </c>
      <c r="L245" s="8"/>
      <c r="M245" s="8">
        <v>0</v>
      </c>
      <c r="N245" s="9"/>
      <c r="O245" s="8">
        <v>0</v>
      </c>
      <c r="P245" s="9"/>
      <c r="Q245" s="8">
        <v>39154</v>
      </c>
      <c r="R245" s="9" t="s">
        <v>121</v>
      </c>
      <c r="S245" s="8">
        <v>0</v>
      </c>
      <c r="T245" s="9"/>
      <c r="U245" s="33">
        <v>131488</v>
      </c>
      <c r="V245" s="9" t="s">
        <v>121</v>
      </c>
      <c r="W245" s="30">
        <v>54</v>
      </c>
      <c r="X245" s="9"/>
      <c r="Y245" s="30">
        <v>0</v>
      </c>
      <c r="Z245" s="9"/>
      <c r="AA245" s="30">
        <v>0</v>
      </c>
      <c r="AB245" s="9"/>
      <c r="AC245" s="30">
        <v>22</v>
      </c>
      <c r="AD245" s="9"/>
      <c r="AE245" s="80">
        <v>0</v>
      </c>
      <c r="AF245" s="46"/>
      <c r="AG245" s="88">
        <v>76</v>
      </c>
      <c r="AH245" s="47"/>
      <c r="AJ245" s="83">
        <v>77786</v>
      </c>
      <c r="AL245" s="83">
        <v>0</v>
      </c>
      <c r="AN245" s="83">
        <v>0</v>
      </c>
      <c r="AP245" s="83">
        <v>35179</v>
      </c>
      <c r="AQ245" s="46" t="s">
        <v>121</v>
      </c>
      <c r="AR245" s="83">
        <v>0</v>
      </c>
      <c r="AT245" s="204">
        <v>112965</v>
      </c>
      <c r="AU245" s="46" t="s">
        <v>121</v>
      </c>
      <c r="AV245" s="46">
        <v>38</v>
      </c>
      <c r="AX245" s="46">
        <v>0</v>
      </c>
      <c r="AZ245" s="46">
        <v>0</v>
      </c>
      <c r="BB245" s="46">
        <v>18</v>
      </c>
      <c r="BD245" s="46">
        <v>0</v>
      </c>
      <c r="BF245" s="209">
        <v>76</v>
      </c>
      <c r="BI245" s="83">
        <v>14548</v>
      </c>
      <c r="BK245" s="83">
        <v>0</v>
      </c>
      <c r="BM245" s="83">
        <v>0</v>
      </c>
      <c r="BO245" s="83">
        <v>3975</v>
      </c>
      <c r="BP245" s="46" t="s">
        <v>121</v>
      </c>
      <c r="BQ245" s="83">
        <v>0</v>
      </c>
      <c r="BS245" s="85">
        <v>18523</v>
      </c>
      <c r="BT245" s="46" t="s">
        <v>121</v>
      </c>
      <c r="BU245" s="46">
        <v>16</v>
      </c>
      <c r="BW245" s="46">
        <v>0</v>
      </c>
      <c r="BY245" s="46">
        <v>0</v>
      </c>
      <c r="CA245" s="46">
        <v>4</v>
      </c>
      <c r="CC245" s="46">
        <v>0</v>
      </c>
      <c r="CE245" s="209">
        <v>20</v>
      </c>
      <c r="CH245" s="41">
        <v>908340</v>
      </c>
      <c r="CJ245" s="41">
        <v>0</v>
      </c>
      <c r="CL245" s="41">
        <v>0</v>
      </c>
      <c r="CN245" s="41">
        <v>315437</v>
      </c>
      <c r="CO245" s="41" t="s">
        <v>121</v>
      </c>
      <c r="CP245" s="43">
        <v>1223777</v>
      </c>
      <c r="CQ245" s="7" t="s">
        <v>121</v>
      </c>
      <c r="CS245" s="39">
        <v>9.8375000000000004</v>
      </c>
      <c r="CW245" s="39">
        <v>0</v>
      </c>
      <c r="CY245" s="39">
        <v>8.0563000000000002</v>
      </c>
      <c r="CZ245" s="39" t="s">
        <v>121</v>
      </c>
      <c r="DA245" s="44">
        <v>9.3071000000000002</v>
      </c>
      <c r="DB245" s="7" t="s">
        <v>121</v>
      </c>
      <c r="DC245" s="1" t="str">
        <f t="shared" si="3"/>
        <v>Yes</v>
      </c>
    </row>
    <row r="246" spans="1:107">
      <c r="A246" s="7" t="s">
        <v>606</v>
      </c>
      <c r="B246" s="7" t="s">
        <v>607</v>
      </c>
      <c r="C246" s="37" t="s">
        <v>82</v>
      </c>
      <c r="D246" s="296">
        <v>8002</v>
      </c>
      <c r="E246" s="297">
        <v>80002</v>
      </c>
      <c r="F246" s="27" t="s">
        <v>243</v>
      </c>
      <c r="G246" s="27" t="s">
        <v>158</v>
      </c>
      <c r="H246" s="35">
        <v>156777</v>
      </c>
      <c r="I246" s="35">
        <v>42</v>
      </c>
      <c r="J246" s="292"/>
      <c r="K246" s="8">
        <v>127398</v>
      </c>
      <c r="L246" s="8"/>
      <c r="M246" s="8">
        <v>16134</v>
      </c>
      <c r="N246" s="9"/>
      <c r="O246" s="8">
        <v>11389</v>
      </c>
      <c r="P246" s="9"/>
      <c r="Q246" s="8">
        <v>19758</v>
      </c>
      <c r="R246" s="9"/>
      <c r="S246" s="8">
        <v>0</v>
      </c>
      <c r="T246" s="9"/>
      <c r="U246" s="33">
        <v>174679</v>
      </c>
      <c r="V246" s="9"/>
      <c r="W246" s="30">
        <v>66</v>
      </c>
      <c r="X246" s="9"/>
      <c r="Y246" s="30">
        <v>10.3</v>
      </c>
      <c r="Z246" s="9"/>
      <c r="AA246" s="30">
        <v>6.9</v>
      </c>
      <c r="AB246" s="9"/>
      <c r="AC246" s="30">
        <v>13</v>
      </c>
      <c r="AD246" s="9"/>
      <c r="AE246" s="80">
        <v>0</v>
      </c>
      <c r="AF246" s="46"/>
      <c r="AG246" s="88">
        <v>96.2</v>
      </c>
      <c r="AH246" s="47"/>
      <c r="AJ246" s="83">
        <v>127398</v>
      </c>
      <c r="AL246" s="83">
        <v>16134</v>
      </c>
      <c r="AN246" s="83">
        <v>11389</v>
      </c>
      <c r="AP246" s="83">
        <v>19758</v>
      </c>
      <c r="AR246" s="83">
        <v>0</v>
      </c>
      <c r="AT246" s="204">
        <v>174679</v>
      </c>
      <c r="AV246" s="46">
        <v>66</v>
      </c>
      <c r="AX246" s="46">
        <v>10.3</v>
      </c>
      <c r="AZ246" s="46">
        <v>6.9</v>
      </c>
      <c r="BB246" s="46">
        <v>13</v>
      </c>
      <c r="BD246" s="46">
        <v>0</v>
      </c>
      <c r="BF246" s="209">
        <v>96.2</v>
      </c>
      <c r="BI246" s="83">
        <v>0</v>
      </c>
      <c r="BK246" s="83">
        <v>0</v>
      </c>
      <c r="BM246" s="83">
        <v>0</v>
      </c>
      <c r="BO246" s="83">
        <v>0</v>
      </c>
      <c r="BQ246" s="83">
        <v>0</v>
      </c>
      <c r="BS246" s="85">
        <v>0</v>
      </c>
      <c r="BU246" s="46">
        <v>0</v>
      </c>
      <c r="BW246" s="46">
        <v>0</v>
      </c>
      <c r="BY246" s="46">
        <v>0</v>
      </c>
      <c r="CA246" s="46">
        <v>0</v>
      </c>
      <c r="CC246" s="46">
        <v>0</v>
      </c>
      <c r="CE246" s="209">
        <v>0</v>
      </c>
      <c r="CH246" s="41">
        <v>2881881</v>
      </c>
      <c r="CJ246" s="41">
        <v>364985</v>
      </c>
      <c r="CL246" s="41">
        <v>161574</v>
      </c>
      <c r="CN246" s="41">
        <v>363452</v>
      </c>
      <c r="CP246" s="43">
        <v>3771892</v>
      </c>
      <c r="CS246" s="39">
        <v>22.621099999999998</v>
      </c>
      <c r="CU246" s="39">
        <v>22.6221</v>
      </c>
      <c r="CW246" s="39">
        <v>1.2683</v>
      </c>
      <c r="CY246" s="39">
        <v>18.395199999999999</v>
      </c>
      <c r="DA246" s="44">
        <v>21.593299999999999</v>
      </c>
      <c r="DC246" s="1" t="str">
        <f t="shared" si="3"/>
        <v>No</v>
      </c>
    </row>
    <row r="247" spans="1:107">
      <c r="A247" s="7" t="s">
        <v>331</v>
      </c>
      <c r="B247" s="7" t="s">
        <v>329</v>
      </c>
      <c r="C247" s="37" t="s">
        <v>28</v>
      </c>
      <c r="D247" s="296">
        <v>1056</v>
      </c>
      <c r="E247" s="297">
        <v>10056</v>
      </c>
      <c r="F247" s="27" t="s">
        <v>157</v>
      </c>
      <c r="G247" s="27" t="s">
        <v>158</v>
      </c>
      <c r="H247" s="35">
        <v>923311</v>
      </c>
      <c r="I247" s="35">
        <v>42</v>
      </c>
      <c r="J247" s="292"/>
      <c r="K247" s="8">
        <v>202317</v>
      </c>
      <c r="L247" s="8"/>
      <c r="M247" s="8">
        <v>46002</v>
      </c>
      <c r="N247" s="9"/>
      <c r="O247" s="8">
        <v>4744</v>
      </c>
      <c r="P247" s="9"/>
      <c r="Q247" s="8">
        <v>18697</v>
      </c>
      <c r="R247" s="9"/>
      <c r="S247" s="8">
        <v>0</v>
      </c>
      <c r="T247" s="9"/>
      <c r="U247" s="33">
        <v>271760</v>
      </c>
      <c r="V247" s="9"/>
      <c r="W247" s="30">
        <v>102</v>
      </c>
      <c r="X247" s="9"/>
      <c r="Y247" s="30">
        <v>21</v>
      </c>
      <c r="Z247" s="9"/>
      <c r="AA247" s="30">
        <v>3</v>
      </c>
      <c r="AB247" s="9"/>
      <c r="AC247" s="30">
        <v>13</v>
      </c>
      <c r="AD247" s="9"/>
      <c r="AE247" s="80">
        <v>0</v>
      </c>
      <c r="AF247" s="46"/>
      <c r="AG247" s="88">
        <v>139</v>
      </c>
      <c r="AH247" s="47"/>
      <c r="AJ247" s="83">
        <v>196483</v>
      </c>
      <c r="AL247" s="83">
        <v>46002</v>
      </c>
      <c r="AN247" s="83">
        <v>4744</v>
      </c>
      <c r="AP247" s="83">
        <v>12340</v>
      </c>
      <c r="AR247" s="83">
        <v>0</v>
      </c>
      <c r="AT247" s="204">
        <v>259569</v>
      </c>
      <c r="AV247" s="46">
        <v>95</v>
      </c>
      <c r="AX247" s="46">
        <v>21</v>
      </c>
      <c r="AZ247" s="46">
        <v>3</v>
      </c>
      <c r="BB247" s="46">
        <v>7</v>
      </c>
      <c r="BD247" s="46">
        <v>0</v>
      </c>
      <c r="BF247" s="209">
        <v>139</v>
      </c>
      <c r="BI247" s="83">
        <v>5834</v>
      </c>
      <c r="BK247" s="83">
        <v>0</v>
      </c>
      <c r="BM247" s="83">
        <v>0</v>
      </c>
      <c r="BO247" s="83">
        <v>6357</v>
      </c>
      <c r="BQ247" s="83">
        <v>0</v>
      </c>
      <c r="BS247" s="85">
        <v>12191</v>
      </c>
      <c r="BU247" s="46">
        <v>7</v>
      </c>
      <c r="BW247" s="46">
        <v>0</v>
      </c>
      <c r="BY247" s="46">
        <v>0</v>
      </c>
      <c r="CA247" s="46">
        <v>6</v>
      </c>
      <c r="CC247" s="46">
        <v>0</v>
      </c>
      <c r="CE247" s="209">
        <v>13</v>
      </c>
      <c r="CH247" s="41">
        <v>5730528</v>
      </c>
      <c r="CJ247" s="41">
        <v>1462403</v>
      </c>
      <c r="CL247" s="41">
        <v>158165</v>
      </c>
      <c r="CN247" s="41">
        <v>491562</v>
      </c>
      <c r="CP247" s="43">
        <v>7842658</v>
      </c>
      <c r="CS247" s="39">
        <v>28.3245</v>
      </c>
      <c r="CU247" s="39">
        <v>31.79</v>
      </c>
      <c r="CW247" s="39">
        <v>0.78180000000000005</v>
      </c>
      <c r="CY247" s="39">
        <v>26.291</v>
      </c>
      <c r="DA247" s="44">
        <v>28.858799999999999</v>
      </c>
      <c r="DC247" s="1" t="str">
        <f t="shared" si="3"/>
        <v>No</v>
      </c>
    </row>
    <row r="248" spans="1:107">
      <c r="A248" s="7" t="s">
        <v>193</v>
      </c>
      <c r="B248" s="7" t="s">
        <v>194</v>
      </c>
      <c r="C248" s="37" t="s">
        <v>86</v>
      </c>
      <c r="D248" s="296">
        <v>3091</v>
      </c>
      <c r="E248" s="297">
        <v>30091</v>
      </c>
      <c r="F248" s="27" t="s">
        <v>162</v>
      </c>
      <c r="G248" s="27" t="s">
        <v>158</v>
      </c>
      <c r="H248" s="35">
        <v>88542</v>
      </c>
      <c r="I248" s="35">
        <v>42</v>
      </c>
      <c r="J248" s="292"/>
      <c r="K248" s="8">
        <v>128088</v>
      </c>
      <c r="L248" s="8"/>
      <c r="M248" s="8">
        <v>21765</v>
      </c>
      <c r="N248" s="9"/>
      <c r="O248" s="8">
        <v>464</v>
      </c>
      <c r="P248" s="9"/>
      <c r="Q248" s="8">
        <v>41422</v>
      </c>
      <c r="R248" s="9"/>
      <c r="S248" s="8">
        <v>0</v>
      </c>
      <c r="T248" s="9"/>
      <c r="U248" s="33">
        <v>191739</v>
      </c>
      <c r="V248" s="9"/>
      <c r="W248" s="30">
        <v>189</v>
      </c>
      <c r="X248" s="9"/>
      <c r="Y248" s="30">
        <v>14.3</v>
      </c>
      <c r="Z248" s="9"/>
      <c r="AA248" s="30">
        <v>0.25</v>
      </c>
      <c r="AB248" s="9"/>
      <c r="AC248" s="30">
        <v>23.79</v>
      </c>
      <c r="AD248" s="9"/>
      <c r="AE248" s="80">
        <v>0</v>
      </c>
      <c r="AF248" s="46"/>
      <c r="AG248" s="88">
        <v>227.34</v>
      </c>
      <c r="AH248" s="47"/>
      <c r="AJ248" s="83">
        <v>34428</v>
      </c>
      <c r="AL248" s="83">
        <v>20862</v>
      </c>
      <c r="AN248" s="83">
        <v>464</v>
      </c>
      <c r="AP248" s="83">
        <v>30721</v>
      </c>
      <c r="AR248" s="83">
        <v>0</v>
      </c>
      <c r="AT248" s="204">
        <v>86475</v>
      </c>
      <c r="AV248" s="46">
        <v>19</v>
      </c>
      <c r="AX248" s="46">
        <v>11.3</v>
      </c>
      <c r="AZ248" s="46">
        <v>0.25</v>
      </c>
      <c r="BB248" s="46">
        <v>15.54</v>
      </c>
      <c r="BD248" s="46">
        <v>0</v>
      </c>
      <c r="BF248" s="209">
        <v>227.34</v>
      </c>
      <c r="BI248" s="83">
        <v>93660</v>
      </c>
      <c r="BK248" s="83">
        <v>903</v>
      </c>
      <c r="BM248" s="83">
        <v>0</v>
      </c>
      <c r="BO248" s="83">
        <v>10701</v>
      </c>
      <c r="BQ248" s="83">
        <v>0</v>
      </c>
      <c r="BS248" s="85">
        <v>105264</v>
      </c>
      <c r="BU248" s="46">
        <v>170</v>
      </c>
      <c r="BW248" s="46">
        <v>3</v>
      </c>
      <c r="BY248" s="46">
        <v>0</v>
      </c>
      <c r="CA248" s="46">
        <v>8.25</v>
      </c>
      <c r="CC248" s="46">
        <v>0</v>
      </c>
      <c r="CE248" s="209">
        <v>181.25</v>
      </c>
      <c r="CH248" s="41">
        <v>1826457</v>
      </c>
      <c r="CJ248" s="41">
        <v>457060</v>
      </c>
      <c r="CL248" s="41">
        <v>14851</v>
      </c>
      <c r="CN248" s="41">
        <v>1065580</v>
      </c>
      <c r="CP248" s="43">
        <v>3363948</v>
      </c>
      <c r="CS248" s="39">
        <v>14.259399999999999</v>
      </c>
      <c r="CU248" s="39">
        <v>20.9998</v>
      </c>
      <c r="CW248" s="39">
        <v>0.1159</v>
      </c>
      <c r="CY248" s="39">
        <v>25.725000000000001</v>
      </c>
      <c r="DA248" s="44">
        <v>17.5444</v>
      </c>
      <c r="DC248" s="1" t="str">
        <f t="shared" si="3"/>
        <v>No</v>
      </c>
    </row>
    <row r="249" spans="1:107">
      <c r="A249" s="7" t="s">
        <v>1133</v>
      </c>
      <c r="B249" s="7" t="s">
        <v>782</v>
      </c>
      <c r="C249" s="37" t="s">
        <v>77</v>
      </c>
      <c r="D249" s="296" t="s">
        <v>783</v>
      </c>
      <c r="E249" s="297">
        <v>30137</v>
      </c>
      <c r="F249" s="27" t="s">
        <v>165</v>
      </c>
      <c r="G249" s="27" t="s">
        <v>158</v>
      </c>
      <c r="H249" s="35">
        <v>54316</v>
      </c>
      <c r="I249" s="35">
        <v>42</v>
      </c>
      <c r="J249" s="292"/>
      <c r="K249" s="8">
        <v>92222</v>
      </c>
      <c r="L249" s="8"/>
      <c r="M249" s="8">
        <v>16825</v>
      </c>
      <c r="N249" s="9"/>
      <c r="O249" s="8">
        <v>4486</v>
      </c>
      <c r="P249" s="9"/>
      <c r="Q249" s="8">
        <v>45888</v>
      </c>
      <c r="R249" s="9"/>
      <c r="S249" s="8">
        <v>0</v>
      </c>
      <c r="T249" s="9"/>
      <c r="U249" s="33">
        <v>159421</v>
      </c>
      <c r="V249" s="9"/>
      <c r="W249" s="30">
        <v>72</v>
      </c>
      <c r="X249" s="9"/>
      <c r="Y249" s="30">
        <v>7</v>
      </c>
      <c r="Z249" s="9"/>
      <c r="AA249" s="30">
        <v>3</v>
      </c>
      <c r="AB249" s="9"/>
      <c r="AC249" s="30">
        <v>32</v>
      </c>
      <c r="AD249" s="9"/>
      <c r="AE249" s="80">
        <v>0</v>
      </c>
      <c r="AF249" s="46"/>
      <c r="AG249" s="88">
        <v>114</v>
      </c>
      <c r="AH249" s="47"/>
      <c r="AJ249" s="83">
        <v>52209</v>
      </c>
      <c r="AL249" s="83">
        <v>16825</v>
      </c>
      <c r="AN249" s="83">
        <v>4486</v>
      </c>
      <c r="AP249" s="83">
        <v>41373</v>
      </c>
      <c r="AR249" s="83">
        <v>0</v>
      </c>
      <c r="AT249" s="204">
        <v>114893</v>
      </c>
      <c r="AV249" s="46">
        <v>24</v>
      </c>
      <c r="AX249" s="46">
        <v>7</v>
      </c>
      <c r="AZ249" s="46">
        <v>3</v>
      </c>
      <c r="BB249" s="46">
        <v>20</v>
      </c>
      <c r="BD249" s="46">
        <v>0</v>
      </c>
      <c r="BF249" s="209">
        <v>114</v>
      </c>
      <c r="BI249" s="83">
        <v>40013</v>
      </c>
      <c r="BK249" s="83">
        <v>0</v>
      </c>
      <c r="BM249" s="83">
        <v>0</v>
      </c>
      <c r="BO249" s="83">
        <v>4515</v>
      </c>
      <c r="BQ249" s="83">
        <v>0</v>
      </c>
      <c r="BS249" s="85">
        <v>44528</v>
      </c>
      <c r="BU249" s="46">
        <v>48</v>
      </c>
      <c r="BW249" s="46">
        <v>0</v>
      </c>
      <c r="BY249" s="46">
        <v>0</v>
      </c>
      <c r="CA249" s="46">
        <v>12</v>
      </c>
      <c r="CC249" s="46">
        <v>0</v>
      </c>
      <c r="CE249" s="209">
        <v>60</v>
      </c>
      <c r="CH249" s="41">
        <v>1380981</v>
      </c>
      <c r="CJ249" s="41">
        <v>316784</v>
      </c>
      <c r="CL249" s="41">
        <v>63434</v>
      </c>
      <c r="CN249" s="41">
        <v>893132</v>
      </c>
      <c r="CP249" s="43">
        <v>2654331</v>
      </c>
      <c r="CS249" s="39">
        <v>14.974500000000001</v>
      </c>
      <c r="CU249" s="39">
        <v>18.828199999999999</v>
      </c>
      <c r="CW249" s="39">
        <v>0.68779999999999997</v>
      </c>
      <c r="CY249" s="39">
        <v>19.4633</v>
      </c>
      <c r="DA249" s="44">
        <v>16.649799999999999</v>
      </c>
      <c r="DC249" s="1" t="str">
        <f t="shared" si="3"/>
        <v>No</v>
      </c>
    </row>
    <row r="250" spans="1:107">
      <c r="A250" s="7" t="s">
        <v>525</v>
      </c>
      <c r="B250" s="7" t="s">
        <v>526</v>
      </c>
      <c r="C250" s="37" t="s">
        <v>9</v>
      </c>
      <c r="D250" s="296">
        <v>4068</v>
      </c>
      <c r="E250" s="297">
        <v>40068</v>
      </c>
      <c r="F250" s="27" t="s">
        <v>195</v>
      </c>
      <c r="G250" s="27" t="s">
        <v>158</v>
      </c>
      <c r="H250" s="35">
        <v>77074</v>
      </c>
      <c r="I250" s="35">
        <v>42</v>
      </c>
      <c r="J250" s="292"/>
      <c r="K250" s="8">
        <v>39741</v>
      </c>
      <c r="L250" s="8"/>
      <c r="M250" s="8">
        <v>0</v>
      </c>
      <c r="N250" s="9"/>
      <c r="O250" s="8">
        <v>0</v>
      </c>
      <c r="P250" s="9"/>
      <c r="Q250" s="8">
        <v>4105</v>
      </c>
      <c r="R250" s="9"/>
      <c r="S250" s="8">
        <v>0</v>
      </c>
      <c r="T250" s="9"/>
      <c r="U250" s="33">
        <v>43846</v>
      </c>
      <c r="V250" s="9"/>
      <c r="W250" s="30">
        <v>36</v>
      </c>
      <c r="X250" s="9"/>
      <c r="Y250" s="30">
        <v>0</v>
      </c>
      <c r="Z250" s="9"/>
      <c r="AA250" s="30">
        <v>0</v>
      </c>
      <c r="AB250" s="9"/>
      <c r="AC250" s="30">
        <v>3</v>
      </c>
      <c r="AD250" s="9"/>
      <c r="AE250" s="80">
        <v>0</v>
      </c>
      <c r="AF250" s="46"/>
      <c r="AG250" s="88">
        <v>39</v>
      </c>
      <c r="AH250" s="47"/>
      <c r="AJ250" s="83">
        <v>7171</v>
      </c>
      <c r="AL250" s="83">
        <v>0</v>
      </c>
      <c r="AN250" s="83">
        <v>0</v>
      </c>
      <c r="AP250" s="83">
        <v>3505</v>
      </c>
      <c r="AR250" s="83">
        <v>0</v>
      </c>
      <c r="AT250" s="204">
        <v>10676</v>
      </c>
      <c r="AV250" s="46">
        <v>4</v>
      </c>
      <c r="AX250" s="46">
        <v>0</v>
      </c>
      <c r="AZ250" s="46">
        <v>0</v>
      </c>
      <c r="BB250" s="46">
        <v>2</v>
      </c>
      <c r="BD250" s="46">
        <v>0</v>
      </c>
      <c r="BF250" s="209">
        <v>39</v>
      </c>
      <c r="BI250" s="83">
        <v>32570</v>
      </c>
      <c r="BK250" s="83">
        <v>0</v>
      </c>
      <c r="BM250" s="83">
        <v>0</v>
      </c>
      <c r="BO250" s="83">
        <v>600</v>
      </c>
      <c r="BQ250" s="83">
        <v>0</v>
      </c>
      <c r="BS250" s="85">
        <v>33170</v>
      </c>
      <c r="BU250" s="46">
        <v>32</v>
      </c>
      <c r="BW250" s="46">
        <v>0</v>
      </c>
      <c r="BY250" s="46">
        <v>0</v>
      </c>
      <c r="CA250" s="46">
        <v>1</v>
      </c>
      <c r="CC250" s="46">
        <v>0</v>
      </c>
      <c r="CE250" s="209">
        <v>33</v>
      </c>
      <c r="CH250" s="41">
        <v>400368</v>
      </c>
      <c r="CJ250" s="41">
        <v>0</v>
      </c>
      <c r="CL250" s="41">
        <v>0</v>
      </c>
      <c r="CN250" s="41">
        <v>126295</v>
      </c>
      <c r="CP250" s="43">
        <v>526663</v>
      </c>
      <c r="CS250" s="39">
        <v>10.074400000000001</v>
      </c>
      <c r="CW250" s="39">
        <v>0</v>
      </c>
      <c r="CY250" s="39">
        <v>30.766100000000002</v>
      </c>
      <c r="DA250" s="44">
        <v>12.011699999999999</v>
      </c>
      <c r="DC250" s="1" t="str">
        <f t="shared" si="3"/>
        <v>No</v>
      </c>
    </row>
    <row r="251" spans="1:107">
      <c r="A251" s="7" t="s">
        <v>115</v>
      </c>
      <c r="B251" s="7" t="s">
        <v>481</v>
      </c>
      <c r="C251" s="37" t="s">
        <v>36</v>
      </c>
      <c r="D251" s="296">
        <v>4203</v>
      </c>
      <c r="E251" s="297">
        <v>40203</v>
      </c>
      <c r="F251" s="27" t="s">
        <v>173</v>
      </c>
      <c r="G251" s="27" t="s">
        <v>158</v>
      </c>
      <c r="H251" s="35">
        <v>4515419</v>
      </c>
      <c r="I251" s="35">
        <v>42</v>
      </c>
      <c r="J251" s="292"/>
      <c r="K251" s="8">
        <v>0</v>
      </c>
      <c r="L251" s="8"/>
      <c r="M251" s="8">
        <v>0</v>
      </c>
      <c r="N251" s="9"/>
      <c r="O251" s="8">
        <v>0</v>
      </c>
      <c r="P251" s="9"/>
      <c r="Q251" s="8">
        <v>3988</v>
      </c>
      <c r="R251" s="9"/>
      <c r="S251" s="8">
        <v>0</v>
      </c>
      <c r="T251" s="9"/>
      <c r="U251" s="33">
        <v>3988</v>
      </c>
      <c r="V251" s="9"/>
      <c r="W251" s="30">
        <v>0</v>
      </c>
      <c r="X251" s="9"/>
      <c r="Y251" s="30">
        <v>0</v>
      </c>
      <c r="Z251" s="9"/>
      <c r="AA251" s="30">
        <v>0</v>
      </c>
      <c r="AB251" s="9"/>
      <c r="AC251" s="30">
        <v>2</v>
      </c>
      <c r="AD251" s="9"/>
      <c r="AE251" s="80">
        <v>0</v>
      </c>
      <c r="AF251" s="46"/>
      <c r="AG251" s="88">
        <v>2</v>
      </c>
      <c r="AH251" s="47"/>
      <c r="AJ251" s="83">
        <v>0</v>
      </c>
      <c r="AL251" s="83">
        <v>0</v>
      </c>
      <c r="AN251" s="83">
        <v>0</v>
      </c>
      <c r="AP251" s="83">
        <v>3988</v>
      </c>
      <c r="AR251" s="83">
        <v>0</v>
      </c>
      <c r="AT251" s="204">
        <v>3988</v>
      </c>
      <c r="AV251" s="46">
        <v>0</v>
      </c>
      <c r="AX251" s="46">
        <v>0</v>
      </c>
      <c r="AZ251" s="46">
        <v>0</v>
      </c>
      <c r="BB251" s="46">
        <v>2</v>
      </c>
      <c r="BD251" s="46">
        <v>0</v>
      </c>
      <c r="BF251" s="209">
        <v>2</v>
      </c>
      <c r="BI251" s="83">
        <v>0</v>
      </c>
      <c r="BK251" s="83">
        <v>0</v>
      </c>
      <c r="BM251" s="83">
        <v>0</v>
      </c>
      <c r="BO251" s="83">
        <v>0</v>
      </c>
      <c r="BQ251" s="83">
        <v>0</v>
      </c>
      <c r="BS251" s="85">
        <v>0</v>
      </c>
      <c r="BU251" s="46">
        <v>0</v>
      </c>
      <c r="BW251" s="46">
        <v>0</v>
      </c>
      <c r="BY251" s="46">
        <v>0</v>
      </c>
      <c r="CA251" s="46">
        <v>0</v>
      </c>
      <c r="CC251" s="46">
        <v>0</v>
      </c>
      <c r="CE251" s="209">
        <v>0</v>
      </c>
      <c r="CH251" s="41">
        <v>0</v>
      </c>
      <c r="CJ251" s="41">
        <v>0</v>
      </c>
      <c r="CL251" s="41">
        <v>0</v>
      </c>
      <c r="CN251" s="41">
        <v>122890</v>
      </c>
      <c r="CP251" s="43">
        <v>122890</v>
      </c>
      <c r="CY251" s="39">
        <v>30.814900000000002</v>
      </c>
      <c r="DA251" s="44">
        <v>30.814900000000002</v>
      </c>
      <c r="DC251" s="1" t="str">
        <f t="shared" si="3"/>
        <v>No</v>
      </c>
    </row>
    <row r="252" spans="1:107">
      <c r="A252" s="7" t="s">
        <v>372</v>
      </c>
      <c r="B252" s="7" t="s">
        <v>373</v>
      </c>
      <c r="C252" s="37" t="s">
        <v>42</v>
      </c>
      <c r="D252" s="296">
        <v>5044</v>
      </c>
      <c r="E252" s="297">
        <v>50044</v>
      </c>
      <c r="F252" s="27" t="s">
        <v>165</v>
      </c>
      <c r="G252" s="27" t="s">
        <v>158</v>
      </c>
      <c r="H252" s="35">
        <v>313492</v>
      </c>
      <c r="I252" s="35">
        <v>42</v>
      </c>
      <c r="J252" s="292"/>
      <c r="K252" s="8">
        <v>184481</v>
      </c>
      <c r="L252" s="8"/>
      <c r="M252" s="8">
        <v>24949</v>
      </c>
      <c r="N252" s="9"/>
      <c r="O252" s="8">
        <v>3485</v>
      </c>
      <c r="P252" s="9"/>
      <c r="Q252" s="8">
        <v>9415</v>
      </c>
      <c r="R252" s="9"/>
      <c r="S252" s="8">
        <v>0</v>
      </c>
      <c r="T252" s="9"/>
      <c r="U252" s="33">
        <v>222330</v>
      </c>
      <c r="V252" s="9"/>
      <c r="W252" s="30">
        <v>97</v>
      </c>
      <c r="X252" s="9"/>
      <c r="Y252" s="30">
        <v>15.3</v>
      </c>
      <c r="Z252" s="9"/>
      <c r="AA252" s="30">
        <v>1.7</v>
      </c>
      <c r="AB252" s="9"/>
      <c r="AC252" s="30">
        <v>5</v>
      </c>
      <c r="AD252" s="9"/>
      <c r="AE252" s="80">
        <v>0</v>
      </c>
      <c r="AF252" s="46"/>
      <c r="AG252" s="88">
        <v>119</v>
      </c>
      <c r="AH252" s="47"/>
      <c r="AJ252" s="83">
        <v>182140</v>
      </c>
      <c r="AL252" s="83">
        <v>19941</v>
      </c>
      <c r="AN252" s="83">
        <v>2705</v>
      </c>
      <c r="AP252" s="83">
        <v>9415</v>
      </c>
      <c r="AR252" s="83">
        <v>0</v>
      </c>
      <c r="AT252" s="204">
        <v>214201</v>
      </c>
      <c r="AV252" s="46">
        <v>95</v>
      </c>
      <c r="AX252" s="46">
        <v>10.7</v>
      </c>
      <c r="AZ252" s="46">
        <v>1.3</v>
      </c>
      <c r="BB252" s="46">
        <v>5</v>
      </c>
      <c r="BD252" s="46">
        <v>0</v>
      </c>
      <c r="BF252" s="209">
        <v>119</v>
      </c>
      <c r="BI252" s="83">
        <v>2341</v>
      </c>
      <c r="BK252" s="83">
        <v>5008</v>
      </c>
      <c r="BM252" s="83">
        <v>780</v>
      </c>
      <c r="BO252" s="83">
        <v>0</v>
      </c>
      <c r="BQ252" s="83">
        <v>0</v>
      </c>
      <c r="BS252" s="85">
        <v>8129</v>
      </c>
      <c r="BU252" s="46">
        <v>2</v>
      </c>
      <c r="BW252" s="46">
        <v>4.5999999999999996</v>
      </c>
      <c r="BY252" s="46">
        <v>0.4</v>
      </c>
      <c r="CA252" s="46">
        <v>0</v>
      </c>
      <c r="CC252" s="46">
        <v>0</v>
      </c>
      <c r="CE252" s="209">
        <v>7</v>
      </c>
      <c r="CH252" s="41">
        <v>3943939</v>
      </c>
      <c r="CJ252" s="41">
        <v>588706</v>
      </c>
      <c r="CL252" s="41">
        <v>60967</v>
      </c>
      <c r="CN252" s="41">
        <v>232366</v>
      </c>
      <c r="CP252" s="43">
        <v>4825978</v>
      </c>
      <c r="CS252" s="39">
        <v>21.378599999999999</v>
      </c>
      <c r="CU252" s="39">
        <v>23.596399999999999</v>
      </c>
      <c r="CW252" s="39">
        <v>0.33050000000000002</v>
      </c>
      <c r="CY252" s="39">
        <v>24.680399999999999</v>
      </c>
      <c r="DA252" s="44">
        <v>21.706399999999999</v>
      </c>
      <c r="DC252" s="1" t="str">
        <f t="shared" si="3"/>
        <v>No</v>
      </c>
    </row>
    <row r="253" spans="1:107">
      <c r="A253" s="7" t="s">
        <v>1134</v>
      </c>
      <c r="B253" s="7" t="s">
        <v>1135</v>
      </c>
      <c r="C253" s="37" t="s">
        <v>77</v>
      </c>
      <c r="D253" s="296">
        <v>3102</v>
      </c>
      <c r="E253" s="297">
        <v>30102</v>
      </c>
      <c r="F253" s="27" t="s">
        <v>173</v>
      </c>
      <c r="G253" s="27" t="s">
        <v>158</v>
      </c>
      <c r="H253" s="35">
        <v>18351295</v>
      </c>
      <c r="I253" s="35">
        <v>41</v>
      </c>
      <c r="J253" s="292"/>
      <c r="K253" s="8">
        <v>148914</v>
      </c>
      <c r="L253" s="8"/>
      <c r="M253" s="8">
        <v>23778</v>
      </c>
      <c r="N253" s="9"/>
      <c r="O253" s="8">
        <v>16751</v>
      </c>
      <c r="P253" s="9"/>
      <c r="Q253" s="8">
        <v>95343</v>
      </c>
      <c r="R253" s="9"/>
      <c r="S253" s="8">
        <v>0</v>
      </c>
      <c r="T253" s="9"/>
      <c r="U253" s="33">
        <v>284786</v>
      </c>
      <c r="V253" s="9"/>
      <c r="W253" s="30">
        <v>91</v>
      </c>
      <c r="X253" s="9"/>
      <c r="Y253" s="30">
        <v>12</v>
      </c>
      <c r="Z253" s="9"/>
      <c r="AA253" s="30">
        <v>14</v>
      </c>
      <c r="AB253" s="9"/>
      <c r="AC253" s="30">
        <v>63</v>
      </c>
      <c r="AD253" s="9"/>
      <c r="AE253" s="80">
        <v>0</v>
      </c>
      <c r="AF253" s="46"/>
      <c r="AG253" s="88">
        <v>180</v>
      </c>
      <c r="AH253" s="47"/>
      <c r="AJ253" s="83">
        <v>133404</v>
      </c>
      <c r="AL253" s="83">
        <v>22932</v>
      </c>
      <c r="AN253" s="83">
        <v>9484</v>
      </c>
      <c r="AP253" s="83">
        <v>83219</v>
      </c>
      <c r="AR253" s="83">
        <v>0</v>
      </c>
      <c r="AT253" s="204">
        <v>249039</v>
      </c>
      <c r="AV253" s="46">
        <v>68</v>
      </c>
      <c r="AX253" s="46">
        <v>11</v>
      </c>
      <c r="AZ253" s="46">
        <v>5</v>
      </c>
      <c r="BB253" s="46">
        <v>51</v>
      </c>
      <c r="BD253" s="46">
        <v>0</v>
      </c>
      <c r="BF253" s="209">
        <v>180</v>
      </c>
      <c r="BI253" s="83">
        <v>15510</v>
      </c>
      <c r="BK253" s="83">
        <v>846</v>
      </c>
      <c r="BM253" s="83">
        <v>7267</v>
      </c>
      <c r="BO253" s="83">
        <v>12124</v>
      </c>
      <c r="BQ253" s="83">
        <v>0</v>
      </c>
      <c r="BS253" s="85">
        <v>35747</v>
      </c>
      <c r="BU253" s="46">
        <v>23</v>
      </c>
      <c r="BW253" s="46">
        <v>1</v>
      </c>
      <c r="BY253" s="46">
        <v>9</v>
      </c>
      <c r="CA253" s="46">
        <v>12</v>
      </c>
      <c r="CC253" s="46">
        <v>0</v>
      </c>
      <c r="CE253" s="209">
        <v>45</v>
      </c>
      <c r="CH253" s="41">
        <v>3412385</v>
      </c>
      <c r="CJ253" s="41">
        <v>732527</v>
      </c>
      <c r="CL253" s="41">
        <v>320606</v>
      </c>
      <c r="CN253" s="41">
        <v>1193433</v>
      </c>
      <c r="CP253" s="43">
        <v>5658951</v>
      </c>
      <c r="CS253" s="39">
        <v>22.915099999999999</v>
      </c>
      <c r="CU253" s="39">
        <v>30.806899999999999</v>
      </c>
      <c r="CW253" s="39">
        <v>2.153</v>
      </c>
      <c r="CY253" s="39">
        <v>12.517300000000001</v>
      </c>
      <c r="DA253" s="44">
        <v>19.870899999999999</v>
      </c>
      <c r="DC253" s="1" t="str">
        <f t="shared" si="3"/>
        <v>No</v>
      </c>
    </row>
    <row r="254" spans="1:107">
      <c r="A254" s="7" t="s">
        <v>170</v>
      </c>
      <c r="B254" s="7" t="s">
        <v>171</v>
      </c>
      <c r="C254" s="37" t="s">
        <v>73</v>
      </c>
      <c r="D254" s="296">
        <v>5157</v>
      </c>
      <c r="E254" s="297">
        <v>50157</v>
      </c>
      <c r="F254" s="27" t="s">
        <v>165</v>
      </c>
      <c r="G254" s="27" t="s">
        <v>158</v>
      </c>
      <c r="H254" s="35">
        <v>1624827</v>
      </c>
      <c r="I254" s="35">
        <v>41</v>
      </c>
      <c r="J254" s="292"/>
      <c r="K254" s="8">
        <v>135173</v>
      </c>
      <c r="L254" s="8"/>
      <c r="M254" s="8">
        <v>9715</v>
      </c>
      <c r="N254" s="9"/>
      <c r="O254" s="8">
        <v>1046</v>
      </c>
      <c r="P254" s="9"/>
      <c r="Q254" s="8">
        <v>9972</v>
      </c>
      <c r="R254" s="9"/>
      <c r="S254" s="8">
        <v>0</v>
      </c>
      <c r="T254" s="9"/>
      <c r="U254" s="33">
        <v>155906</v>
      </c>
      <c r="V254" s="9"/>
      <c r="W254" s="30">
        <v>74.989999999999995</v>
      </c>
      <c r="X254" s="9"/>
      <c r="Y254" s="30">
        <v>5</v>
      </c>
      <c r="Z254" s="9"/>
      <c r="AA254" s="30">
        <v>1</v>
      </c>
      <c r="AB254" s="9"/>
      <c r="AC254" s="30">
        <v>6</v>
      </c>
      <c r="AD254" s="9"/>
      <c r="AE254" s="80">
        <v>0</v>
      </c>
      <c r="AF254" s="46"/>
      <c r="AG254" s="88">
        <v>86.99</v>
      </c>
      <c r="AH254" s="47"/>
      <c r="AJ254" s="83">
        <v>7803</v>
      </c>
      <c r="AL254" s="83">
        <v>1555</v>
      </c>
      <c r="AN254" s="83">
        <v>258</v>
      </c>
      <c r="AP254" s="83">
        <v>3893</v>
      </c>
      <c r="AR254" s="83">
        <v>0</v>
      </c>
      <c r="AT254" s="204">
        <v>13509</v>
      </c>
      <c r="AV254" s="46">
        <v>3.99</v>
      </c>
      <c r="AX254" s="46">
        <v>0.8</v>
      </c>
      <c r="AZ254" s="46">
        <v>0.2</v>
      </c>
      <c r="BB254" s="46">
        <v>2</v>
      </c>
      <c r="BD254" s="46">
        <v>0</v>
      </c>
      <c r="BF254" s="209">
        <v>86.99</v>
      </c>
      <c r="BI254" s="83">
        <v>127370</v>
      </c>
      <c r="BK254" s="83">
        <v>8160</v>
      </c>
      <c r="BM254" s="83">
        <v>788</v>
      </c>
      <c r="BO254" s="83">
        <v>6079</v>
      </c>
      <c r="BQ254" s="83">
        <v>0</v>
      </c>
      <c r="BS254" s="85">
        <v>142397</v>
      </c>
      <c r="BU254" s="46">
        <v>71</v>
      </c>
      <c r="BW254" s="46">
        <v>4.2</v>
      </c>
      <c r="BY254" s="46">
        <v>0.8</v>
      </c>
      <c r="CA254" s="46">
        <v>4</v>
      </c>
      <c r="CC254" s="46">
        <v>0</v>
      </c>
      <c r="CE254" s="209">
        <v>80</v>
      </c>
      <c r="CH254" s="41">
        <v>1934385</v>
      </c>
      <c r="CJ254" s="41">
        <v>183399</v>
      </c>
      <c r="CL254" s="41">
        <v>15905</v>
      </c>
      <c r="CN254" s="41">
        <v>261196</v>
      </c>
      <c r="CP254" s="43">
        <v>2394885</v>
      </c>
      <c r="CS254" s="39">
        <v>14.3104</v>
      </c>
      <c r="CU254" s="39">
        <v>18.8779</v>
      </c>
      <c r="CW254" s="39">
        <v>0.1177</v>
      </c>
      <c r="CY254" s="39">
        <v>26.192900000000002</v>
      </c>
      <c r="DA254" s="44">
        <v>15.3611</v>
      </c>
      <c r="DC254" s="1" t="str">
        <f t="shared" si="3"/>
        <v>No</v>
      </c>
    </row>
    <row r="255" spans="1:107">
      <c r="A255" s="7" t="s">
        <v>683</v>
      </c>
      <c r="B255" s="7" t="s">
        <v>684</v>
      </c>
      <c r="C255" s="37" t="s">
        <v>93</v>
      </c>
      <c r="D255" s="296">
        <v>5096</v>
      </c>
      <c r="E255" s="297">
        <v>50096</v>
      </c>
      <c r="F255" s="27" t="s">
        <v>162</v>
      </c>
      <c r="G255" s="27" t="s">
        <v>158</v>
      </c>
      <c r="H255" s="35">
        <v>1376476</v>
      </c>
      <c r="I255" s="35">
        <v>41</v>
      </c>
      <c r="J255" s="292"/>
      <c r="K255" s="8">
        <v>89050</v>
      </c>
      <c r="L255" s="8"/>
      <c r="M255" s="8">
        <v>17005</v>
      </c>
      <c r="N255" s="9"/>
      <c r="O255" s="8">
        <v>2143</v>
      </c>
      <c r="P255" s="9"/>
      <c r="Q255" s="8">
        <v>9877</v>
      </c>
      <c r="R255" s="9"/>
      <c r="S255" s="8">
        <v>365</v>
      </c>
      <c r="T255" s="9"/>
      <c r="U255" s="33">
        <v>118440</v>
      </c>
      <c r="V255" s="9"/>
      <c r="W255" s="30">
        <v>46</v>
      </c>
      <c r="X255" s="9"/>
      <c r="Y255" s="30">
        <v>10.199999999999999</v>
      </c>
      <c r="Z255" s="9"/>
      <c r="AA255" s="30">
        <v>1.1000000000000001</v>
      </c>
      <c r="AB255" s="9"/>
      <c r="AC255" s="30">
        <v>5.4</v>
      </c>
      <c r="AD255" s="9"/>
      <c r="AE255" s="80">
        <v>0.2</v>
      </c>
      <c r="AF255" s="46"/>
      <c r="AG255" s="88">
        <v>62.9</v>
      </c>
      <c r="AH255" s="47"/>
      <c r="AJ255" s="83">
        <v>73737</v>
      </c>
      <c r="AL255" s="83">
        <v>11418</v>
      </c>
      <c r="AN255" s="83">
        <v>2143</v>
      </c>
      <c r="AP255" s="83">
        <v>9877</v>
      </c>
      <c r="AR255" s="83">
        <v>365</v>
      </c>
      <c r="AT255" s="204">
        <v>97540</v>
      </c>
      <c r="AV255" s="46">
        <v>36</v>
      </c>
      <c r="AX255" s="46">
        <v>6.2</v>
      </c>
      <c r="AZ255" s="46">
        <v>1.1000000000000001</v>
      </c>
      <c r="BB255" s="46">
        <v>5.4</v>
      </c>
      <c r="BD255" s="46">
        <v>0.2</v>
      </c>
      <c r="BF255" s="209">
        <v>62.9</v>
      </c>
      <c r="BI255" s="83">
        <v>15313</v>
      </c>
      <c r="BK255" s="83">
        <v>5587</v>
      </c>
      <c r="BM255" s="83">
        <v>0</v>
      </c>
      <c r="BO255" s="83">
        <v>0</v>
      </c>
      <c r="BQ255" s="83">
        <v>0</v>
      </c>
      <c r="BS255" s="85">
        <v>20900</v>
      </c>
      <c r="BU255" s="46">
        <v>10</v>
      </c>
      <c r="BW255" s="46">
        <v>4</v>
      </c>
      <c r="BY255" s="46">
        <v>0</v>
      </c>
      <c r="CA255" s="46">
        <v>0</v>
      </c>
      <c r="CC255" s="46">
        <v>0</v>
      </c>
      <c r="CE255" s="209">
        <v>14</v>
      </c>
      <c r="CH255" s="41">
        <v>1902876</v>
      </c>
      <c r="CJ255" s="41">
        <v>430977</v>
      </c>
      <c r="CL255" s="41">
        <v>50646</v>
      </c>
      <c r="CN255" s="41">
        <v>332958</v>
      </c>
      <c r="CP255" s="43">
        <v>2717457</v>
      </c>
      <c r="CS255" s="39">
        <v>21.368600000000001</v>
      </c>
      <c r="CU255" s="39">
        <v>25.344100000000001</v>
      </c>
      <c r="CW255" s="39">
        <v>0.56869999999999998</v>
      </c>
      <c r="CY255" s="39">
        <v>33.7104</v>
      </c>
      <c r="DA255" s="44">
        <v>22.9437</v>
      </c>
      <c r="DC255" s="1" t="str">
        <f t="shared" si="3"/>
        <v>No</v>
      </c>
    </row>
    <row r="256" spans="1:107">
      <c r="A256" s="7" t="s">
        <v>765</v>
      </c>
      <c r="B256" s="7" t="s">
        <v>766</v>
      </c>
      <c r="C256" s="37" t="s">
        <v>38</v>
      </c>
      <c r="D256" s="296">
        <v>7049</v>
      </c>
      <c r="E256" s="297">
        <v>70049</v>
      </c>
      <c r="F256" s="27" t="s">
        <v>187</v>
      </c>
      <c r="G256" s="27" t="s">
        <v>158</v>
      </c>
      <c r="H256" s="35">
        <v>280051</v>
      </c>
      <c r="I256" s="35">
        <v>41</v>
      </c>
      <c r="J256" s="292"/>
      <c r="K256" s="8">
        <v>50180</v>
      </c>
      <c r="L256" s="8"/>
      <c r="M256" s="8">
        <v>2311</v>
      </c>
      <c r="N256" s="9"/>
      <c r="O256" s="8">
        <v>28</v>
      </c>
      <c r="P256" s="9"/>
      <c r="Q256" s="8">
        <v>4184</v>
      </c>
      <c r="R256" s="9"/>
      <c r="S256" s="8">
        <v>0</v>
      </c>
      <c r="T256" s="9"/>
      <c r="U256" s="33">
        <v>56703</v>
      </c>
      <c r="V256" s="9"/>
      <c r="W256" s="30">
        <v>43.93</v>
      </c>
      <c r="X256" s="9"/>
      <c r="Y256" s="30">
        <v>1.22</v>
      </c>
      <c r="Z256" s="9"/>
      <c r="AA256" s="30">
        <v>0.01</v>
      </c>
      <c r="AB256" s="9"/>
      <c r="AC256" s="30">
        <v>2.4500000000000002</v>
      </c>
      <c r="AD256" s="9"/>
      <c r="AE256" s="80">
        <v>0</v>
      </c>
      <c r="AF256" s="46"/>
      <c r="AG256" s="88">
        <v>47.61</v>
      </c>
      <c r="AH256" s="47"/>
      <c r="AJ256" s="83">
        <v>3629</v>
      </c>
      <c r="AL256" s="83">
        <v>2311</v>
      </c>
      <c r="AN256" s="83">
        <v>28</v>
      </c>
      <c r="AP256" s="83">
        <v>3591</v>
      </c>
      <c r="AR256" s="83">
        <v>0</v>
      </c>
      <c r="AT256" s="204">
        <v>9559</v>
      </c>
      <c r="AV256" s="46">
        <v>1.84</v>
      </c>
      <c r="AX256" s="46">
        <v>1.22</v>
      </c>
      <c r="AZ256" s="46">
        <v>0.01</v>
      </c>
      <c r="BB256" s="46">
        <v>1.84</v>
      </c>
      <c r="BD256" s="46">
        <v>0</v>
      </c>
      <c r="BF256" s="209">
        <v>47.61</v>
      </c>
      <c r="BI256" s="83">
        <v>46551</v>
      </c>
      <c r="BK256" s="83">
        <v>0</v>
      </c>
      <c r="BM256" s="83">
        <v>0</v>
      </c>
      <c r="BO256" s="83">
        <v>593</v>
      </c>
      <c r="BQ256" s="83">
        <v>0</v>
      </c>
      <c r="BS256" s="85">
        <v>47144</v>
      </c>
      <c r="BU256" s="46">
        <v>42.09</v>
      </c>
      <c r="BW256" s="46">
        <v>0</v>
      </c>
      <c r="BY256" s="46">
        <v>0</v>
      </c>
      <c r="CA256" s="46">
        <v>0.61</v>
      </c>
      <c r="CC256" s="46">
        <v>0</v>
      </c>
      <c r="CE256" s="209">
        <v>42.7</v>
      </c>
      <c r="CH256" s="41">
        <v>647211</v>
      </c>
      <c r="CJ256" s="41">
        <v>55843</v>
      </c>
      <c r="CL256" s="41">
        <v>672</v>
      </c>
      <c r="CN256" s="41">
        <v>119807</v>
      </c>
      <c r="CP256" s="43">
        <v>823533</v>
      </c>
      <c r="CS256" s="39">
        <v>12.8978</v>
      </c>
      <c r="CU256" s="39">
        <v>24.164000000000001</v>
      </c>
      <c r="CW256" s="39">
        <v>1.34E-2</v>
      </c>
      <c r="CY256" s="39">
        <v>28.634599999999999</v>
      </c>
      <c r="DA256" s="44">
        <v>14.5236</v>
      </c>
      <c r="DC256" s="1" t="str">
        <f t="shared" si="3"/>
        <v>No</v>
      </c>
    </row>
    <row r="257" spans="1:107">
      <c r="A257" s="7" t="s">
        <v>358</v>
      </c>
      <c r="B257" s="7" t="s">
        <v>359</v>
      </c>
      <c r="C257" s="37" t="s">
        <v>70</v>
      </c>
      <c r="D257" s="296">
        <v>2010</v>
      </c>
      <c r="E257" s="297">
        <v>20010</v>
      </c>
      <c r="F257" s="27" t="s">
        <v>162</v>
      </c>
      <c r="G257" s="27" t="s">
        <v>158</v>
      </c>
      <c r="H257" s="35">
        <v>423566</v>
      </c>
      <c r="I257" s="35">
        <v>41</v>
      </c>
      <c r="J257" s="292"/>
      <c r="K257" s="8">
        <v>123698</v>
      </c>
      <c r="L257" s="8"/>
      <c r="M257" s="8">
        <v>18724</v>
      </c>
      <c r="N257" s="9"/>
      <c r="O257" s="8">
        <v>2417</v>
      </c>
      <c r="P257" s="9"/>
      <c r="Q257" s="8">
        <v>9506</v>
      </c>
      <c r="R257" s="9"/>
      <c r="S257" s="8">
        <v>0</v>
      </c>
      <c r="T257" s="9"/>
      <c r="U257" s="33">
        <v>154345</v>
      </c>
      <c r="V257" s="9"/>
      <c r="W257" s="30">
        <v>77</v>
      </c>
      <c r="X257" s="9"/>
      <c r="Y257" s="30">
        <v>9</v>
      </c>
      <c r="Z257" s="9"/>
      <c r="AA257" s="30">
        <v>1</v>
      </c>
      <c r="AB257" s="9"/>
      <c r="AC257" s="30">
        <v>5</v>
      </c>
      <c r="AD257" s="9"/>
      <c r="AE257" s="80">
        <v>0</v>
      </c>
      <c r="AF257" s="46"/>
      <c r="AG257" s="88">
        <v>92</v>
      </c>
      <c r="AH257" s="47"/>
      <c r="AJ257" s="83">
        <v>123698</v>
      </c>
      <c r="AL257" s="83">
        <v>18724</v>
      </c>
      <c r="AN257" s="83">
        <v>2417</v>
      </c>
      <c r="AP257" s="83">
        <v>9506</v>
      </c>
      <c r="AR257" s="83">
        <v>0</v>
      </c>
      <c r="AT257" s="204">
        <v>154345</v>
      </c>
      <c r="AV257" s="46">
        <v>77</v>
      </c>
      <c r="AX257" s="46">
        <v>9</v>
      </c>
      <c r="AZ257" s="46">
        <v>1</v>
      </c>
      <c r="BB257" s="46">
        <v>5</v>
      </c>
      <c r="BD257" s="46">
        <v>0</v>
      </c>
      <c r="BF257" s="209">
        <v>92</v>
      </c>
      <c r="BI257" s="83">
        <v>0</v>
      </c>
      <c r="BK257" s="83">
        <v>0</v>
      </c>
      <c r="BM257" s="83">
        <v>0</v>
      </c>
      <c r="BO257" s="83">
        <v>0</v>
      </c>
      <c r="BQ257" s="83">
        <v>0</v>
      </c>
      <c r="BS257" s="85">
        <v>0</v>
      </c>
      <c r="BU257" s="46">
        <v>0</v>
      </c>
      <c r="BW257" s="46">
        <v>0</v>
      </c>
      <c r="BY257" s="46">
        <v>0</v>
      </c>
      <c r="CA257" s="46">
        <v>0</v>
      </c>
      <c r="CC257" s="46">
        <v>0</v>
      </c>
      <c r="CE257" s="209">
        <v>0</v>
      </c>
      <c r="CH257" s="41">
        <v>2397660</v>
      </c>
      <c r="CJ257" s="41">
        <v>503591</v>
      </c>
      <c r="CL257" s="41">
        <v>64853</v>
      </c>
      <c r="CN257" s="41">
        <v>276602</v>
      </c>
      <c r="CP257" s="43">
        <v>3242706</v>
      </c>
      <c r="CS257" s="39">
        <v>19.383199999999999</v>
      </c>
      <c r="CU257" s="39">
        <v>26.895499999999998</v>
      </c>
      <c r="CW257" s="39">
        <v>0.52429999999999999</v>
      </c>
      <c r="CY257" s="39">
        <v>29.0976</v>
      </c>
      <c r="DA257" s="44">
        <v>21.009499999999999</v>
      </c>
      <c r="DC257" s="1" t="str">
        <f t="shared" si="3"/>
        <v>No</v>
      </c>
    </row>
    <row r="258" spans="1:107">
      <c r="A258" s="7" t="s">
        <v>368</v>
      </c>
      <c r="B258" s="7" t="s">
        <v>369</v>
      </c>
      <c r="C258" s="37" t="s">
        <v>58</v>
      </c>
      <c r="D258" s="296">
        <v>4009</v>
      </c>
      <c r="E258" s="297">
        <v>40009</v>
      </c>
      <c r="F258" s="27" t="s">
        <v>162</v>
      </c>
      <c r="G258" s="27" t="s">
        <v>158</v>
      </c>
      <c r="H258" s="35">
        <v>310282</v>
      </c>
      <c r="I258" s="35">
        <v>40</v>
      </c>
      <c r="J258" s="292"/>
      <c r="K258" s="8">
        <v>177807</v>
      </c>
      <c r="L258" s="8"/>
      <c r="M258" s="8">
        <v>24152</v>
      </c>
      <c r="N258" s="9"/>
      <c r="O258" s="8">
        <v>2650</v>
      </c>
      <c r="P258" s="9"/>
      <c r="Q258" s="8">
        <v>18910</v>
      </c>
      <c r="R258" s="9"/>
      <c r="S258" s="8">
        <v>0</v>
      </c>
      <c r="T258" s="9"/>
      <c r="U258" s="33">
        <v>223519</v>
      </c>
      <c r="V258" s="9"/>
      <c r="W258" s="30">
        <v>97.1</v>
      </c>
      <c r="X258" s="9"/>
      <c r="Y258" s="30">
        <v>11.03</v>
      </c>
      <c r="Z258" s="9"/>
      <c r="AA258" s="30">
        <v>1.5</v>
      </c>
      <c r="AB258" s="9"/>
      <c r="AC258" s="30">
        <v>10.9</v>
      </c>
      <c r="AD258" s="9"/>
      <c r="AE258" s="80">
        <v>0</v>
      </c>
      <c r="AF258" s="46"/>
      <c r="AG258" s="88">
        <v>120.53</v>
      </c>
      <c r="AH258" s="47"/>
      <c r="AJ258" s="83">
        <v>168524</v>
      </c>
      <c r="AL258" s="83">
        <v>24152</v>
      </c>
      <c r="AN258" s="83">
        <v>2650</v>
      </c>
      <c r="AP258" s="83">
        <v>18910</v>
      </c>
      <c r="AR258" s="83">
        <v>0</v>
      </c>
      <c r="AT258" s="204">
        <v>214236</v>
      </c>
      <c r="AV258" s="46">
        <v>85.1</v>
      </c>
      <c r="AX258" s="46">
        <v>11.03</v>
      </c>
      <c r="AZ258" s="46">
        <v>1.5</v>
      </c>
      <c r="BB258" s="46">
        <v>10.9</v>
      </c>
      <c r="BD258" s="46">
        <v>0</v>
      </c>
      <c r="BF258" s="209">
        <v>120.53</v>
      </c>
      <c r="BI258" s="83">
        <v>9283</v>
      </c>
      <c r="BK258" s="83">
        <v>0</v>
      </c>
      <c r="BM258" s="83">
        <v>0</v>
      </c>
      <c r="BO258" s="83">
        <v>0</v>
      </c>
      <c r="BQ258" s="83">
        <v>0</v>
      </c>
      <c r="BS258" s="85">
        <v>9283</v>
      </c>
      <c r="BU258" s="46">
        <v>12</v>
      </c>
      <c r="BW258" s="46">
        <v>0</v>
      </c>
      <c r="BY258" s="46">
        <v>0</v>
      </c>
      <c r="CA258" s="46">
        <v>0</v>
      </c>
      <c r="CC258" s="46">
        <v>0</v>
      </c>
      <c r="CE258" s="209">
        <v>12</v>
      </c>
      <c r="CH258" s="41">
        <v>2710164</v>
      </c>
      <c r="CJ258" s="41">
        <v>397274</v>
      </c>
      <c r="CL258" s="41">
        <v>38203</v>
      </c>
      <c r="CN258" s="41">
        <v>493605</v>
      </c>
      <c r="CP258" s="43">
        <v>3639246</v>
      </c>
      <c r="CS258" s="39">
        <v>15.2422</v>
      </c>
      <c r="CU258" s="39">
        <v>16.448899999999998</v>
      </c>
      <c r="CW258" s="39">
        <v>0.21490000000000001</v>
      </c>
      <c r="CY258" s="39">
        <v>26.102900000000002</v>
      </c>
      <c r="DA258" s="44">
        <v>16.281600000000001</v>
      </c>
      <c r="DC258" s="1" t="str">
        <f t="shared" si="3"/>
        <v>No</v>
      </c>
    </row>
    <row r="259" spans="1:107">
      <c r="A259" s="7" t="s">
        <v>1136</v>
      </c>
      <c r="B259" s="7" t="s">
        <v>1137</v>
      </c>
      <c r="C259" s="37" t="s">
        <v>9</v>
      </c>
      <c r="D259" s="296" t="s">
        <v>1138</v>
      </c>
      <c r="E259" s="297">
        <v>40928</v>
      </c>
      <c r="F259" s="27" t="s">
        <v>162</v>
      </c>
      <c r="G259" s="27" t="s">
        <v>158</v>
      </c>
      <c r="H259" s="35">
        <v>57383</v>
      </c>
      <c r="I259" s="35">
        <v>40</v>
      </c>
      <c r="J259" s="292"/>
      <c r="K259" s="8">
        <v>65097</v>
      </c>
      <c r="L259" s="8"/>
      <c r="M259" s="8">
        <v>2600</v>
      </c>
      <c r="N259" s="9"/>
      <c r="O259" s="8">
        <v>0</v>
      </c>
      <c r="P259" s="9"/>
      <c r="Q259" s="8">
        <v>6824</v>
      </c>
      <c r="R259" s="9"/>
      <c r="S259" s="8">
        <v>0</v>
      </c>
      <c r="T259" s="9"/>
      <c r="U259" s="33">
        <v>74521</v>
      </c>
      <c r="V259" s="9"/>
      <c r="W259" s="30">
        <v>45</v>
      </c>
      <c r="X259" s="9"/>
      <c r="Y259" s="30">
        <v>2</v>
      </c>
      <c r="Z259" s="9"/>
      <c r="AA259" s="30">
        <v>0</v>
      </c>
      <c r="AB259" s="9"/>
      <c r="AC259" s="30">
        <v>5</v>
      </c>
      <c r="AD259" s="9"/>
      <c r="AE259" s="80">
        <v>0</v>
      </c>
      <c r="AF259" s="46"/>
      <c r="AG259" s="88">
        <v>52</v>
      </c>
      <c r="AH259" s="47"/>
      <c r="AJ259" s="83">
        <v>51603</v>
      </c>
      <c r="AL259" s="83">
        <v>2600</v>
      </c>
      <c r="AN259" s="83">
        <v>0</v>
      </c>
      <c r="AP259" s="83">
        <v>6824</v>
      </c>
      <c r="AR259" s="83">
        <v>0</v>
      </c>
      <c r="AT259" s="204">
        <v>61027</v>
      </c>
      <c r="AV259" s="46">
        <v>30</v>
      </c>
      <c r="AX259" s="46">
        <v>2</v>
      </c>
      <c r="AZ259" s="46">
        <v>0</v>
      </c>
      <c r="BB259" s="46">
        <v>5</v>
      </c>
      <c r="BD259" s="46">
        <v>0</v>
      </c>
      <c r="BF259" s="209">
        <v>52</v>
      </c>
      <c r="BI259" s="83">
        <v>13494</v>
      </c>
      <c r="BK259" s="83">
        <v>0</v>
      </c>
      <c r="BM259" s="83">
        <v>0</v>
      </c>
      <c r="BO259" s="83">
        <v>0</v>
      </c>
      <c r="BQ259" s="83">
        <v>0</v>
      </c>
      <c r="BS259" s="85">
        <v>13494</v>
      </c>
      <c r="BU259" s="46">
        <v>15</v>
      </c>
      <c r="BW259" s="46">
        <v>0</v>
      </c>
      <c r="BY259" s="46">
        <v>0</v>
      </c>
      <c r="CA259" s="46">
        <v>0</v>
      </c>
      <c r="CC259" s="46">
        <v>0</v>
      </c>
      <c r="CE259" s="209">
        <v>15</v>
      </c>
      <c r="CH259" s="41">
        <v>1235076</v>
      </c>
      <c r="CJ259" s="41">
        <v>78834</v>
      </c>
      <c r="CL259" s="41">
        <v>0</v>
      </c>
      <c r="CN259" s="41">
        <v>231768</v>
      </c>
      <c r="CP259" s="43">
        <v>1545678</v>
      </c>
      <c r="CS259" s="39">
        <v>18.972899999999999</v>
      </c>
      <c r="CU259" s="39">
        <v>30.320799999999998</v>
      </c>
      <c r="CW259" s="39">
        <v>0</v>
      </c>
      <c r="CY259" s="39">
        <v>33.963700000000003</v>
      </c>
      <c r="DA259" s="44">
        <v>20.741499999999998</v>
      </c>
      <c r="DC259" s="1" t="str">
        <f t="shared" ref="DC259:DC322" si="4">IF(DB259&amp;CZ259&amp;CX259&amp;CV259&amp;CT259&amp;CQ259&amp;CO259&amp;CM259&amp;CK259&amp;CI259&amp;CF259&amp;CD259&amp;CB259&amp;BZ259&amp;BX259&amp;BV259&amp;BT259&amp;BR259&amp;BP259&amp;BN259&amp;BL259&amp;BJ259&amp;BG259&amp;BE259&amp;BC259&amp;BA259&amp;AY259&amp;AW259&amp;AS259&amp;AQ259&amp;AO259&amp;AM259&amp;AK259&amp;AH259&amp;AF259&amp;AD259&amp;AB259&amp;Z259&amp;X259&amp;V259&amp;T259&amp;R259&amp;P259&amp;N259&amp;L259&lt;&gt;"","Yes","No")</f>
        <v>No</v>
      </c>
    </row>
    <row r="260" spans="1:107">
      <c r="A260" s="7" t="s">
        <v>763</v>
      </c>
      <c r="B260" s="7" t="s">
        <v>764</v>
      </c>
      <c r="C260" s="37" t="s">
        <v>63</v>
      </c>
      <c r="D260" s="296">
        <v>2199</v>
      </c>
      <c r="E260" s="297">
        <v>20199</v>
      </c>
      <c r="F260" s="27" t="s">
        <v>162</v>
      </c>
      <c r="G260" s="27" t="s">
        <v>158</v>
      </c>
      <c r="H260" s="35">
        <v>248402</v>
      </c>
      <c r="I260" s="35">
        <v>39</v>
      </c>
      <c r="J260" s="292"/>
      <c r="K260" s="8">
        <v>55428</v>
      </c>
      <c r="L260" s="8"/>
      <c r="M260" s="8">
        <v>1009</v>
      </c>
      <c r="N260" s="9"/>
      <c r="O260" s="8">
        <v>0</v>
      </c>
      <c r="P260" s="9"/>
      <c r="Q260" s="8">
        <v>3493</v>
      </c>
      <c r="R260" s="9"/>
      <c r="S260" s="8">
        <v>0</v>
      </c>
      <c r="T260" s="9"/>
      <c r="U260" s="33">
        <v>59930</v>
      </c>
      <c r="V260" s="9"/>
      <c r="W260" s="30">
        <v>41</v>
      </c>
      <c r="X260" s="9"/>
      <c r="Y260" s="30">
        <v>0.5</v>
      </c>
      <c r="Z260" s="9"/>
      <c r="AA260" s="30">
        <v>0</v>
      </c>
      <c r="AB260" s="9"/>
      <c r="AC260" s="30">
        <v>2</v>
      </c>
      <c r="AD260" s="9"/>
      <c r="AE260" s="80">
        <v>0</v>
      </c>
      <c r="AF260" s="46"/>
      <c r="AG260" s="88">
        <v>43.5</v>
      </c>
      <c r="AH260" s="47"/>
      <c r="AJ260" s="83">
        <v>54086</v>
      </c>
      <c r="AL260" s="83">
        <v>1009</v>
      </c>
      <c r="AN260" s="83">
        <v>0</v>
      </c>
      <c r="AP260" s="83">
        <v>3493</v>
      </c>
      <c r="AR260" s="83">
        <v>0</v>
      </c>
      <c r="AT260" s="204">
        <v>58588</v>
      </c>
      <c r="AV260" s="46">
        <v>38</v>
      </c>
      <c r="AX260" s="46">
        <v>0.5</v>
      </c>
      <c r="AZ260" s="46">
        <v>0</v>
      </c>
      <c r="BB260" s="46">
        <v>2</v>
      </c>
      <c r="BD260" s="46">
        <v>0</v>
      </c>
      <c r="BF260" s="209">
        <v>43.5</v>
      </c>
      <c r="BI260" s="83">
        <v>1342</v>
      </c>
      <c r="BK260" s="83">
        <v>0</v>
      </c>
      <c r="BM260" s="83">
        <v>0</v>
      </c>
      <c r="BO260" s="83">
        <v>0</v>
      </c>
      <c r="BQ260" s="83">
        <v>0</v>
      </c>
      <c r="BS260" s="85">
        <v>1342</v>
      </c>
      <c r="BU260" s="46">
        <v>3</v>
      </c>
      <c r="BW260" s="46">
        <v>0</v>
      </c>
      <c r="BY260" s="46">
        <v>0</v>
      </c>
      <c r="CA260" s="46">
        <v>0</v>
      </c>
      <c r="CC260" s="46">
        <v>0</v>
      </c>
      <c r="CE260" s="209">
        <v>3</v>
      </c>
      <c r="CH260" s="41">
        <v>1090093</v>
      </c>
      <c r="CJ260" s="41">
        <v>27250</v>
      </c>
      <c r="CL260" s="41">
        <v>0</v>
      </c>
      <c r="CN260" s="41">
        <v>127994</v>
      </c>
      <c r="CP260" s="43">
        <v>1245337</v>
      </c>
      <c r="CS260" s="39">
        <v>19.666799999999999</v>
      </c>
      <c r="CU260" s="39">
        <v>27.006900000000002</v>
      </c>
      <c r="CW260" s="39">
        <v>0</v>
      </c>
      <c r="CY260" s="39">
        <v>36.643000000000001</v>
      </c>
      <c r="DA260" s="44">
        <v>20.779900000000001</v>
      </c>
      <c r="DC260" s="1" t="str">
        <f t="shared" si="4"/>
        <v>No</v>
      </c>
    </row>
    <row r="261" spans="1:107">
      <c r="A261" s="7" t="s">
        <v>155</v>
      </c>
      <c r="B261" s="7" t="s">
        <v>156</v>
      </c>
      <c r="C261" s="37" t="s">
        <v>5</v>
      </c>
      <c r="D261" s="296">
        <v>41</v>
      </c>
      <c r="E261" s="297">
        <v>41</v>
      </c>
      <c r="F261" s="27" t="s">
        <v>157</v>
      </c>
      <c r="G261" s="27" t="s">
        <v>158</v>
      </c>
      <c r="H261" s="35">
        <v>251243</v>
      </c>
      <c r="I261" s="35">
        <v>39</v>
      </c>
      <c r="J261" s="292"/>
      <c r="K261" s="8">
        <v>172302</v>
      </c>
      <c r="L261" s="8"/>
      <c r="M261" s="8">
        <v>76619</v>
      </c>
      <c r="N261" s="9"/>
      <c r="O261" s="8">
        <v>110745</v>
      </c>
      <c r="P261" s="9"/>
      <c r="Q261" s="8">
        <v>85993</v>
      </c>
      <c r="R261" s="9"/>
      <c r="S261" s="8">
        <v>127281</v>
      </c>
      <c r="T261" s="9"/>
      <c r="U261" s="33">
        <v>572940</v>
      </c>
      <c r="V261" s="9"/>
      <c r="W261" s="30">
        <v>67.8</v>
      </c>
      <c r="X261" s="9"/>
      <c r="Y261" s="30">
        <v>43.6</v>
      </c>
      <c r="Z261" s="9"/>
      <c r="AA261" s="30">
        <v>82.6</v>
      </c>
      <c r="AB261" s="9"/>
      <c r="AC261" s="30">
        <v>55.3</v>
      </c>
      <c r="AD261" s="9"/>
      <c r="AE261" s="80">
        <v>54.6</v>
      </c>
      <c r="AF261" s="46"/>
      <c r="AG261" s="88">
        <v>303.89999999999998</v>
      </c>
      <c r="AH261" s="47"/>
      <c r="AJ261" s="83">
        <v>172302</v>
      </c>
      <c r="AL261" s="83">
        <v>76619</v>
      </c>
      <c r="AN261" s="83">
        <v>110745</v>
      </c>
      <c r="AP261" s="83">
        <v>85993</v>
      </c>
      <c r="AR261" s="83">
        <v>127281</v>
      </c>
      <c r="AT261" s="204">
        <v>572940</v>
      </c>
      <c r="AV261" s="46">
        <v>67.8</v>
      </c>
      <c r="AX261" s="46">
        <v>43.6</v>
      </c>
      <c r="AZ261" s="46">
        <v>82.6</v>
      </c>
      <c r="BB261" s="46">
        <v>55.3</v>
      </c>
      <c r="BD261" s="46">
        <v>54.6</v>
      </c>
      <c r="BF261" s="209">
        <v>303.89999999999998</v>
      </c>
      <c r="BI261" s="83">
        <v>0</v>
      </c>
      <c r="BK261" s="83">
        <v>0</v>
      </c>
      <c r="BM261" s="83">
        <v>0</v>
      </c>
      <c r="BO261" s="83">
        <v>0</v>
      </c>
      <c r="BQ261" s="83">
        <v>0</v>
      </c>
      <c r="BS261" s="85">
        <v>0</v>
      </c>
      <c r="BU261" s="46">
        <v>0</v>
      </c>
      <c r="BW261" s="46">
        <v>0</v>
      </c>
      <c r="BY261" s="46">
        <v>0</v>
      </c>
      <c r="CA261" s="46">
        <v>0</v>
      </c>
      <c r="CC261" s="46">
        <v>0</v>
      </c>
      <c r="CE261" s="209">
        <v>0</v>
      </c>
      <c r="CH261" s="41">
        <v>7623843</v>
      </c>
      <c r="CJ261" s="41">
        <v>3540191</v>
      </c>
      <c r="CL261" s="41">
        <v>4140110</v>
      </c>
      <c r="CN261" s="41">
        <v>4097842</v>
      </c>
      <c r="CP261" s="43">
        <v>19401986</v>
      </c>
      <c r="CS261" s="39">
        <v>44.247</v>
      </c>
      <c r="CU261" s="39">
        <v>46.205100000000002</v>
      </c>
      <c r="CW261" s="39">
        <v>24.028199999999998</v>
      </c>
      <c r="CY261" s="39">
        <v>47.653199999999998</v>
      </c>
      <c r="DA261" s="44">
        <v>33.863900000000001</v>
      </c>
      <c r="DC261" s="1" t="str">
        <f t="shared" si="4"/>
        <v>No</v>
      </c>
    </row>
    <row r="262" spans="1:107">
      <c r="A262" s="7" t="s">
        <v>1139</v>
      </c>
      <c r="B262" s="7" t="s">
        <v>1140</v>
      </c>
      <c r="C262" s="37" t="s">
        <v>48</v>
      </c>
      <c r="D262" s="296" t="s">
        <v>1141</v>
      </c>
      <c r="E262" s="297">
        <v>30129</v>
      </c>
      <c r="F262" s="27" t="s">
        <v>162</v>
      </c>
      <c r="G262" s="27" t="s">
        <v>158</v>
      </c>
      <c r="H262" s="35">
        <v>2203663</v>
      </c>
      <c r="I262" s="35">
        <v>39</v>
      </c>
      <c r="J262" s="292"/>
      <c r="K262" s="8">
        <v>66131</v>
      </c>
      <c r="L262" s="8"/>
      <c r="M262" s="8">
        <v>6228</v>
      </c>
      <c r="N262" s="9"/>
      <c r="O262" s="8">
        <v>0</v>
      </c>
      <c r="P262" s="9"/>
      <c r="Q262" s="8">
        <v>3900</v>
      </c>
      <c r="R262" s="9"/>
      <c r="S262" s="8">
        <v>0</v>
      </c>
      <c r="T262" s="9"/>
      <c r="U262" s="33">
        <v>76259</v>
      </c>
      <c r="V262" s="9"/>
      <c r="W262" s="30">
        <v>38</v>
      </c>
      <c r="X262" s="9"/>
      <c r="Y262" s="30">
        <v>3</v>
      </c>
      <c r="Z262" s="9"/>
      <c r="AA262" s="30">
        <v>0</v>
      </c>
      <c r="AB262" s="9"/>
      <c r="AC262" s="30">
        <v>2</v>
      </c>
      <c r="AD262" s="9"/>
      <c r="AE262" s="80">
        <v>0</v>
      </c>
      <c r="AF262" s="46"/>
      <c r="AG262" s="88">
        <v>43</v>
      </c>
      <c r="AH262" s="47"/>
      <c r="AJ262" s="83">
        <v>59788</v>
      </c>
      <c r="AL262" s="83">
        <v>6228</v>
      </c>
      <c r="AN262" s="83">
        <v>0</v>
      </c>
      <c r="AP262" s="83">
        <v>3900</v>
      </c>
      <c r="AR262" s="83">
        <v>0</v>
      </c>
      <c r="AT262" s="204">
        <v>69916</v>
      </c>
      <c r="AV262" s="46">
        <v>30</v>
      </c>
      <c r="AX262" s="46">
        <v>3</v>
      </c>
      <c r="AZ262" s="46">
        <v>0</v>
      </c>
      <c r="BB262" s="46">
        <v>2</v>
      </c>
      <c r="BD262" s="46">
        <v>0</v>
      </c>
      <c r="BF262" s="209">
        <v>43</v>
      </c>
      <c r="BI262" s="83">
        <v>6343</v>
      </c>
      <c r="BK262" s="83">
        <v>0</v>
      </c>
      <c r="BM262" s="83">
        <v>0</v>
      </c>
      <c r="BO262" s="83">
        <v>0</v>
      </c>
      <c r="BQ262" s="83">
        <v>0</v>
      </c>
      <c r="BS262" s="85">
        <v>6343</v>
      </c>
      <c r="BU262" s="46">
        <v>8</v>
      </c>
      <c r="BW262" s="46">
        <v>0</v>
      </c>
      <c r="BY262" s="46">
        <v>0</v>
      </c>
      <c r="CA262" s="46">
        <v>0</v>
      </c>
      <c r="CC262" s="46">
        <v>0</v>
      </c>
      <c r="CE262" s="209">
        <v>8</v>
      </c>
      <c r="CH262" s="41">
        <v>944909</v>
      </c>
      <c r="CJ262" s="41">
        <v>102152</v>
      </c>
      <c r="CL262" s="41">
        <v>0</v>
      </c>
      <c r="CN262" s="41">
        <v>152483</v>
      </c>
      <c r="CP262" s="43">
        <v>1199544</v>
      </c>
      <c r="CS262" s="39">
        <v>14.288399999999999</v>
      </c>
      <c r="CU262" s="39">
        <v>16.402100000000001</v>
      </c>
      <c r="CW262" s="39">
        <v>0</v>
      </c>
      <c r="CY262" s="39">
        <v>39.098199999999999</v>
      </c>
      <c r="DA262" s="44">
        <v>15.729900000000001</v>
      </c>
      <c r="DC262" s="1" t="str">
        <f t="shared" si="4"/>
        <v>No</v>
      </c>
    </row>
    <row r="263" spans="1:107">
      <c r="A263" s="7" t="s">
        <v>713</v>
      </c>
      <c r="B263" s="7" t="s">
        <v>714</v>
      </c>
      <c r="C263" s="37" t="s">
        <v>86</v>
      </c>
      <c r="D263" s="296">
        <v>3094</v>
      </c>
      <c r="E263" s="297">
        <v>30094</v>
      </c>
      <c r="F263" s="27" t="s">
        <v>162</v>
      </c>
      <c r="G263" s="27" t="s">
        <v>158</v>
      </c>
      <c r="H263" s="35">
        <v>66784</v>
      </c>
      <c r="I263" s="35">
        <v>39</v>
      </c>
      <c r="J263" s="292"/>
      <c r="K263" s="8">
        <v>106445</v>
      </c>
      <c r="L263" s="8"/>
      <c r="M263" s="8">
        <v>14559</v>
      </c>
      <c r="N263" s="9"/>
      <c r="O263" s="8">
        <v>2295</v>
      </c>
      <c r="P263" s="9"/>
      <c r="Q263" s="8">
        <v>8653</v>
      </c>
      <c r="R263" s="9"/>
      <c r="S263" s="8">
        <v>1020</v>
      </c>
      <c r="T263" s="9"/>
      <c r="U263" s="33">
        <v>132972</v>
      </c>
      <c r="V263" s="9"/>
      <c r="W263" s="30">
        <v>124.3</v>
      </c>
      <c r="X263" s="9"/>
      <c r="Y263" s="30">
        <v>12.3</v>
      </c>
      <c r="Z263" s="9"/>
      <c r="AA263" s="30">
        <v>1.78</v>
      </c>
      <c r="AB263" s="9"/>
      <c r="AC263" s="30">
        <v>5.92</v>
      </c>
      <c r="AD263" s="9"/>
      <c r="AE263" s="80">
        <v>1.4</v>
      </c>
      <c r="AF263" s="46"/>
      <c r="AG263" s="88">
        <v>145.69999999999999</v>
      </c>
      <c r="AH263" s="47"/>
      <c r="AJ263" s="83">
        <v>45018</v>
      </c>
      <c r="AL263" s="83">
        <v>12406</v>
      </c>
      <c r="AN263" s="83">
        <v>2108</v>
      </c>
      <c r="AP263" s="83">
        <v>8136</v>
      </c>
      <c r="AR263" s="83">
        <v>1020</v>
      </c>
      <c r="AT263" s="204">
        <v>68688</v>
      </c>
      <c r="AV263" s="46">
        <v>25</v>
      </c>
      <c r="AX263" s="46">
        <v>6.1</v>
      </c>
      <c r="AZ263" s="46">
        <v>1.48</v>
      </c>
      <c r="BB263" s="46">
        <v>4.92</v>
      </c>
      <c r="BD263" s="46">
        <v>1.4</v>
      </c>
      <c r="BF263" s="209">
        <v>145.69999999999999</v>
      </c>
      <c r="BI263" s="83">
        <v>61427</v>
      </c>
      <c r="BK263" s="83">
        <v>2153</v>
      </c>
      <c r="BM263" s="83">
        <v>187</v>
      </c>
      <c r="BO263" s="83">
        <v>517</v>
      </c>
      <c r="BQ263" s="83">
        <v>0</v>
      </c>
      <c r="BS263" s="85">
        <v>64284</v>
      </c>
      <c r="BU263" s="46">
        <v>99.3</v>
      </c>
      <c r="BW263" s="46">
        <v>6.2</v>
      </c>
      <c r="BY263" s="46">
        <v>0.3</v>
      </c>
      <c r="CA263" s="46">
        <v>1</v>
      </c>
      <c r="CC263" s="46">
        <v>0</v>
      </c>
      <c r="CE263" s="209">
        <v>106.8</v>
      </c>
      <c r="CH263" s="41">
        <v>1804840</v>
      </c>
      <c r="CJ263" s="41">
        <v>293750</v>
      </c>
      <c r="CL263" s="41">
        <v>48328</v>
      </c>
      <c r="CN263" s="41">
        <v>212424</v>
      </c>
      <c r="CP263" s="43">
        <v>2359342</v>
      </c>
      <c r="CS263" s="39">
        <v>16.9556</v>
      </c>
      <c r="CU263" s="39">
        <v>20.176500000000001</v>
      </c>
      <c r="CW263" s="39">
        <v>0.45400000000000001</v>
      </c>
      <c r="CY263" s="39">
        <v>24.549199999999999</v>
      </c>
      <c r="DA263" s="44">
        <v>17.743099999999998</v>
      </c>
      <c r="DC263" s="1" t="str">
        <f t="shared" si="4"/>
        <v>No</v>
      </c>
    </row>
    <row r="264" spans="1:107">
      <c r="A264" s="7" t="s">
        <v>211</v>
      </c>
      <c r="B264" s="7" t="s">
        <v>212</v>
      </c>
      <c r="C264" s="37" t="s">
        <v>93</v>
      </c>
      <c r="D264" s="296">
        <v>5006</v>
      </c>
      <c r="E264" s="297">
        <v>50006</v>
      </c>
      <c r="F264" s="27" t="s">
        <v>162</v>
      </c>
      <c r="G264" s="27" t="s">
        <v>158</v>
      </c>
      <c r="H264" s="35">
        <v>133700</v>
      </c>
      <c r="I264" s="35">
        <v>39</v>
      </c>
      <c r="J264" s="292"/>
      <c r="K264" s="8">
        <v>108399</v>
      </c>
      <c r="L264" s="8"/>
      <c r="M264" s="8">
        <v>16113</v>
      </c>
      <c r="N264" s="9"/>
      <c r="O264" s="8">
        <v>1369</v>
      </c>
      <c r="P264" s="9"/>
      <c r="Q264" s="8">
        <v>14565</v>
      </c>
      <c r="R264" s="9"/>
      <c r="S264" s="8">
        <v>0</v>
      </c>
      <c r="T264" s="9"/>
      <c r="U264" s="33">
        <v>140446</v>
      </c>
      <c r="V264" s="9"/>
      <c r="W264" s="30">
        <v>70.3</v>
      </c>
      <c r="X264" s="9"/>
      <c r="Y264" s="30">
        <v>9.1999999999999993</v>
      </c>
      <c r="Z264" s="9"/>
      <c r="AA264" s="30">
        <v>0.7</v>
      </c>
      <c r="AB264" s="9"/>
      <c r="AC264" s="30">
        <v>7.9</v>
      </c>
      <c r="AD264" s="9"/>
      <c r="AE264" s="80">
        <v>0</v>
      </c>
      <c r="AF264" s="46"/>
      <c r="AG264" s="88">
        <v>88.1</v>
      </c>
      <c r="AH264" s="47"/>
      <c r="AJ264" s="83">
        <v>74405</v>
      </c>
      <c r="AL264" s="83">
        <v>13287</v>
      </c>
      <c r="AN264" s="83">
        <v>1369</v>
      </c>
      <c r="AP264" s="83">
        <v>14565</v>
      </c>
      <c r="AR264" s="83">
        <v>0</v>
      </c>
      <c r="AT264" s="204">
        <v>103626</v>
      </c>
      <c r="AV264" s="46">
        <v>42.3</v>
      </c>
      <c r="AX264" s="46">
        <v>7.2</v>
      </c>
      <c r="AZ264" s="46">
        <v>0.7</v>
      </c>
      <c r="BB264" s="46">
        <v>7.9</v>
      </c>
      <c r="BD264" s="46">
        <v>0</v>
      </c>
      <c r="BF264" s="209">
        <v>88.1</v>
      </c>
      <c r="BI264" s="83">
        <v>33994</v>
      </c>
      <c r="BK264" s="83">
        <v>2826</v>
      </c>
      <c r="BM264" s="83">
        <v>0</v>
      </c>
      <c r="BO264" s="83">
        <v>0</v>
      </c>
      <c r="BQ264" s="83">
        <v>0</v>
      </c>
      <c r="BS264" s="85">
        <v>36820</v>
      </c>
      <c r="BU264" s="46">
        <v>28</v>
      </c>
      <c r="BW264" s="46">
        <v>2</v>
      </c>
      <c r="BY264" s="46">
        <v>0</v>
      </c>
      <c r="CA264" s="46">
        <v>0</v>
      </c>
      <c r="CC264" s="46">
        <v>0</v>
      </c>
      <c r="CE264" s="209">
        <v>30</v>
      </c>
      <c r="CH264" s="41">
        <v>2075712</v>
      </c>
      <c r="CJ264" s="41">
        <v>288752</v>
      </c>
      <c r="CL264" s="41">
        <v>28957</v>
      </c>
      <c r="CN264" s="41">
        <v>316789</v>
      </c>
      <c r="CP264" s="43">
        <v>2710210</v>
      </c>
      <c r="CS264" s="39">
        <v>19.148800000000001</v>
      </c>
      <c r="CU264" s="39">
        <v>17.920400000000001</v>
      </c>
      <c r="CW264" s="39">
        <v>0.2671</v>
      </c>
      <c r="CY264" s="39">
        <v>21.75</v>
      </c>
      <c r="DA264" s="44">
        <v>19.2972</v>
      </c>
      <c r="DC264" s="1" t="str">
        <f t="shared" si="4"/>
        <v>No</v>
      </c>
    </row>
    <row r="265" spans="1:107">
      <c r="A265" s="7" t="s">
        <v>404</v>
      </c>
      <c r="B265" s="7" t="s">
        <v>405</v>
      </c>
      <c r="C265" s="37" t="s">
        <v>93</v>
      </c>
      <c r="D265" s="296">
        <v>5002</v>
      </c>
      <c r="E265" s="297">
        <v>50002</v>
      </c>
      <c r="F265" s="27" t="s">
        <v>162</v>
      </c>
      <c r="G265" s="27" t="s">
        <v>158</v>
      </c>
      <c r="H265" s="35">
        <v>206520</v>
      </c>
      <c r="I265" s="35">
        <v>38</v>
      </c>
      <c r="J265" s="292"/>
      <c r="K265" s="8">
        <v>96915</v>
      </c>
      <c r="L265" s="8"/>
      <c r="M265" s="8">
        <v>17954</v>
      </c>
      <c r="N265" s="9"/>
      <c r="O265" s="8">
        <v>1401</v>
      </c>
      <c r="P265" s="9"/>
      <c r="Q265" s="8">
        <v>6497</v>
      </c>
      <c r="R265" s="9"/>
      <c r="S265" s="8">
        <v>0</v>
      </c>
      <c r="T265" s="9"/>
      <c r="U265" s="33">
        <v>122767</v>
      </c>
      <c r="V265" s="9"/>
      <c r="W265" s="30">
        <v>46</v>
      </c>
      <c r="X265" s="9"/>
      <c r="Y265" s="30">
        <v>10</v>
      </c>
      <c r="Z265" s="9"/>
      <c r="AA265" s="30">
        <v>1</v>
      </c>
      <c r="AB265" s="9"/>
      <c r="AC265" s="30">
        <v>5</v>
      </c>
      <c r="AD265" s="9"/>
      <c r="AE265" s="80">
        <v>0</v>
      </c>
      <c r="AF265" s="46"/>
      <c r="AG265" s="88">
        <v>62</v>
      </c>
      <c r="AH265" s="47"/>
      <c r="AJ265" s="83">
        <v>96915</v>
      </c>
      <c r="AL265" s="83">
        <v>17954</v>
      </c>
      <c r="AN265" s="83">
        <v>0</v>
      </c>
      <c r="AP265" s="83">
        <v>5044</v>
      </c>
      <c r="AR265" s="83">
        <v>0</v>
      </c>
      <c r="AT265" s="204">
        <v>119913</v>
      </c>
      <c r="AV265" s="46">
        <v>46</v>
      </c>
      <c r="AX265" s="46">
        <v>10</v>
      </c>
      <c r="AZ265" s="46">
        <v>0</v>
      </c>
      <c r="BB265" s="46">
        <v>3</v>
      </c>
      <c r="BD265" s="46">
        <v>0</v>
      </c>
      <c r="BF265" s="209">
        <v>62</v>
      </c>
      <c r="BI265" s="83">
        <v>0</v>
      </c>
      <c r="BK265" s="83">
        <v>0</v>
      </c>
      <c r="BM265" s="83">
        <v>1401</v>
      </c>
      <c r="BO265" s="83">
        <v>1453</v>
      </c>
      <c r="BQ265" s="83">
        <v>0</v>
      </c>
      <c r="BS265" s="85">
        <v>2854</v>
      </c>
      <c r="BU265" s="46">
        <v>0</v>
      </c>
      <c r="BW265" s="46">
        <v>0</v>
      </c>
      <c r="BY265" s="46">
        <v>1</v>
      </c>
      <c r="CA265" s="46">
        <v>2</v>
      </c>
      <c r="CC265" s="46">
        <v>0</v>
      </c>
      <c r="CE265" s="209">
        <v>3</v>
      </c>
      <c r="CH265" s="41">
        <v>2211080</v>
      </c>
      <c r="CJ265" s="41">
        <v>433648</v>
      </c>
      <c r="CL265" s="41">
        <v>27385</v>
      </c>
      <c r="CN265" s="41">
        <v>143884</v>
      </c>
      <c r="CP265" s="43">
        <v>2815997</v>
      </c>
      <c r="CS265" s="39">
        <v>22.814599999999999</v>
      </c>
      <c r="CU265" s="39">
        <v>24.153300000000002</v>
      </c>
      <c r="CW265" s="39">
        <v>0.28260000000000002</v>
      </c>
      <c r="CY265" s="39">
        <v>22.1462</v>
      </c>
      <c r="DA265" s="44">
        <v>22.9377</v>
      </c>
      <c r="DC265" s="1" t="str">
        <f t="shared" si="4"/>
        <v>No</v>
      </c>
    </row>
    <row r="266" spans="1:107">
      <c r="A266" s="7" t="s">
        <v>223</v>
      </c>
      <c r="B266" s="7" t="s">
        <v>224</v>
      </c>
      <c r="C266" s="37" t="s">
        <v>42</v>
      </c>
      <c r="D266" s="296">
        <v>5110</v>
      </c>
      <c r="E266" s="297">
        <v>50110</v>
      </c>
      <c r="F266" s="27" t="s">
        <v>165</v>
      </c>
      <c r="G266" s="27" t="s">
        <v>158</v>
      </c>
      <c r="H266" s="35">
        <v>108657</v>
      </c>
      <c r="I266" s="35">
        <v>38</v>
      </c>
      <c r="J266" s="292"/>
      <c r="K266" s="8">
        <v>144996</v>
      </c>
      <c r="L266" s="8"/>
      <c r="M266" s="8">
        <v>26888</v>
      </c>
      <c r="N266" s="9"/>
      <c r="O266" s="8">
        <v>2309</v>
      </c>
      <c r="P266" s="9"/>
      <c r="Q266" s="8">
        <v>9465</v>
      </c>
      <c r="R266" s="9"/>
      <c r="S266" s="8">
        <v>0</v>
      </c>
      <c r="T266" s="9"/>
      <c r="U266" s="33">
        <v>183658</v>
      </c>
      <c r="V266" s="9"/>
      <c r="W266" s="30">
        <v>84</v>
      </c>
      <c r="X266" s="9"/>
      <c r="Y266" s="30">
        <v>15.2</v>
      </c>
      <c r="Z266" s="9"/>
      <c r="AA266" s="30">
        <v>1.2</v>
      </c>
      <c r="AB266" s="9"/>
      <c r="AC266" s="30">
        <v>5</v>
      </c>
      <c r="AD266" s="9"/>
      <c r="AE266" s="80">
        <v>0</v>
      </c>
      <c r="AF266" s="46"/>
      <c r="AG266" s="88">
        <v>105.4</v>
      </c>
      <c r="AH266" s="47"/>
      <c r="AJ266" s="83">
        <v>93065</v>
      </c>
      <c r="AL266" s="83">
        <v>25706</v>
      </c>
      <c r="AN266" s="83">
        <v>2309</v>
      </c>
      <c r="AP266" s="83">
        <v>9465</v>
      </c>
      <c r="AR266" s="83">
        <v>0</v>
      </c>
      <c r="AT266" s="204">
        <v>130545</v>
      </c>
      <c r="AV266" s="46">
        <v>49</v>
      </c>
      <c r="AX266" s="46">
        <v>14.2</v>
      </c>
      <c r="AZ266" s="46">
        <v>1.2</v>
      </c>
      <c r="BB266" s="46">
        <v>5</v>
      </c>
      <c r="BD266" s="46">
        <v>0</v>
      </c>
      <c r="BF266" s="209">
        <v>105.4</v>
      </c>
      <c r="BI266" s="83">
        <v>51931</v>
      </c>
      <c r="BK266" s="83">
        <v>1182</v>
      </c>
      <c r="BM266" s="83">
        <v>0</v>
      </c>
      <c r="BO266" s="83">
        <v>0</v>
      </c>
      <c r="BQ266" s="83">
        <v>0</v>
      </c>
      <c r="BS266" s="85">
        <v>53113</v>
      </c>
      <c r="BU266" s="46">
        <v>35</v>
      </c>
      <c r="BW266" s="46">
        <v>1</v>
      </c>
      <c r="BY266" s="46">
        <v>0</v>
      </c>
      <c r="CA266" s="46">
        <v>0</v>
      </c>
      <c r="CC266" s="46">
        <v>0</v>
      </c>
      <c r="CE266" s="209">
        <v>36</v>
      </c>
      <c r="CH266" s="41">
        <v>2451875</v>
      </c>
      <c r="CJ266" s="41">
        <v>562438</v>
      </c>
      <c r="CL266" s="41">
        <v>44221</v>
      </c>
      <c r="CN266" s="41">
        <v>226205</v>
      </c>
      <c r="CP266" s="43">
        <v>3284739</v>
      </c>
      <c r="CS266" s="39">
        <v>16.9099</v>
      </c>
      <c r="CU266" s="39">
        <v>20.9178</v>
      </c>
      <c r="CW266" s="39">
        <v>0.30499999999999999</v>
      </c>
      <c r="CY266" s="39">
        <v>23.899100000000001</v>
      </c>
      <c r="DA266" s="44">
        <v>17.885100000000001</v>
      </c>
      <c r="DC266" s="1" t="str">
        <f t="shared" si="4"/>
        <v>No</v>
      </c>
    </row>
    <row r="267" spans="1:107">
      <c r="A267" s="7" t="s">
        <v>1114</v>
      </c>
      <c r="B267" s="7" t="s">
        <v>717</v>
      </c>
      <c r="C267" s="37" t="s">
        <v>17</v>
      </c>
      <c r="D267" s="296">
        <v>9196</v>
      </c>
      <c r="E267" s="297">
        <v>90196</v>
      </c>
      <c r="F267" s="27" t="s">
        <v>162</v>
      </c>
      <c r="G267" s="27" t="s">
        <v>158</v>
      </c>
      <c r="H267" s="35">
        <v>1723634</v>
      </c>
      <c r="I267" s="35">
        <v>38</v>
      </c>
      <c r="J267" s="292"/>
      <c r="K267" s="8">
        <v>82583</v>
      </c>
      <c r="L267" s="8"/>
      <c r="M267" s="8">
        <v>9512</v>
      </c>
      <c r="N267" s="9"/>
      <c r="O267" s="8">
        <v>374</v>
      </c>
      <c r="P267" s="9"/>
      <c r="Q267" s="8">
        <v>24001</v>
      </c>
      <c r="R267" s="9"/>
      <c r="S267" s="8">
        <v>0</v>
      </c>
      <c r="T267" s="9"/>
      <c r="U267" s="33">
        <v>116470</v>
      </c>
      <c r="V267" s="9"/>
      <c r="W267" s="30">
        <v>41.3</v>
      </c>
      <c r="X267" s="9"/>
      <c r="Y267" s="30">
        <v>5.0999999999999996</v>
      </c>
      <c r="Z267" s="9"/>
      <c r="AA267" s="30">
        <v>0.4</v>
      </c>
      <c r="AB267" s="9"/>
      <c r="AC267" s="30">
        <v>13.1</v>
      </c>
      <c r="AD267" s="9"/>
      <c r="AE267" s="80">
        <v>0</v>
      </c>
      <c r="AF267" s="46"/>
      <c r="AG267" s="88">
        <v>59.9</v>
      </c>
      <c r="AH267" s="47"/>
      <c r="AJ267" s="83">
        <v>63798</v>
      </c>
      <c r="AL267" s="83">
        <v>9512</v>
      </c>
      <c r="AN267" s="83">
        <v>0</v>
      </c>
      <c r="AP267" s="83">
        <v>24001</v>
      </c>
      <c r="AR267" s="83">
        <v>0</v>
      </c>
      <c r="AT267" s="204">
        <v>97311</v>
      </c>
      <c r="AV267" s="46">
        <v>31.9</v>
      </c>
      <c r="AX267" s="46">
        <v>5.0999999999999996</v>
      </c>
      <c r="AZ267" s="46">
        <v>0</v>
      </c>
      <c r="BB267" s="46">
        <v>13.1</v>
      </c>
      <c r="BD267" s="46">
        <v>0</v>
      </c>
      <c r="BF267" s="209">
        <v>59.9</v>
      </c>
      <c r="BI267" s="83">
        <v>18785</v>
      </c>
      <c r="BK267" s="83">
        <v>0</v>
      </c>
      <c r="BM267" s="83">
        <v>374</v>
      </c>
      <c r="BO267" s="83">
        <v>0</v>
      </c>
      <c r="BQ267" s="83">
        <v>0</v>
      </c>
      <c r="BS267" s="85">
        <v>19159</v>
      </c>
      <c r="BU267" s="46">
        <v>9.4</v>
      </c>
      <c r="BW267" s="46">
        <v>0</v>
      </c>
      <c r="BY267" s="46">
        <v>0.4</v>
      </c>
      <c r="CA267" s="46">
        <v>0</v>
      </c>
      <c r="CC267" s="46">
        <v>0</v>
      </c>
      <c r="CE267" s="209">
        <v>9.8000000000000007</v>
      </c>
      <c r="CH267" s="41">
        <v>2226986</v>
      </c>
      <c r="CJ267" s="41">
        <v>283373</v>
      </c>
      <c r="CL267" s="41">
        <v>9091</v>
      </c>
      <c r="CN267" s="41">
        <v>733429</v>
      </c>
      <c r="CP267" s="43">
        <v>3252879</v>
      </c>
      <c r="CS267" s="39">
        <v>26.9666</v>
      </c>
      <c r="CU267" s="39">
        <v>29.7911</v>
      </c>
      <c r="CW267" s="39">
        <v>0.1101</v>
      </c>
      <c r="CY267" s="39">
        <v>30.558299999999999</v>
      </c>
      <c r="DA267" s="44">
        <v>27.928899999999999</v>
      </c>
      <c r="DC267" s="1" t="str">
        <f t="shared" si="4"/>
        <v>No</v>
      </c>
    </row>
    <row r="268" spans="1:107">
      <c r="A268" s="7" t="s">
        <v>708</v>
      </c>
      <c r="B268" s="7" t="s">
        <v>202</v>
      </c>
      <c r="C268" s="37" t="s">
        <v>52</v>
      </c>
      <c r="D268" s="296">
        <v>5158</v>
      </c>
      <c r="E268" s="297">
        <v>50158</v>
      </c>
      <c r="F268" s="27" t="s">
        <v>114</v>
      </c>
      <c r="G268" s="27" t="s">
        <v>158</v>
      </c>
      <c r="H268" s="35">
        <v>306022</v>
      </c>
      <c r="I268" s="35">
        <v>38</v>
      </c>
      <c r="J268" s="292"/>
      <c r="K268" s="8">
        <v>191779</v>
      </c>
      <c r="L268" s="8"/>
      <c r="M268" s="8">
        <v>19824</v>
      </c>
      <c r="N268" s="9"/>
      <c r="O268" s="8">
        <v>0</v>
      </c>
      <c r="P268" s="9"/>
      <c r="Q268" s="8">
        <v>6057</v>
      </c>
      <c r="R268" s="9"/>
      <c r="S268" s="8">
        <v>0</v>
      </c>
      <c r="T268" s="9"/>
      <c r="U268" s="33">
        <v>217660</v>
      </c>
      <c r="V268" s="9"/>
      <c r="W268" s="30">
        <v>142.4</v>
      </c>
      <c r="X268" s="9"/>
      <c r="Y268" s="30">
        <v>11.4</v>
      </c>
      <c r="Z268" s="9"/>
      <c r="AA268" s="30">
        <v>0</v>
      </c>
      <c r="AB268" s="9"/>
      <c r="AC268" s="30">
        <v>3.3</v>
      </c>
      <c r="AD268" s="9"/>
      <c r="AE268" s="80">
        <v>0</v>
      </c>
      <c r="AF268" s="46"/>
      <c r="AG268" s="88">
        <v>157.1</v>
      </c>
      <c r="AH268" s="47"/>
      <c r="AJ268" s="83">
        <v>141603</v>
      </c>
      <c r="AL268" s="83">
        <v>19824</v>
      </c>
      <c r="AN268" s="83">
        <v>0</v>
      </c>
      <c r="AP268" s="83">
        <v>6057</v>
      </c>
      <c r="AR268" s="83">
        <v>0</v>
      </c>
      <c r="AT268" s="204">
        <v>167484</v>
      </c>
      <c r="AV268" s="46">
        <v>69.400000000000006</v>
      </c>
      <c r="AX268" s="46">
        <v>11.4</v>
      </c>
      <c r="AZ268" s="46">
        <v>0</v>
      </c>
      <c r="BB268" s="46">
        <v>3.3</v>
      </c>
      <c r="BD268" s="46">
        <v>0</v>
      </c>
      <c r="BF268" s="209">
        <v>157.1</v>
      </c>
      <c r="BI268" s="83">
        <v>50176</v>
      </c>
      <c r="BK268" s="83">
        <v>0</v>
      </c>
      <c r="BM268" s="83">
        <v>0</v>
      </c>
      <c r="BO268" s="83">
        <v>0</v>
      </c>
      <c r="BQ268" s="83">
        <v>0</v>
      </c>
      <c r="BS268" s="85">
        <v>50176</v>
      </c>
      <c r="BU268" s="46">
        <v>73</v>
      </c>
      <c r="BW268" s="46">
        <v>0</v>
      </c>
      <c r="BY268" s="46">
        <v>0</v>
      </c>
      <c r="CA268" s="46">
        <v>0</v>
      </c>
      <c r="CC268" s="46">
        <v>0</v>
      </c>
      <c r="CE268" s="209">
        <v>73</v>
      </c>
      <c r="CH268" s="41">
        <v>3768400</v>
      </c>
      <c r="CJ268" s="41">
        <v>546564</v>
      </c>
      <c r="CL268" s="41">
        <v>0</v>
      </c>
      <c r="CN268" s="41">
        <v>216590</v>
      </c>
      <c r="CP268" s="43">
        <v>4531554</v>
      </c>
      <c r="CS268" s="39">
        <v>19.649699999999999</v>
      </c>
      <c r="CU268" s="39">
        <v>27.570799999999998</v>
      </c>
      <c r="CW268" s="39">
        <v>0</v>
      </c>
      <c r="CY268" s="39">
        <v>35.758600000000001</v>
      </c>
      <c r="DA268" s="44">
        <v>20.819400000000002</v>
      </c>
      <c r="DC268" s="1" t="str">
        <f t="shared" si="4"/>
        <v>No</v>
      </c>
    </row>
    <row r="269" spans="1:107">
      <c r="A269" s="7" t="s">
        <v>209</v>
      </c>
      <c r="B269" s="7" t="s">
        <v>210</v>
      </c>
      <c r="C269" s="37" t="s">
        <v>77</v>
      </c>
      <c r="D269" s="296">
        <v>3023</v>
      </c>
      <c r="E269" s="297">
        <v>30023</v>
      </c>
      <c r="F269" s="27" t="s">
        <v>165</v>
      </c>
      <c r="G269" s="27" t="s">
        <v>158</v>
      </c>
      <c r="H269" s="35">
        <v>1733853</v>
      </c>
      <c r="I269" s="35">
        <v>38</v>
      </c>
      <c r="J269" s="292"/>
      <c r="K269" s="8">
        <v>131425</v>
      </c>
      <c r="L269" s="8"/>
      <c r="M269" s="8">
        <v>27935</v>
      </c>
      <c r="N269" s="9"/>
      <c r="O269" s="8">
        <v>6063</v>
      </c>
      <c r="P269" s="9"/>
      <c r="Q269" s="8">
        <v>14461</v>
      </c>
      <c r="R269" s="9"/>
      <c r="S269" s="8">
        <v>0</v>
      </c>
      <c r="T269" s="9"/>
      <c r="U269" s="33">
        <v>179884</v>
      </c>
      <c r="V269" s="9"/>
      <c r="W269" s="30">
        <v>68.760000000000005</v>
      </c>
      <c r="X269" s="9"/>
      <c r="Y269" s="30">
        <v>13.76</v>
      </c>
      <c r="Z269" s="9"/>
      <c r="AA269" s="30">
        <v>3</v>
      </c>
      <c r="AB269" s="9"/>
      <c r="AC269" s="30">
        <v>9.39</v>
      </c>
      <c r="AD269" s="9"/>
      <c r="AE269" s="80">
        <v>0</v>
      </c>
      <c r="AF269" s="46"/>
      <c r="AG269" s="88">
        <v>94.91</v>
      </c>
      <c r="AH269" s="47"/>
      <c r="AJ269" s="83">
        <v>131425</v>
      </c>
      <c r="AL269" s="83">
        <v>27935</v>
      </c>
      <c r="AN269" s="83">
        <v>6063</v>
      </c>
      <c r="AP269" s="83">
        <v>13961</v>
      </c>
      <c r="AR269" s="83">
        <v>0</v>
      </c>
      <c r="AT269" s="204">
        <v>179384</v>
      </c>
      <c r="AV269" s="46">
        <v>68.760000000000005</v>
      </c>
      <c r="AX269" s="46">
        <v>13.76</v>
      </c>
      <c r="AZ269" s="46">
        <v>3</v>
      </c>
      <c r="BB269" s="46">
        <v>8.39</v>
      </c>
      <c r="BD269" s="46">
        <v>0</v>
      </c>
      <c r="BF269" s="209">
        <v>94.91</v>
      </c>
      <c r="BI269" s="83">
        <v>0</v>
      </c>
      <c r="BK269" s="83">
        <v>0</v>
      </c>
      <c r="BM269" s="83">
        <v>0</v>
      </c>
      <c r="BO269" s="83">
        <v>500</v>
      </c>
      <c r="BQ269" s="83">
        <v>0</v>
      </c>
      <c r="BS269" s="85">
        <v>500</v>
      </c>
      <c r="BU269" s="46">
        <v>0</v>
      </c>
      <c r="BW269" s="46">
        <v>0</v>
      </c>
      <c r="BY269" s="46">
        <v>0</v>
      </c>
      <c r="CA269" s="46">
        <v>1</v>
      </c>
      <c r="CC269" s="46">
        <v>0</v>
      </c>
      <c r="CE269" s="209">
        <v>1</v>
      </c>
      <c r="CH269" s="41">
        <v>2182769</v>
      </c>
      <c r="CJ269" s="41">
        <v>519279</v>
      </c>
      <c r="CL269" s="41">
        <v>88233</v>
      </c>
      <c r="CN269" s="41">
        <v>404401</v>
      </c>
      <c r="CP269" s="43">
        <v>3194682</v>
      </c>
      <c r="CS269" s="39">
        <v>16.608499999999999</v>
      </c>
      <c r="CU269" s="39">
        <v>18.588799999999999</v>
      </c>
      <c r="CW269" s="39">
        <v>0.6714</v>
      </c>
      <c r="CY269" s="39">
        <v>27.9649</v>
      </c>
      <c r="DA269" s="44">
        <v>17.759699999999999</v>
      </c>
      <c r="DC269" s="1" t="str">
        <f t="shared" si="4"/>
        <v>No</v>
      </c>
    </row>
    <row r="270" spans="1:107">
      <c r="A270" s="7" t="s">
        <v>784</v>
      </c>
      <c r="B270" s="7" t="s">
        <v>785</v>
      </c>
      <c r="C270" s="37" t="s">
        <v>84</v>
      </c>
      <c r="D270" s="296">
        <v>6130</v>
      </c>
      <c r="E270" s="297">
        <v>60130</v>
      </c>
      <c r="F270" s="27" t="s">
        <v>195</v>
      </c>
      <c r="G270" s="27" t="s">
        <v>158</v>
      </c>
      <c r="H270" s="35">
        <v>1758210</v>
      </c>
      <c r="I270" s="35">
        <v>38</v>
      </c>
      <c r="J270" s="292"/>
      <c r="K270" s="8">
        <v>81955</v>
      </c>
      <c r="L270" s="8"/>
      <c r="M270" s="8">
        <v>1541</v>
      </c>
      <c r="N270" s="9"/>
      <c r="O270" s="8">
        <v>0</v>
      </c>
      <c r="P270" s="9"/>
      <c r="Q270" s="8">
        <v>9614</v>
      </c>
      <c r="R270" s="9"/>
      <c r="S270" s="8">
        <v>0</v>
      </c>
      <c r="T270" s="9"/>
      <c r="U270" s="33">
        <v>93110</v>
      </c>
      <c r="V270" s="9"/>
      <c r="W270" s="30">
        <v>58.54</v>
      </c>
      <c r="X270" s="9"/>
      <c r="Y270" s="30">
        <v>2</v>
      </c>
      <c r="Z270" s="9"/>
      <c r="AA270" s="30">
        <v>0</v>
      </c>
      <c r="AB270" s="9"/>
      <c r="AC270" s="30">
        <v>6.78</v>
      </c>
      <c r="AD270" s="9"/>
      <c r="AE270" s="80">
        <v>0</v>
      </c>
      <c r="AF270" s="46"/>
      <c r="AG270" s="88">
        <v>67.319999999999993</v>
      </c>
      <c r="AH270" s="47"/>
      <c r="AJ270" s="83">
        <v>81955</v>
      </c>
      <c r="AL270" s="83">
        <v>1541</v>
      </c>
      <c r="AN270" s="83">
        <v>0</v>
      </c>
      <c r="AP270" s="83">
        <v>9614</v>
      </c>
      <c r="AR270" s="83">
        <v>0</v>
      </c>
      <c r="AT270" s="204">
        <v>93110</v>
      </c>
      <c r="AV270" s="46">
        <v>58.54</v>
      </c>
      <c r="AX270" s="46">
        <v>2</v>
      </c>
      <c r="AZ270" s="46">
        <v>0</v>
      </c>
      <c r="BB270" s="46">
        <v>6.78</v>
      </c>
      <c r="BD270" s="46">
        <v>0</v>
      </c>
      <c r="BF270" s="209">
        <v>67.319999999999993</v>
      </c>
      <c r="BI270" s="83">
        <v>0</v>
      </c>
      <c r="BK270" s="83">
        <v>0</v>
      </c>
      <c r="BM270" s="83">
        <v>0</v>
      </c>
      <c r="BO270" s="83">
        <v>0</v>
      </c>
      <c r="BQ270" s="83">
        <v>0</v>
      </c>
      <c r="BS270" s="85">
        <v>0</v>
      </c>
      <c r="BU270" s="46">
        <v>0</v>
      </c>
      <c r="BW270" s="46">
        <v>0</v>
      </c>
      <c r="BY270" s="46">
        <v>0</v>
      </c>
      <c r="CA270" s="46">
        <v>0</v>
      </c>
      <c r="CC270" s="46">
        <v>0</v>
      </c>
      <c r="CE270" s="209">
        <v>0</v>
      </c>
      <c r="CH270" s="41">
        <v>1032595</v>
      </c>
      <c r="CJ270" s="41">
        <v>48757</v>
      </c>
      <c r="CL270" s="41">
        <v>0</v>
      </c>
      <c r="CN270" s="41">
        <v>231775</v>
      </c>
      <c r="CP270" s="43">
        <v>1313127</v>
      </c>
      <c r="CS270" s="39">
        <v>12.599500000000001</v>
      </c>
      <c r="CU270" s="39">
        <v>31.639800000000001</v>
      </c>
      <c r="CW270" s="39">
        <v>0</v>
      </c>
      <c r="CY270" s="39">
        <v>24.1081</v>
      </c>
      <c r="DA270" s="44">
        <v>14.103</v>
      </c>
      <c r="DC270" s="1" t="str">
        <f t="shared" si="4"/>
        <v>No</v>
      </c>
    </row>
    <row r="271" spans="1:107">
      <c r="A271" s="7" t="s">
        <v>573</v>
      </c>
      <c r="B271" s="7" t="s">
        <v>574</v>
      </c>
      <c r="C271" s="37" t="s">
        <v>76</v>
      </c>
      <c r="D271" s="296">
        <v>34</v>
      </c>
      <c r="E271" s="297">
        <v>34</v>
      </c>
      <c r="F271" s="27" t="s">
        <v>165</v>
      </c>
      <c r="G271" s="27" t="s">
        <v>158</v>
      </c>
      <c r="H271" s="35">
        <v>154081</v>
      </c>
      <c r="I271" s="35">
        <v>38</v>
      </c>
      <c r="J271" s="292"/>
      <c r="K271" s="8">
        <v>74708</v>
      </c>
      <c r="L271" s="8"/>
      <c r="M271" s="8">
        <v>13962</v>
      </c>
      <c r="N271" s="9"/>
      <c r="O271" s="8">
        <v>1663</v>
      </c>
      <c r="P271" s="9"/>
      <c r="Q271" s="8">
        <v>21500</v>
      </c>
      <c r="R271" s="9"/>
      <c r="S271" s="8">
        <v>0</v>
      </c>
      <c r="T271" s="9"/>
      <c r="U271" s="33">
        <v>111833</v>
      </c>
      <c r="V271" s="9"/>
      <c r="W271" s="30">
        <v>40</v>
      </c>
      <c r="X271" s="9"/>
      <c r="Y271" s="30">
        <v>7</v>
      </c>
      <c r="Z271" s="9"/>
      <c r="AA271" s="30">
        <v>3</v>
      </c>
      <c r="AB271" s="9"/>
      <c r="AC271" s="30">
        <v>10</v>
      </c>
      <c r="AD271" s="9"/>
      <c r="AE271" s="80">
        <v>0</v>
      </c>
      <c r="AF271" s="46"/>
      <c r="AG271" s="88">
        <v>60</v>
      </c>
      <c r="AH271" s="47"/>
      <c r="AJ271" s="83">
        <v>59388</v>
      </c>
      <c r="AL271" s="83">
        <v>13171</v>
      </c>
      <c r="AN271" s="83">
        <v>0</v>
      </c>
      <c r="AP271" s="83">
        <v>21500</v>
      </c>
      <c r="AR271" s="83">
        <v>0</v>
      </c>
      <c r="AT271" s="204">
        <v>94059</v>
      </c>
      <c r="AV271" s="46">
        <v>28</v>
      </c>
      <c r="AX271" s="46">
        <v>6</v>
      </c>
      <c r="AZ271" s="46">
        <v>0</v>
      </c>
      <c r="BB271" s="46">
        <v>10</v>
      </c>
      <c r="BD271" s="46">
        <v>0</v>
      </c>
      <c r="BF271" s="209">
        <v>60</v>
      </c>
      <c r="BI271" s="83">
        <v>15320</v>
      </c>
      <c r="BK271" s="83">
        <v>791</v>
      </c>
      <c r="BM271" s="83">
        <v>1663</v>
      </c>
      <c r="BO271" s="83">
        <v>0</v>
      </c>
      <c r="BQ271" s="83">
        <v>0</v>
      </c>
      <c r="BS271" s="85">
        <v>17774</v>
      </c>
      <c r="BU271" s="46">
        <v>12</v>
      </c>
      <c r="BW271" s="46">
        <v>1</v>
      </c>
      <c r="BY271" s="46">
        <v>3</v>
      </c>
      <c r="CA271" s="46">
        <v>0</v>
      </c>
      <c r="CC271" s="46">
        <v>0</v>
      </c>
      <c r="CE271" s="209">
        <v>16</v>
      </c>
      <c r="CH271" s="41">
        <v>1813863</v>
      </c>
      <c r="CJ271" s="41">
        <v>316508</v>
      </c>
      <c r="CL271" s="41">
        <v>29132</v>
      </c>
      <c r="CN271" s="41">
        <v>512647</v>
      </c>
      <c r="CP271" s="43">
        <v>2672150</v>
      </c>
      <c r="CS271" s="39">
        <v>24.279399999999999</v>
      </c>
      <c r="CU271" s="39">
        <v>22.6692</v>
      </c>
      <c r="CW271" s="39">
        <v>0.38990000000000002</v>
      </c>
      <c r="CY271" s="39">
        <v>23.844000000000001</v>
      </c>
      <c r="DA271" s="44">
        <v>23.894100000000002</v>
      </c>
      <c r="DC271" s="1" t="str">
        <f t="shared" si="4"/>
        <v>No</v>
      </c>
    </row>
    <row r="272" spans="1:107">
      <c r="A272" s="7" t="s">
        <v>663</v>
      </c>
      <c r="B272" s="7" t="s">
        <v>664</v>
      </c>
      <c r="C272" s="37" t="s">
        <v>69</v>
      </c>
      <c r="D272" s="296">
        <v>6077</v>
      </c>
      <c r="E272" s="297">
        <v>60077</v>
      </c>
      <c r="F272" s="27" t="s">
        <v>162</v>
      </c>
      <c r="G272" s="27" t="s">
        <v>158</v>
      </c>
      <c r="H272" s="35">
        <v>89284</v>
      </c>
      <c r="I272" s="35">
        <v>38</v>
      </c>
      <c r="J272" s="292"/>
      <c r="K272" s="8">
        <v>168489</v>
      </c>
      <c r="L272" s="8"/>
      <c r="M272" s="8">
        <v>23233</v>
      </c>
      <c r="N272" s="9"/>
      <c r="O272" s="8">
        <v>5177</v>
      </c>
      <c r="P272" s="9"/>
      <c r="Q272" s="8">
        <v>17204</v>
      </c>
      <c r="R272" s="9"/>
      <c r="S272" s="8">
        <v>0</v>
      </c>
      <c r="T272" s="9"/>
      <c r="U272" s="33">
        <v>214103</v>
      </c>
      <c r="V272" s="9"/>
      <c r="W272" s="30">
        <v>86.5</v>
      </c>
      <c r="X272" s="9"/>
      <c r="Y272" s="30">
        <v>13</v>
      </c>
      <c r="Z272" s="9"/>
      <c r="AA272" s="30">
        <v>3</v>
      </c>
      <c r="AB272" s="9"/>
      <c r="AC272" s="30">
        <v>9.5</v>
      </c>
      <c r="AD272" s="9"/>
      <c r="AE272" s="80">
        <v>0</v>
      </c>
      <c r="AF272" s="46"/>
      <c r="AG272" s="88">
        <v>112</v>
      </c>
      <c r="AH272" s="47"/>
      <c r="AJ272" s="83">
        <v>168489</v>
      </c>
      <c r="AL272" s="83">
        <v>23233</v>
      </c>
      <c r="AN272" s="83">
        <v>5177</v>
      </c>
      <c r="AP272" s="83">
        <v>17204</v>
      </c>
      <c r="AR272" s="83">
        <v>0</v>
      </c>
      <c r="AT272" s="204">
        <v>214103</v>
      </c>
      <c r="AV272" s="46">
        <v>86.5</v>
      </c>
      <c r="AX272" s="46">
        <v>13</v>
      </c>
      <c r="AZ272" s="46">
        <v>3</v>
      </c>
      <c r="BB272" s="46">
        <v>9.5</v>
      </c>
      <c r="BD272" s="46">
        <v>0</v>
      </c>
      <c r="BF272" s="209">
        <v>112</v>
      </c>
      <c r="BI272" s="83">
        <v>0</v>
      </c>
      <c r="BK272" s="83">
        <v>0</v>
      </c>
      <c r="BM272" s="83">
        <v>0</v>
      </c>
      <c r="BO272" s="83">
        <v>0</v>
      </c>
      <c r="BQ272" s="83">
        <v>0</v>
      </c>
      <c r="BS272" s="85">
        <v>0</v>
      </c>
      <c r="BU272" s="46">
        <v>0</v>
      </c>
      <c r="BW272" s="46">
        <v>0</v>
      </c>
      <c r="BY272" s="46">
        <v>0</v>
      </c>
      <c r="CA272" s="46">
        <v>0</v>
      </c>
      <c r="CC272" s="46">
        <v>0</v>
      </c>
      <c r="CE272" s="209">
        <v>0</v>
      </c>
      <c r="CH272" s="41">
        <v>3197414</v>
      </c>
      <c r="CJ272" s="41">
        <v>597763</v>
      </c>
      <c r="CL272" s="41">
        <v>50197</v>
      </c>
      <c r="CN272" s="41">
        <v>488620</v>
      </c>
      <c r="CP272" s="43">
        <v>4333994</v>
      </c>
      <c r="CS272" s="39">
        <v>18.977</v>
      </c>
      <c r="CU272" s="39">
        <v>25.728999999999999</v>
      </c>
      <c r="CW272" s="39">
        <v>0.2979</v>
      </c>
      <c r="CY272" s="39">
        <v>28.401499999999999</v>
      </c>
      <c r="DA272" s="44">
        <v>20.242599999999999</v>
      </c>
      <c r="DC272" s="1" t="str">
        <f t="shared" si="4"/>
        <v>No</v>
      </c>
    </row>
    <row r="273" spans="1:107">
      <c r="A273" s="7" t="s">
        <v>732</v>
      </c>
      <c r="B273" s="7" t="s">
        <v>438</v>
      </c>
      <c r="C273" s="37" t="s">
        <v>83</v>
      </c>
      <c r="D273" s="296">
        <v>4171</v>
      </c>
      <c r="E273" s="297">
        <v>40171</v>
      </c>
      <c r="F273" s="27" t="s">
        <v>162</v>
      </c>
      <c r="G273" s="27" t="s">
        <v>158</v>
      </c>
      <c r="H273" s="35">
        <v>558696</v>
      </c>
      <c r="I273" s="35">
        <v>37</v>
      </c>
      <c r="J273" s="292"/>
      <c r="K273" s="8">
        <v>88863</v>
      </c>
      <c r="L273" s="8"/>
      <c r="M273" s="8">
        <v>0</v>
      </c>
      <c r="N273" s="9"/>
      <c r="O273" s="8">
        <v>0</v>
      </c>
      <c r="P273" s="9"/>
      <c r="Q273" s="8">
        <v>0</v>
      </c>
      <c r="R273" s="9"/>
      <c r="S273" s="8">
        <v>0</v>
      </c>
      <c r="T273" s="9"/>
      <c r="U273" s="33">
        <v>88863</v>
      </c>
      <c r="V273" s="9"/>
      <c r="W273" s="30">
        <v>44</v>
      </c>
      <c r="X273" s="9"/>
      <c r="Y273" s="30">
        <v>0</v>
      </c>
      <c r="Z273" s="9"/>
      <c r="AA273" s="30">
        <v>0</v>
      </c>
      <c r="AB273" s="9"/>
      <c r="AC273" s="30">
        <v>0</v>
      </c>
      <c r="AD273" s="9"/>
      <c r="AE273" s="80">
        <v>0</v>
      </c>
      <c r="AF273" s="46"/>
      <c r="AG273" s="88">
        <v>44</v>
      </c>
      <c r="AH273" s="47"/>
      <c r="AJ273" s="83">
        <v>88863</v>
      </c>
      <c r="AL273" s="83">
        <v>0</v>
      </c>
      <c r="AN273" s="83">
        <v>0</v>
      </c>
      <c r="AP273" s="83">
        <v>0</v>
      </c>
      <c r="AR273" s="83">
        <v>0</v>
      </c>
      <c r="AT273" s="204">
        <v>88863</v>
      </c>
      <c r="AV273" s="46">
        <v>44</v>
      </c>
      <c r="AX273" s="46">
        <v>0</v>
      </c>
      <c r="AZ273" s="46">
        <v>0</v>
      </c>
      <c r="BB273" s="46">
        <v>0</v>
      </c>
      <c r="BD273" s="46">
        <v>0</v>
      </c>
      <c r="BF273" s="209">
        <v>44</v>
      </c>
      <c r="BI273" s="83">
        <v>0</v>
      </c>
      <c r="BK273" s="83">
        <v>0</v>
      </c>
      <c r="BM273" s="83">
        <v>0</v>
      </c>
      <c r="BO273" s="83">
        <v>0</v>
      </c>
      <c r="BQ273" s="83">
        <v>0</v>
      </c>
      <c r="BS273" s="85">
        <v>0</v>
      </c>
      <c r="BU273" s="46">
        <v>0</v>
      </c>
      <c r="BW273" s="46">
        <v>0</v>
      </c>
      <c r="BY273" s="46">
        <v>0</v>
      </c>
      <c r="CA273" s="46">
        <v>0</v>
      </c>
      <c r="CC273" s="46">
        <v>0</v>
      </c>
      <c r="CE273" s="209">
        <v>0</v>
      </c>
      <c r="CH273" s="41">
        <v>1387278</v>
      </c>
      <c r="CJ273" s="41">
        <v>0</v>
      </c>
      <c r="CL273" s="41">
        <v>0</v>
      </c>
      <c r="CN273" s="41">
        <v>0</v>
      </c>
      <c r="CP273" s="43">
        <v>1387278</v>
      </c>
      <c r="CS273" s="39">
        <v>15.6114</v>
      </c>
      <c r="CW273" s="39">
        <v>0</v>
      </c>
      <c r="DA273" s="44">
        <v>15.6114</v>
      </c>
      <c r="DC273" s="1" t="str">
        <f t="shared" si="4"/>
        <v>No</v>
      </c>
    </row>
    <row r="274" spans="1:107">
      <c r="A274" s="7" t="s">
        <v>309</v>
      </c>
      <c r="B274" s="7" t="s">
        <v>310</v>
      </c>
      <c r="C274" s="37" t="s">
        <v>36</v>
      </c>
      <c r="D274" s="296">
        <v>4058</v>
      </c>
      <c r="E274" s="297">
        <v>40058</v>
      </c>
      <c r="F274" s="27" t="s">
        <v>162</v>
      </c>
      <c r="G274" s="27" t="s">
        <v>158</v>
      </c>
      <c r="H274" s="35">
        <v>60851</v>
      </c>
      <c r="I274" s="35">
        <v>37</v>
      </c>
      <c r="J274" s="292"/>
      <c r="K274" s="8">
        <v>66897</v>
      </c>
      <c r="L274" s="8"/>
      <c r="M274" s="8">
        <v>16987</v>
      </c>
      <c r="N274" s="9"/>
      <c r="O274" s="8">
        <v>3856</v>
      </c>
      <c r="P274" s="9"/>
      <c r="Q274" s="8">
        <v>18328</v>
      </c>
      <c r="R274" s="9"/>
      <c r="S274" s="8">
        <v>0</v>
      </c>
      <c r="T274" s="9"/>
      <c r="U274" s="33">
        <v>106068</v>
      </c>
      <c r="V274" s="9"/>
      <c r="W274" s="30">
        <v>37</v>
      </c>
      <c r="X274" s="9"/>
      <c r="Y274" s="30">
        <v>12</v>
      </c>
      <c r="Z274" s="9"/>
      <c r="AA274" s="30">
        <v>3</v>
      </c>
      <c r="AB274" s="9"/>
      <c r="AC274" s="30">
        <v>13</v>
      </c>
      <c r="AD274" s="9"/>
      <c r="AE274" s="80">
        <v>0</v>
      </c>
      <c r="AF274" s="46"/>
      <c r="AG274" s="88">
        <v>65</v>
      </c>
      <c r="AH274" s="47"/>
      <c r="AJ274" s="83">
        <v>61389</v>
      </c>
      <c r="AL274" s="83">
        <v>15689</v>
      </c>
      <c r="AN274" s="83">
        <v>3639</v>
      </c>
      <c r="AP274" s="83">
        <v>16643</v>
      </c>
      <c r="AR274" s="83">
        <v>0</v>
      </c>
      <c r="AT274" s="204">
        <v>97360</v>
      </c>
      <c r="AV274" s="46">
        <v>32</v>
      </c>
      <c r="AX274" s="46">
        <v>9</v>
      </c>
      <c r="AZ274" s="46">
        <v>2</v>
      </c>
      <c r="BB274" s="46">
        <v>11</v>
      </c>
      <c r="BD274" s="46">
        <v>0</v>
      </c>
      <c r="BF274" s="209">
        <v>65</v>
      </c>
      <c r="BI274" s="83">
        <v>5508</v>
      </c>
      <c r="BK274" s="83">
        <v>1298</v>
      </c>
      <c r="BM274" s="83">
        <v>217</v>
      </c>
      <c r="BO274" s="83">
        <v>1685</v>
      </c>
      <c r="BQ274" s="83">
        <v>0</v>
      </c>
      <c r="BS274" s="85">
        <v>8708</v>
      </c>
      <c r="BU274" s="46">
        <v>5</v>
      </c>
      <c r="BW274" s="46">
        <v>3</v>
      </c>
      <c r="BY274" s="46">
        <v>1</v>
      </c>
      <c r="CA274" s="46">
        <v>2</v>
      </c>
      <c r="CC274" s="46">
        <v>0</v>
      </c>
      <c r="CE274" s="209">
        <v>11</v>
      </c>
      <c r="CH274" s="41">
        <v>936664</v>
      </c>
      <c r="CJ274" s="41">
        <v>175445</v>
      </c>
      <c r="CL274" s="41">
        <v>35793</v>
      </c>
      <c r="CN274" s="41">
        <v>229430</v>
      </c>
      <c r="CP274" s="43">
        <v>1377332</v>
      </c>
      <c r="CS274" s="39">
        <v>14.0016</v>
      </c>
      <c r="CU274" s="39">
        <v>10.328200000000001</v>
      </c>
      <c r="CW274" s="39">
        <v>0.53500000000000003</v>
      </c>
      <c r="CY274" s="39">
        <v>12.518000000000001</v>
      </c>
      <c r="DA274" s="44">
        <v>12.9854</v>
      </c>
      <c r="DC274" s="1" t="str">
        <f t="shared" si="4"/>
        <v>No</v>
      </c>
    </row>
    <row r="275" spans="1:107">
      <c r="A275" s="7" t="s">
        <v>651</v>
      </c>
      <c r="B275" s="7" t="s">
        <v>652</v>
      </c>
      <c r="C275" s="37" t="s">
        <v>44</v>
      </c>
      <c r="D275" s="296">
        <v>7014</v>
      </c>
      <c r="E275" s="297">
        <v>70014</v>
      </c>
      <c r="F275" s="27" t="s">
        <v>165</v>
      </c>
      <c r="G275" s="27" t="s">
        <v>158</v>
      </c>
      <c r="H275" s="35">
        <v>150003</v>
      </c>
      <c r="I275" s="35">
        <v>37</v>
      </c>
      <c r="J275" s="292"/>
      <c r="K275" s="8">
        <v>122584</v>
      </c>
      <c r="L275" s="8"/>
      <c r="M275" s="8">
        <v>21129</v>
      </c>
      <c r="N275" s="9"/>
      <c r="O275" s="8">
        <v>8446</v>
      </c>
      <c r="P275" s="9"/>
      <c r="Q275" s="8">
        <v>20681</v>
      </c>
      <c r="R275" s="9"/>
      <c r="S275" s="8">
        <v>0</v>
      </c>
      <c r="T275" s="9"/>
      <c r="U275" s="33">
        <v>172840</v>
      </c>
      <c r="V275" s="9"/>
      <c r="W275" s="30">
        <v>72.099999999999994</v>
      </c>
      <c r="X275" s="9"/>
      <c r="Y275" s="30">
        <v>11.7</v>
      </c>
      <c r="Z275" s="9"/>
      <c r="AA275" s="30">
        <v>4.7</v>
      </c>
      <c r="AB275" s="9"/>
      <c r="AC275" s="30">
        <v>12.5</v>
      </c>
      <c r="AD275" s="9"/>
      <c r="AE275" s="80">
        <v>0</v>
      </c>
      <c r="AF275" s="46"/>
      <c r="AG275" s="88">
        <v>101</v>
      </c>
      <c r="AH275" s="47"/>
      <c r="AJ275" s="83">
        <v>115009</v>
      </c>
      <c r="AL275" s="83">
        <v>21129</v>
      </c>
      <c r="AN275" s="83">
        <v>8446</v>
      </c>
      <c r="AP275" s="83">
        <v>19454</v>
      </c>
      <c r="AR275" s="83">
        <v>0</v>
      </c>
      <c r="AT275" s="204">
        <v>164038</v>
      </c>
      <c r="AV275" s="46">
        <v>63.9</v>
      </c>
      <c r="AX275" s="46">
        <v>11.7</v>
      </c>
      <c r="AZ275" s="46">
        <v>4.7</v>
      </c>
      <c r="BB275" s="46">
        <v>10.8</v>
      </c>
      <c r="BD275" s="46">
        <v>0</v>
      </c>
      <c r="BF275" s="209">
        <v>101</v>
      </c>
      <c r="BI275" s="83">
        <v>7575</v>
      </c>
      <c r="BK275" s="83">
        <v>0</v>
      </c>
      <c r="BM275" s="83">
        <v>0</v>
      </c>
      <c r="BO275" s="83">
        <v>1227</v>
      </c>
      <c r="BQ275" s="83">
        <v>0</v>
      </c>
      <c r="BS275" s="85">
        <v>8802</v>
      </c>
      <c r="BU275" s="46">
        <v>8.1999999999999993</v>
      </c>
      <c r="BW275" s="46">
        <v>0</v>
      </c>
      <c r="BY275" s="46">
        <v>0</v>
      </c>
      <c r="CA275" s="46">
        <v>1.7</v>
      </c>
      <c r="CC275" s="46">
        <v>0</v>
      </c>
      <c r="CE275" s="209">
        <v>9.9</v>
      </c>
      <c r="CH275" s="41">
        <v>2356326</v>
      </c>
      <c r="CJ275" s="41">
        <v>417448</v>
      </c>
      <c r="CL275" s="41">
        <v>140304</v>
      </c>
      <c r="CN275" s="41">
        <v>521543</v>
      </c>
      <c r="CP275" s="43">
        <v>3435621</v>
      </c>
      <c r="CS275" s="39">
        <v>19.222100000000001</v>
      </c>
      <c r="CU275" s="39">
        <v>19.757100000000001</v>
      </c>
      <c r="CW275" s="39">
        <v>1.1446000000000001</v>
      </c>
      <c r="CY275" s="39">
        <v>25.218499999999999</v>
      </c>
      <c r="DA275" s="44">
        <v>19.877500000000001</v>
      </c>
      <c r="DC275" s="1" t="str">
        <f t="shared" si="4"/>
        <v>No</v>
      </c>
    </row>
    <row r="276" spans="1:107">
      <c r="A276" s="7" t="s">
        <v>394</v>
      </c>
      <c r="B276" s="7" t="s">
        <v>395</v>
      </c>
      <c r="C276" s="37" t="s">
        <v>86</v>
      </c>
      <c r="D276" s="296">
        <v>3008</v>
      </c>
      <c r="E276" s="297">
        <v>30008</v>
      </c>
      <c r="F276" s="27" t="s">
        <v>165</v>
      </c>
      <c r="G276" s="27" t="s">
        <v>158</v>
      </c>
      <c r="H276" s="35">
        <v>116636</v>
      </c>
      <c r="I276" s="35">
        <v>37</v>
      </c>
      <c r="J276" s="292"/>
      <c r="K276" s="8">
        <v>140632</v>
      </c>
      <c r="L276" s="8"/>
      <c r="M276" s="8">
        <v>19357</v>
      </c>
      <c r="N276" s="9"/>
      <c r="O276" s="8">
        <v>15275</v>
      </c>
      <c r="P276" s="9"/>
      <c r="Q276" s="8">
        <v>22284</v>
      </c>
      <c r="R276" s="9"/>
      <c r="S276" s="8">
        <v>0</v>
      </c>
      <c r="T276" s="9"/>
      <c r="U276" s="33">
        <v>197548</v>
      </c>
      <c r="V276" s="9"/>
      <c r="W276" s="30">
        <v>65</v>
      </c>
      <c r="X276" s="9"/>
      <c r="Y276" s="30">
        <v>9.1</v>
      </c>
      <c r="Z276" s="9"/>
      <c r="AA276" s="30">
        <v>9</v>
      </c>
      <c r="AB276" s="9"/>
      <c r="AC276" s="30">
        <v>16</v>
      </c>
      <c r="AD276" s="9"/>
      <c r="AE276" s="80">
        <v>0</v>
      </c>
      <c r="AF276" s="46"/>
      <c r="AG276" s="88">
        <v>99.1</v>
      </c>
      <c r="AH276" s="47"/>
      <c r="AJ276" s="83">
        <v>124295</v>
      </c>
      <c r="AL276" s="83">
        <v>19357</v>
      </c>
      <c r="AN276" s="83">
        <v>10880</v>
      </c>
      <c r="AP276" s="83">
        <v>18607</v>
      </c>
      <c r="AR276" s="83">
        <v>0</v>
      </c>
      <c r="AT276" s="204">
        <v>173139</v>
      </c>
      <c r="AV276" s="46">
        <v>45</v>
      </c>
      <c r="AX276" s="46">
        <v>9.1</v>
      </c>
      <c r="AZ276" s="46">
        <v>6</v>
      </c>
      <c r="BB276" s="46">
        <v>11</v>
      </c>
      <c r="BD276" s="46">
        <v>0</v>
      </c>
      <c r="BF276" s="209">
        <v>99.1</v>
      </c>
      <c r="BI276" s="83">
        <v>16337</v>
      </c>
      <c r="BK276" s="83">
        <v>0</v>
      </c>
      <c r="BM276" s="83">
        <v>4395</v>
      </c>
      <c r="BO276" s="83">
        <v>3677</v>
      </c>
      <c r="BQ276" s="83">
        <v>0</v>
      </c>
      <c r="BS276" s="85">
        <v>24409</v>
      </c>
      <c r="BU276" s="46">
        <v>20</v>
      </c>
      <c r="BW276" s="46">
        <v>0</v>
      </c>
      <c r="BY276" s="46">
        <v>3</v>
      </c>
      <c r="CA276" s="46">
        <v>5</v>
      </c>
      <c r="CC276" s="46">
        <v>0</v>
      </c>
      <c r="CE276" s="209">
        <v>28</v>
      </c>
      <c r="CH276" s="41">
        <v>2435943</v>
      </c>
      <c r="CJ276" s="41">
        <v>441744</v>
      </c>
      <c r="CL276" s="41">
        <v>197240</v>
      </c>
      <c r="CN276" s="41">
        <v>380719</v>
      </c>
      <c r="CP276" s="43">
        <v>3455646</v>
      </c>
      <c r="CS276" s="39">
        <v>17.321400000000001</v>
      </c>
      <c r="CU276" s="39">
        <v>22.820900000000002</v>
      </c>
      <c r="CW276" s="39">
        <v>1.4025000000000001</v>
      </c>
      <c r="CY276" s="39">
        <v>17.084900000000001</v>
      </c>
      <c r="DA276" s="44">
        <v>17.492699999999999</v>
      </c>
      <c r="DC276" s="1" t="str">
        <f t="shared" si="4"/>
        <v>No</v>
      </c>
    </row>
    <row r="277" spans="1:107">
      <c r="A277" s="7" t="s">
        <v>426</v>
      </c>
      <c r="B277" s="7" t="s">
        <v>427</v>
      </c>
      <c r="C277" s="37" t="s">
        <v>86</v>
      </c>
      <c r="D277" s="296">
        <v>3076</v>
      </c>
      <c r="E277" s="297">
        <v>30076</v>
      </c>
      <c r="F277" s="27" t="s">
        <v>165</v>
      </c>
      <c r="G277" s="27" t="s">
        <v>158</v>
      </c>
      <c r="H277" s="35">
        <v>75689</v>
      </c>
      <c r="I277" s="35">
        <v>37</v>
      </c>
      <c r="J277" s="292"/>
      <c r="K277" s="8">
        <v>102251</v>
      </c>
      <c r="L277" s="8"/>
      <c r="M277" s="8">
        <v>0</v>
      </c>
      <c r="N277" s="9"/>
      <c r="O277" s="8">
        <v>0</v>
      </c>
      <c r="P277" s="9"/>
      <c r="Q277" s="8">
        <v>11806</v>
      </c>
      <c r="R277" s="9"/>
      <c r="S277" s="8">
        <v>0</v>
      </c>
      <c r="T277" s="9"/>
      <c r="U277" s="33">
        <v>114057</v>
      </c>
      <c r="V277" s="9"/>
      <c r="W277" s="30">
        <v>84</v>
      </c>
      <c r="X277" s="9"/>
      <c r="Y277" s="30">
        <v>0</v>
      </c>
      <c r="Z277" s="9"/>
      <c r="AA277" s="30">
        <v>0</v>
      </c>
      <c r="AB277" s="9"/>
      <c r="AC277" s="30">
        <v>8</v>
      </c>
      <c r="AD277" s="9"/>
      <c r="AE277" s="80">
        <v>0</v>
      </c>
      <c r="AF277" s="46"/>
      <c r="AG277" s="88">
        <v>92</v>
      </c>
      <c r="AH277" s="47"/>
      <c r="AJ277" s="83">
        <v>80260</v>
      </c>
      <c r="AL277" s="83">
        <v>0</v>
      </c>
      <c r="AN277" s="83">
        <v>0</v>
      </c>
      <c r="AP277" s="83">
        <v>10291</v>
      </c>
      <c r="AR277" s="83">
        <v>0</v>
      </c>
      <c r="AT277" s="204">
        <v>90551</v>
      </c>
      <c r="AV277" s="46">
        <v>46</v>
      </c>
      <c r="AX277" s="46">
        <v>0</v>
      </c>
      <c r="AZ277" s="46">
        <v>0</v>
      </c>
      <c r="BB277" s="46">
        <v>6</v>
      </c>
      <c r="BD277" s="46">
        <v>0</v>
      </c>
      <c r="BF277" s="209">
        <v>92</v>
      </c>
      <c r="BI277" s="83">
        <v>21991</v>
      </c>
      <c r="BK277" s="83">
        <v>0</v>
      </c>
      <c r="BM277" s="83">
        <v>0</v>
      </c>
      <c r="BO277" s="83">
        <v>1515</v>
      </c>
      <c r="BQ277" s="83">
        <v>0</v>
      </c>
      <c r="BS277" s="85">
        <v>23506</v>
      </c>
      <c r="BU277" s="46">
        <v>38</v>
      </c>
      <c r="BW277" s="46">
        <v>0</v>
      </c>
      <c r="BY277" s="46">
        <v>0</v>
      </c>
      <c r="CA277" s="46">
        <v>2</v>
      </c>
      <c r="CC277" s="46">
        <v>0</v>
      </c>
      <c r="CE277" s="209">
        <v>40</v>
      </c>
      <c r="CH277" s="41">
        <v>1591920</v>
      </c>
      <c r="CJ277" s="41">
        <v>0</v>
      </c>
      <c r="CL277" s="41">
        <v>0</v>
      </c>
      <c r="CN277" s="41">
        <v>418952</v>
      </c>
      <c r="CP277" s="43">
        <v>2010872</v>
      </c>
      <c r="CS277" s="39">
        <v>15.5687</v>
      </c>
      <c r="CW277" s="39">
        <v>0</v>
      </c>
      <c r="CY277" s="39">
        <v>35.486400000000003</v>
      </c>
      <c r="DA277" s="44">
        <v>17.630400000000002</v>
      </c>
      <c r="DC277" s="1" t="str">
        <f t="shared" si="4"/>
        <v>No</v>
      </c>
    </row>
    <row r="278" spans="1:107">
      <c r="A278" s="7" t="s">
        <v>484</v>
      </c>
      <c r="B278" s="7" t="s">
        <v>485</v>
      </c>
      <c r="C278" s="37" t="s">
        <v>42</v>
      </c>
      <c r="D278" s="296">
        <v>5043</v>
      </c>
      <c r="E278" s="297">
        <v>50043</v>
      </c>
      <c r="F278" s="27" t="s">
        <v>162</v>
      </c>
      <c r="G278" s="27" t="s">
        <v>158</v>
      </c>
      <c r="H278" s="35">
        <v>229351</v>
      </c>
      <c r="I278" s="35">
        <v>37</v>
      </c>
      <c r="J278" s="292"/>
      <c r="K278" s="8">
        <v>137912</v>
      </c>
      <c r="L278" s="8"/>
      <c r="M278" s="8">
        <v>26634</v>
      </c>
      <c r="N278" s="9"/>
      <c r="O278" s="8">
        <v>2757</v>
      </c>
      <c r="P278" s="9"/>
      <c r="Q278" s="8">
        <v>7839</v>
      </c>
      <c r="R278" s="9"/>
      <c r="S278" s="8">
        <v>0</v>
      </c>
      <c r="T278" s="9"/>
      <c r="U278" s="33">
        <v>175142</v>
      </c>
      <c r="V278" s="9"/>
      <c r="W278" s="30">
        <v>75.099999999999994</v>
      </c>
      <c r="X278" s="9"/>
      <c r="Y278" s="30">
        <v>18.600000000000001</v>
      </c>
      <c r="Z278" s="9"/>
      <c r="AA278" s="30">
        <v>7.3</v>
      </c>
      <c r="AB278" s="9"/>
      <c r="AC278" s="30">
        <v>5.0999999999999996</v>
      </c>
      <c r="AD278" s="9"/>
      <c r="AE278" s="80">
        <v>0</v>
      </c>
      <c r="AF278" s="46"/>
      <c r="AG278" s="88">
        <v>106.1</v>
      </c>
      <c r="AH278" s="47"/>
      <c r="AJ278" s="83">
        <v>108844</v>
      </c>
      <c r="AL278" s="83">
        <v>19924</v>
      </c>
      <c r="AN278" s="83">
        <v>573</v>
      </c>
      <c r="AP278" s="83">
        <v>7839</v>
      </c>
      <c r="AR278" s="83">
        <v>0</v>
      </c>
      <c r="AT278" s="204">
        <v>137180</v>
      </c>
      <c r="AV278" s="46">
        <v>57.1</v>
      </c>
      <c r="AX278" s="46">
        <v>10.6</v>
      </c>
      <c r="AZ278" s="46">
        <v>4.3</v>
      </c>
      <c r="BB278" s="46">
        <v>5.0999999999999996</v>
      </c>
      <c r="BD278" s="46">
        <v>0</v>
      </c>
      <c r="BF278" s="209">
        <v>106.1</v>
      </c>
      <c r="BI278" s="83">
        <v>29068</v>
      </c>
      <c r="BK278" s="83">
        <v>6710</v>
      </c>
      <c r="BM278" s="83">
        <v>2184</v>
      </c>
      <c r="BO278" s="83">
        <v>0</v>
      </c>
      <c r="BQ278" s="83">
        <v>0</v>
      </c>
      <c r="BS278" s="85">
        <v>37962</v>
      </c>
      <c r="BU278" s="46">
        <v>18</v>
      </c>
      <c r="BW278" s="46">
        <v>8</v>
      </c>
      <c r="BY278" s="46">
        <v>3</v>
      </c>
      <c r="CA278" s="46">
        <v>0</v>
      </c>
      <c r="CC278" s="46">
        <v>0</v>
      </c>
      <c r="CE278" s="209">
        <v>29</v>
      </c>
      <c r="CH278" s="41">
        <v>2731653</v>
      </c>
      <c r="CJ278" s="41">
        <v>473157</v>
      </c>
      <c r="CL278" s="41">
        <v>30104</v>
      </c>
      <c r="CN278" s="41">
        <v>170574</v>
      </c>
      <c r="CP278" s="43">
        <v>3405488</v>
      </c>
      <c r="CS278" s="39">
        <v>19.807200000000002</v>
      </c>
      <c r="CU278" s="39">
        <v>17.7651</v>
      </c>
      <c r="CW278" s="39">
        <v>0.21829999999999999</v>
      </c>
      <c r="CY278" s="39">
        <v>21.759699999999999</v>
      </c>
      <c r="DA278" s="44">
        <v>19.444199999999999</v>
      </c>
      <c r="DC278" s="1" t="str">
        <f t="shared" si="4"/>
        <v>No</v>
      </c>
    </row>
    <row r="279" spans="1:107">
      <c r="A279" s="7" t="s">
        <v>322</v>
      </c>
      <c r="B279" s="7" t="s">
        <v>323</v>
      </c>
      <c r="C279" s="37" t="s">
        <v>55</v>
      </c>
      <c r="D279" s="296">
        <v>7016</v>
      </c>
      <c r="E279" s="297">
        <v>70016</v>
      </c>
      <c r="F279" s="27" t="s">
        <v>162</v>
      </c>
      <c r="G279" s="27" t="s">
        <v>158</v>
      </c>
      <c r="H279" s="35">
        <v>124748</v>
      </c>
      <c r="I279" s="35">
        <v>37</v>
      </c>
      <c r="J279" s="292"/>
      <c r="K279" s="8">
        <v>156730</v>
      </c>
      <c r="L279" s="8"/>
      <c r="M279" s="8">
        <v>8794</v>
      </c>
      <c r="N279" s="9"/>
      <c r="O279" s="8">
        <v>0</v>
      </c>
      <c r="P279" s="9"/>
      <c r="Q279" s="8">
        <v>6597</v>
      </c>
      <c r="R279" s="9"/>
      <c r="S279" s="8">
        <v>0</v>
      </c>
      <c r="T279" s="9"/>
      <c r="U279" s="33">
        <v>172121</v>
      </c>
      <c r="V279" s="9"/>
      <c r="W279" s="30">
        <v>124</v>
      </c>
      <c r="X279" s="9"/>
      <c r="Y279" s="30">
        <v>5</v>
      </c>
      <c r="Z279" s="9"/>
      <c r="AA279" s="30">
        <v>0</v>
      </c>
      <c r="AB279" s="9"/>
      <c r="AC279" s="30">
        <v>6</v>
      </c>
      <c r="AD279" s="9"/>
      <c r="AE279" s="80">
        <v>0</v>
      </c>
      <c r="AF279" s="46"/>
      <c r="AG279" s="88">
        <v>135</v>
      </c>
      <c r="AH279" s="47"/>
      <c r="AJ279" s="83">
        <v>112570</v>
      </c>
      <c r="AL279" s="83">
        <v>8173</v>
      </c>
      <c r="AN279" s="83">
        <v>0</v>
      </c>
      <c r="AP279" s="83">
        <v>6102</v>
      </c>
      <c r="AR279" s="83">
        <v>0</v>
      </c>
      <c r="AT279" s="204">
        <v>126845</v>
      </c>
      <c r="AV279" s="46">
        <v>49</v>
      </c>
      <c r="AX279" s="46">
        <v>4</v>
      </c>
      <c r="AZ279" s="46">
        <v>0</v>
      </c>
      <c r="BB279" s="46">
        <v>4</v>
      </c>
      <c r="BD279" s="46">
        <v>0</v>
      </c>
      <c r="BF279" s="209">
        <v>135</v>
      </c>
      <c r="BI279" s="83">
        <v>44160</v>
      </c>
      <c r="BK279" s="83">
        <v>621</v>
      </c>
      <c r="BM279" s="83">
        <v>0</v>
      </c>
      <c r="BO279" s="83">
        <v>495</v>
      </c>
      <c r="BQ279" s="83">
        <v>0</v>
      </c>
      <c r="BS279" s="85">
        <v>45276</v>
      </c>
      <c r="BU279" s="46">
        <v>75</v>
      </c>
      <c r="BW279" s="46">
        <v>1</v>
      </c>
      <c r="BY279" s="46">
        <v>0</v>
      </c>
      <c r="CA279" s="46">
        <v>2</v>
      </c>
      <c r="CC279" s="46">
        <v>0</v>
      </c>
      <c r="CE279" s="209">
        <v>78</v>
      </c>
      <c r="CH279" s="41">
        <v>2472763</v>
      </c>
      <c r="CJ279" s="41">
        <v>235279</v>
      </c>
      <c r="CL279" s="41">
        <v>0</v>
      </c>
      <c r="CN279" s="41">
        <v>172726</v>
      </c>
      <c r="CP279" s="43">
        <v>2880768</v>
      </c>
      <c r="CS279" s="39">
        <v>15.777200000000001</v>
      </c>
      <c r="CU279" s="39">
        <v>26.7545</v>
      </c>
      <c r="CW279" s="39">
        <v>0</v>
      </c>
      <c r="CY279" s="39">
        <v>26.182500000000001</v>
      </c>
      <c r="DA279" s="44">
        <v>16.736899999999999</v>
      </c>
      <c r="DC279" s="1" t="str">
        <f t="shared" si="4"/>
        <v>No</v>
      </c>
    </row>
    <row r="280" spans="1:107">
      <c r="A280" s="7" t="s">
        <v>645</v>
      </c>
      <c r="B280" s="7" t="s">
        <v>646</v>
      </c>
      <c r="C280" s="37" t="s">
        <v>96</v>
      </c>
      <c r="D280" s="296">
        <v>3002</v>
      </c>
      <c r="E280" s="297">
        <v>30002</v>
      </c>
      <c r="F280" s="27" t="s">
        <v>165</v>
      </c>
      <c r="G280" s="27" t="s">
        <v>158</v>
      </c>
      <c r="H280" s="35">
        <v>202637</v>
      </c>
      <c r="I280" s="35">
        <v>37</v>
      </c>
      <c r="J280" s="292"/>
      <c r="K280" s="8">
        <v>107668</v>
      </c>
      <c r="L280" s="8"/>
      <c r="M280" s="8">
        <v>15386</v>
      </c>
      <c r="N280" s="9"/>
      <c r="O280" s="8">
        <v>8842</v>
      </c>
      <c r="P280" s="9"/>
      <c r="Q280" s="8">
        <v>8335</v>
      </c>
      <c r="R280" s="9"/>
      <c r="S280" s="8">
        <v>0</v>
      </c>
      <c r="T280" s="9"/>
      <c r="U280" s="33">
        <v>140231</v>
      </c>
      <c r="V280" s="9"/>
      <c r="W280" s="30">
        <v>58</v>
      </c>
      <c r="X280" s="9"/>
      <c r="Y280" s="30">
        <v>8</v>
      </c>
      <c r="Z280" s="9"/>
      <c r="AA280" s="30">
        <v>5</v>
      </c>
      <c r="AB280" s="9"/>
      <c r="AC280" s="30">
        <v>5</v>
      </c>
      <c r="AD280" s="9"/>
      <c r="AE280" s="80">
        <v>0</v>
      </c>
      <c r="AF280" s="46"/>
      <c r="AG280" s="88">
        <v>76</v>
      </c>
      <c r="AH280" s="47"/>
      <c r="AJ280" s="83">
        <v>106396</v>
      </c>
      <c r="AL280" s="83">
        <v>15386</v>
      </c>
      <c r="AN280" s="83">
        <v>8842</v>
      </c>
      <c r="AP280" s="83">
        <v>7394</v>
      </c>
      <c r="AR280" s="83">
        <v>0</v>
      </c>
      <c r="AT280" s="204">
        <v>138018</v>
      </c>
      <c r="AV280" s="46">
        <v>56</v>
      </c>
      <c r="AX280" s="46">
        <v>8</v>
      </c>
      <c r="AZ280" s="46">
        <v>5</v>
      </c>
      <c r="BB280" s="46">
        <v>4</v>
      </c>
      <c r="BD280" s="46">
        <v>0</v>
      </c>
      <c r="BF280" s="209">
        <v>76</v>
      </c>
      <c r="BI280" s="83">
        <v>1272</v>
      </c>
      <c r="BK280" s="83">
        <v>0</v>
      </c>
      <c r="BM280" s="83">
        <v>0</v>
      </c>
      <c r="BO280" s="83">
        <v>941</v>
      </c>
      <c r="BQ280" s="83">
        <v>0</v>
      </c>
      <c r="BS280" s="85">
        <v>2213</v>
      </c>
      <c r="BU280" s="46">
        <v>2</v>
      </c>
      <c r="BW280" s="46">
        <v>0</v>
      </c>
      <c r="BY280" s="46">
        <v>0</v>
      </c>
      <c r="CA280" s="46">
        <v>1</v>
      </c>
      <c r="CC280" s="46">
        <v>0</v>
      </c>
      <c r="CE280" s="209">
        <v>3</v>
      </c>
      <c r="CH280" s="41">
        <v>1942108</v>
      </c>
      <c r="CJ280" s="41">
        <v>350947</v>
      </c>
      <c r="CL280" s="41">
        <v>132180</v>
      </c>
      <c r="CN280" s="41">
        <v>316018</v>
      </c>
      <c r="CP280" s="43">
        <v>2741253</v>
      </c>
      <c r="CS280" s="39">
        <v>18.0379</v>
      </c>
      <c r="CU280" s="39">
        <v>22.8095</v>
      </c>
      <c r="CW280" s="39">
        <v>1.2277</v>
      </c>
      <c r="CY280" s="39">
        <v>37.9146</v>
      </c>
      <c r="DA280" s="44">
        <v>19.548100000000002</v>
      </c>
      <c r="DC280" s="1" t="str">
        <f t="shared" si="4"/>
        <v>No</v>
      </c>
    </row>
    <row r="281" spans="1:107">
      <c r="A281" s="7" t="s">
        <v>512</v>
      </c>
      <c r="B281" s="7" t="s">
        <v>513</v>
      </c>
      <c r="C281" s="37" t="s">
        <v>42</v>
      </c>
      <c r="D281" s="296">
        <v>5054</v>
      </c>
      <c r="E281" s="297">
        <v>50054</v>
      </c>
      <c r="F281" s="27" t="s">
        <v>162</v>
      </c>
      <c r="G281" s="27" t="s">
        <v>158</v>
      </c>
      <c r="H281" s="35">
        <v>90580</v>
      </c>
      <c r="I281" s="35">
        <v>36</v>
      </c>
      <c r="J281" s="292"/>
      <c r="K281" s="8">
        <v>102070</v>
      </c>
      <c r="L281" s="8"/>
      <c r="M281" s="8">
        <v>13128</v>
      </c>
      <c r="N281" s="9"/>
      <c r="O281" s="8">
        <v>2711</v>
      </c>
      <c r="P281" s="9"/>
      <c r="Q281" s="8">
        <v>17073</v>
      </c>
      <c r="R281" s="9"/>
      <c r="S281" s="8">
        <v>0</v>
      </c>
      <c r="T281" s="9"/>
      <c r="U281" s="33">
        <v>134982</v>
      </c>
      <c r="V281" s="9"/>
      <c r="W281" s="30">
        <v>52</v>
      </c>
      <c r="X281" s="9"/>
      <c r="Y281" s="30">
        <v>6.5</v>
      </c>
      <c r="Z281" s="9"/>
      <c r="AA281" s="30">
        <v>2</v>
      </c>
      <c r="AB281" s="9"/>
      <c r="AC281" s="30">
        <v>11</v>
      </c>
      <c r="AD281" s="9"/>
      <c r="AE281" s="80">
        <v>0</v>
      </c>
      <c r="AF281" s="46"/>
      <c r="AG281" s="88">
        <v>71.5</v>
      </c>
      <c r="AH281" s="47"/>
      <c r="AJ281" s="83">
        <v>88291</v>
      </c>
      <c r="AL281" s="83">
        <v>13128</v>
      </c>
      <c r="AN281" s="83">
        <v>1629</v>
      </c>
      <c r="AP281" s="83">
        <v>17073</v>
      </c>
      <c r="AR281" s="83">
        <v>0</v>
      </c>
      <c r="AT281" s="204">
        <v>120121</v>
      </c>
      <c r="AV281" s="46">
        <v>41</v>
      </c>
      <c r="AX281" s="46">
        <v>6.5</v>
      </c>
      <c r="AZ281" s="46">
        <v>1</v>
      </c>
      <c r="BB281" s="46">
        <v>11</v>
      </c>
      <c r="BD281" s="46">
        <v>0</v>
      </c>
      <c r="BF281" s="209">
        <v>71.5</v>
      </c>
      <c r="BI281" s="83">
        <v>13779</v>
      </c>
      <c r="BK281" s="83">
        <v>0</v>
      </c>
      <c r="BM281" s="83">
        <v>1082</v>
      </c>
      <c r="BO281" s="83">
        <v>0</v>
      </c>
      <c r="BQ281" s="83">
        <v>0</v>
      </c>
      <c r="BS281" s="85">
        <v>14861</v>
      </c>
      <c r="BU281" s="46">
        <v>11</v>
      </c>
      <c r="BW281" s="46">
        <v>0</v>
      </c>
      <c r="BY281" s="46">
        <v>1</v>
      </c>
      <c r="CA281" s="46">
        <v>0</v>
      </c>
      <c r="CC281" s="46">
        <v>0</v>
      </c>
      <c r="CE281" s="209">
        <v>12</v>
      </c>
      <c r="CH281" s="41">
        <v>2355727</v>
      </c>
      <c r="CJ281" s="41">
        <v>318470</v>
      </c>
      <c r="CL281" s="41">
        <v>58387</v>
      </c>
      <c r="CN281" s="41">
        <v>339268</v>
      </c>
      <c r="CP281" s="43">
        <v>3071852</v>
      </c>
      <c r="CS281" s="39">
        <v>23.079499999999999</v>
      </c>
      <c r="CU281" s="39">
        <v>24.258800000000001</v>
      </c>
      <c r="CW281" s="39">
        <v>0.57199999999999995</v>
      </c>
      <c r="CY281" s="39">
        <v>19.871600000000001</v>
      </c>
      <c r="DA281" s="44">
        <v>22.7575</v>
      </c>
      <c r="DC281" s="1" t="str">
        <f t="shared" si="4"/>
        <v>No</v>
      </c>
    </row>
    <row r="282" spans="1:107">
      <c r="A282" s="7" t="s">
        <v>225</v>
      </c>
      <c r="B282" s="7" t="s">
        <v>226</v>
      </c>
      <c r="C282" s="37" t="s">
        <v>40</v>
      </c>
      <c r="D282" s="296">
        <v>5047</v>
      </c>
      <c r="E282" s="297">
        <v>50047</v>
      </c>
      <c r="F282" s="27" t="s">
        <v>165</v>
      </c>
      <c r="G282" s="27" t="s">
        <v>158</v>
      </c>
      <c r="H282" s="35">
        <v>132600</v>
      </c>
      <c r="I282" s="35">
        <v>36</v>
      </c>
      <c r="J282" s="292"/>
      <c r="K282" s="8">
        <v>160194</v>
      </c>
      <c r="L282" s="8"/>
      <c r="M282" s="8">
        <v>20960</v>
      </c>
      <c r="N282" s="9"/>
      <c r="O282" s="8">
        <v>9863</v>
      </c>
      <c r="P282" s="9"/>
      <c r="Q282" s="8">
        <v>29183</v>
      </c>
      <c r="R282" s="9"/>
      <c r="S282" s="8">
        <v>0</v>
      </c>
      <c r="T282" s="9"/>
      <c r="U282" s="33">
        <v>220200</v>
      </c>
      <c r="V282" s="9"/>
      <c r="W282" s="30">
        <v>91</v>
      </c>
      <c r="X282" s="9"/>
      <c r="Y282" s="30">
        <v>11.56</v>
      </c>
      <c r="Z282" s="9"/>
      <c r="AA282" s="30">
        <v>5.44</v>
      </c>
      <c r="AB282" s="9"/>
      <c r="AC282" s="30">
        <v>18</v>
      </c>
      <c r="AD282" s="9"/>
      <c r="AE282" s="80">
        <v>0</v>
      </c>
      <c r="AF282" s="46"/>
      <c r="AG282" s="88">
        <v>126</v>
      </c>
      <c r="AH282" s="47"/>
      <c r="AJ282" s="83">
        <v>157942</v>
      </c>
      <c r="AL282" s="83">
        <v>20960</v>
      </c>
      <c r="AN282" s="83">
        <v>9863</v>
      </c>
      <c r="AP282" s="83">
        <v>29183</v>
      </c>
      <c r="AR282" s="83">
        <v>0</v>
      </c>
      <c r="AT282" s="204">
        <v>217948</v>
      </c>
      <c r="AV282" s="46">
        <v>89</v>
      </c>
      <c r="AX282" s="46">
        <v>11.56</v>
      </c>
      <c r="AZ282" s="46">
        <v>5.44</v>
      </c>
      <c r="BB282" s="46">
        <v>18</v>
      </c>
      <c r="BD282" s="46">
        <v>0</v>
      </c>
      <c r="BF282" s="209">
        <v>126</v>
      </c>
      <c r="BI282" s="83">
        <v>2252</v>
      </c>
      <c r="BK282" s="83">
        <v>0</v>
      </c>
      <c r="BM282" s="83">
        <v>0</v>
      </c>
      <c r="BO282" s="83">
        <v>0</v>
      </c>
      <c r="BQ282" s="83">
        <v>0</v>
      </c>
      <c r="BS282" s="85">
        <v>2252</v>
      </c>
      <c r="BU282" s="46">
        <v>2</v>
      </c>
      <c r="BW282" s="46">
        <v>0</v>
      </c>
      <c r="BY282" s="46">
        <v>0</v>
      </c>
      <c r="CA282" s="46">
        <v>0</v>
      </c>
      <c r="CC282" s="46">
        <v>0</v>
      </c>
      <c r="CE282" s="209">
        <v>2</v>
      </c>
      <c r="CH282" s="41">
        <v>3730468</v>
      </c>
      <c r="CJ282" s="41">
        <v>521971</v>
      </c>
      <c r="CL282" s="41">
        <v>243066</v>
      </c>
      <c r="CN282" s="41">
        <v>876633</v>
      </c>
      <c r="CP282" s="43">
        <v>5372138</v>
      </c>
      <c r="CS282" s="39">
        <v>23.287199999999999</v>
      </c>
      <c r="CU282" s="39">
        <v>24.903199999999998</v>
      </c>
      <c r="CW282" s="39">
        <v>1.5173000000000001</v>
      </c>
      <c r="CY282" s="39">
        <v>30.039200000000001</v>
      </c>
      <c r="DA282" s="44">
        <v>24.396599999999999</v>
      </c>
      <c r="DC282" s="1" t="str">
        <f t="shared" si="4"/>
        <v>No</v>
      </c>
    </row>
    <row r="283" spans="1:107">
      <c r="A283" s="7" t="s">
        <v>50</v>
      </c>
      <c r="B283" s="7" t="s">
        <v>376</v>
      </c>
      <c r="C283" s="37" t="s">
        <v>48</v>
      </c>
      <c r="D283" s="296">
        <v>3072</v>
      </c>
      <c r="E283" s="297">
        <v>30072</v>
      </c>
      <c r="F283" s="27" t="s">
        <v>162</v>
      </c>
      <c r="G283" s="27" t="s">
        <v>158</v>
      </c>
      <c r="H283" s="35">
        <v>141576</v>
      </c>
      <c r="I283" s="35">
        <v>36</v>
      </c>
      <c r="J283" s="292"/>
      <c r="K283" s="8">
        <v>108298</v>
      </c>
      <c r="L283" s="8"/>
      <c r="M283" s="8">
        <v>1526</v>
      </c>
      <c r="N283" s="9"/>
      <c r="O283" s="8">
        <v>0</v>
      </c>
      <c r="P283" s="9"/>
      <c r="Q283" s="8">
        <v>29868</v>
      </c>
      <c r="R283" s="9"/>
      <c r="S283" s="8">
        <v>0</v>
      </c>
      <c r="T283" s="9"/>
      <c r="U283" s="33">
        <v>139692</v>
      </c>
      <c r="V283" s="9"/>
      <c r="W283" s="30">
        <v>68.75</v>
      </c>
      <c r="X283" s="9"/>
      <c r="Y283" s="30">
        <v>1</v>
      </c>
      <c r="Z283" s="9"/>
      <c r="AA283" s="30">
        <v>0</v>
      </c>
      <c r="AB283" s="9"/>
      <c r="AC283" s="30">
        <v>18.82</v>
      </c>
      <c r="AD283" s="9"/>
      <c r="AE283" s="80">
        <v>0</v>
      </c>
      <c r="AF283" s="46"/>
      <c r="AG283" s="88">
        <v>88.57</v>
      </c>
      <c r="AH283" s="47"/>
      <c r="AJ283" s="83">
        <v>88257</v>
      </c>
      <c r="AL283" s="83">
        <v>1526</v>
      </c>
      <c r="AN283" s="83">
        <v>0</v>
      </c>
      <c r="AP283" s="83">
        <v>28925</v>
      </c>
      <c r="AR283" s="83">
        <v>0</v>
      </c>
      <c r="AT283" s="204">
        <v>118708</v>
      </c>
      <c r="AV283" s="46">
        <v>44</v>
      </c>
      <c r="AX283" s="46">
        <v>1</v>
      </c>
      <c r="AZ283" s="46">
        <v>0</v>
      </c>
      <c r="BB283" s="46">
        <v>17.829999999999998</v>
      </c>
      <c r="BD283" s="46">
        <v>0</v>
      </c>
      <c r="BF283" s="209">
        <v>88.57</v>
      </c>
      <c r="BI283" s="83">
        <v>20041</v>
      </c>
      <c r="BK283" s="83">
        <v>0</v>
      </c>
      <c r="BM283" s="83">
        <v>0</v>
      </c>
      <c r="BO283" s="83">
        <v>943</v>
      </c>
      <c r="BQ283" s="83">
        <v>0</v>
      </c>
      <c r="BS283" s="85">
        <v>20984</v>
      </c>
      <c r="BU283" s="46">
        <v>24.75</v>
      </c>
      <c r="BW283" s="46">
        <v>0</v>
      </c>
      <c r="BY283" s="46">
        <v>0</v>
      </c>
      <c r="CA283" s="46">
        <v>0.99</v>
      </c>
      <c r="CC283" s="46">
        <v>0</v>
      </c>
      <c r="CE283" s="209">
        <v>25.74</v>
      </c>
      <c r="CH283" s="41">
        <v>2397839</v>
      </c>
      <c r="CJ283" s="41">
        <v>21889</v>
      </c>
      <c r="CL283" s="41">
        <v>0</v>
      </c>
      <c r="CN283" s="41">
        <v>589972</v>
      </c>
      <c r="CP283" s="43">
        <v>3009700</v>
      </c>
      <c r="CS283" s="39">
        <v>22.141100000000002</v>
      </c>
      <c r="CU283" s="39">
        <v>14.343999999999999</v>
      </c>
      <c r="CW283" s="39">
        <v>0</v>
      </c>
      <c r="CY283" s="39">
        <v>19.752600000000001</v>
      </c>
      <c r="DA283" s="44">
        <v>21.545300000000001</v>
      </c>
      <c r="DC283" s="1" t="str">
        <f t="shared" si="4"/>
        <v>No</v>
      </c>
    </row>
    <row r="284" spans="1:107">
      <c r="A284" s="7" t="s">
        <v>668</v>
      </c>
      <c r="B284" s="7" t="s">
        <v>669</v>
      </c>
      <c r="C284" s="37" t="s">
        <v>17</v>
      </c>
      <c r="D284" s="296">
        <v>9142</v>
      </c>
      <c r="E284" s="297">
        <v>90142</v>
      </c>
      <c r="F284" s="27" t="s">
        <v>114</v>
      </c>
      <c r="G284" s="27" t="s">
        <v>158</v>
      </c>
      <c r="H284" s="35">
        <v>72794</v>
      </c>
      <c r="I284" s="35">
        <v>36</v>
      </c>
      <c r="J284" s="292"/>
      <c r="K284" s="8">
        <v>160690</v>
      </c>
      <c r="L284" s="8"/>
      <c r="M284" s="8">
        <v>33403</v>
      </c>
      <c r="N284" s="9"/>
      <c r="O284" s="8">
        <v>2131</v>
      </c>
      <c r="P284" s="9"/>
      <c r="Q284" s="8">
        <v>18743</v>
      </c>
      <c r="R284" s="9"/>
      <c r="S284" s="8">
        <v>0</v>
      </c>
      <c r="T284" s="9"/>
      <c r="U284" s="33">
        <v>214967</v>
      </c>
      <c r="V284" s="9"/>
      <c r="W284" s="30">
        <v>242</v>
      </c>
      <c r="X284" s="9"/>
      <c r="Y284" s="30">
        <v>39.5</v>
      </c>
      <c r="Z284" s="9"/>
      <c r="AA284" s="30">
        <v>1.5</v>
      </c>
      <c r="AB284" s="9"/>
      <c r="AC284" s="30">
        <v>24</v>
      </c>
      <c r="AD284" s="9"/>
      <c r="AE284" s="80">
        <v>0</v>
      </c>
      <c r="AF284" s="46"/>
      <c r="AG284" s="88">
        <v>307</v>
      </c>
      <c r="AH284" s="47"/>
      <c r="AJ284" s="83">
        <v>3853</v>
      </c>
      <c r="AL284" s="83">
        <v>13540</v>
      </c>
      <c r="AN284" s="83">
        <v>884</v>
      </c>
      <c r="AP284" s="83">
        <v>7238</v>
      </c>
      <c r="AR284" s="83">
        <v>0</v>
      </c>
      <c r="AT284" s="204">
        <v>25515</v>
      </c>
      <c r="AV284" s="46">
        <v>2</v>
      </c>
      <c r="AX284" s="46">
        <v>8.5</v>
      </c>
      <c r="AZ284" s="46">
        <v>0.5</v>
      </c>
      <c r="BB284" s="46">
        <v>4</v>
      </c>
      <c r="BD284" s="46">
        <v>0</v>
      </c>
      <c r="BF284" s="209">
        <v>307</v>
      </c>
      <c r="BI284" s="83">
        <v>156837</v>
      </c>
      <c r="BK284" s="83">
        <v>19863</v>
      </c>
      <c r="BM284" s="83">
        <v>1247</v>
      </c>
      <c r="BO284" s="83">
        <v>11505</v>
      </c>
      <c r="BQ284" s="83">
        <v>0</v>
      </c>
      <c r="BS284" s="85">
        <v>189452</v>
      </c>
      <c r="BU284" s="46">
        <v>240</v>
      </c>
      <c r="BW284" s="46">
        <v>31</v>
      </c>
      <c r="BY284" s="46">
        <v>1</v>
      </c>
      <c r="CA284" s="46">
        <v>20</v>
      </c>
      <c r="CC284" s="46">
        <v>0</v>
      </c>
      <c r="CE284" s="209">
        <v>292</v>
      </c>
      <c r="CH284" s="41">
        <v>2034664</v>
      </c>
      <c r="CJ284" s="41">
        <v>764278</v>
      </c>
      <c r="CL284" s="41">
        <v>72902</v>
      </c>
      <c r="CN284" s="41">
        <v>419377</v>
      </c>
      <c r="CP284" s="43">
        <v>3291221</v>
      </c>
      <c r="CS284" s="39">
        <v>12.662000000000001</v>
      </c>
      <c r="CU284" s="39">
        <v>22.880500000000001</v>
      </c>
      <c r="CW284" s="39">
        <v>0.45369999999999999</v>
      </c>
      <c r="CY284" s="39">
        <v>22.3751</v>
      </c>
      <c r="DA284" s="44">
        <v>15.3104</v>
      </c>
      <c r="DC284" s="1" t="str">
        <f t="shared" si="4"/>
        <v>No</v>
      </c>
    </row>
    <row r="285" spans="1:107">
      <c r="A285" s="7" t="s">
        <v>1098</v>
      </c>
      <c r="B285" s="7" t="s">
        <v>1099</v>
      </c>
      <c r="C285" s="37" t="s">
        <v>47</v>
      </c>
      <c r="D285" s="296"/>
      <c r="E285" s="297">
        <v>10183</v>
      </c>
      <c r="F285" s="27" t="s">
        <v>165</v>
      </c>
      <c r="G285" s="27" t="s">
        <v>158</v>
      </c>
      <c r="H285" s="35">
        <v>246695</v>
      </c>
      <c r="I285" s="35">
        <v>34</v>
      </c>
      <c r="J285" s="292"/>
      <c r="K285" s="8">
        <v>885184</v>
      </c>
      <c r="L285" s="8"/>
      <c r="M285" s="8">
        <v>65954</v>
      </c>
      <c r="N285" s="9"/>
      <c r="O285" s="8">
        <v>32936</v>
      </c>
      <c r="P285" s="9"/>
      <c r="Q285" s="8">
        <v>174301</v>
      </c>
      <c r="R285" s="9"/>
      <c r="S285" s="8">
        <v>0</v>
      </c>
      <c r="T285" s="9"/>
      <c r="U285" s="33">
        <v>1158375</v>
      </c>
      <c r="V285" s="9"/>
      <c r="W285" s="30">
        <v>565</v>
      </c>
      <c r="X285" s="9"/>
      <c r="Y285" s="30">
        <v>31</v>
      </c>
      <c r="Z285" s="9"/>
      <c r="AA285" s="30">
        <v>17</v>
      </c>
      <c r="AB285" s="9"/>
      <c r="AC285" s="30">
        <v>92</v>
      </c>
      <c r="AD285" s="9"/>
      <c r="AE285" s="80">
        <v>0</v>
      </c>
      <c r="AF285" s="46"/>
      <c r="AG285" s="88">
        <v>705</v>
      </c>
      <c r="AH285" s="47"/>
      <c r="AJ285" s="83">
        <v>738728</v>
      </c>
      <c r="AL285" s="83">
        <v>63365</v>
      </c>
      <c r="AN285" s="83">
        <v>32936</v>
      </c>
      <c r="AP285" s="83">
        <v>165323</v>
      </c>
      <c r="AR285" s="83">
        <v>0</v>
      </c>
      <c r="AT285" s="204">
        <v>1000352</v>
      </c>
      <c r="AV285" s="46">
        <v>345</v>
      </c>
      <c r="AX285" s="46">
        <v>28</v>
      </c>
      <c r="AZ285" s="46">
        <v>17</v>
      </c>
      <c r="BB285" s="46">
        <v>78</v>
      </c>
      <c r="BD285" s="46">
        <v>0</v>
      </c>
      <c r="BF285" s="209">
        <v>705</v>
      </c>
      <c r="BI285" s="83">
        <v>146456</v>
      </c>
      <c r="BK285" s="83">
        <v>2589</v>
      </c>
      <c r="BM285" s="83">
        <v>0</v>
      </c>
      <c r="BO285" s="83">
        <v>8978</v>
      </c>
      <c r="BQ285" s="83">
        <v>0</v>
      </c>
      <c r="BS285" s="85">
        <v>158023</v>
      </c>
      <c r="BU285" s="46">
        <v>220</v>
      </c>
      <c r="BW285" s="46">
        <v>3</v>
      </c>
      <c r="BY285" s="46">
        <v>0</v>
      </c>
      <c r="CA285" s="46">
        <v>14</v>
      </c>
      <c r="CC285" s="46">
        <v>0</v>
      </c>
      <c r="CE285" s="209">
        <v>237</v>
      </c>
      <c r="CH285" s="41">
        <v>17064999</v>
      </c>
      <c r="CJ285" s="41">
        <v>2967267</v>
      </c>
      <c r="CL285" s="41">
        <v>866513</v>
      </c>
      <c r="CM285" s="41" t="s">
        <v>121</v>
      </c>
      <c r="CN285" s="41">
        <v>11842315</v>
      </c>
      <c r="CO285" s="41" t="s">
        <v>121</v>
      </c>
      <c r="CP285" s="43">
        <v>32741094</v>
      </c>
      <c r="CQ285" s="7" t="s">
        <v>121</v>
      </c>
      <c r="CS285" s="39">
        <v>19.278500000000001</v>
      </c>
      <c r="CU285" s="39">
        <v>44.989899999999999</v>
      </c>
      <c r="CW285" s="39">
        <v>0.97889999999999999</v>
      </c>
      <c r="CX285" s="39" t="s">
        <v>121</v>
      </c>
      <c r="CY285" s="39">
        <v>67.941800000000001</v>
      </c>
      <c r="CZ285" s="39" t="s">
        <v>121</v>
      </c>
      <c r="DA285" s="44">
        <v>28.264700000000001</v>
      </c>
      <c r="DB285" s="7" t="s">
        <v>121</v>
      </c>
      <c r="DC285" s="1" t="str">
        <f t="shared" si="4"/>
        <v>Yes</v>
      </c>
    </row>
    <row r="286" spans="1:107">
      <c r="A286" s="7" t="s">
        <v>311</v>
      </c>
      <c r="B286" s="7" t="s">
        <v>312</v>
      </c>
      <c r="C286" s="37" t="s">
        <v>17</v>
      </c>
      <c r="D286" s="296">
        <v>9017</v>
      </c>
      <c r="E286" s="297">
        <v>90017</v>
      </c>
      <c r="F286" s="27" t="s">
        <v>162</v>
      </c>
      <c r="G286" s="27" t="s">
        <v>158</v>
      </c>
      <c r="H286" s="35">
        <v>308231</v>
      </c>
      <c r="I286" s="35">
        <v>34</v>
      </c>
      <c r="J286" s="292"/>
      <c r="K286" s="8">
        <v>154119</v>
      </c>
      <c r="L286" s="8"/>
      <c r="M286" s="8">
        <v>8766</v>
      </c>
      <c r="N286" s="9"/>
      <c r="O286" s="8">
        <v>2573</v>
      </c>
      <c r="P286" s="9"/>
      <c r="Q286" s="8">
        <v>19083</v>
      </c>
      <c r="R286" s="9"/>
      <c r="S286" s="8">
        <v>0</v>
      </c>
      <c r="T286" s="9"/>
      <c r="U286" s="33">
        <v>184541</v>
      </c>
      <c r="V286" s="9"/>
      <c r="W286" s="30">
        <v>63.5</v>
      </c>
      <c r="X286" s="9"/>
      <c r="Y286" s="30">
        <v>3.16</v>
      </c>
      <c r="Z286" s="9"/>
      <c r="AA286" s="30">
        <v>1.24</v>
      </c>
      <c r="AB286" s="9"/>
      <c r="AC286" s="30">
        <v>8.82</v>
      </c>
      <c r="AD286" s="9"/>
      <c r="AE286" s="80">
        <v>0</v>
      </c>
      <c r="AF286" s="46"/>
      <c r="AG286" s="88">
        <v>76.72</v>
      </c>
      <c r="AH286" s="47"/>
      <c r="AJ286" s="83">
        <v>136088</v>
      </c>
      <c r="AL286" s="83">
        <v>8766</v>
      </c>
      <c r="AN286" s="83">
        <v>2573</v>
      </c>
      <c r="AP286" s="83">
        <v>19083</v>
      </c>
      <c r="AR286" s="83">
        <v>0</v>
      </c>
      <c r="AT286" s="204">
        <v>166510</v>
      </c>
      <c r="AV286" s="46">
        <v>48.5</v>
      </c>
      <c r="AX286" s="46">
        <v>3.16</v>
      </c>
      <c r="AZ286" s="46">
        <v>1.24</v>
      </c>
      <c r="BB286" s="46">
        <v>8.82</v>
      </c>
      <c r="BD286" s="46">
        <v>0</v>
      </c>
      <c r="BF286" s="209">
        <v>76.72</v>
      </c>
      <c r="BI286" s="83">
        <v>18031</v>
      </c>
      <c r="BK286" s="83">
        <v>0</v>
      </c>
      <c r="BM286" s="83">
        <v>0</v>
      </c>
      <c r="BO286" s="83">
        <v>0</v>
      </c>
      <c r="BQ286" s="83">
        <v>0</v>
      </c>
      <c r="BS286" s="85">
        <v>18031</v>
      </c>
      <c r="BU286" s="46">
        <v>15</v>
      </c>
      <c r="BW286" s="46">
        <v>0</v>
      </c>
      <c r="BY286" s="46">
        <v>0</v>
      </c>
      <c r="CA286" s="46">
        <v>0</v>
      </c>
      <c r="CC286" s="46">
        <v>0</v>
      </c>
      <c r="CE286" s="209">
        <v>15</v>
      </c>
      <c r="CH286" s="41">
        <v>3618954</v>
      </c>
      <c r="CJ286" s="41">
        <v>150840</v>
      </c>
      <c r="CL286" s="41">
        <v>58993</v>
      </c>
      <c r="CN286" s="41">
        <v>699091</v>
      </c>
      <c r="CP286" s="43">
        <v>4527878</v>
      </c>
      <c r="CS286" s="39">
        <v>23.4816</v>
      </c>
      <c r="CU286" s="39">
        <v>17.2074</v>
      </c>
      <c r="CW286" s="39">
        <v>0.38279999999999997</v>
      </c>
      <c r="CY286" s="39">
        <v>36.6342</v>
      </c>
      <c r="DA286" s="44">
        <v>24.535900000000002</v>
      </c>
      <c r="DC286" s="1" t="str">
        <f t="shared" si="4"/>
        <v>No</v>
      </c>
    </row>
    <row r="287" spans="1:107">
      <c r="A287" s="7" t="s">
        <v>123</v>
      </c>
      <c r="B287" s="7" t="s">
        <v>200</v>
      </c>
      <c r="C287" s="37" t="s">
        <v>77</v>
      </c>
      <c r="D287" s="296">
        <v>3011</v>
      </c>
      <c r="E287" s="297">
        <v>30011</v>
      </c>
      <c r="F287" s="27" t="s">
        <v>165</v>
      </c>
      <c r="G287" s="27" t="s">
        <v>158</v>
      </c>
      <c r="H287" s="35">
        <v>79930</v>
      </c>
      <c r="I287" s="35">
        <v>34</v>
      </c>
      <c r="J287" s="292"/>
      <c r="K287" s="8">
        <v>57723</v>
      </c>
      <c r="L287" s="8"/>
      <c r="M287" s="8">
        <v>14662</v>
      </c>
      <c r="N287" s="9"/>
      <c r="O287" s="8">
        <v>6</v>
      </c>
      <c r="P287" s="9"/>
      <c r="Q287" s="8">
        <v>8766</v>
      </c>
      <c r="R287" s="9"/>
      <c r="S287" s="8">
        <v>0</v>
      </c>
      <c r="T287" s="9"/>
      <c r="U287" s="33">
        <v>81157</v>
      </c>
      <c r="V287" s="9"/>
      <c r="W287" s="30">
        <v>31</v>
      </c>
      <c r="X287" s="9"/>
      <c r="Y287" s="30">
        <v>8.0500000000000007</v>
      </c>
      <c r="Z287" s="9"/>
      <c r="AA287" s="30">
        <v>0</v>
      </c>
      <c r="AB287" s="9"/>
      <c r="AC287" s="30">
        <v>4.95</v>
      </c>
      <c r="AD287" s="9"/>
      <c r="AE287" s="80">
        <v>0</v>
      </c>
      <c r="AF287" s="46"/>
      <c r="AG287" s="88">
        <v>44</v>
      </c>
      <c r="AH287" s="47"/>
      <c r="AJ287" s="83">
        <v>48056</v>
      </c>
      <c r="AL287" s="83">
        <v>14662</v>
      </c>
      <c r="AN287" s="83">
        <v>6</v>
      </c>
      <c r="AP287" s="83">
        <v>8766</v>
      </c>
      <c r="AR287" s="83">
        <v>0</v>
      </c>
      <c r="AT287" s="204">
        <v>71490</v>
      </c>
      <c r="AV287" s="46">
        <v>23</v>
      </c>
      <c r="AX287" s="46">
        <v>8.0500000000000007</v>
      </c>
      <c r="AZ287" s="46">
        <v>0</v>
      </c>
      <c r="BB287" s="46">
        <v>4.95</v>
      </c>
      <c r="BD287" s="46">
        <v>0</v>
      </c>
      <c r="BF287" s="209">
        <v>44</v>
      </c>
      <c r="BI287" s="83">
        <v>9667</v>
      </c>
      <c r="BK287" s="83">
        <v>0</v>
      </c>
      <c r="BM287" s="83">
        <v>0</v>
      </c>
      <c r="BO287" s="83">
        <v>0</v>
      </c>
      <c r="BQ287" s="83">
        <v>0</v>
      </c>
      <c r="BS287" s="85">
        <v>9667</v>
      </c>
      <c r="BU287" s="46">
        <v>8</v>
      </c>
      <c r="BW287" s="46">
        <v>0</v>
      </c>
      <c r="BY287" s="46">
        <v>0</v>
      </c>
      <c r="CA287" s="46">
        <v>0</v>
      </c>
      <c r="CC287" s="46">
        <v>0</v>
      </c>
      <c r="CE287" s="209">
        <v>8</v>
      </c>
      <c r="CH287" s="41">
        <v>1384803</v>
      </c>
      <c r="CJ287" s="41">
        <v>353820</v>
      </c>
      <c r="CL287" s="41">
        <v>51</v>
      </c>
      <c r="CN287" s="41">
        <v>230478</v>
      </c>
      <c r="CP287" s="43">
        <v>1969152</v>
      </c>
      <c r="CS287" s="39">
        <v>23.990500000000001</v>
      </c>
      <c r="CU287" s="39">
        <v>24.131799999999998</v>
      </c>
      <c r="CW287" s="39">
        <v>8.9999999999999998E-4</v>
      </c>
      <c r="CY287" s="39">
        <v>26.292300000000001</v>
      </c>
      <c r="DA287" s="44">
        <v>24.263500000000001</v>
      </c>
      <c r="DC287" s="1" t="str">
        <f t="shared" si="4"/>
        <v>No</v>
      </c>
    </row>
    <row r="288" spans="1:107">
      <c r="A288" s="7" t="s">
        <v>287</v>
      </c>
      <c r="B288" s="7" t="s">
        <v>288</v>
      </c>
      <c r="C288" s="37" t="s">
        <v>84</v>
      </c>
      <c r="D288" s="296">
        <v>6014</v>
      </c>
      <c r="E288" s="297">
        <v>60014</v>
      </c>
      <c r="F288" s="27" t="s">
        <v>162</v>
      </c>
      <c r="G288" s="27" t="s">
        <v>158</v>
      </c>
      <c r="H288" s="35">
        <v>217585</v>
      </c>
      <c r="I288" s="35">
        <v>33</v>
      </c>
      <c r="J288" s="292"/>
      <c r="K288" s="8">
        <v>110187</v>
      </c>
      <c r="L288" s="8"/>
      <c r="M288" s="8">
        <v>9765</v>
      </c>
      <c r="N288" s="9"/>
      <c r="O288" s="8">
        <v>23954</v>
      </c>
      <c r="P288" s="9"/>
      <c r="Q288" s="8">
        <v>14302</v>
      </c>
      <c r="R288" s="9"/>
      <c r="S288" s="8">
        <v>0</v>
      </c>
      <c r="T288" s="9"/>
      <c r="U288" s="33">
        <v>158208</v>
      </c>
      <c r="V288" s="9"/>
      <c r="W288" s="30">
        <v>56</v>
      </c>
      <c r="X288" s="9"/>
      <c r="Y288" s="30">
        <v>6</v>
      </c>
      <c r="Z288" s="9"/>
      <c r="AA288" s="30">
        <v>14</v>
      </c>
      <c r="AB288" s="9"/>
      <c r="AC288" s="30">
        <v>8</v>
      </c>
      <c r="AD288" s="9"/>
      <c r="AE288" s="80">
        <v>0</v>
      </c>
      <c r="AF288" s="46"/>
      <c r="AG288" s="88">
        <v>84</v>
      </c>
      <c r="AH288" s="47"/>
      <c r="AJ288" s="83">
        <v>109571</v>
      </c>
      <c r="AL288" s="83">
        <v>6606</v>
      </c>
      <c r="AN288" s="83">
        <v>23954</v>
      </c>
      <c r="AP288" s="83">
        <v>14302</v>
      </c>
      <c r="AR288" s="83">
        <v>0</v>
      </c>
      <c r="AT288" s="204">
        <v>154433</v>
      </c>
      <c r="AV288" s="46">
        <v>55</v>
      </c>
      <c r="AX288" s="46">
        <v>3</v>
      </c>
      <c r="AZ288" s="46">
        <v>14</v>
      </c>
      <c r="BB288" s="46">
        <v>8</v>
      </c>
      <c r="BD288" s="46">
        <v>0</v>
      </c>
      <c r="BF288" s="209">
        <v>84</v>
      </c>
      <c r="BI288" s="83">
        <v>616</v>
      </c>
      <c r="BK288" s="83">
        <v>3159</v>
      </c>
      <c r="BM288" s="83">
        <v>0</v>
      </c>
      <c r="BO288" s="83">
        <v>0</v>
      </c>
      <c r="BQ288" s="83">
        <v>0</v>
      </c>
      <c r="BS288" s="85">
        <v>3775</v>
      </c>
      <c r="BU288" s="46">
        <v>1</v>
      </c>
      <c r="BW288" s="46">
        <v>3</v>
      </c>
      <c r="BY288" s="46">
        <v>0</v>
      </c>
      <c r="CA288" s="46">
        <v>0</v>
      </c>
      <c r="CC288" s="46">
        <v>0</v>
      </c>
      <c r="CE288" s="209">
        <v>4</v>
      </c>
      <c r="CH288" s="41">
        <v>1168286</v>
      </c>
      <c r="CJ288" s="41">
        <v>82988</v>
      </c>
      <c r="CL288" s="41">
        <v>255120</v>
      </c>
      <c r="CN288" s="41">
        <v>203936</v>
      </c>
      <c r="CP288" s="43">
        <v>1710330</v>
      </c>
      <c r="CS288" s="39">
        <v>10.6028</v>
      </c>
      <c r="CU288" s="39">
        <v>8.4984999999999999</v>
      </c>
      <c r="CW288" s="39">
        <v>2.3153000000000001</v>
      </c>
      <c r="CY288" s="39">
        <v>14.2593</v>
      </c>
      <c r="DA288" s="44">
        <v>10.810600000000001</v>
      </c>
      <c r="DC288" s="1" t="str">
        <f t="shared" si="4"/>
        <v>No</v>
      </c>
    </row>
    <row r="289" spans="1:107">
      <c r="A289" s="7" t="s">
        <v>503</v>
      </c>
      <c r="B289" s="7" t="s">
        <v>504</v>
      </c>
      <c r="C289" s="37" t="s">
        <v>57</v>
      </c>
      <c r="D289" s="296">
        <v>8009</v>
      </c>
      <c r="E289" s="297">
        <v>80009</v>
      </c>
      <c r="F289" s="27" t="s">
        <v>165</v>
      </c>
      <c r="G289" s="27" t="s">
        <v>158</v>
      </c>
      <c r="H289" s="35">
        <v>82157</v>
      </c>
      <c r="I289" s="35">
        <v>33</v>
      </c>
      <c r="J289" s="292"/>
      <c r="K289" s="8">
        <v>81062</v>
      </c>
      <c r="L289" s="8"/>
      <c r="M289" s="8">
        <v>15044</v>
      </c>
      <c r="N289" s="9"/>
      <c r="O289" s="8">
        <v>1094</v>
      </c>
      <c r="P289" s="9"/>
      <c r="Q289" s="8">
        <v>21372</v>
      </c>
      <c r="R289" s="9"/>
      <c r="S289" s="8">
        <v>0</v>
      </c>
      <c r="T289" s="9"/>
      <c r="U289" s="33">
        <v>118572</v>
      </c>
      <c r="V289" s="9"/>
      <c r="W289" s="30">
        <v>48.22</v>
      </c>
      <c r="X289" s="9"/>
      <c r="Y289" s="30">
        <v>7.41</v>
      </c>
      <c r="Z289" s="9"/>
      <c r="AA289" s="30">
        <v>0.52</v>
      </c>
      <c r="AB289" s="9"/>
      <c r="AC289" s="30">
        <v>11.76</v>
      </c>
      <c r="AD289" s="9"/>
      <c r="AE289" s="80">
        <v>0</v>
      </c>
      <c r="AF289" s="46"/>
      <c r="AG289" s="88">
        <v>67.91</v>
      </c>
      <c r="AH289" s="47"/>
      <c r="AJ289" s="83">
        <v>68129</v>
      </c>
      <c r="AL289" s="83">
        <v>14981</v>
      </c>
      <c r="AN289" s="83">
        <v>1094</v>
      </c>
      <c r="AP289" s="83">
        <v>21372</v>
      </c>
      <c r="AR289" s="83">
        <v>0</v>
      </c>
      <c r="AT289" s="204">
        <v>105576</v>
      </c>
      <c r="AV289" s="46">
        <v>39.46</v>
      </c>
      <c r="AX289" s="46">
        <v>7.2</v>
      </c>
      <c r="AZ289" s="46">
        <v>0.52</v>
      </c>
      <c r="BB289" s="46">
        <v>11.76</v>
      </c>
      <c r="BD289" s="46">
        <v>0</v>
      </c>
      <c r="BF289" s="209">
        <v>67.91</v>
      </c>
      <c r="BI289" s="83">
        <v>12933</v>
      </c>
      <c r="BK289" s="83">
        <v>63</v>
      </c>
      <c r="BM289" s="83">
        <v>0</v>
      </c>
      <c r="BO289" s="83">
        <v>0</v>
      </c>
      <c r="BQ289" s="83">
        <v>0</v>
      </c>
      <c r="BS289" s="85">
        <v>12996</v>
      </c>
      <c r="BU289" s="46">
        <v>8.76</v>
      </c>
      <c r="BW289" s="46">
        <v>0.21</v>
      </c>
      <c r="BY289" s="46">
        <v>0</v>
      </c>
      <c r="CA289" s="46">
        <v>0</v>
      </c>
      <c r="CC289" s="46">
        <v>0</v>
      </c>
      <c r="CE289" s="209">
        <v>8.9700000000000006</v>
      </c>
      <c r="CH289" s="41">
        <v>1910226</v>
      </c>
      <c r="CJ289" s="41">
        <v>330520</v>
      </c>
      <c r="CL289" s="41">
        <v>10445</v>
      </c>
      <c r="CN289" s="41">
        <v>473295</v>
      </c>
      <c r="CP289" s="43">
        <v>2724486</v>
      </c>
      <c r="CS289" s="39">
        <v>23.565000000000001</v>
      </c>
      <c r="CU289" s="39">
        <v>21.970199999999998</v>
      </c>
      <c r="CW289" s="39">
        <v>0.12889999999999999</v>
      </c>
      <c r="CY289" s="39">
        <v>22.145600000000002</v>
      </c>
      <c r="DA289" s="44">
        <v>22.977499999999999</v>
      </c>
      <c r="DC289" s="1" t="str">
        <f t="shared" si="4"/>
        <v>No</v>
      </c>
    </row>
    <row r="290" spans="1:107">
      <c r="A290" s="7" t="s">
        <v>241</v>
      </c>
      <c r="B290" s="7" t="s">
        <v>242</v>
      </c>
      <c r="C290" s="37" t="s">
        <v>32</v>
      </c>
      <c r="D290" s="296">
        <v>4097</v>
      </c>
      <c r="E290" s="297">
        <v>40097</v>
      </c>
      <c r="F290" s="27" t="s">
        <v>243</v>
      </c>
      <c r="G290" s="27" t="s">
        <v>158</v>
      </c>
      <c r="H290" s="35">
        <v>376047</v>
      </c>
      <c r="I290" s="35">
        <v>33</v>
      </c>
      <c r="J290" s="292"/>
      <c r="K290" s="8">
        <v>107505</v>
      </c>
      <c r="L290" s="8"/>
      <c r="M290" s="8">
        <v>0</v>
      </c>
      <c r="N290" s="9"/>
      <c r="O290" s="8">
        <v>0</v>
      </c>
      <c r="P290" s="9"/>
      <c r="Q290" s="8">
        <v>26860</v>
      </c>
      <c r="R290" s="9"/>
      <c r="S290" s="8">
        <v>0</v>
      </c>
      <c r="T290" s="9"/>
      <c r="U290" s="33">
        <v>134365</v>
      </c>
      <c r="V290" s="9"/>
      <c r="W290" s="30">
        <v>60.55</v>
      </c>
      <c r="X290" s="9"/>
      <c r="Y290" s="30">
        <v>0</v>
      </c>
      <c r="Z290" s="9"/>
      <c r="AA290" s="30">
        <v>0</v>
      </c>
      <c r="AB290" s="9"/>
      <c r="AC290" s="30">
        <v>14.26</v>
      </c>
      <c r="AD290" s="9"/>
      <c r="AE290" s="80">
        <v>0</v>
      </c>
      <c r="AF290" s="46"/>
      <c r="AG290" s="88">
        <v>74.81</v>
      </c>
      <c r="AH290" s="47"/>
      <c r="AJ290" s="83">
        <v>103388</v>
      </c>
      <c r="AL290" s="83">
        <v>0</v>
      </c>
      <c r="AN290" s="83">
        <v>0</v>
      </c>
      <c r="AP290" s="83">
        <v>26860</v>
      </c>
      <c r="AR290" s="83">
        <v>0</v>
      </c>
      <c r="AT290" s="204">
        <v>130248</v>
      </c>
      <c r="AV290" s="46">
        <v>54.55</v>
      </c>
      <c r="AX290" s="46">
        <v>0</v>
      </c>
      <c r="AZ290" s="46">
        <v>0</v>
      </c>
      <c r="BB290" s="46">
        <v>14.26</v>
      </c>
      <c r="BD290" s="46">
        <v>0</v>
      </c>
      <c r="BF290" s="209">
        <v>74.81</v>
      </c>
      <c r="BI290" s="83">
        <v>4117</v>
      </c>
      <c r="BK290" s="83">
        <v>0</v>
      </c>
      <c r="BM290" s="83">
        <v>0</v>
      </c>
      <c r="BO290" s="83">
        <v>0</v>
      </c>
      <c r="BQ290" s="83">
        <v>0</v>
      </c>
      <c r="BS290" s="85">
        <v>4117</v>
      </c>
      <c r="BU290" s="46">
        <v>6</v>
      </c>
      <c r="BW290" s="46">
        <v>0</v>
      </c>
      <c r="BY290" s="46">
        <v>0</v>
      </c>
      <c r="CA290" s="46">
        <v>0</v>
      </c>
      <c r="CC290" s="46">
        <v>0</v>
      </c>
      <c r="CE290" s="209">
        <v>6</v>
      </c>
      <c r="CH290" s="41">
        <v>1312062</v>
      </c>
      <c r="CJ290" s="41">
        <v>0</v>
      </c>
      <c r="CL290" s="41">
        <v>0</v>
      </c>
      <c r="CN290" s="41">
        <v>755321</v>
      </c>
      <c r="CP290" s="43">
        <v>2067383</v>
      </c>
      <c r="CS290" s="39">
        <v>12.204700000000001</v>
      </c>
      <c r="CW290" s="39">
        <v>0</v>
      </c>
      <c r="CY290" s="39">
        <v>28.120699999999999</v>
      </c>
      <c r="DA290" s="44">
        <v>15.3863</v>
      </c>
      <c r="DC290" s="1" t="str">
        <f t="shared" si="4"/>
        <v>No</v>
      </c>
    </row>
    <row r="291" spans="1:107">
      <c r="A291" s="7" t="s">
        <v>1142</v>
      </c>
      <c r="B291" s="7" t="s">
        <v>1143</v>
      </c>
      <c r="C291" s="37" t="s">
        <v>17</v>
      </c>
      <c r="D291" s="296">
        <v>9229</v>
      </c>
      <c r="E291" s="297">
        <v>90229</v>
      </c>
      <c r="F291" s="27" t="s">
        <v>165</v>
      </c>
      <c r="G291" s="27" t="s">
        <v>158</v>
      </c>
      <c r="H291" s="35">
        <v>1723634</v>
      </c>
      <c r="I291" s="35">
        <v>32</v>
      </c>
      <c r="J291" s="292"/>
      <c r="K291" s="8">
        <v>95974</v>
      </c>
      <c r="L291" s="8"/>
      <c r="M291" s="8">
        <v>8710</v>
      </c>
      <c r="N291" s="9"/>
      <c r="O291" s="8">
        <v>3485</v>
      </c>
      <c r="P291" s="9"/>
      <c r="Q291" s="8">
        <v>10452</v>
      </c>
      <c r="R291" s="9"/>
      <c r="S291" s="8">
        <v>3485</v>
      </c>
      <c r="T291" s="9"/>
      <c r="U291" s="33">
        <v>122106</v>
      </c>
      <c r="V291" s="9"/>
      <c r="W291" s="30">
        <v>62</v>
      </c>
      <c r="X291" s="9"/>
      <c r="Y291" s="30">
        <v>5</v>
      </c>
      <c r="Z291" s="9"/>
      <c r="AA291" s="30">
        <v>2</v>
      </c>
      <c r="AB291" s="9"/>
      <c r="AC291" s="30">
        <v>6</v>
      </c>
      <c r="AD291" s="9"/>
      <c r="AE291" s="80">
        <v>2</v>
      </c>
      <c r="AF291" s="46"/>
      <c r="AG291" s="88">
        <v>77</v>
      </c>
      <c r="AH291" s="47"/>
      <c r="AJ291" s="83">
        <v>45292</v>
      </c>
      <c r="AL291" s="83">
        <v>8710</v>
      </c>
      <c r="AN291" s="83">
        <v>3485</v>
      </c>
      <c r="AP291" s="83">
        <v>10452</v>
      </c>
      <c r="AR291" s="83">
        <v>3485</v>
      </c>
      <c r="AT291" s="204">
        <v>71424</v>
      </c>
      <c r="AV291" s="46">
        <v>26</v>
      </c>
      <c r="AX291" s="46">
        <v>5</v>
      </c>
      <c r="AZ291" s="46">
        <v>2</v>
      </c>
      <c r="BB291" s="46">
        <v>6</v>
      </c>
      <c r="BD291" s="46">
        <v>2</v>
      </c>
      <c r="BF291" s="209">
        <v>77</v>
      </c>
      <c r="BI291" s="83">
        <v>50682</v>
      </c>
      <c r="BK291" s="83">
        <v>0</v>
      </c>
      <c r="BM291" s="83">
        <v>0</v>
      </c>
      <c r="BO291" s="83">
        <v>0</v>
      </c>
      <c r="BQ291" s="83">
        <v>0</v>
      </c>
      <c r="BS291" s="85">
        <v>50682</v>
      </c>
      <c r="BU291" s="46">
        <v>36</v>
      </c>
      <c r="BW291" s="46">
        <v>0</v>
      </c>
      <c r="BY291" s="46">
        <v>0</v>
      </c>
      <c r="CA291" s="46">
        <v>0</v>
      </c>
      <c r="CC291" s="46">
        <v>0</v>
      </c>
      <c r="CE291" s="209">
        <v>36</v>
      </c>
      <c r="CH291" s="41">
        <v>2205271</v>
      </c>
      <c r="CJ291" s="41">
        <v>235328</v>
      </c>
      <c r="CL291" s="41">
        <v>77971</v>
      </c>
      <c r="CN291" s="41">
        <v>520287</v>
      </c>
      <c r="CP291" s="43">
        <v>3038857</v>
      </c>
      <c r="CS291" s="39">
        <v>22.977799999999998</v>
      </c>
      <c r="CU291" s="39">
        <v>27.0181</v>
      </c>
      <c r="CW291" s="39">
        <v>0.81240000000000001</v>
      </c>
      <c r="CY291" s="39">
        <v>49.778700000000001</v>
      </c>
      <c r="DA291" s="44">
        <v>24.887</v>
      </c>
      <c r="DC291" s="1" t="str">
        <f t="shared" si="4"/>
        <v>No</v>
      </c>
    </row>
    <row r="292" spans="1:107">
      <c r="A292" s="7" t="s">
        <v>579</v>
      </c>
      <c r="B292" s="7" t="s">
        <v>580</v>
      </c>
      <c r="C292" s="37" t="s">
        <v>52</v>
      </c>
      <c r="D292" s="296">
        <v>5039</v>
      </c>
      <c r="E292" s="297">
        <v>50039</v>
      </c>
      <c r="F292" s="27" t="s">
        <v>165</v>
      </c>
      <c r="G292" s="27" t="s">
        <v>158</v>
      </c>
      <c r="H292" s="35">
        <v>126265</v>
      </c>
      <c r="I292" s="35">
        <v>32</v>
      </c>
      <c r="J292" s="292"/>
      <c r="K292" s="8">
        <v>75627</v>
      </c>
      <c r="L292" s="8"/>
      <c r="M292" s="8">
        <v>21663</v>
      </c>
      <c r="N292" s="9"/>
      <c r="O292" s="8">
        <v>6725</v>
      </c>
      <c r="P292" s="9"/>
      <c r="Q292" s="8">
        <v>21796</v>
      </c>
      <c r="R292" s="9"/>
      <c r="S292" s="8">
        <v>0</v>
      </c>
      <c r="T292" s="9"/>
      <c r="U292" s="33">
        <v>125811</v>
      </c>
      <c r="V292" s="9"/>
      <c r="W292" s="30">
        <v>46</v>
      </c>
      <c r="X292" s="9"/>
      <c r="Y292" s="30">
        <v>11</v>
      </c>
      <c r="Z292" s="9"/>
      <c r="AA292" s="30">
        <v>6</v>
      </c>
      <c r="AB292" s="9"/>
      <c r="AC292" s="30">
        <v>16</v>
      </c>
      <c r="AD292" s="9"/>
      <c r="AE292" s="80">
        <v>0</v>
      </c>
      <c r="AF292" s="46"/>
      <c r="AG292" s="88">
        <v>79</v>
      </c>
      <c r="AH292" s="47"/>
      <c r="AJ292" s="83">
        <v>75627</v>
      </c>
      <c r="AL292" s="83">
        <v>21663</v>
      </c>
      <c r="AN292" s="83">
        <v>6725</v>
      </c>
      <c r="AP292" s="83">
        <v>21796</v>
      </c>
      <c r="AR292" s="83">
        <v>0</v>
      </c>
      <c r="AT292" s="204">
        <v>125811</v>
      </c>
      <c r="AV292" s="46">
        <v>46</v>
      </c>
      <c r="AX292" s="46">
        <v>11</v>
      </c>
      <c r="AZ292" s="46">
        <v>6</v>
      </c>
      <c r="BB292" s="46">
        <v>16</v>
      </c>
      <c r="BD292" s="46">
        <v>0</v>
      </c>
      <c r="BF292" s="209">
        <v>79</v>
      </c>
      <c r="BI292" s="83">
        <v>0</v>
      </c>
      <c r="BK292" s="83">
        <v>0</v>
      </c>
      <c r="BM292" s="83">
        <v>0</v>
      </c>
      <c r="BO292" s="83">
        <v>0</v>
      </c>
      <c r="BQ292" s="83">
        <v>0</v>
      </c>
      <c r="BS292" s="85">
        <v>0</v>
      </c>
      <c r="BU292" s="46">
        <v>0</v>
      </c>
      <c r="BW292" s="46">
        <v>0</v>
      </c>
      <c r="BY292" s="46">
        <v>0</v>
      </c>
      <c r="CA292" s="46">
        <v>0</v>
      </c>
      <c r="CC292" s="46">
        <v>0</v>
      </c>
      <c r="CE292" s="209">
        <v>0</v>
      </c>
      <c r="CH292" s="41">
        <v>1359384</v>
      </c>
      <c r="CJ292" s="41">
        <v>301637</v>
      </c>
      <c r="CL292" s="41">
        <v>76533</v>
      </c>
      <c r="CN292" s="41">
        <v>533610</v>
      </c>
      <c r="CP292" s="43">
        <v>2271164</v>
      </c>
      <c r="CS292" s="39">
        <v>17.974900000000002</v>
      </c>
      <c r="CU292" s="39">
        <v>13.924099999999999</v>
      </c>
      <c r="CW292" s="39">
        <v>1.012</v>
      </c>
      <c r="CY292" s="39">
        <v>24.481999999999999</v>
      </c>
      <c r="DA292" s="44">
        <v>18.052199999999999</v>
      </c>
      <c r="DC292" s="1" t="str">
        <f t="shared" si="4"/>
        <v>No</v>
      </c>
    </row>
    <row r="293" spans="1:107">
      <c r="A293" s="7" t="s">
        <v>188</v>
      </c>
      <c r="B293" s="7" t="s">
        <v>189</v>
      </c>
      <c r="C293" s="37" t="s">
        <v>77</v>
      </c>
      <c r="D293" s="296">
        <v>3087</v>
      </c>
      <c r="E293" s="297">
        <v>30087</v>
      </c>
      <c r="F293" s="27" t="s">
        <v>162</v>
      </c>
      <c r="G293" s="27" t="s">
        <v>158</v>
      </c>
      <c r="H293" s="35">
        <v>51370</v>
      </c>
      <c r="I293" s="35">
        <v>32</v>
      </c>
      <c r="J293" s="292"/>
      <c r="K293" s="8">
        <v>63764</v>
      </c>
      <c r="L293" s="8"/>
      <c r="M293" s="8">
        <v>6809</v>
      </c>
      <c r="N293" s="9"/>
      <c r="O293" s="8">
        <v>1633</v>
      </c>
      <c r="P293" s="9"/>
      <c r="Q293" s="8">
        <v>9444</v>
      </c>
      <c r="R293" s="9"/>
      <c r="S293" s="8">
        <v>314</v>
      </c>
      <c r="T293" s="9"/>
      <c r="U293" s="33">
        <v>81964</v>
      </c>
      <c r="V293" s="9"/>
      <c r="W293" s="30">
        <v>36.200000000000003</v>
      </c>
      <c r="X293" s="9"/>
      <c r="Y293" s="30">
        <v>3.44</v>
      </c>
      <c r="Z293" s="9"/>
      <c r="AA293" s="30">
        <v>1.26</v>
      </c>
      <c r="AB293" s="9"/>
      <c r="AC293" s="30">
        <v>4.8</v>
      </c>
      <c r="AD293" s="9"/>
      <c r="AE293" s="80">
        <v>0.21</v>
      </c>
      <c r="AF293" s="46"/>
      <c r="AG293" s="88">
        <v>45.91</v>
      </c>
      <c r="AH293" s="47"/>
      <c r="AJ293" s="83">
        <v>57564</v>
      </c>
      <c r="AL293" s="83">
        <v>6809</v>
      </c>
      <c r="AN293" s="83">
        <v>1633</v>
      </c>
      <c r="AP293" s="83">
        <v>9444</v>
      </c>
      <c r="AR293" s="83">
        <v>314</v>
      </c>
      <c r="AT293" s="204">
        <v>75764</v>
      </c>
      <c r="AV293" s="46">
        <v>30</v>
      </c>
      <c r="AX293" s="46">
        <v>3.44</v>
      </c>
      <c r="AZ293" s="46">
        <v>1.26</v>
      </c>
      <c r="BB293" s="46">
        <v>4.8</v>
      </c>
      <c r="BD293" s="46">
        <v>0.21</v>
      </c>
      <c r="BF293" s="209">
        <v>45.91</v>
      </c>
      <c r="BI293" s="83">
        <v>6200</v>
      </c>
      <c r="BK293" s="83">
        <v>0</v>
      </c>
      <c r="BM293" s="83">
        <v>0</v>
      </c>
      <c r="BO293" s="83">
        <v>0</v>
      </c>
      <c r="BQ293" s="83">
        <v>0</v>
      </c>
      <c r="BS293" s="85">
        <v>6200</v>
      </c>
      <c r="BU293" s="46">
        <v>6.2</v>
      </c>
      <c r="BW293" s="46">
        <v>0</v>
      </c>
      <c r="BY293" s="46">
        <v>0</v>
      </c>
      <c r="CA293" s="46">
        <v>0</v>
      </c>
      <c r="CC293" s="46">
        <v>0</v>
      </c>
      <c r="CE293" s="209">
        <v>6.2</v>
      </c>
      <c r="CH293" s="41">
        <v>774717</v>
      </c>
      <c r="CJ293" s="41">
        <v>232891</v>
      </c>
      <c r="CL293" s="41">
        <v>51135</v>
      </c>
      <c r="CN293" s="41">
        <v>274448</v>
      </c>
      <c r="CP293" s="43">
        <v>1333191</v>
      </c>
      <c r="CS293" s="39">
        <v>12.149800000000001</v>
      </c>
      <c r="CU293" s="39">
        <v>34.203400000000002</v>
      </c>
      <c r="CW293" s="39">
        <v>0.80189999999999995</v>
      </c>
      <c r="CY293" s="39">
        <v>29.060600000000001</v>
      </c>
      <c r="DA293" s="44">
        <v>16.265599999999999</v>
      </c>
      <c r="DC293" s="1" t="str">
        <f t="shared" si="4"/>
        <v>No</v>
      </c>
    </row>
    <row r="294" spans="1:107">
      <c r="A294" s="7" t="s">
        <v>1144</v>
      </c>
      <c r="B294" s="7" t="s">
        <v>717</v>
      </c>
      <c r="C294" s="37" t="s">
        <v>51</v>
      </c>
      <c r="D294" s="296">
        <v>1098</v>
      </c>
      <c r="E294" s="297">
        <v>10098</v>
      </c>
      <c r="F294" s="27" t="s">
        <v>187</v>
      </c>
      <c r="G294" s="27" t="s">
        <v>158</v>
      </c>
      <c r="H294" s="35">
        <v>59397</v>
      </c>
      <c r="I294" s="35">
        <v>32</v>
      </c>
      <c r="J294" s="292"/>
      <c r="K294" s="8">
        <v>71666</v>
      </c>
      <c r="L294" s="8"/>
      <c r="M294" s="8">
        <v>6570</v>
      </c>
      <c r="N294" s="9"/>
      <c r="O294" s="8">
        <v>456</v>
      </c>
      <c r="P294" s="9"/>
      <c r="Q294" s="8">
        <v>3825</v>
      </c>
      <c r="R294" s="9"/>
      <c r="S294" s="8">
        <v>0</v>
      </c>
      <c r="T294" s="9"/>
      <c r="U294" s="33">
        <v>82517</v>
      </c>
      <c r="V294" s="9"/>
      <c r="W294" s="30">
        <v>68</v>
      </c>
      <c r="X294" s="9"/>
      <c r="Y294" s="30">
        <v>11</v>
      </c>
      <c r="Z294" s="9"/>
      <c r="AA294" s="30">
        <v>2</v>
      </c>
      <c r="AB294" s="9"/>
      <c r="AC294" s="30">
        <v>14</v>
      </c>
      <c r="AD294" s="9"/>
      <c r="AE294" s="80">
        <v>0</v>
      </c>
      <c r="AF294" s="46"/>
      <c r="AG294" s="88">
        <v>95</v>
      </c>
      <c r="AH294" s="47"/>
      <c r="AJ294" s="83">
        <v>45964</v>
      </c>
      <c r="AL294" s="83">
        <v>6570</v>
      </c>
      <c r="AN294" s="83">
        <v>456</v>
      </c>
      <c r="AP294" s="83">
        <v>2399</v>
      </c>
      <c r="AR294" s="83">
        <v>0</v>
      </c>
      <c r="AT294" s="204">
        <v>55389</v>
      </c>
      <c r="AV294" s="46">
        <v>25</v>
      </c>
      <c r="AX294" s="46">
        <v>11</v>
      </c>
      <c r="AZ294" s="46">
        <v>2</v>
      </c>
      <c r="BB294" s="46">
        <v>12</v>
      </c>
      <c r="BD294" s="46">
        <v>0</v>
      </c>
      <c r="BF294" s="209">
        <v>95</v>
      </c>
      <c r="BI294" s="83">
        <v>25702</v>
      </c>
      <c r="BK294" s="83">
        <v>0</v>
      </c>
      <c r="BM294" s="83">
        <v>0</v>
      </c>
      <c r="BO294" s="83">
        <v>1426</v>
      </c>
      <c r="BQ294" s="83">
        <v>0</v>
      </c>
      <c r="BS294" s="85">
        <v>27128</v>
      </c>
      <c r="BU294" s="46">
        <v>43</v>
      </c>
      <c r="BW294" s="46">
        <v>0</v>
      </c>
      <c r="BY294" s="46">
        <v>0</v>
      </c>
      <c r="CA294" s="46">
        <v>2</v>
      </c>
      <c r="CC294" s="46">
        <v>0</v>
      </c>
      <c r="CE294" s="209">
        <v>45</v>
      </c>
      <c r="CH294" s="41">
        <v>1134884</v>
      </c>
      <c r="CJ294" s="41">
        <v>144180</v>
      </c>
      <c r="CL294" s="41">
        <v>6688</v>
      </c>
      <c r="CN294" s="41">
        <v>104877</v>
      </c>
      <c r="CP294" s="43">
        <v>1390629</v>
      </c>
      <c r="CS294" s="39">
        <v>15.835699999999999</v>
      </c>
      <c r="CU294" s="39">
        <v>21.9452</v>
      </c>
      <c r="CW294" s="39">
        <v>9.3299999999999994E-2</v>
      </c>
      <c r="CY294" s="39">
        <v>27.418800000000001</v>
      </c>
      <c r="DA294" s="44">
        <v>16.852599999999999</v>
      </c>
      <c r="DC294" s="1" t="str">
        <f t="shared" si="4"/>
        <v>No</v>
      </c>
    </row>
    <row r="295" spans="1:107">
      <c r="A295" s="7" t="s">
        <v>738</v>
      </c>
      <c r="B295" s="7" t="s">
        <v>739</v>
      </c>
      <c r="C295" s="37" t="s">
        <v>13</v>
      </c>
      <c r="D295" s="296">
        <v>9219</v>
      </c>
      <c r="E295" s="297">
        <v>90219</v>
      </c>
      <c r="F295" s="27" t="s">
        <v>165</v>
      </c>
      <c r="G295" s="27" t="s">
        <v>158</v>
      </c>
      <c r="H295" s="35">
        <v>71957</v>
      </c>
      <c r="I295" s="35">
        <v>32</v>
      </c>
      <c r="J295" s="292"/>
      <c r="K295" s="8">
        <v>121181</v>
      </c>
      <c r="L295" s="8"/>
      <c r="M295" s="8">
        <v>12637</v>
      </c>
      <c r="N295" s="9"/>
      <c r="O295" s="8">
        <v>6904</v>
      </c>
      <c r="P295" s="9"/>
      <c r="Q295" s="8">
        <v>25101</v>
      </c>
      <c r="R295" s="9"/>
      <c r="S295" s="8">
        <v>1872</v>
      </c>
      <c r="T295" s="9"/>
      <c r="U295" s="33">
        <v>167695</v>
      </c>
      <c r="V295" s="9"/>
      <c r="W295" s="30">
        <v>67</v>
      </c>
      <c r="X295" s="9"/>
      <c r="Y295" s="30">
        <v>6</v>
      </c>
      <c r="Z295" s="9"/>
      <c r="AA295" s="30">
        <v>4</v>
      </c>
      <c r="AB295" s="9"/>
      <c r="AC295" s="30">
        <v>15.2</v>
      </c>
      <c r="AD295" s="9"/>
      <c r="AE295" s="80">
        <v>1</v>
      </c>
      <c r="AF295" s="46"/>
      <c r="AG295" s="88">
        <v>93.2</v>
      </c>
      <c r="AH295" s="47"/>
      <c r="AJ295" s="83">
        <v>97436</v>
      </c>
      <c r="AL295" s="83">
        <v>12637</v>
      </c>
      <c r="AN295" s="83">
        <v>6904</v>
      </c>
      <c r="AP295" s="83">
        <v>25101</v>
      </c>
      <c r="AR295" s="83">
        <v>1872</v>
      </c>
      <c r="AT295" s="204">
        <v>143950</v>
      </c>
      <c r="AV295" s="46">
        <v>57</v>
      </c>
      <c r="AX295" s="46">
        <v>6</v>
      </c>
      <c r="AZ295" s="46">
        <v>4</v>
      </c>
      <c r="BB295" s="46">
        <v>15.2</v>
      </c>
      <c r="BD295" s="46">
        <v>1</v>
      </c>
      <c r="BF295" s="209">
        <v>93.2</v>
      </c>
      <c r="BI295" s="83">
        <v>23745</v>
      </c>
      <c r="BK295" s="83">
        <v>0</v>
      </c>
      <c r="BM295" s="83">
        <v>0</v>
      </c>
      <c r="BO295" s="83">
        <v>0</v>
      </c>
      <c r="BQ295" s="83">
        <v>0</v>
      </c>
      <c r="BS295" s="85">
        <v>23745</v>
      </c>
      <c r="BU295" s="46">
        <v>10</v>
      </c>
      <c r="BW295" s="46">
        <v>0</v>
      </c>
      <c r="BY295" s="46">
        <v>0</v>
      </c>
      <c r="CA295" s="46">
        <v>0</v>
      </c>
      <c r="CC295" s="46">
        <v>0</v>
      </c>
      <c r="CE295" s="209">
        <v>10</v>
      </c>
      <c r="CH295" s="41">
        <v>2409004</v>
      </c>
      <c r="CJ295" s="41">
        <v>301381</v>
      </c>
      <c r="CL295" s="41">
        <v>158557</v>
      </c>
      <c r="CN295" s="41">
        <v>779298</v>
      </c>
      <c r="CP295" s="43">
        <v>3648240</v>
      </c>
      <c r="CS295" s="39">
        <v>19.8794</v>
      </c>
      <c r="CU295" s="39">
        <v>23.8491</v>
      </c>
      <c r="CW295" s="39">
        <v>1.3084</v>
      </c>
      <c r="CY295" s="39">
        <v>31.046500000000002</v>
      </c>
      <c r="DA295" s="44">
        <v>21.755199999999999</v>
      </c>
      <c r="DC295" s="1" t="str">
        <f t="shared" si="4"/>
        <v>No</v>
      </c>
    </row>
    <row r="296" spans="1:107">
      <c r="A296" s="7" t="s">
        <v>72</v>
      </c>
      <c r="B296" s="7" t="s">
        <v>505</v>
      </c>
      <c r="C296" s="37" t="s">
        <v>70</v>
      </c>
      <c r="D296" s="296">
        <v>2135</v>
      </c>
      <c r="E296" s="297">
        <v>20135</v>
      </c>
      <c r="F296" s="27" t="s">
        <v>173</v>
      </c>
      <c r="G296" s="27" t="s">
        <v>158</v>
      </c>
      <c r="H296" s="35">
        <v>18351295</v>
      </c>
      <c r="I296" s="35">
        <v>32</v>
      </c>
      <c r="J296" s="292"/>
      <c r="K296" s="8">
        <v>57110</v>
      </c>
      <c r="L296" s="8"/>
      <c r="M296" s="8">
        <v>17231</v>
      </c>
      <c r="N296" s="9"/>
      <c r="O296" s="8">
        <v>0</v>
      </c>
      <c r="P296" s="9"/>
      <c r="Q296" s="8">
        <v>20254</v>
      </c>
      <c r="R296" s="9"/>
      <c r="S296" s="8">
        <v>0</v>
      </c>
      <c r="T296" s="9"/>
      <c r="U296" s="33">
        <v>94595</v>
      </c>
      <c r="V296" s="9"/>
      <c r="W296" s="30">
        <v>29</v>
      </c>
      <c r="X296" s="9"/>
      <c r="Y296" s="30">
        <v>9</v>
      </c>
      <c r="Z296" s="9"/>
      <c r="AA296" s="30">
        <v>0</v>
      </c>
      <c r="AB296" s="9"/>
      <c r="AC296" s="30">
        <v>11</v>
      </c>
      <c r="AD296" s="9"/>
      <c r="AE296" s="80">
        <v>0</v>
      </c>
      <c r="AF296" s="46"/>
      <c r="AG296" s="88">
        <v>49</v>
      </c>
      <c r="AH296" s="47"/>
      <c r="AJ296" s="83">
        <v>57110</v>
      </c>
      <c r="AL296" s="83">
        <v>17231</v>
      </c>
      <c r="AN296" s="83">
        <v>0</v>
      </c>
      <c r="AP296" s="83">
        <v>20254</v>
      </c>
      <c r="AR296" s="83">
        <v>0</v>
      </c>
      <c r="AT296" s="204">
        <v>94595</v>
      </c>
      <c r="AV296" s="46">
        <v>29</v>
      </c>
      <c r="AX296" s="46">
        <v>9</v>
      </c>
      <c r="AZ296" s="46">
        <v>0</v>
      </c>
      <c r="BB296" s="46">
        <v>11</v>
      </c>
      <c r="BD296" s="46">
        <v>0</v>
      </c>
      <c r="BF296" s="209">
        <v>49</v>
      </c>
      <c r="BI296" s="83">
        <v>0</v>
      </c>
      <c r="BK296" s="83">
        <v>0</v>
      </c>
      <c r="BM296" s="83">
        <v>0</v>
      </c>
      <c r="BO296" s="83">
        <v>0</v>
      </c>
      <c r="BQ296" s="83">
        <v>0</v>
      </c>
      <c r="BS296" s="85">
        <v>0</v>
      </c>
      <c r="BU296" s="46">
        <v>0</v>
      </c>
      <c r="BW296" s="46">
        <v>0</v>
      </c>
      <c r="BY296" s="46">
        <v>0</v>
      </c>
      <c r="CA296" s="46">
        <v>0</v>
      </c>
      <c r="CC296" s="46">
        <v>0</v>
      </c>
      <c r="CE296" s="209">
        <v>0</v>
      </c>
      <c r="CH296" s="41">
        <v>992418</v>
      </c>
      <c r="CJ296" s="41">
        <v>396228</v>
      </c>
      <c r="CL296" s="41">
        <v>0</v>
      </c>
      <c r="CN296" s="41">
        <v>221945</v>
      </c>
      <c r="CP296" s="43">
        <v>1610591</v>
      </c>
      <c r="CS296" s="39">
        <v>17.377300000000002</v>
      </c>
      <c r="CU296" s="39">
        <v>22.995100000000001</v>
      </c>
      <c r="CW296" s="39">
        <v>0</v>
      </c>
      <c r="CY296" s="39">
        <v>10.9581</v>
      </c>
      <c r="DA296" s="44">
        <v>17.026199999999999</v>
      </c>
      <c r="DC296" s="1" t="str">
        <f t="shared" si="4"/>
        <v>No</v>
      </c>
    </row>
    <row r="297" spans="1:107">
      <c r="A297" s="7" t="s">
        <v>43</v>
      </c>
      <c r="B297" s="7" t="s">
        <v>521</v>
      </c>
      <c r="C297" s="37" t="s">
        <v>42</v>
      </c>
      <c r="D297" s="296">
        <v>5103</v>
      </c>
      <c r="E297" s="297">
        <v>50103</v>
      </c>
      <c r="F297" s="27" t="s">
        <v>162</v>
      </c>
      <c r="G297" s="27" t="s">
        <v>158</v>
      </c>
      <c r="H297" s="35">
        <v>8608208</v>
      </c>
      <c r="I297" s="35">
        <v>32</v>
      </c>
      <c r="J297" s="292"/>
      <c r="K297" s="8">
        <v>10443</v>
      </c>
      <c r="L297" s="8"/>
      <c r="M297" s="8">
        <v>0</v>
      </c>
      <c r="N297" s="9"/>
      <c r="O297" s="8">
        <v>0</v>
      </c>
      <c r="P297" s="9"/>
      <c r="Q297" s="8">
        <v>4013</v>
      </c>
      <c r="R297" s="9"/>
      <c r="S297" s="8">
        <v>0</v>
      </c>
      <c r="T297" s="9"/>
      <c r="U297" s="33">
        <v>14456</v>
      </c>
      <c r="V297" s="9"/>
      <c r="W297" s="30">
        <v>7</v>
      </c>
      <c r="X297" s="9"/>
      <c r="Y297" s="30">
        <v>0</v>
      </c>
      <c r="Z297" s="9"/>
      <c r="AA297" s="30">
        <v>0</v>
      </c>
      <c r="AB297" s="9"/>
      <c r="AC297" s="30">
        <v>3</v>
      </c>
      <c r="AD297" s="9"/>
      <c r="AE297" s="80">
        <v>0</v>
      </c>
      <c r="AF297" s="46"/>
      <c r="AG297" s="88">
        <v>10</v>
      </c>
      <c r="AH297" s="47"/>
      <c r="AJ297" s="83">
        <v>10070</v>
      </c>
      <c r="AL297" s="83">
        <v>0</v>
      </c>
      <c r="AN297" s="83">
        <v>0</v>
      </c>
      <c r="AP297" s="83">
        <v>4013</v>
      </c>
      <c r="AR297" s="83">
        <v>0</v>
      </c>
      <c r="AT297" s="204">
        <v>14083</v>
      </c>
      <c r="AV297" s="46">
        <v>5</v>
      </c>
      <c r="AX297" s="46">
        <v>0</v>
      </c>
      <c r="AZ297" s="46">
        <v>0</v>
      </c>
      <c r="BB297" s="46">
        <v>3</v>
      </c>
      <c r="BD297" s="46">
        <v>0</v>
      </c>
      <c r="BF297" s="209">
        <v>10</v>
      </c>
      <c r="BI297" s="83">
        <v>373</v>
      </c>
      <c r="BK297" s="83">
        <v>0</v>
      </c>
      <c r="BM297" s="83">
        <v>0</v>
      </c>
      <c r="BO297" s="83">
        <v>0</v>
      </c>
      <c r="BQ297" s="83">
        <v>0</v>
      </c>
      <c r="BS297" s="85">
        <v>373</v>
      </c>
      <c r="BU297" s="46">
        <v>2</v>
      </c>
      <c r="BW297" s="46">
        <v>0</v>
      </c>
      <c r="BY297" s="46">
        <v>0</v>
      </c>
      <c r="CA297" s="46">
        <v>0</v>
      </c>
      <c r="CC297" s="46">
        <v>0</v>
      </c>
      <c r="CE297" s="209">
        <v>2</v>
      </c>
      <c r="CH297" s="41">
        <v>150005</v>
      </c>
      <c r="CJ297" s="41">
        <v>0</v>
      </c>
      <c r="CL297" s="41">
        <v>0</v>
      </c>
      <c r="CN297" s="41">
        <v>46906</v>
      </c>
      <c r="CP297" s="43">
        <v>196911</v>
      </c>
      <c r="CS297" s="39">
        <v>14.3642</v>
      </c>
      <c r="CW297" s="39">
        <v>0</v>
      </c>
      <c r="CY297" s="39">
        <v>11.688499999999999</v>
      </c>
      <c r="DA297" s="44">
        <v>13.6214</v>
      </c>
      <c r="DC297" s="1" t="str">
        <f t="shared" si="4"/>
        <v>No</v>
      </c>
    </row>
    <row r="298" spans="1:107">
      <c r="A298" s="7" t="s">
        <v>11</v>
      </c>
      <c r="B298" s="7" t="s">
        <v>298</v>
      </c>
      <c r="C298" s="37" t="s">
        <v>9</v>
      </c>
      <c r="D298" s="296">
        <v>4071</v>
      </c>
      <c r="E298" s="297">
        <v>40071</v>
      </c>
      <c r="F298" s="27" t="s">
        <v>162</v>
      </c>
      <c r="G298" s="27" t="s">
        <v>158</v>
      </c>
      <c r="H298" s="35">
        <v>286692</v>
      </c>
      <c r="I298" s="35">
        <v>32</v>
      </c>
      <c r="J298" s="292"/>
      <c r="K298" s="8">
        <v>100497</v>
      </c>
      <c r="L298" s="8"/>
      <c r="M298" s="8">
        <v>6753</v>
      </c>
      <c r="N298" s="9"/>
      <c r="O298" s="8">
        <v>665</v>
      </c>
      <c r="P298" s="9"/>
      <c r="Q298" s="8">
        <v>5471</v>
      </c>
      <c r="R298" s="9"/>
      <c r="S298" s="8">
        <v>0</v>
      </c>
      <c r="T298" s="9"/>
      <c r="U298" s="33">
        <v>113386</v>
      </c>
      <c r="V298" s="9"/>
      <c r="W298" s="30">
        <v>58</v>
      </c>
      <c r="X298" s="9"/>
      <c r="Y298" s="30">
        <v>6.95</v>
      </c>
      <c r="Z298" s="9"/>
      <c r="AA298" s="30">
        <v>0.39</v>
      </c>
      <c r="AB298" s="9"/>
      <c r="AC298" s="30">
        <v>3</v>
      </c>
      <c r="AD298" s="9"/>
      <c r="AE298" s="80">
        <v>0</v>
      </c>
      <c r="AF298" s="46"/>
      <c r="AG298" s="88">
        <v>68.34</v>
      </c>
      <c r="AH298" s="47"/>
      <c r="AJ298" s="83">
        <v>69419</v>
      </c>
      <c r="AL298" s="83">
        <v>6099</v>
      </c>
      <c r="AN298" s="83">
        <v>456</v>
      </c>
      <c r="AP298" s="83">
        <v>5005</v>
      </c>
      <c r="AR298" s="83">
        <v>0</v>
      </c>
      <c r="AT298" s="204">
        <v>80979</v>
      </c>
      <c r="AV298" s="46">
        <v>35</v>
      </c>
      <c r="AX298" s="46">
        <v>3.05</v>
      </c>
      <c r="AZ298" s="46">
        <v>0.28999999999999998</v>
      </c>
      <c r="BB298" s="46">
        <v>2.6</v>
      </c>
      <c r="BD298" s="46">
        <v>0</v>
      </c>
      <c r="BF298" s="209">
        <v>68.34</v>
      </c>
      <c r="BI298" s="83">
        <v>31078</v>
      </c>
      <c r="BK298" s="83">
        <v>654</v>
      </c>
      <c r="BM298" s="83">
        <v>209</v>
      </c>
      <c r="BO298" s="83">
        <v>466</v>
      </c>
      <c r="BQ298" s="83">
        <v>0</v>
      </c>
      <c r="BS298" s="85">
        <v>32407</v>
      </c>
      <c r="BU298" s="46">
        <v>23</v>
      </c>
      <c r="BW298" s="46">
        <v>3.9</v>
      </c>
      <c r="BY298" s="46">
        <v>0.1</v>
      </c>
      <c r="CA298" s="46">
        <v>0.4</v>
      </c>
      <c r="CC298" s="46">
        <v>0</v>
      </c>
      <c r="CE298" s="209">
        <v>27.4</v>
      </c>
      <c r="CH298" s="41">
        <v>1700983</v>
      </c>
      <c r="CJ298" s="41">
        <v>123181</v>
      </c>
      <c r="CL298" s="41">
        <v>9748</v>
      </c>
      <c r="CN298" s="41">
        <v>218517</v>
      </c>
      <c r="CP298" s="43">
        <v>2052429</v>
      </c>
      <c r="CS298" s="39">
        <v>16.925699999999999</v>
      </c>
      <c r="CU298" s="39">
        <v>18.2409</v>
      </c>
      <c r="CW298" s="39">
        <v>9.7000000000000003E-2</v>
      </c>
      <c r="CY298" s="39">
        <v>39.941000000000003</v>
      </c>
      <c r="DA298" s="44">
        <v>18.101299999999998</v>
      </c>
      <c r="DC298" s="1" t="str">
        <f t="shared" si="4"/>
        <v>No</v>
      </c>
    </row>
    <row r="299" spans="1:107">
      <c r="A299" s="7" t="s">
        <v>219</v>
      </c>
      <c r="B299" s="7" t="s">
        <v>220</v>
      </c>
      <c r="C299" s="37" t="s">
        <v>57</v>
      </c>
      <c r="D299" s="296">
        <v>8004</v>
      </c>
      <c r="E299" s="297">
        <v>80004</v>
      </c>
      <c r="F299" s="27" t="s">
        <v>162</v>
      </c>
      <c r="G299" s="27" t="s">
        <v>158</v>
      </c>
      <c r="H299" s="35">
        <v>114773</v>
      </c>
      <c r="I299" s="35">
        <v>31</v>
      </c>
      <c r="J299" s="292"/>
      <c r="K299" s="8">
        <v>79536</v>
      </c>
      <c r="L299" s="8"/>
      <c r="M299" s="8">
        <v>8852</v>
      </c>
      <c r="N299" s="9"/>
      <c r="O299" s="8">
        <v>5253</v>
      </c>
      <c r="P299" s="9"/>
      <c r="Q299" s="8">
        <v>5887</v>
      </c>
      <c r="R299" s="9"/>
      <c r="S299" s="8">
        <v>0</v>
      </c>
      <c r="T299" s="9"/>
      <c r="U299" s="33">
        <v>99528</v>
      </c>
      <c r="V299" s="9"/>
      <c r="W299" s="30">
        <v>45.1</v>
      </c>
      <c r="X299" s="9"/>
      <c r="Y299" s="30">
        <v>4.6500000000000004</v>
      </c>
      <c r="Z299" s="9"/>
      <c r="AA299" s="30">
        <v>2.85</v>
      </c>
      <c r="AB299" s="9"/>
      <c r="AC299" s="30">
        <v>3.4</v>
      </c>
      <c r="AD299" s="9"/>
      <c r="AE299" s="80">
        <v>0</v>
      </c>
      <c r="AF299" s="46"/>
      <c r="AG299" s="88">
        <v>56</v>
      </c>
      <c r="AH299" s="47"/>
      <c r="AJ299" s="83">
        <v>79536</v>
      </c>
      <c r="AL299" s="83">
        <v>8852</v>
      </c>
      <c r="AN299" s="83">
        <v>5253</v>
      </c>
      <c r="AP299" s="83">
        <v>5887</v>
      </c>
      <c r="AR299" s="83">
        <v>0</v>
      </c>
      <c r="AT299" s="204">
        <v>99528</v>
      </c>
      <c r="AV299" s="46">
        <v>45.1</v>
      </c>
      <c r="AX299" s="46">
        <v>4.6500000000000004</v>
      </c>
      <c r="AZ299" s="46">
        <v>2.85</v>
      </c>
      <c r="BB299" s="46">
        <v>3.4</v>
      </c>
      <c r="BD299" s="46">
        <v>0</v>
      </c>
      <c r="BF299" s="209">
        <v>56</v>
      </c>
      <c r="BI299" s="83">
        <v>0</v>
      </c>
      <c r="BK299" s="83">
        <v>0</v>
      </c>
      <c r="BM299" s="83">
        <v>0</v>
      </c>
      <c r="BO299" s="83">
        <v>0</v>
      </c>
      <c r="BQ299" s="83">
        <v>0</v>
      </c>
      <c r="BS299" s="85">
        <v>0</v>
      </c>
      <c r="BU299" s="46">
        <v>0</v>
      </c>
      <c r="BW299" s="46">
        <v>0</v>
      </c>
      <c r="BY299" s="46">
        <v>0</v>
      </c>
      <c r="CA299" s="46">
        <v>0</v>
      </c>
      <c r="CC299" s="46">
        <v>0</v>
      </c>
      <c r="CE299" s="209">
        <v>0</v>
      </c>
      <c r="CH299" s="41">
        <v>1866028</v>
      </c>
      <c r="CJ299" s="41">
        <v>201435</v>
      </c>
      <c r="CL299" s="41">
        <v>162906</v>
      </c>
      <c r="CN299" s="41">
        <v>254930</v>
      </c>
      <c r="CP299" s="43">
        <v>2485299</v>
      </c>
      <c r="CS299" s="39">
        <v>23.461400000000001</v>
      </c>
      <c r="CU299" s="39">
        <v>22.7559</v>
      </c>
      <c r="CW299" s="39">
        <v>2.0482</v>
      </c>
      <c r="CY299" s="39">
        <v>43.303899999999999</v>
      </c>
      <c r="DA299" s="44">
        <v>24.9709</v>
      </c>
      <c r="DC299" s="1" t="str">
        <f t="shared" si="4"/>
        <v>No</v>
      </c>
    </row>
    <row r="300" spans="1:107">
      <c r="A300" s="7" t="s">
        <v>347</v>
      </c>
      <c r="B300" s="7" t="s">
        <v>348</v>
      </c>
      <c r="C300" s="37" t="s">
        <v>40</v>
      </c>
      <c r="D300" s="296">
        <v>5061</v>
      </c>
      <c r="E300" s="297">
        <v>50061</v>
      </c>
      <c r="F300" s="27" t="s">
        <v>162</v>
      </c>
      <c r="G300" s="27" t="s">
        <v>158</v>
      </c>
      <c r="H300" s="35">
        <v>93863</v>
      </c>
      <c r="I300" s="35">
        <v>31</v>
      </c>
      <c r="J300" s="292"/>
      <c r="K300" s="8">
        <v>103320</v>
      </c>
      <c r="L300" s="8"/>
      <c r="M300" s="8">
        <v>13885</v>
      </c>
      <c r="N300" s="9"/>
      <c r="O300" s="8">
        <v>11368</v>
      </c>
      <c r="P300" s="9"/>
      <c r="Q300" s="8">
        <v>9446</v>
      </c>
      <c r="R300" s="9"/>
      <c r="S300" s="8">
        <v>0</v>
      </c>
      <c r="T300" s="9"/>
      <c r="U300" s="33">
        <v>138019</v>
      </c>
      <c r="V300" s="9"/>
      <c r="W300" s="30">
        <v>57.2</v>
      </c>
      <c r="X300" s="9"/>
      <c r="Y300" s="30">
        <v>7.6</v>
      </c>
      <c r="Z300" s="9"/>
      <c r="AA300" s="30">
        <v>6</v>
      </c>
      <c r="AB300" s="9"/>
      <c r="AC300" s="30">
        <v>5.25</v>
      </c>
      <c r="AD300" s="9"/>
      <c r="AE300" s="80">
        <v>0</v>
      </c>
      <c r="AF300" s="46"/>
      <c r="AG300" s="88">
        <v>76.05</v>
      </c>
      <c r="AH300" s="47"/>
      <c r="AJ300" s="83">
        <v>95122</v>
      </c>
      <c r="AL300" s="83">
        <v>13885</v>
      </c>
      <c r="AN300" s="83">
        <v>11368</v>
      </c>
      <c r="AP300" s="83">
        <v>9446</v>
      </c>
      <c r="AR300" s="83">
        <v>0</v>
      </c>
      <c r="AT300" s="204">
        <v>129821</v>
      </c>
      <c r="AV300" s="46">
        <v>53.2</v>
      </c>
      <c r="AX300" s="46">
        <v>7.6</v>
      </c>
      <c r="AZ300" s="46">
        <v>6</v>
      </c>
      <c r="BB300" s="46">
        <v>5.25</v>
      </c>
      <c r="BD300" s="46">
        <v>0</v>
      </c>
      <c r="BF300" s="209">
        <v>76.05</v>
      </c>
      <c r="BI300" s="83">
        <v>8198</v>
      </c>
      <c r="BK300" s="83">
        <v>0</v>
      </c>
      <c r="BM300" s="83">
        <v>0</v>
      </c>
      <c r="BO300" s="83">
        <v>0</v>
      </c>
      <c r="BQ300" s="83">
        <v>0</v>
      </c>
      <c r="BS300" s="85">
        <v>8198</v>
      </c>
      <c r="BU300" s="46">
        <v>4</v>
      </c>
      <c r="BW300" s="46">
        <v>0</v>
      </c>
      <c r="BY300" s="46">
        <v>0</v>
      </c>
      <c r="CA300" s="46">
        <v>0</v>
      </c>
      <c r="CC300" s="46">
        <v>0</v>
      </c>
      <c r="CE300" s="209">
        <v>4</v>
      </c>
      <c r="CH300" s="41">
        <v>2017511</v>
      </c>
      <c r="CJ300" s="41">
        <v>264126</v>
      </c>
      <c r="CL300" s="41">
        <v>238565</v>
      </c>
      <c r="CN300" s="41">
        <v>251237</v>
      </c>
      <c r="CP300" s="43">
        <v>2771439</v>
      </c>
      <c r="CS300" s="39">
        <v>19.526800000000001</v>
      </c>
      <c r="CU300" s="39">
        <v>19.022400000000001</v>
      </c>
      <c r="CW300" s="39">
        <v>2.3090000000000002</v>
      </c>
      <c r="CY300" s="39">
        <v>26.597200000000001</v>
      </c>
      <c r="DA300" s="44">
        <v>20.080100000000002</v>
      </c>
      <c r="DC300" s="1" t="str">
        <f t="shared" si="4"/>
        <v>No</v>
      </c>
    </row>
    <row r="301" spans="1:107">
      <c r="A301" s="7" t="s">
        <v>94</v>
      </c>
      <c r="B301" s="7" t="s">
        <v>539</v>
      </c>
      <c r="C301" s="37" t="s">
        <v>93</v>
      </c>
      <c r="D301" s="296">
        <v>5009</v>
      </c>
      <c r="E301" s="297">
        <v>50009</v>
      </c>
      <c r="F301" s="27" t="s">
        <v>162</v>
      </c>
      <c r="G301" s="27" t="s">
        <v>158</v>
      </c>
      <c r="H301" s="35">
        <v>74495</v>
      </c>
      <c r="I301" s="35">
        <v>30</v>
      </c>
      <c r="J301" s="292"/>
      <c r="K301" s="8">
        <v>38337</v>
      </c>
      <c r="L301" s="8"/>
      <c r="M301" s="8">
        <v>6644</v>
      </c>
      <c r="N301" s="9"/>
      <c r="O301" s="8">
        <v>1852</v>
      </c>
      <c r="P301" s="9"/>
      <c r="Q301" s="8">
        <v>8023</v>
      </c>
      <c r="R301" s="9"/>
      <c r="S301" s="8">
        <v>0</v>
      </c>
      <c r="T301" s="9"/>
      <c r="U301" s="33">
        <v>54856</v>
      </c>
      <c r="V301" s="9"/>
      <c r="W301" s="30">
        <v>22</v>
      </c>
      <c r="X301" s="9"/>
      <c r="Y301" s="30">
        <v>4</v>
      </c>
      <c r="Z301" s="9"/>
      <c r="AA301" s="30">
        <v>1</v>
      </c>
      <c r="AB301" s="9"/>
      <c r="AC301" s="30">
        <v>4</v>
      </c>
      <c r="AD301" s="9"/>
      <c r="AE301" s="80">
        <v>0</v>
      </c>
      <c r="AF301" s="46"/>
      <c r="AG301" s="88">
        <v>31</v>
      </c>
      <c r="AH301" s="47"/>
      <c r="AJ301" s="83">
        <v>36857</v>
      </c>
      <c r="AL301" s="83">
        <v>6644</v>
      </c>
      <c r="AN301" s="83">
        <v>1852</v>
      </c>
      <c r="AP301" s="83">
        <v>8023</v>
      </c>
      <c r="AR301" s="83">
        <v>0</v>
      </c>
      <c r="AT301" s="204">
        <v>53376</v>
      </c>
      <c r="AV301" s="46">
        <v>21</v>
      </c>
      <c r="AX301" s="46">
        <v>4</v>
      </c>
      <c r="AZ301" s="46">
        <v>1</v>
      </c>
      <c r="BB301" s="46">
        <v>4</v>
      </c>
      <c r="BD301" s="46">
        <v>0</v>
      </c>
      <c r="BF301" s="209">
        <v>31</v>
      </c>
      <c r="BI301" s="83">
        <v>1480</v>
      </c>
      <c r="BK301" s="83">
        <v>0</v>
      </c>
      <c r="BM301" s="83">
        <v>0</v>
      </c>
      <c r="BO301" s="83">
        <v>0</v>
      </c>
      <c r="BQ301" s="83">
        <v>0</v>
      </c>
      <c r="BS301" s="85">
        <v>1480</v>
      </c>
      <c r="BU301" s="46">
        <v>1</v>
      </c>
      <c r="BW301" s="46">
        <v>0</v>
      </c>
      <c r="BY301" s="46">
        <v>0</v>
      </c>
      <c r="CA301" s="46">
        <v>0</v>
      </c>
      <c r="CC301" s="46">
        <v>0</v>
      </c>
      <c r="CE301" s="209">
        <v>1</v>
      </c>
      <c r="CH301" s="41">
        <v>1041126</v>
      </c>
      <c r="CJ301" s="41">
        <v>199220</v>
      </c>
      <c r="CL301" s="41">
        <v>44592</v>
      </c>
      <c r="CN301" s="41">
        <v>225782</v>
      </c>
      <c r="CP301" s="43">
        <v>1510720</v>
      </c>
      <c r="CS301" s="39">
        <v>27.1572</v>
      </c>
      <c r="CU301" s="39">
        <v>29.9849</v>
      </c>
      <c r="CW301" s="39">
        <v>1.1632</v>
      </c>
      <c r="CY301" s="39">
        <v>28.1418</v>
      </c>
      <c r="DA301" s="44">
        <v>27.5397</v>
      </c>
      <c r="DC301" s="1" t="str">
        <f t="shared" si="4"/>
        <v>No</v>
      </c>
    </row>
    <row r="302" spans="1:107">
      <c r="A302" s="7" t="s">
        <v>440</v>
      </c>
      <c r="B302" s="7" t="s">
        <v>441</v>
      </c>
      <c r="C302" s="37" t="s">
        <v>93</v>
      </c>
      <c r="D302" s="296">
        <v>5004</v>
      </c>
      <c r="E302" s="297">
        <v>50004</v>
      </c>
      <c r="F302" s="27" t="s">
        <v>162</v>
      </c>
      <c r="G302" s="27" t="s">
        <v>158</v>
      </c>
      <c r="H302" s="35">
        <v>100868</v>
      </c>
      <c r="I302" s="35">
        <v>30</v>
      </c>
      <c r="J302" s="292"/>
      <c r="K302" s="8">
        <v>61815</v>
      </c>
      <c r="L302" s="8"/>
      <c r="M302" s="8">
        <v>11003</v>
      </c>
      <c r="N302" s="9"/>
      <c r="O302" s="8">
        <v>450</v>
      </c>
      <c r="P302" s="9"/>
      <c r="Q302" s="8">
        <v>6051</v>
      </c>
      <c r="R302" s="9"/>
      <c r="S302" s="8">
        <v>150</v>
      </c>
      <c r="T302" s="9"/>
      <c r="U302" s="33">
        <v>79469</v>
      </c>
      <c r="V302" s="9"/>
      <c r="W302" s="30">
        <v>44</v>
      </c>
      <c r="X302" s="9"/>
      <c r="Y302" s="30">
        <v>6.3</v>
      </c>
      <c r="Z302" s="9"/>
      <c r="AA302" s="30">
        <v>0.3</v>
      </c>
      <c r="AB302" s="9"/>
      <c r="AC302" s="30">
        <v>3.5</v>
      </c>
      <c r="AD302" s="9"/>
      <c r="AE302" s="80">
        <v>0.1</v>
      </c>
      <c r="AF302" s="46"/>
      <c r="AG302" s="88">
        <v>54.2</v>
      </c>
      <c r="AH302" s="47"/>
      <c r="AJ302" s="83">
        <v>57865</v>
      </c>
      <c r="AL302" s="83">
        <v>11003</v>
      </c>
      <c r="AN302" s="83">
        <v>450</v>
      </c>
      <c r="AP302" s="83">
        <v>6051</v>
      </c>
      <c r="AR302" s="83">
        <v>150</v>
      </c>
      <c r="AT302" s="204">
        <v>75519</v>
      </c>
      <c r="AV302" s="46">
        <v>38</v>
      </c>
      <c r="AX302" s="46">
        <v>6.3</v>
      </c>
      <c r="AZ302" s="46">
        <v>0.3</v>
      </c>
      <c r="BB302" s="46">
        <v>3.5</v>
      </c>
      <c r="BD302" s="46">
        <v>0.1</v>
      </c>
      <c r="BF302" s="209">
        <v>54.2</v>
      </c>
      <c r="BI302" s="83">
        <v>3950</v>
      </c>
      <c r="BK302" s="83">
        <v>0</v>
      </c>
      <c r="BM302" s="83">
        <v>0</v>
      </c>
      <c r="BO302" s="83">
        <v>0</v>
      </c>
      <c r="BQ302" s="83">
        <v>0</v>
      </c>
      <c r="BS302" s="85">
        <v>3950</v>
      </c>
      <c r="BU302" s="46">
        <v>6</v>
      </c>
      <c r="BW302" s="46">
        <v>0</v>
      </c>
      <c r="BY302" s="46">
        <v>0</v>
      </c>
      <c r="CA302" s="46">
        <v>0</v>
      </c>
      <c r="CC302" s="46">
        <v>0</v>
      </c>
      <c r="CE302" s="209">
        <v>6</v>
      </c>
      <c r="CH302" s="41">
        <v>1659804</v>
      </c>
      <c r="CJ302" s="41">
        <v>255313</v>
      </c>
      <c r="CL302" s="41">
        <v>10237</v>
      </c>
      <c r="CN302" s="41">
        <v>260459</v>
      </c>
      <c r="CP302" s="43">
        <v>2185813</v>
      </c>
      <c r="CS302" s="39">
        <v>26.851199999999999</v>
      </c>
      <c r="CU302" s="39">
        <v>23.203900000000001</v>
      </c>
      <c r="CW302" s="39">
        <v>0.1656</v>
      </c>
      <c r="CY302" s="39">
        <v>43.043999999999997</v>
      </c>
      <c r="DA302" s="44">
        <v>27.505199999999999</v>
      </c>
      <c r="DC302" s="1" t="str">
        <f t="shared" si="4"/>
        <v>No</v>
      </c>
    </row>
    <row r="303" spans="1:107">
      <c r="A303" s="7" t="s">
        <v>709</v>
      </c>
      <c r="B303" s="7" t="s">
        <v>710</v>
      </c>
      <c r="C303" s="37" t="s">
        <v>93</v>
      </c>
      <c r="D303" s="296">
        <v>5161</v>
      </c>
      <c r="E303" s="297">
        <v>50161</v>
      </c>
      <c r="F303" s="27" t="s">
        <v>162</v>
      </c>
      <c r="G303" s="27" t="s">
        <v>158</v>
      </c>
      <c r="H303" s="35">
        <v>1376476</v>
      </c>
      <c r="I303" s="35">
        <v>30</v>
      </c>
      <c r="J303" s="292"/>
      <c r="K303" s="8">
        <v>13767</v>
      </c>
      <c r="L303" s="8"/>
      <c r="M303" s="8">
        <v>2102</v>
      </c>
      <c r="N303" s="9"/>
      <c r="O303" s="8">
        <v>238</v>
      </c>
      <c r="P303" s="9"/>
      <c r="Q303" s="8">
        <v>932</v>
      </c>
      <c r="R303" s="9"/>
      <c r="S303" s="8">
        <v>0</v>
      </c>
      <c r="T303" s="9"/>
      <c r="U303" s="33">
        <v>17039</v>
      </c>
      <c r="V303" s="9"/>
      <c r="W303" s="30">
        <v>5.6</v>
      </c>
      <c r="X303" s="9"/>
      <c r="Y303" s="30">
        <v>1.1000000000000001</v>
      </c>
      <c r="Z303" s="9"/>
      <c r="AA303" s="30">
        <v>0.1</v>
      </c>
      <c r="AB303" s="9"/>
      <c r="AC303" s="30">
        <v>0.6</v>
      </c>
      <c r="AD303" s="9"/>
      <c r="AE303" s="80">
        <v>0</v>
      </c>
      <c r="AF303" s="46"/>
      <c r="AG303" s="88">
        <v>7.4</v>
      </c>
      <c r="AH303" s="47"/>
      <c r="AJ303" s="83">
        <v>13767</v>
      </c>
      <c r="AL303" s="83">
        <v>2102</v>
      </c>
      <c r="AN303" s="83">
        <v>238</v>
      </c>
      <c r="AP303" s="83">
        <v>932</v>
      </c>
      <c r="AR303" s="83">
        <v>0</v>
      </c>
      <c r="AT303" s="204">
        <v>17039</v>
      </c>
      <c r="AV303" s="46">
        <v>5.6</v>
      </c>
      <c r="AX303" s="46">
        <v>1.1000000000000001</v>
      </c>
      <c r="AZ303" s="46">
        <v>0.1</v>
      </c>
      <c r="BB303" s="46">
        <v>0.6</v>
      </c>
      <c r="BD303" s="46">
        <v>0</v>
      </c>
      <c r="BF303" s="209">
        <v>7.4</v>
      </c>
      <c r="BI303" s="83">
        <v>0</v>
      </c>
      <c r="BK303" s="83">
        <v>0</v>
      </c>
      <c r="BM303" s="83">
        <v>0</v>
      </c>
      <c r="BO303" s="83">
        <v>0</v>
      </c>
      <c r="BQ303" s="83">
        <v>0</v>
      </c>
      <c r="BS303" s="85">
        <v>0</v>
      </c>
      <c r="BU303" s="46">
        <v>0</v>
      </c>
      <c r="BW303" s="46">
        <v>0</v>
      </c>
      <c r="BY303" s="46">
        <v>0</v>
      </c>
      <c r="CA303" s="46">
        <v>0</v>
      </c>
      <c r="CC303" s="46">
        <v>0</v>
      </c>
      <c r="CE303" s="209">
        <v>0</v>
      </c>
      <c r="CH303" s="41">
        <v>321285</v>
      </c>
      <c r="CJ303" s="41">
        <v>52855</v>
      </c>
      <c r="CL303" s="41">
        <v>8353</v>
      </c>
      <c r="CN303" s="41">
        <v>52967</v>
      </c>
      <c r="CP303" s="43">
        <v>435460</v>
      </c>
      <c r="CS303" s="39">
        <v>23.337299999999999</v>
      </c>
      <c r="CU303" s="39">
        <v>25.145099999999999</v>
      </c>
      <c r="CW303" s="39">
        <v>0.60670000000000002</v>
      </c>
      <c r="CY303" s="39">
        <v>56.831499999999998</v>
      </c>
      <c r="DA303" s="44">
        <v>25.556699999999999</v>
      </c>
      <c r="DC303" s="1" t="str">
        <f t="shared" si="4"/>
        <v>No</v>
      </c>
    </row>
    <row r="304" spans="1:107">
      <c r="A304" s="7" t="s">
        <v>301</v>
      </c>
      <c r="B304" s="7" t="s">
        <v>302</v>
      </c>
      <c r="C304" s="37" t="s">
        <v>42</v>
      </c>
      <c r="D304" s="296">
        <v>5145</v>
      </c>
      <c r="E304" s="297">
        <v>50145</v>
      </c>
      <c r="F304" s="27" t="s">
        <v>162</v>
      </c>
      <c r="G304" s="27" t="s">
        <v>158</v>
      </c>
      <c r="H304" s="35">
        <v>62182</v>
      </c>
      <c r="I304" s="35">
        <v>30</v>
      </c>
      <c r="J304" s="292"/>
      <c r="K304" s="8">
        <v>63342</v>
      </c>
      <c r="L304" s="8"/>
      <c r="M304" s="8">
        <v>993</v>
      </c>
      <c r="N304" s="9"/>
      <c r="O304" s="8">
        <v>0</v>
      </c>
      <c r="P304" s="9"/>
      <c r="Q304" s="8">
        <v>3028</v>
      </c>
      <c r="R304" s="9"/>
      <c r="S304" s="8">
        <v>0</v>
      </c>
      <c r="T304" s="9"/>
      <c r="U304" s="33">
        <v>67363</v>
      </c>
      <c r="V304" s="9"/>
      <c r="W304" s="30">
        <v>33.4</v>
      </c>
      <c r="X304" s="9"/>
      <c r="Y304" s="30">
        <v>0.54</v>
      </c>
      <c r="Z304" s="9"/>
      <c r="AA304" s="30">
        <v>0</v>
      </c>
      <c r="AB304" s="9"/>
      <c r="AC304" s="30">
        <v>1.85</v>
      </c>
      <c r="AD304" s="9"/>
      <c r="AE304" s="80">
        <v>0</v>
      </c>
      <c r="AF304" s="46"/>
      <c r="AG304" s="88">
        <v>35.79</v>
      </c>
      <c r="AH304" s="47"/>
      <c r="AJ304" s="83">
        <v>12212</v>
      </c>
      <c r="AL304" s="83">
        <v>993</v>
      </c>
      <c r="AN304" s="83">
        <v>0</v>
      </c>
      <c r="AP304" s="83">
        <v>3028</v>
      </c>
      <c r="AR304" s="83">
        <v>0</v>
      </c>
      <c r="AT304" s="204">
        <v>16233</v>
      </c>
      <c r="AV304" s="46">
        <v>4</v>
      </c>
      <c r="AX304" s="46">
        <v>0.54</v>
      </c>
      <c r="AZ304" s="46">
        <v>0</v>
      </c>
      <c r="BB304" s="46">
        <v>1.85</v>
      </c>
      <c r="BD304" s="46">
        <v>0</v>
      </c>
      <c r="BF304" s="209">
        <v>35.79</v>
      </c>
      <c r="BI304" s="83">
        <v>51130</v>
      </c>
      <c r="BK304" s="83">
        <v>0</v>
      </c>
      <c r="BM304" s="83">
        <v>0</v>
      </c>
      <c r="BO304" s="83">
        <v>0</v>
      </c>
      <c r="BQ304" s="83">
        <v>0</v>
      </c>
      <c r="BS304" s="85">
        <v>51130</v>
      </c>
      <c r="BU304" s="46">
        <v>29.4</v>
      </c>
      <c r="BW304" s="46">
        <v>0</v>
      </c>
      <c r="BY304" s="46">
        <v>0</v>
      </c>
      <c r="CA304" s="46">
        <v>0</v>
      </c>
      <c r="CC304" s="46">
        <v>0</v>
      </c>
      <c r="CE304" s="209">
        <v>29.4</v>
      </c>
      <c r="CH304" s="41">
        <v>785112</v>
      </c>
      <c r="CJ304" s="41">
        <v>19361</v>
      </c>
      <c r="CL304" s="41">
        <v>0</v>
      </c>
      <c r="CN304" s="41">
        <v>74074</v>
      </c>
      <c r="CP304" s="43">
        <v>878547</v>
      </c>
      <c r="CS304" s="39">
        <v>12.3948</v>
      </c>
      <c r="CU304" s="39">
        <v>19.497499999999999</v>
      </c>
      <c r="CW304" s="39">
        <v>0</v>
      </c>
      <c r="CY304" s="39">
        <v>24.463000000000001</v>
      </c>
      <c r="DA304" s="44">
        <v>13.042</v>
      </c>
      <c r="DC304" s="1" t="str">
        <f t="shared" si="4"/>
        <v>No</v>
      </c>
    </row>
    <row r="305" spans="1:107">
      <c r="A305" s="7" t="s">
        <v>517</v>
      </c>
      <c r="B305" s="7" t="s">
        <v>479</v>
      </c>
      <c r="C305" s="37" t="s">
        <v>70</v>
      </c>
      <c r="D305" s="296">
        <v>2082</v>
      </c>
      <c r="E305" s="297">
        <v>20082</v>
      </c>
      <c r="F305" s="27" t="s">
        <v>162</v>
      </c>
      <c r="G305" s="27" t="s">
        <v>158</v>
      </c>
      <c r="H305" s="35">
        <v>18351295</v>
      </c>
      <c r="I305" s="35">
        <v>29</v>
      </c>
      <c r="J305" s="292"/>
      <c r="K305" s="8">
        <v>947088</v>
      </c>
      <c r="L305" s="8"/>
      <c r="M305" s="8">
        <v>208368</v>
      </c>
      <c r="N305" s="9"/>
      <c r="O305" s="8">
        <v>208369</v>
      </c>
      <c r="P305" s="9"/>
      <c r="Q305" s="8">
        <v>53566</v>
      </c>
      <c r="R305" s="9"/>
      <c r="S305" s="8">
        <v>30074</v>
      </c>
      <c r="T305" s="9"/>
      <c r="U305" s="33">
        <v>1447465</v>
      </c>
      <c r="V305" s="9"/>
      <c r="W305" s="30">
        <v>423</v>
      </c>
      <c r="X305" s="9"/>
      <c r="Y305" s="30">
        <v>89</v>
      </c>
      <c r="Z305" s="9"/>
      <c r="AA305" s="30">
        <v>61</v>
      </c>
      <c r="AB305" s="9"/>
      <c r="AC305" s="30">
        <v>28</v>
      </c>
      <c r="AD305" s="9"/>
      <c r="AE305" s="80">
        <v>14</v>
      </c>
      <c r="AF305" s="46"/>
      <c r="AG305" s="88">
        <v>615</v>
      </c>
      <c r="AH305" s="47"/>
      <c r="AJ305" s="83">
        <v>947088</v>
      </c>
      <c r="AL305" s="83">
        <v>208368</v>
      </c>
      <c r="AN305" s="83">
        <v>208369</v>
      </c>
      <c r="AP305" s="83">
        <v>53566</v>
      </c>
      <c r="AR305" s="83">
        <v>30074</v>
      </c>
      <c r="AT305" s="204">
        <v>1447465</v>
      </c>
      <c r="AV305" s="46">
        <v>423</v>
      </c>
      <c r="AX305" s="46">
        <v>89</v>
      </c>
      <c r="AZ305" s="46">
        <v>61</v>
      </c>
      <c r="BB305" s="46">
        <v>28</v>
      </c>
      <c r="BD305" s="46">
        <v>14</v>
      </c>
      <c r="BF305" s="209">
        <v>615</v>
      </c>
      <c r="BI305" s="83">
        <v>0</v>
      </c>
      <c r="BK305" s="83">
        <v>0</v>
      </c>
      <c r="BM305" s="83">
        <v>0</v>
      </c>
      <c r="BO305" s="83">
        <v>0</v>
      </c>
      <c r="BQ305" s="83">
        <v>0</v>
      </c>
      <c r="BS305" s="85">
        <v>0</v>
      </c>
      <c r="BU305" s="46">
        <v>0</v>
      </c>
      <c r="BW305" s="46">
        <v>0</v>
      </c>
      <c r="BY305" s="46">
        <v>0</v>
      </c>
      <c r="CA305" s="46">
        <v>0</v>
      </c>
      <c r="CC305" s="46">
        <v>0</v>
      </c>
      <c r="CE305" s="209">
        <v>0</v>
      </c>
      <c r="CH305" s="41">
        <v>48141356</v>
      </c>
      <c r="CJ305" s="41">
        <v>8401617</v>
      </c>
      <c r="CL305" s="41">
        <v>5251011</v>
      </c>
      <c r="CN305" s="41">
        <v>2275438</v>
      </c>
      <c r="CP305" s="43">
        <v>64069422</v>
      </c>
      <c r="CS305" s="39">
        <v>50.8309</v>
      </c>
      <c r="CU305" s="39">
        <v>40.321100000000001</v>
      </c>
      <c r="CW305" s="39">
        <v>5.5444000000000004</v>
      </c>
      <c r="CY305" s="39">
        <v>42.479100000000003</v>
      </c>
      <c r="DA305" s="44">
        <v>44.263199999999998</v>
      </c>
      <c r="DC305" s="1" t="str">
        <f t="shared" si="4"/>
        <v>No</v>
      </c>
    </row>
    <row r="306" spans="1:107">
      <c r="A306" s="7" t="s">
        <v>370</v>
      </c>
      <c r="B306" s="7" t="s">
        <v>371</v>
      </c>
      <c r="C306" s="37" t="s">
        <v>38</v>
      </c>
      <c r="D306" s="296">
        <v>7008</v>
      </c>
      <c r="E306" s="297">
        <v>70008</v>
      </c>
      <c r="F306" s="27" t="s">
        <v>162</v>
      </c>
      <c r="G306" s="27" t="s">
        <v>158</v>
      </c>
      <c r="H306" s="35">
        <v>177844</v>
      </c>
      <c r="I306" s="35">
        <v>29</v>
      </c>
      <c r="J306" s="292"/>
      <c r="K306" s="8">
        <v>91397</v>
      </c>
      <c r="L306" s="8"/>
      <c r="M306" s="8">
        <v>7188</v>
      </c>
      <c r="N306" s="9"/>
      <c r="O306" s="8">
        <v>1687</v>
      </c>
      <c r="P306" s="9"/>
      <c r="Q306" s="8">
        <v>5165</v>
      </c>
      <c r="R306" s="9"/>
      <c r="S306" s="8">
        <v>0</v>
      </c>
      <c r="T306" s="9"/>
      <c r="U306" s="33">
        <v>105437</v>
      </c>
      <c r="V306" s="9"/>
      <c r="W306" s="30">
        <v>48</v>
      </c>
      <c r="X306" s="9"/>
      <c r="Y306" s="30">
        <v>4</v>
      </c>
      <c r="Z306" s="9"/>
      <c r="AA306" s="30">
        <v>1</v>
      </c>
      <c r="AB306" s="9"/>
      <c r="AC306" s="30">
        <v>4</v>
      </c>
      <c r="AD306" s="9"/>
      <c r="AE306" s="80">
        <v>0</v>
      </c>
      <c r="AF306" s="46"/>
      <c r="AG306" s="88">
        <v>57</v>
      </c>
      <c r="AH306" s="47"/>
      <c r="AJ306" s="83">
        <v>91397</v>
      </c>
      <c r="AL306" s="83">
        <v>7188</v>
      </c>
      <c r="AN306" s="83">
        <v>1687</v>
      </c>
      <c r="AP306" s="83">
        <v>5053</v>
      </c>
      <c r="AR306" s="83">
        <v>0</v>
      </c>
      <c r="AT306" s="204">
        <v>105325</v>
      </c>
      <c r="AV306" s="46">
        <v>48</v>
      </c>
      <c r="AX306" s="46">
        <v>4</v>
      </c>
      <c r="AZ306" s="46">
        <v>1</v>
      </c>
      <c r="BB306" s="46">
        <v>3</v>
      </c>
      <c r="BD306" s="46">
        <v>0</v>
      </c>
      <c r="BF306" s="209">
        <v>57</v>
      </c>
      <c r="BI306" s="83">
        <v>0</v>
      </c>
      <c r="BK306" s="83">
        <v>0</v>
      </c>
      <c r="BM306" s="83">
        <v>0</v>
      </c>
      <c r="BO306" s="83">
        <v>112</v>
      </c>
      <c r="BQ306" s="83">
        <v>0</v>
      </c>
      <c r="BS306" s="85">
        <v>112</v>
      </c>
      <c r="BU306" s="46">
        <v>0</v>
      </c>
      <c r="BW306" s="46">
        <v>0</v>
      </c>
      <c r="BY306" s="46">
        <v>0</v>
      </c>
      <c r="CA306" s="46">
        <v>1</v>
      </c>
      <c r="CC306" s="46">
        <v>0</v>
      </c>
      <c r="CE306" s="209">
        <v>1</v>
      </c>
      <c r="CH306" s="41">
        <v>2445945</v>
      </c>
      <c r="CJ306" s="41">
        <v>185733</v>
      </c>
      <c r="CL306" s="41">
        <v>45807</v>
      </c>
      <c r="CN306" s="41">
        <v>206387</v>
      </c>
      <c r="CP306" s="43">
        <v>2883872</v>
      </c>
      <c r="CS306" s="39">
        <v>26.761800000000001</v>
      </c>
      <c r="CU306" s="39">
        <v>25.839300000000001</v>
      </c>
      <c r="CW306" s="39">
        <v>0.50119999999999998</v>
      </c>
      <c r="CY306" s="39">
        <v>39.958799999999997</v>
      </c>
      <c r="DA306" s="44">
        <v>27.351600000000001</v>
      </c>
      <c r="DC306" s="1" t="str">
        <f t="shared" si="4"/>
        <v>No</v>
      </c>
    </row>
    <row r="307" spans="1:107">
      <c r="A307" s="7" t="s">
        <v>670</v>
      </c>
      <c r="B307" s="7" t="s">
        <v>422</v>
      </c>
      <c r="C307" s="37" t="s">
        <v>38</v>
      </c>
      <c r="D307" s="296">
        <v>7019</v>
      </c>
      <c r="E307" s="297">
        <v>70019</v>
      </c>
      <c r="F307" s="27" t="s">
        <v>114</v>
      </c>
      <c r="G307" s="27" t="s">
        <v>158</v>
      </c>
      <c r="H307" s="35">
        <v>106621</v>
      </c>
      <c r="I307" s="35">
        <v>28</v>
      </c>
      <c r="J307" s="292"/>
      <c r="K307" s="8">
        <v>113276</v>
      </c>
      <c r="L307" s="8"/>
      <c r="M307" s="8">
        <v>21959</v>
      </c>
      <c r="N307" s="9"/>
      <c r="O307" s="8">
        <v>1955</v>
      </c>
      <c r="P307" s="9"/>
      <c r="Q307" s="8">
        <v>3348</v>
      </c>
      <c r="R307" s="9"/>
      <c r="S307" s="8">
        <v>0</v>
      </c>
      <c r="T307" s="9"/>
      <c r="U307" s="33">
        <v>140538</v>
      </c>
      <c r="V307" s="9"/>
      <c r="W307" s="30">
        <v>148.94999999999999</v>
      </c>
      <c r="X307" s="9"/>
      <c r="Y307" s="30">
        <v>22.36</v>
      </c>
      <c r="Z307" s="9"/>
      <c r="AA307" s="30">
        <v>2.94</v>
      </c>
      <c r="AB307" s="9"/>
      <c r="AC307" s="30">
        <v>4.75</v>
      </c>
      <c r="AD307" s="9"/>
      <c r="AE307" s="80">
        <v>0</v>
      </c>
      <c r="AF307" s="46"/>
      <c r="AG307" s="88">
        <v>179</v>
      </c>
      <c r="AH307" s="47"/>
      <c r="AJ307" s="83">
        <v>1778</v>
      </c>
      <c r="AL307" s="83">
        <v>8088</v>
      </c>
      <c r="AN307" s="83">
        <v>734</v>
      </c>
      <c r="AP307" s="83">
        <v>448</v>
      </c>
      <c r="AR307" s="83">
        <v>0</v>
      </c>
      <c r="AT307" s="204">
        <v>11048</v>
      </c>
      <c r="AV307" s="46">
        <v>0.95</v>
      </c>
      <c r="AX307" s="46">
        <v>4.3600000000000003</v>
      </c>
      <c r="AZ307" s="46">
        <v>0.44</v>
      </c>
      <c r="BB307" s="46">
        <v>0.25</v>
      </c>
      <c r="BD307" s="46">
        <v>0</v>
      </c>
      <c r="BF307" s="209">
        <v>179</v>
      </c>
      <c r="BI307" s="83">
        <v>111498</v>
      </c>
      <c r="BK307" s="83">
        <v>13871</v>
      </c>
      <c r="BM307" s="83">
        <v>1221</v>
      </c>
      <c r="BO307" s="83">
        <v>2900</v>
      </c>
      <c r="BQ307" s="83">
        <v>0</v>
      </c>
      <c r="BS307" s="85">
        <v>129490</v>
      </c>
      <c r="BU307" s="46">
        <v>148</v>
      </c>
      <c r="BW307" s="46">
        <v>18</v>
      </c>
      <c r="BY307" s="46">
        <v>2.5</v>
      </c>
      <c r="CA307" s="46">
        <v>4.5</v>
      </c>
      <c r="CC307" s="46">
        <v>0</v>
      </c>
      <c r="CE307" s="209">
        <v>173</v>
      </c>
      <c r="CH307" s="41">
        <v>1451455</v>
      </c>
      <c r="CJ307" s="41">
        <v>405648</v>
      </c>
      <c r="CL307" s="41">
        <v>35362</v>
      </c>
      <c r="CN307" s="41">
        <v>69709</v>
      </c>
      <c r="CP307" s="43">
        <v>1962174</v>
      </c>
      <c r="CS307" s="39">
        <v>12.8134</v>
      </c>
      <c r="CU307" s="39">
        <v>18.472999999999999</v>
      </c>
      <c r="CW307" s="39">
        <v>0.31219999999999998</v>
      </c>
      <c r="CY307" s="39">
        <v>20.821100000000001</v>
      </c>
      <c r="DA307" s="44">
        <v>13.9619</v>
      </c>
      <c r="DC307" s="1" t="str">
        <f t="shared" si="4"/>
        <v>No</v>
      </c>
    </row>
    <row r="308" spans="1:107">
      <c r="A308" s="7" t="s">
        <v>160</v>
      </c>
      <c r="B308" s="7" t="s">
        <v>161</v>
      </c>
      <c r="C308" s="37" t="s">
        <v>17</v>
      </c>
      <c r="D308" s="296">
        <v>9119</v>
      </c>
      <c r="E308" s="297">
        <v>90119</v>
      </c>
      <c r="F308" s="27" t="s">
        <v>162</v>
      </c>
      <c r="G308" s="27" t="s">
        <v>158</v>
      </c>
      <c r="H308" s="35">
        <v>583681</v>
      </c>
      <c r="I308" s="35">
        <v>28</v>
      </c>
      <c r="J308" s="292"/>
      <c r="K308" s="8">
        <v>50876</v>
      </c>
      <c r="L308" s="8"/>
      <c r="M308" s="8">
        <v>11846</v>
      </c>
      <c r="N308" s="9"/>
      <c r="O308" s="8">
        <v>0</v>
      </c>
      <c r="P308" s="9"/>
      <c r="Q308" s="8">
        <v>8269</v>
      </c>
      <c r="R308" s="9"/>
      <c r="S308" s="8">
        <v>0</v>
      </c>
      <c r="T308" s="9"/>
      <c r="U308" s="33">
        <v>70991</v>
      </c>
      <c r="V308" s="9"/>
      <c r="W308" s="30">
        <v>112</v>
      </c>
      <c r="X308" s="9"/>
      <c r="Y308" s="30">
        <v>10</v>
      </c>
      <c r="Z308" s="9"/>
      <c r="AA308" s="30">
        <v>0</v>
      </c>
      <c r="AB308" s="9"/>
      <c r="AC308" s="30">
        <v>31</v>
      </c>
      <c r="AD308" s="9"/>
      <c r="AE308" s="80">
        <v>0</v>
      </c>
      <c r="AF308" s="46"/>
      <c r="AG308" s="88">
        <v>153</v>
      </c>
      <c r="AH308" s="47"/>
      <c r="AJ308" s="83">
        <v>4392</v>
      </c>
      <c r="AL308" s="83">
        <v>9687</v>
      </c>
      <c r="AN308" s="83">
        <v>0</v>
      </c>
      <c r="AP308" s="83">
        <v>1788</v>
      </c>
      <c r="AR308" s="83">
        <v>0</v>
      </c>
      <c r="AT308" s="204">
        <v>15867</v>
      </c>
      <c r="AV308" s="46">
        <v>2</v>
      </c>
      <c r="AX308" s="46">
        <v>5</v>
      </c>
      <c r="AZ308" s="46">
        <v>0</v>
      </c>
      <c r="BB308" s="46">
        <v>1</v>
      </c>
      <c r="BD308" s="46">
        <v>0</v>
      </c>
      <c r="BF308" s="209">
        <v>153</v>
      </c>
      <c r="BI308" s="83">
        <v>46484</v>
      </c>
      <c r="BK308" s="83">
        <v>2159</v>
      </c>
      <c r="BM308" s="83">
        <v>0</v>
      </c>
      <c r="BO308" s="83">
        <v>6481</v>
      </c>
      <c r="BQ308" s="83">
        <v>0</v>
      </c>
      <c r="BS308" s="85">
        <v>55124</v>
      </c>
      <c r="BU308" s="46">
        <v>110</v>
      </c>
      <c r="BW308" s="46">
        <v>5</v>
      </c>
      <c r="BY308" s="46">
        <v>0</v>
      </c>
      <c r="CA308" s="46">
        <v>30</v>
      </c>
      <c r="CC308" s="46">
        <v>0</v>
      </c>
      <c r="CE308" s="209">
        <v>145</v>
      </c>
      <c r="CH308" s="41">
        <v>1289786</v>
      </c>
      <c r="CJ308" s="41">
        <v>237387</v>
      </c>
      <c r="CL308" s="41">
        <v>0</v>
      </c>
      <c r="CN308" s="41">
        <v>239805</v>
      </c>
      <c r="CP308" s="43">
        <v>1766978</v>
      </c>
      <c r="CS308" s="39">
        <v>25.351600000000001</v>
      </c>
      <c r="CU308" s="39">
        <v>20.039400000000001</v>
      </c>
      <c r="CW308" s="39">
        <v>0</v>
      </c>
      <c r="CY308" s="39">
        <v>29.000499999999999</v>
      </c>
      <c r="DA308" s="44">
        <v>24.8902</v>
      </c>
      <c r="DC308" s="1" t="str">
        <f t="shared" si="4"/>
        <v>No</v>
      </c>
    </row>
    <row r="309" spans="1:107">
      <c r="A309" s="7" t="s">
        <v>324</v>
      </c>
      <c r="B309" s="7" t="s">
        <v>325</v>
      </c>
      <c r="C309" s="37" t="s">
        <v>6</v>
      </c>
      <c r="D309" s="296">
        <v>6072</v>
      </c>
      <c r="E309" s="297">
        <v>60072</v>
      </c>
      <c r="F309" s="27" t="s">
        <v>165</v>
      </c>
      <c r="G309" s="27" t="s">
        <v>158</v>
      </c>
      <c r="H309" s="35">
        <v>295083</v>
      </c>
      <c r="I309" s="35">
        <v>28</v>
      </c>
      <c r="J309" s="292"/>
      <c r="K309" s="8">
        <v>110990</v>
      </c>
      <c r="L309" s="8"/>
      <c r="M309" s="8">
        <v>15195</v>
      </c>
      <c r="N309" s="9"/>
      <c r="O309" s="8">
        <v>5406</v>
      </c>
      <c r="P309" s="9"/>
      <c r="Q309" s="8">
        <v>18326</v>
      </c>
      <c r="R309" s="9"/>
      <c r="S309" s="8">
        <v>0</v>
      </c>
      <c r="T309" s="9"/>
      <c r="U309" s="33">
        <v>149917</v>
      </c>
      <c r="V309" s="9"/>
      <c r="W309" s="30">
        <v>61</v>
      </c>
      <c r="X309" s="9"/>
      <c r="Y309" s="30">
        <v>8</v>
      </c>
      <c r="Z309" s="9"/>
      <c r="AA309" s="30">
        <v>4</v>
      </c>
      <c r="AB309" s="9"/>
      <c r="AC309" s="30">
        <v>10</v>
      </c>
      <c r="AD309" s="9"/>
      <c r="AE309" s="80">
        <v>0</v>
      </c>
      <c r="AF309" s="46"/>
      <c r="AG309" s="88">
        <v>83</v>
      </c>
      <c r="AH309" s="47"/>
      <c r="AJ309" s="83">
        <v>107178</v>
      </c>
      <c r="AL309" s="83">
        <v>15195</v>
      </c>
      <c r="AN309" s="83">
        <v>5354</v>
      </c>
      <c r="AP309" s="83">
        <v>16220</v>
      </c>
      <c r="AR309" s="83">
        <v>0</v>
      </c>
      <c r="AT309" s="204">
        <v>143947</v>
      </c>
      <c r="AV309" s="46">
        <v>56</v>
      </c>
      <c r="AX309" s="46">
        <v>8</v>
      </c>
      <c r="AZ309" s="46">
        <v>3</v>
      </c>
      <c r="BB309" s="46">
        <v>8</v>
      </c>
      <c r="BD309" s="46">
        <v>0</v>
      </c>
      <c r="BF309" s="209">
        <v>83</v>
      </c>
      <c r="BI309" s="83">
        <v>3812</v>
      </c>
      <c r="BK309" s="83">
        <v>0</v>
      </c>
      <c r="BM309" s="83">
        <v>52</v>
      </c>
      <c r="BO309" s="83">
        <v>2106</v>
      </c>
      <c r="BQ309" s="83">
        <v>0</v>
      </c>
      <c r="BS309" s="85">
        <v>5970</v>
      </c>
      <c r="BU309" s="46">
        <v>5</v>
      </c>
      <c r="BW309" s="46">
        <v>0</v>
      </c>
      <c r="BY309" s="46">
        <v>1</v>
      </c>
      <c r="CA309" s="46">
        <v>2</v>
      </c>
      <c r="CC309" s="46">
        <v>0</v>
      </c>
      <c r="CE309" s="209">
        <v>8</v>
      </c>
      <c r="CH309" s="41">
        <v>1530813</v>
      </c>
      <c r="CJ309" s="41">
        <v>284519</v>
      </c>
      <c r="CL309" s="41">
        <v>65884</v>
      </c>
      <c r="CN309" s="41">
        <v>515776</v>
      </c>
      <c r="CP309" s="43">
        <v>2396992</v>
      </c>
      <c r="CS309" s="39">
        <v>13.792400000000001</v>
      </c>
      <c r="CU309" s="39">
        <v>18.724499999999999</v>
      </c>
      <c r="CW309" s="39">
        <v>0.59360000000000002</v>
      </c>
      <c r="CY309" s="39">
        <v>28.144500000000001</v>
      </c>
      <c r="DA309" s="44">
        <v>15.988799999999999</v>
      </c>
      <c r="DC309" s="1" t="str">
        <f t="shared" si="4"/>
        <v>No</v>
      </c>
    </row>
    <row r="310" spans="1:107">
      <c r="A310" s="7" t="s">
        <v>33</v>
      </c>
      <c r="B310" s="7" t="s">
        <v>707</v>
      </c>
      <c r="C310" s="37" t="s">
        <v>32</v>
      </c>
      <c r="D310" s="296">
        <v>4129</v>
      </c>
      <c r="E310" s="297">
        <v>40129</v>
      </c>
      <c r="F310" s="27" t="s">
        <v>162</v>
      </c>
      <c r="G310" s="27" t="s">
        <v>158</v>
      </c>
      <c r="H310" s="35">
        <v>169541</v>
      </c>
      <c r="I310" s="35">
        <v>28</v>
      </c>
      <c r="J310" s="292"/>
      <c r="K310" s="8">
        <v>1822</v>
      </c>
      <c r="L310" s="8"/>
      <c r="M310" s="8">
        <v>132</v>
      </c>
      <c r="N310" s="9"/>
      <c r="O310" s="8">
        <v>20</v>
      </c>
      <c r="P310" s="9"/>
      <c r="Q310" s="8">
        <v>1218</v>
      </c>
      <c r="R310" s="9"/>
      <c r="S310" s="8">
        <v>0</v>
      </c>
      <c r="T310" s="9"/>
      <c r="U310" s="33">
        <v>3192</v>
      </c>
      <c r="V310" s="9"/>
      <c r="W310" s="30">
        <v>1</v>
      </c>
      <c r="X310" s="9"/>
      <c r="Y310" s="30">
        <v>0.15</v>
      </c>
      <c r="Z310" s="9"/>
      <c r="AA310" s="30">
        <v>0.05</v>
      </c>
      <c r="AB310" s="9"/>
      <c r="AC310" s="30">
        <v>0.8</v>
      </c>
      <c r="AD310" s="9"/>
      <c r="AE310" s="80">
        <v>0</v>
      </c>
      <c r="AF310" s="46"/>
      <c r="AG310" s="88">
        <v>2</v>
      </c>
      <c r="AH310" s="47"/>
      <c r="AJ310" s="83">
        <v>0</v>
      </c>
      <c r="AL310" s="83">
        <v>0</v>
      </c>
      <c r="AN310" s="83">
        <v>0</v>
      </c>
      <c r="AP310" s="83">
        <v>0</v>
      </c>
      <c r="AR310" s="83">
        <v>0</v>
      </c>
      <c r="AT310" s="204">
        <v>0</v>
      </c>
      <c r="AV310" s="46">
        <v>0</v>
      </c>
      <c r="AX310" s="46">
        <v>0</v>
      </c>
      <c r="AZ310" s="46">
        <v>0</v>
      </c>
      <c r="BB310" s="46">
        <v>0</v>
      </c>
      <c r="BD310" s="46">
        <v>0</v>
      </c>
      <c r="BF310" s="209">
        <v>2</v>
      </c>
      <c r="BI310" s="83">
        <v>1822</v>
      </c>
      <c r="BK310" s="83">
        <v>132</v>
      </c>
      <c r="BM310" s="83">
        <v>20</v>
      </c>
      <c r="BO310" s="83">
        <v>1218</v>
      </c>
      <c r="BQ310" s="83">
        <v>0</v>
      </c>
      <c r="BS310" s="85">
        <v>3192</v>
      </c>
      <c r="BU310" s="46">
        <v>1</v>
      </c>
      <c r="BW310" s="46">
        <v>0.15</v>
      </c>
      <c r="BY310" s="46">
        <v>0.05</v>
      </c>
      <c r="CA310" s="46">
        <v>0.8</v>
      </c>
      <c r="CC310" s="46">
        <v>0</v>
      </c>
      <c r="CE310" s="209">
        <v>2</v>
      </c>
      <c r="CH310" s="41">
        <v>45225</v>
      </c>
      <c r="CJ310" s="41">
        <v>4220</v>
      </c>
      <c r="CL310" s="41">
        <v>436</v>
      </c>
      <c r="CN310" s="41">
        <v>16535</v>
      </c>
      <c r="CP310" s="43">
        <v>66416</v>
      </c>
      <c r="CS310" s="39">
        <v>24.8216</v>
      </c>
      <c r="CU310" s="39">
        <v>31.9697</v>
      </c>
      <c r="CW310" s="39">
        <v>0.23930000000000001</v>
      </c>
      <c r="CY310" s="39">
        <v>13.5755</v>
      </c>
      <c r="DA310" s="44">
        <v>20.806999999999999</v>
      </c>
      <c r="DC310" s="1" t="str">
        <f t="shared" si="4"/>
        <v>No</v>
      </c>
    </row>
    <row r="311" spans="1:107">
      <c r="A311" s="7" t="s">
        <v>643</v>
      </c>
      <c r="B311" s="7" t="s">
        <v>644</v>
      </c>
      <c r="C311" s="37" t="s">
        <v>84</v>
      </c>
      <c r="D311" s="296">
        <v>6082</v>
      </c>
      <c r="E311" s="297">
        <v>60082</v>
      </c>
      <c r="F311" s="27" t="s">
        <v>165</v>
      </c>
      <c r="G311" s="27" t="s">
        <v>158</v>
      </c>
      <c r="H311" s="35">
        <v>106383</v>
      </c>
      <c r="I311" s="35">
        <v>28</v>
      </c>
      <c r="J311" s="292"/>
      <c r="K311" s="8">
        <v>56978</v>
      </c>
      <c r="L311" s="8"/>
      <c r="M311" s="8">
        <v>2325</v>
      </c>
      <c r="N311" s="9"/>
      <c r="O311" s="8">
        <v>0</v>
      </c>
      <c r="P311" s="9"/>
      <c r="Q311" s="8">
        <v>7128</v>
      </c>
      <c r="R311" s="9"/>
      <c r="S311" s="8">
        <v>0</v>
      </c>
      <c r="T311" s="9"/>
      <c r="U311" s="33">
        <v>66431</v>
      </c>
      <c r="V311" s="9"/>
      <c r="W311" s="30">
        <v>31.7</v>
      </c>
      <c r="X311" s="9"/>
      <c r="Y311" s="30">
        <v>1.4</v>
      </c>
      <c r="Z311" s="9"/>
      <c r="AA311" s="30">
        <v>0</v>
      </c>
      <c r="AB311" s="9"/>
      <c r="AC311" s="30">
        <v>4</v>
      </c>
      <c r="AD311" s="9"/>
      <c r="AE311" s="80">
        <v>0</v>
      </c>
      <c r="AF311" s="46"/>
      <c r="AG311" s="88">
        <v>37.1</v>
      </c>
      <c r="AH311" s="47"/>
      <c r="AJ311" s="83">
        <v>46181</v>
      </c>
      <c r="AL311" s="83">
        <v>2325</v>
      </c>
      <c r="AN311" s="83">
        <v>0</v>
      </c>
      <c r="AP311" s="83">
        <v>7128</v>
      </c>
      <c r="AR311" s="83">
        <v>0</v>
      </c>
      <c r="AT311" s="204">
        <v>55634</v>
      </c>
      <c r="AV311" s="46">
        <v>20.7</v>
      </c>
      <c r="AX311" s="46">
        <v>1.4</v>
      </c>
      <c r="AZ311" s="46">
        <v>0</v>
      </c>
      <c r="BB311" s="46">
        <v>4</v>
      </c>
      <c r="BD311" s="46">
        <v>0</v>
      </c>
      <c r="BF311" s="209">
        <v>37.1</v>
      </c>
      <c r="BI311" s="83">
        <v>10797</v>
      </c>
      <c r="BK311" s="83">
        <v>0</v>
      </c>
      <c r="BM311" s="83">
        <v>0</v>
      </c>
      <c r="BO311" s="83">
        <v>0</v>
      </c>
      <c r="BQ311" s="83">
        <v>0</v>
      </c>
      <c r="BS311" s="85">
        <v>10797</v>
      </c>
      <c r="BU311" s="46">
        <v>11</v>
      </c>
      <c r="BW311" s="46">
        <v>0</v>
      </c>
      <c r="BY311" s="46">
        <v>0</v>
      </c>
      <c r="CA311" s="46">
        <v>0</v>
      </c>
      <c r="CC311" s="46">
        <v>0</v>
      </c>
      <c r="CE311" s="209">
        <v>11</v>
      </c>
      <c r="CH311" s="41">
        <v>780145</v>
      </c>
      <c r="CJ311" s="41">
        <v>41625</v>
      </c>
      <c r="CL311" s="41">
        <v>0</v>
      </c>
      <c r="CN311" s="41">
        <v>142478</v>
      </c>
      <c r="CP311" s="43">
        <v>964248</v>
      </c>
      <c r="CS311" s="39">
        <v>13.692</v>
      </c>
      <c r="CU311" s="39">
        <v>17.903199999999998</v>
      </c>
      <c r="CW311" s="39">
        <v>0</v>
      </c>
      <c r="CY311" s="39">
        <v>19.988499999999998</v>
      </c>
      <c r="DA311" s="44">
        <v>14.515000000000001</v>
      </c>
      <c r="DC311" s="1" t="str">
        <f t="shared" si="4"/>
        <v>No</v>
      </c>
    </row>
    <row r="312" spans="1:107">
      <c r="A312" s="7" t="s">
        <v>510</v>
      </c>
      <c r="B312" s="7" t="s">
        <v>511</v>
      </c>
      <c r="C312" s="37" t="s">
        <v>9</v>
      </c>
      <c r="D312" s="296">
        <v>4044</v>
      </c>
      <c r="E312" s="297">
        <v>40044</v>
      </c>
      <c r="F312" s="27" t="s">
        <v>162</v>
      </c>
      <c r="G312" s="27" t="s">
        <v>158</v>
      </c>
      <c r="H312" s="35">
        <v>263907</v>
      </c>
      <c r="I312" s="35">
        <v>27</v>
      </c>
      <c r="J312" s="292"/>
      <c r="K312" s="8">
        <v>135228</v>
      </c>
      <c r="L312" s="8"/>
      <c r="M312" s="8">
        <v>25897</v>
      </c>
      <c r="N312" s="9"/>
      <c r="O312" s="8">
        <v>3763</v>
      </c>
      <c r="P312" s="9"/>
      <c r="Q312" s="8">
        <v>18360</v>
      </c>
      <c r="R312" s="9"/>
      <c r="S312" s="8">
        <v>0</v>
      </c>
      <c r="T312" s="9"/>
      <c r="U312" s="33">
        <v>183248</v>
      </c>
      <c r="V312" s="9"/>
      <c r="W312" s="30">
        <v>80.8</v>
      </c>
      <c r="X312" s="9"/>
      <c r="Y312" s="30">
        <v>14.85</v>
      </c>
      <c r="Z312" s="9"/>
      <c r="AA312" s="30">
        <v>2</v>
      </c>
      <c r="AB312" s="9"/>
      <c r="AC312" s="30">
        <v>11.5</v>
      </c>
      <c r="AD312" s="9"/>
      <c r="AE312" s="80">
        <v>0</v>
      </c>
      <c r="AF312" s="46"/>
      <c r="AG312" s="88">
        <v>109.15</v>
      </c>
      <c r="AH312" s="47"/>
      <c r="AJ312" s="83">
        <v>121138</v>
      </c>
      <c r="AL312" s="83">
        <v>21758</v>
      </c>
      <c r="AN312" s="83">
        <v>3763</v>
      </c>
      <c r="AP312" s="83">
        <v>14949</v>
      </c>
      <c r="AR312" s="83">
        <v>0</v>
      </c>
      <c r="AT312" s="204">
        <v>161608</v>
      </c>
      <c r="AV312" s="46">
        <v>69</v>
      </c>
      <c r="AX312" s="46">
        <v>11.8</v>
      </c>
      <c r="AZ312" s="46">
        <v>2</v>
      </c>
      <c r="BB312" s="46">
        <v>8.5</v>
      </c>
      <c r="BD312" s="46">
        <v>0</v>
      </c>
      <c r="BF312" s="209">
        <v>109.15</v>
      </c>
      <c r="BI312" s="83">
        <v>14090</v>
      </c>
      <c r="BK312" s="83">
        <v>4139</v>
      </c>
      <c r="BM312" s="83">
        <v>0</v>
      </c>
      <c r="BO312" s="83">
        <v>3411</v>
      </c>
      <c r="BQ312" s="83">
        <v>0</v>
      </c>
      <c r="BS312" s="85">
        <v>21640</v>
      </c>
      <c r="BU312" s="46">
        <v>11.8</v>
      </c>
      <c r="BW312" s="46">
        <v>3.05</v>
      </c>
      <c r="BY312" s="46">
        <v>0</v>
      </c>
      <c r="CA312" s="46">
        <v>3</v>
      </c>
      <c r="CC312" s="46">
        <v>0</v>
      </c>
      <c r="CE312" s="209">
        <v>17.850000000000001</v>
      </c>
      <c r="CH312" s="41">
        <v>2692478</v>
      </c>
      <c r="CJ312" s="41">
        <v>526025</v>
      </c>
      <c r="CL312" s="41">
        <v>43786</v>
      </c>
      <c r="CN312" s="41">
        <v>319374</v>
      </c>
      <c r="CP312" s="43">
        <v>3581663</v>
      </c>
      <c r="CS312" s="39">
        <v>19.910699999999999</v>
      </c>
      <c r="CU312" s="39">
        <v>20.312200000000001</v>
      </c>
      <c r="CW312" s="39">
        <v>0.32379999999999998</v>
      </c>
      <c r="CY312" s="39">
        <v>17.395099999999999</v>
      </c>
      <c r="DA312" s="44">
        <v>19.545400000000001</v>
      </c>
      <c r="DC312" s="1" t="str">
        <f t="shared" si="4"/>
        <v>No</v>
      </c>
    </row>
    <row r="313" spans="1:107">
      <c r="A313" s="7" t="s">
        <v>408</v>
      </c>
      <c r="B313" s="7" t="s">
        <v>409</v>
      </c>
      <c r="C313" s="37" t="s">
        <v>84</v>
      </c>
      <c r="D313" s="296">
        <v>6041</v>
      </c>
      <c r="E313" s="297">
        <v>60041</v>
      </c>
      <c r="F313" s="27" t="s">
        <v>162</v>
      </c>
      <c r="G313" s="27" t="s">
        <v>158</v>
      </c>
      <c r="H313" s="35">
        <v>5121892</v>
      </c>
      <c r="I313" s="35">
        <v>27</v>
      </c>
      <c r="J313" s="292"/>
      <c r="K313" s="8">
        <v>60626</v>
      </c>
      <c r="L313" s="8"/>
      <c r="M313" s="8">
        <v>0</v>
      </c>
      <c r="N313" s="9"/>
      <c r="O313" s="8">
        <v>0</v>
      </c>
      <c r="P313" s="9"/>
      <c r="Q313" s="8">
        <v>4290</v>
      </c>
      <c r="R313" s="9"/>
      <c r="S313" s="8">
        <v>0</v>
      </c>
      <c r="T313" s="9"/>
      <c r="U313" s="33">
        <v>64916</v>
      </c>
      <c r="V313" s="9"/>
      <c r="W313" s="30">
        <v>36</v>
      </c>
      <c r="X313" s="9"/>
      <c r="Y313" s="30">
        <v>0</v>
      </c>
      <c r="Z313" s="9"/>
      <c r="AA313" s="30">
        <v>0</v>
      </c>
      <c r="AB313" s="9"/>
      <c r="AC313" s="30">
        <v>2</v>
      </c>
      <c r="AD313" s="9"/>
      <c r="AE313" s="80">
        <v>0</v>
      </c>
      <c r="AF313" s="46"/>
      <c r="AG313" s="88">
        <v>38</v>
      </c>
      <c r="AH313" s="47"/>
      <c r="AJ313" s="83">
        <v>52622</v>
      </c>
      <c r="AL313" s="83">
        <v>0</v>
      </c>
      <c r="AN313" s="83">
        <v>0</v>
      </c>
      <c r="AP313" s="83">
        <v>4290</v>
      </c>
      <c r="AR313" s="83">
        <v>0</v>
      </c>
      <c r="AT313" s="204">
        <v>56912</v>
      </c>
      <c r="AV313" s="46">
        <v>30</v>
      </c>
      <c r="AX313" s="46">
        <v>0</v>
      </c>
      <c r="AZ313" s="46">
        <v>0</v>
      </c>
      <c r="BB313" s="46">
        <v>2</v>
      </c>
      <c r="BD313" s="46">
        <v>0</v>
      </c>
      <c r="BF313" s="209">
        <v>38</v>
      </c>
      <c r="BI313" s="83">
        <v>8004</v>
      </c>
      <c r="BK313" s="83">
        <v>0</v>
      </c>
      <c r="BM313" s="83">
        <v>0</v>
      </c>
      <c r="BO313" s="83">
        <v>0</v>
      </c>
      <c r="BQ313" s="83">
        <v>0</v>
      </c>
      <c r="BS313" s="85">
        <v>8004</v>
      </c>
      <c r="BU313" s="46">
        <v>6</v>
      </c>
      <c r="BW313" s="46">
        <v>0</v>
      </c>
      <c r="BY313" s="46">
        <v>0</v>
      </c>
      <c r="CA313" s="46">
        <v>0</v>
      </c>
      <c r="CC313" s="46">
        <v>0</v>
      </c>
      <c r="CE313" s="209">
        <v>6</v>
      </c>
      <c r="CH313" s="41">
        <v>644571</v>
      </c>
      <c r="CJ313" s="41">
        <v>0</v>
      </c>
      <c r="CL313" s="41">
        <v>0</v>
      </c>
      <c r="CN313" s="41">
        <v>139224</v>
      </c>
      <c r="CP313" s="43">
        <v>783795</v>
      </c>
      <c r="CS313" s="39">
        <v>10.6319</v>
      </c>
      <c r="CW313" s="39">
        <v>0</v>
      </c>
      <c r="CY313" s="39">
        <v>32.453099999999999</v>
      </c>
      <c r="DA313" s="44">
        <v>12.074</v>
      </c>
      <c r="DC313" s="1" t="str">
        <f t="shared" si="4"/>
        <v>No</v>
      </c>
    </row>
    <row r="314" spans="1:107">
      <c r="A314" s="7" t="s">
        <v>600</v>
      </c>
      <c r="B314" s="7" t="s">
        <v>601</v>
      </c>
      <c r="C314" s="37" t="s">
        <v>77</v>
      </c>
      <c r="D314" s="296">
        <v>3055</v>
      </c>
      <c r="E314" s="297">
        <v>30055</v>
      </c>
      <c r="F314" s="27" t="s">
        <v>162</v>
      </c>
      <c r="G314" s="27" t="s">
        <v>158</v>
      </c>
      <c r="H314" s="35">
        <v>387550</v>
      </c>
      <c r="I314" s="35">
        <v>27</v>
      </c>
      <c r="J314" s="292"/>
      <c r="K314" s="8">
        <v>65155</v>
      </c>
      <c r="L314" s="8"/>
      <c r="M314" s="8">
        <v>11357</v>
      </c>
      <c r="N314" s="9"/>
      <c r="O314" s="8">
        <v>1054</v>
      </c>
      <c r="P314" s="9"/>
      <c r="Q314" s="8">
        <v>7096</v>
      </c>
      <c r="R314" s="9"/>
      <c r="S314" s="8">
        <v>0</v>
      </c>
      <c r="T314" s="9"/>
      <c r="U314" s="33">
        <v>84662</v>
      </c>
      <c r="V314" s="9"/>
      <c r="W314" s="30">
        <v>55</v>
      </c>
      <c r="X314" s="9"/>
      <c r="Y314" s="30">
        <v>7</v>
      </c>
      <c r="Z314" s="9"/>
      <c r="AA314" s="30">
        <v>0.5</v>
      </c>
      <c r="AB314" s="9"/>
      <c r="AC314" s="30">
        <v>4</v>
      </c>
      <c r="AD314" s="9"/>
      <c r="AE314" s="80">
        <v>0</v>
      </c>
      <c r="AF314" s="46"/>
      <c r="AG314" s="88">
        <v>66.5</v>
      </c>
      <c r="AH314" s="47"/>
      <c r="AJ314" s="83">
        <v>21389</v>
      </c>
      <c r="AL314" s="83">
        <v>7408</v>
      </c>
      <c r="AN314" s="83">
        <v>1054</v>
      </c>
      <c r="AP314" s="83">
        <v>7096</v>
      </c>
      <c r="AR314" s="83">
        <v>0</v>
      </c>
      <c r="AT314" s="204">
        <v>36947</v>
      </c>
      <c r="AV314" s="46">
        <v>12</v>
      </c>
      <c r="AX314" s="46">
        <v>4</v>
      </c>
      <c r="AZ314" s="46">
        <v>0.5</v>
      </c>
      <c r="BB314" s="46">
        <v>4</v>
      </c>
      <c r="BD314" s="46">
        <v>0</v>
      </c>
      <c r="BF314" s="209">
        <v>66.5</v>
      </c>
      <c r="BI314" s="83">
        <v>43766</v>
      </c>
      <c r="BK314" s="83">
        <v>3949</v>
      </c>
      <c r="BM314" s="83">
        <v>0</v>
      </c>
      <c r="BO314" s="83">
        <v>0</v>
      </c>
      <c r="BQ314" s="83">
        <v>0</v>
      </c>
      <c r="BS314" s="85">
        <v>47715</v>
      </c>
      <c r="BU314" s="46">
        <v>43</v>
      </c>
      <c r="BW314" s="46">
        <v>3</v>
      </c>
      <c r="BY314" s="46">
        <v>0</v>
      </c>
      <c r="CA314" s="46">
        <v>0</v>
      </c>
      <c r="CC314" s="46">
        <v>0</v>
      </c>
      <c r="CE314" s="209">
        <v>46</v>
      </c>
      <c r="CH314" s="41">
        <v>696961</v>
      </c>
      <c r="CJ314" s="41">
        <v>178237</v>
      </c>
      <c r="CL314" s="41">
        <v>11000</v>
      </c>
      <c r="CN314" s="41">
        <v>154409</v>
      </c>
      <c r="CP314" s="43">
        <v>1040607</v>
      </c>
      <c r="CS314" s="39">
        <v>10.696999999999999</v>
      </c>
      <c r="CU314" s="39">
        <v>15.694000000000001</v>
      </c>
      <c r="CW314" s="39">
        <v>0.16880000000000001</v>
      </c>
      <c r="CY314" s="39">
        <v>21.76</v>
      </c>
      <c r="DA314" s="44">
        <v>12.2913</v>
      </c>
      <c r="DC314" s="1" t="str">
        <f t="shared" si="4"/>
        <v>No</v>
      </c>
    </row>
    <row r="315" spans="1:107">
      <c r="A315" s="7" t="s">
        <v>181</v>
      </c>
      <c r="B315" s="7" t="s">
        <v>182</v>
      </c>
      <c r="C315" s="37" t="s">
        <v>70</v>
      </c>
      <c r="D315" s="296">
        <v>2177</v>
      </c>
      <c r="E315" s="297">
        <v>20177</v>
      </c>
      <c r="F315" s="27" t="s">
        <v>173</v>
      </c>
      <c r="G315" s="27" t="s">
        <v>158</v>
      </c>
      <c r="H315" s="35">
        <v>18351295</v>
      </c>
      <c r="I315" s="35">
        <v>26</v>
      </c>
      <c r="J315" s="292"/>
      <c r="K315" s="8">
        <v>150134</v>
      </c>
      <c r="L315" s="8"/>
      <c r="M315" s="8">
        <v>75218</v>
      </c>
      <c r="N315" s="9"/>
      <c r="O315" s="8">
        <v>0</v>
      </c>
      <c r="P315" s="9"/>
      <c r="Q315" s="8">
        <v>42347</v>
      </c>
      <c r="R315" s="9"/>
      <c r="S315" s="8">
        <v>0</v>
      </c>
      <c r="T315" s="9"/>
      <c r="U315" s="33">
        <v>267699</v>
      </c>
      <c r="V315" s="9"/>
      <c r="W315" s="30">
        <v>71</v>
      </c>
      <c r="X315" s="9"/>
      <c r="Y315" s="30">
        <v>41</v>
      </c>
      <c r="Z315" s="9"/>
      <c r="AA315" s="30">
        <v>0</v>
      </c>
      <c r="AB315" s="9"/>
      <c r="AC315" s="30">
        <v>24</v>
      </c>
      <c r="AD315" s="9"/>
      <c r="AE315" s="80">
        <v>0</v>
      </c>
      <c r="AF315" s="46"/>
      <c r="AG315" s="88">
        <v>136</v>
      </c>
      <c r="AH315" s="47"/>
      <c r="AJ315" s="83">
        <v>143993</v>
      </c>
      <c r="AL315" s="83">
        <v>73320</v>
      </c>
      <c r="AN315" s="83">
        <v>0</v>
      </c>
      <c r="AP315" s="83">
        <v>37133</v>
      </c>
      <c r="AR315" s="83">
        <v>0</v>
      </c>
      <c r="AT315" s="204">
        <v>254446</v>
      </c>
      <c r="AV315" s="46">
        <v>63</v>
      </c>
      <c r="AX315" s="46">
        <v>39</v>
      </c>
      <c r="AZ315" s="46">
        <v>0</v>
      </c>
      <c r="BB315" s="46">
        <v>18</v>
      </c>
      <c r="BD315" s="46">
        <v>0</v>
      </c>
      <c r="BF315" s="209">
        <v>136</v>
      </c>
      <c r="BI315" s="83">
        <v>6141</v>
      </c>
      <c r="BK315" s="83">
        <v>1898</v>
      </c>
      <c r="BM315" s="83">
        <v>0</v>
      </c>
      <c r="BO315" s="83">
        <v>5214</v>
      </c>
      <c r="BQ315" s="83">
        <v>0</v>
      </c>
      <c r="BS315" s="85">
        <v>13253</v>
      </c>
      <c r="BU315" s="46">
        <v>8</v>
      </c>
      <c r="BW315" s="46">
        <v>2</v>
      </c>
      <c r="BY315" s="46">
        <v>0</v>
      </c>
      <c r="CA315" s="46">
        <v>6</v>
      </c>
      <c r="CC315" s="46">
        <v>0</v>
      </c>
      <c r="CE315" s="209">
        <v>16</v>
      </c>
      <c r="CH315" s="41">
        <v>3361882</v>
      </c>
      <c r="CJ315" s="41">
        <v>1724746</v>
      </c>
      <c r="CL315" s="41">
        <v>0</v>
      </c>
      <c r="CN315" s="41">
        <v>1570021</v>
      </c>
      <c r="CP315" s="43">
        <v>6656649</v>
      </c>
      <c r="CS315" s="39">
        <v>22.392499999999998</v>
      </c>
      <c r="CU315" s="39">
        <v>22.93</v>
      </c>
      <c r="CW315" s="39">
        <v>0</v>
      </c>
      <c r="CY315" s="39">
        <v>37.075099999999999</v>
      </c>
      <c r="DA315" s="44">
        <v>24.866199999999999</v>
      </c>
      <c r="DC315" s="1" t="str">
        <f t="shared" si="4"/>
        <v>No</v>
      </c>
    </row>
    <row r="316" spans="1:107">
      <c r="A316" s="7" t="s">
        <v>604</v>
      </c>
      <c r="B316" s="7" t="s">
        <v>605</v>
      </c>
      <c r="C316" s="37" t="s">
        <v>38</v>
      </c>
      <c r="D316" s="296">
        <v>7012</v>
      </c>
      <c r="E316" s="297">
        <v>70012</v>
      </c>
      <c r="F316" s="27" t="s">
        <v>162</v>
      </c>
      <c r="G316" s="27" t="s">
        <v>158</v>
      </c>
      <c r="H316" s="35">
        <v>106494</v>
      </c>
      <c r="I316" s="35">
        <v>26</v>
      </c>
      <c r="J316" s="292"/>
      <c r="K316" s="8">
        <v>54004</v>
      </c>
      <c r="L316" s="8"/>
      <c r="M316" s="8">
        <v>5000</v>
      </c>
      <c r="N316" s="9"/>
      <c r="O316" s="8">
        <v>1430</v>
      </c>
      <c r="P316" s="9"/>
      <c r="Q316" s="8">
        <v>7149</v>
      </c>
      <c r="R316" s="9"/>
      <c r="S316" s="8">
        <v>0</v>
      </c>
      <c r="T316" s="9"/>
      <c r="U316" s="33">
        <v>67583</v>
      </c>
      <c r="V316" s="9"/>
      <c r="W316" s="30">
        <v>40</v>
      </c>
      <c r="X316" s="9"/>
      <c r="Y316" s="30">
        <v>2.6</v>
      </c>
      <c r="Z316" s="9"/>
      <c r="AA316" s="30">
        <v>1</v>
      </c>
      <c r="AB316" s="9"/>
      <c r="AC316" s="30">
        <v>4.3</v>
      </c>
      <c r="AD316" s="9"/>
      <c r="AE316" s="80">
        <v>0</v>
      </c>
      <c r="AF316" s="46"/>
      <c r="AG316" s="88">
        <v>47.9</v>
      </c>
      <c r="AH316" s="47"/>
      <c r="AJ316" s="83">
        <v>22978</v>
      </c>
      <c r="AL316" s="83">
        <v>5000</v>
      </c>
      <c r="AN316" s="83">
        <v>0</v>
      </c>
      <c r="AP316" s="83">
        <v>6001</v>
      </c>
      <c r="AR316" s="83">
        <v>0</v>
      </c>
      <c r="AT316" s="204">
        <v>33979</v>
      </c>
      <c r="AV316" s="46">
        <v>13</v>
      </c>
      <c r="AX316" s="46">
        <v>2.6</v>
      </c>
      <c r="AZ316" s="46">
        <v>0</v>
      </c>
      <c r="BB316" s="46">
        <v>3.3</v>
      </c>
      <c r="BD316" s="46">
        <v>0</v>
      </c>
      <c r="BF316" s="209">
        <v>47.9</v>
      </c>
      <c r="BI316" s="83">
        <v>31026</v>
      </c>
      <c r="BK316" s="83">
        <v>0</v>
      </c>
      <c r="BM316" s="83">
        <v>1430</v>
      </c>
      <c r="BO316" s="83">
        <v>1148</v>
      </c>
      <c r="BQ316" s="83">
        <v>0</v>
      </c>
      <c r="BS316" s="85">
        <v>33604</v>
      </c>
      <c r="BU316" s="46">
        <v>27</v>
      </c>
      <c r="BW316" s="46">
        <v>0</v>
      </c>
      <c r="BY316" s="46">
        <v>1</v>
      </c>
      <c r="CA316" s="46">
        <v>1</v>
      </c>
      <c r="CC316" s="46">
        <v>0</v>
      </c>
      <c r="CE316" s="209">
        <v>29</v>
      </c>
      <c r="CH316" s="41">
        <v>1164721</v>
      </c>
      <c r="CJ316" s="41">
        <v>120011</v>
      </c>
      <c r="CL316" s="41">
        <v>25508</v>
      </c>
      <c r="CN316" s="41">
        <v>218433</v>
      </c>
      <c r="CP316" s="43">
        <v>1528673</v>
      </c>
      <c r="CS316" s="39">
        <v>21.567299999999999</v>
      </c>
      <c r="CU316" s="39">
        <v>24.002199999999998</v>
      </c>
      <c r="CW316" s="39">
        <v>0.4723</v>
      </c>
      <c r="CY316" s="39">
        <v>30.554300000000001</v>
      </c>
      <c r="DA316" s="44">
        <v>22.619199999999999</v>
      </c>
      <c r="DC316" s="1" t="str">
        <f t="shared" si="4"/>
        <v>No</v>
      </c>
    </row>
    <row r="317" spans="1:107">
      <c r="A317" s="7" t="s">
        <v>691</v>
      </c>
      <c r="B317" s="7" t="s">
        <v>692</v>
      </c>
      <c r="C317" s="37" t="s">
        <v>77</v>
      </c>
      <c r="D317" s="296">
        <v>3026</v>
      </c>
      <c r="E317" s="297">
        <v>30026</v>
      </c>
      <c r="F317" s="27" t="s">
        <v>162</v>
      </c>
      <c r="G317" s="27" t="s">
        <v>158</v>
      </c>
      <c r="H317" s="35">
        <v>56142</v>
      </c>
      <c r="I317" s="35">
        <v>26</v>
      </c>
      <c r="J317" s="292"/>
      <c r="K317" s="8">
        <v>79308</v>
      </c>
      <c r="L317" s="8"/>
      <c r="M317" s="8">
        <v>17274</v>
      </c>
      <c r="N317" s="9"/>
      <c r="O317" s="8">
        <v>2590</v>
      </c>
      <c r="P317" s="9"/>
      <c r="Q317" s="8">
        <v>8632</v>
      </c>
      <c r="R317" s="9"/>
      <c r="S317" s="8">
        <v>473</v>
      </c>
      <c r="T317" s="9"/>
      <c r="U317" s="33">
        <v>108277</v>
      </c>
      <c r="V317" s="9"/>
      <c r="W317" s="30">
        <v>42.01</v>
      </c>
      <c r="X317" s="9"/>
      <c r="Y317" s="30">
        <v>8</v>
      </c>
      <c r="Z317" s="9"/>
      <c r="AA317" s="30">
        <v>2</v>
      </c>
      <c r="AB317" s="9"/>
      <c r="AC317" s="30">
        <v>4.75</v>
      </c>
      <c r="AD317" s="9"/>
      <c r="AE317" s="80">
        <v>0.25</v>
      </c>
      <c r="AF317" s="46"/>
      <c r="AG317" s="88">
        <v>57.01</v>
      </c>
      <c r="AH317" s="47"/>
      <c r="AJ317" s="83">
        <v>77784</v>
      </c>
      <c r="AL317" s="83">
        <v>17274</v>
      </c>
      <c r="AN317" s="83">
        <v>1990</v>
      </c>
      <c r="AP317" s="83">
        <v>7592</v>
      </c>
      <c r="AR317" s="83">
        <v>473</v>
      </c>
      <c r="AT317" s="204">
        <v>105113</v>
      </c>
      <c r="AV317" s="46">
        <v>40.01</v>
      </c>
      <c r="AX317" s="46">
        <v>8</v>
      </c>
      <c r="AZ317" s="46">
        <v>1</v>
      </c>
      <c r="BB317" s="46">
        <v>3.75</v>
      </c>
      <c r="BD317" s="46">
        <v>0.25</v>
      </c>
      <c r="BF317" s="209">
        <v>57.01</v>
      </c>
      <c r="BI317" s="83">
        <v>1524</v>
      </c>
      <c r="BK317" s="83">
        <v>0</v>
      </c>
      <c r="BM317" s="83">
        <v>600</v>
      </c>
      <c r="BO317" s="83">
        <v>1040</v>
      </c>
      <c r="BQ317" s="83">
        <v>0</v>
      </c>
      <c r="BS317" s="85">
        <v>3164</v>
      </c>
      <c r="BU317" s="46">
        <v>2</v>
      </c>
      <c r="BW317" s="46">
        <v>0</v>
      </c>
      <c r="BY317" s="46">
        <v>1</v>
      </c>
      <c r="CA317" s="46">
        <v>1</v>
      </c>
      <c r="CC317" s="46">
        <v>0</v>
      </c>
      <c r="CE317" s="209">
        <v>4</v>
      </c>
      <c r="CH317" s="41">
        <v>2067470</v>
      </c>
      <c r="CJ317" s="41">
        <v>436234</v>
      </c>
      <c r="CL317" s="41">
        <v>76982</v>
      </c>
      <c r="CN317" s="41">
        <v>277176</v>
      </c>
      <c r="CP317" s="43">
        <v>2857862</v>
      </c>
      <c r="CS317" s="39">
        <v>26.068899999999999</v>
      </c>
      <c r="CU317" s="39">
        <v>25.253799999999998</v>
      </c>
      <c r="CW317" s="39">
        <v>0.97070000000000001</v>
      </c>
      <c r="CY317" s="39">
        <v>32.110300000000002</v>
      </c>
      <c r="DA317" s="44">
        <v>26.393999999999998</v>
      </c>
      <c r="DC317" s="1" t="str">
        <f t="shared" si="4"/>
        <v>No</v>
      </c>
    </row>
    <row r="318" spans="1:107">
      <c r="A318" s="7" t="s">
        <v>398</v>
      </c>
      <c r="B318" s="7" t="s">
        <v>254</v>
      </c>
      <c r="C318" s="37" t="s">
        <v>51</v>
      </c>
      <c r="D318" s="296">
        <v>1016</v>
      </c>
      <c r="E318" s="297">
        <v>10016</v>
      </c>
      <c r="F318" s="27" t="s">
        <v>165</v>
      </c>
      <c r="G318" s="27" t="s">
        <v>158</v>
      </c>
      <c r="H318" s="35">
        <v>203914</v>
      </c>
      <c r="I318" s="35">
        <v>26</v>
      </c>
      <c r="J318" s="292"/>
      <c r="K318" s="8">
        <v>118777</v>
      </c>
      <c r="L318" s="8"/>
      <c r="M318" s="8">
        <v>20118</v>
      </c>
      <c r="N318" s="9"/>
      <c r="O318" s="8">
        <v>4120</v>
      </c>
      <c r="P318" s="9"/>
      <c r="Q318" s="8">
        <v>21625</v>
      </c>
      <c r="R318" s="9"/>
      <c r="S318" s="8">
        <v>0</v>
      </c>
      <c r="T318" s="9"/>
      <c r="U318" s="33">
        <v>164640</v>
      </c>
      <c r="V318" s="9"/>
      <c r="W318" s="30">
        <v>56</v>
      </c>
      <c r="X318" s="9"/>
      <c r="Y318" s="30">
        <v>9.85</v>
      </c>
      <c r="Z318" s="9"/>
      <c r="AA318" s="30">
        <v>2.15</v>
      </c>
      <c r="AB318" s="9"/>
      <c r="AC318" s="30">
        <v>12</v>
      </c>
      <c r="AD318" s="9"/>
      <c r="AE318" s="80">
        <v>0</v>
      </c>
      <c r="AF318" s="46"/>
      <c r="AG318" s="88">
        <v>80</v>
      </c>
      <c r="AH318" s="47"/>
      <c r="AJ318" s="83">
        <v>118777</v>
      </c>
      <c r="AL318" s="83">
        <v>20118</v>
      </c>
      <c r="AN318" s="83">
        <v>4120</v>
      </c>
      <c r="AP318" s="83">
        <v>17988</v>
      </c>
      <c r="AR318" s="83">
        <v>0</v>
      </c>
      <c r="AT318" s="204">
        <v>161003</v>
      </c>
      <c r="AV318" s="46">
        <v>56</v>
      </c>
      <c r="AX318" s="46">
        <v>9.85</v>
      </c>
      <c r="AZ318" s="46">
        <v>2.15</v>
      </c>
      <c r="BB318" s="46">
        <v>9</v>
      </c>
      <c r="BD318" s="46">
        <v>0</v>
      </c>
      <c r="BF318" s="209">
        <v>80</v>
      </c>
      <c r="BI318" s="83">
        <v>0</v>
      </c>
      <c r="BK318" s="83">
        <v>0</v>
      </c>
      <c r="BM318" s="83">
        <v>0</v>
      </c>
      <c r="BO318" s="83">
        <v>3637</v>
      </c>
      <c r="BQ318" s="83">
        <v>0</v>
      </c>
      <c r="BS318" s="85">
        <v>3637</v>
      </c>
      <c r="BU318" s="46">
        <v>0</v>
      </c>
      <c r="BW318" s="46">
        <v>0</v>
      </c>
      <c r="BY318" s="46">
        <v>0</v>
      </c>
      <c r="CA318" s="46">
        <v>3</v>
      </c>
      <c r="CC318" s="46">
        <v>0</v>
      </c>
      <c r="CE318" s="209">
        <v>3</v>
      </c>
      <c r="CH318" s="41">
        <v>2498336</v>
      </c>
      <c r="CJ318" s="41">
        <v>494930</v>
      </c>
      <c r="CL318" s="41">
        <v>98780</v>
      </c>
      <c r="CN318" s="41">
        <v>568628</v>
      </c>
      <c r="CP318" s="43">
        <v>3660674</v>
      </c>
      <c r="CS318" s="39">
        <v>21.033799999999999</v>
      </c>
      <c r="CU318" s="39">
        <v>24.601400000000002</v>
      </c>
      <c r="CW318" s="39">
        <v>0.83160000000000001</v>
      </c>
      <c r="CY318" s="39">
        <v>26.294899999999998</v>
      </c>
      <c r="DA318" s="44">
        <v>22.234400000000001</v>
      </c>
      <c r="DC318" s="1" t="str">
        <f t="shared" si="4"/>
        <v>No</v>
      </c>
    </row>
    <row r="319" spans="1:107">
      <c r="A319" s="7" t="s">
        <v>307</v>
      </c>
      <c r="B319" s="7" t="s">
        <v>308</v>
      </c>
      <c r="C319" s="37" t="s">
        <v>17</v>
      </c>
      <c r="D319" s="296">
        <v>9086</v>
      </c>
      <c r="E319" s="297">
        <v>90086</v>
      </c>
      <c r="F319" s="27" t="s">
        <v>162</v>
      </c>
      <c r="G319" s="27" t="s">
        <v>158</v>
      </c>
      <c r="H319" s="35">
        <v>1932666</v>
      </c>
      <c r="I319" s="35">
        <v>25</v>
      </c>
      <c r="J319" s="292"/>
      <c r="K319" s="8">
        <v>64769</v>
      </c>
      <c r="L319" s="8"/>
      <c r="M319" s="8">
        <v>0</v>
      </c>
      <c r="N319" s="9"/>
      <c r="O319" s="8">
        <v>0</v>
      </c>
      <c r="P319" s="9"/>
      <c r="Q319" s="8">
        <v>7262</v>
      </c>
      <c r="R319" s="9"/>
      <c r="S319" s="8">
        <v>0</v>
      </c>
      <c r="T319" s="9"/>
      <c r="U319" s="33">
        <v>72031</v>
      </c>
      <c r="V319" s="9"/>
      <c r="W319" s="30">
        <v>41</v>
      </c>
      <c r="X319" s="9"/>
      <c r="Y319" s="30">
        <v>0</v>
      </c>
      <c r="Z319" s="9"/>
      <c r="AA319" s="30">
        <v>0</v>
      </c>
      <c r="AB319" s="9"/>
      <c r="AC319" s="30">
        <v>4</v>
      </c>
      <c r="AD319" s="9"/>
      <c r="AE319" s="80">
        <v>0</v>
      </c>
      <c r="AF319" s="46"/>
      <c r="AG319" s="88">
        <v>45</v>
      </c>
      <c r="AH319" s="47"/>
      <c r="AJ319" s="83">
        <v>56534</v>
      </c>
      <c r="AL319" s="83">
        <v>0</v>
      </c>
      <c r="AN319" s="83">
        <v>0</v>
      </c>
      <c r="AP319" s="83">
        <v>7262</v>
      </c>
      <c r="AR319" s="83">
        <v>0</v>
      </c>
      <c r="AT319" s="204">
        <v>63796</v>
      </c>
      <c r="AV319" s="46">
        <v>35</v>
      </c>
      <c r="AX319" s="46">
        <v>0</v>
      </c>
      <c r="AZ319" s="46">
        <v>0</v>
      </c>
      <c r="BB319" s="46">
        <v>4</v>
      </c>
      <c r="BD319" s="46">
        <v>0</v>
      </c>
      <c r="BF319" s="209">
        <v>45</v>
      </c>
      <c r="BI319" s="83">
        <v>8235</v>
      </c>
      <c r="BK319" s="83">
        <v>0</v>
      </c>
      <c r="BM319" s="83">
        <v>0</v>
      </c>
      <c r="BO319" s="83">
        <v>0</v>
      </c>
      <c r="BQ319" s="83">
        <v>0</v>
      </c>
      <c r="BS319" s="85">
        <v>8235</v>
      </c>
      <c r="BU319" s="46">
        <v>6</v>
      </c>
      <c r="BW319" s="46">
        <v>0</v>
      </c>
      <c r="BY319" s="46">
        <v>0</v>
      </c>
      <c r="CA319" s="46">
        <v>0</v>
      </c>
      <c r="CC319" s="46">
        <v>0</v>
      </c>
      <c r="CE319" s="209">
        <v>6</v>
      </c>
      <c r="CH319" s="41">
        <v>1339594</v>
      </c>
      <c r="CJ319" s="41">
        <v>0</v>
      </c>
      <c r="CL319" s="41">
        <v>0</v>
      </c>
      <c r="CN319" s="41">
        <v>619616</v>
      </c>
      <c r="CP319" s="43">
        <v>1959210</v>
      </c>
      <c r="CS319" s="39">
        <v>20.682600000000001</v>
      </c>
      <c r="CW319" s="39">
        <v>0</v>
      </c>
      <c r="CY319" s="39">
        <v>85.323099999999997</v>
      </c>
      <c r="DA319" s="44">
        <v>27.1995</v>
      </c>
      <c r="DC319" s="1" t="str">
        <f t="shared" si="4"/>
        <v>No</v>
      </c>
    </row>
    <row r="320" spans="1:107">
      <c r="A320" s="7" t="s">
        <v>678</v>
      </c>
      <c r="B320" s="7" t="s">
        <v>679</v>
      </c>
      <c r="C320" s="37" t="s">
        <v>84</v>
      </c>
      <c r="D320" s="296">
        <v>6012</v>
      </c>
      <c r="E320" s="297">
        <v>60012</v>
      </c>
      <c r="F320" s="27" t="s">
        <v>162</v>
      </c>
      <c r="G320" s="27" t="s">
        <v>158</v>
      </c>
      <c r="H320" s="35">
        <v>172378</v>
      </c>
      <c r="I320" s="35">
        <v>25</v>
      </c>
      <c r="J320" s="292"/>
      <c r="K320" s="8">
        <v>152432</v>
      </c>
      <c r="L320" s="8"/>
      <c r="M320" s="8">
        <v>19170</v>
      </c>
      <c r="N320" s="9"/>
      <c r="O320" s="8">
        <v>10742</v>
      </c>
      <c r="P320" s="9"/>
      <c r="Q320" s="8">
        <v>17439</v>
      </c>
      <c r="R320" s="9"/>
      <c r="S320" s="8">
        <v>0</v>
      </c>
      <c r="T320" s="9"/>
      <c r="U320" s="33">
        <v>199783</v>
      </c>
      <c r="V320" s="9"/>
      <c r="W320" s="30">
        <v>104</v>
      </c>
      <c r="X320" s="9"/>
      <c r="Y320" s="30">
        <v>8.8000000000000007</v>
      </c>
      <c r="Z320" s="9"/>
      <c r="AA320" s="30">
        <v>7</v>
      </c>
      <c r="AB320" s="9"/>
      <c r="AC320" s="30">
        <v>12</v>
      </c>
      <c r="AD320" s="9"/>
      <c r="AE320" s="80">
        <v>0</v>
      </c>
      <c r="AF320" s="46"/>
      <c r="AG320" s="88">
        <v>131.80000000000001</v>
      </c>
      <c r="AH320" s="47"/>
      <c r="AJ320" s="83">
        <v>101785</v>
      </c>
      <c r="AL320" s="83">
        <v>18152</v>
      </c>
      <c r="AN320" s="83">
        <v>10054</v>
      </c>
      <c r="AP320" s="83">
        <v>17439</v>
      </c>
      <c r="AR320" s="83">
        <v>0</v>
      </c>
      <c r="AT320" s="204">
        <v>147430</v>
      </c>
      <c r="AV320" s="46">
        <v>56</v>
      </c>
      <c r="AX320" s="46">
        <v>7</v>
      </c>
      <c r="AZ320" s="46">
        <v>6</v>
      </c>
      <c r="BB320" s="46">
        <v>12</v>
      </c>
      <c r="BD320" s="46">
        <v>0</v>
      </c>
      <c r="BF320" s="209">
        <v>131.80000000000001</v>
      </c>
      <c r="BI320" s="83">
        <v>50647</v>
      </c>
      <c r="BK320" s="83">
        <v>1018</v>
      </c>
      <c r="BM320" s="83">
        <v>688</v>
      </c>
      <c r="BO320" s="83">
        <v>0</v>
      </c>
      <c r="BQ320" s="83">
        <v>0</v>
      </c>
      <c r="BS320" s="85">
        <v>52353</v>
      </c>
      <c r="BU320" s="46">
        <v>48</v>
      </c>
      <c r="BW320" s="46">
        <v>1.8</v>
      </c>
      <c r="BY320" s="46">
        <v>1</v>
      </c>
      <c r="CA320" s="46">
        <v>0</v>
      </c>
      <c r="CC320" s="46">
        <v>0</v>
      </c>
      <c r="CE320" s="209">
        <v>50.8</v>
      </c>
      <c r="CH320" s="41">
        <v>2110045</v>
      </c>
      <c r="CJ320" s="41">
        <v>495839</v>
      </c>
      <c r="CL320" s="41">
        <v>152817</v>
      </c>
      <c r="CN320" s="41">
        <v>251530</v>
      </c>
      <c r="CP320" s="43">
        <v>3010231</v>
      </c>
      <c r="CS320" s="39">
        <v>13.842499999999999</v>
      </c>
      <c r="CU320" s="39">
        <v>25.865400000000001</v>
      </c>
      <c r="CW320" s="39">
        <v>1.0024999999999999</v>
      </c>
      <c r="CY320" s="39">
        <v>14.423400000000001</v>
      </c>
      <c r="DA320" s="44">
        <v>15.067500000000001</v>
      </c>
      <c r="DC320" s="1" t="str">
        <f t="shared" si="4"/>
        <v>No</v>
      </c>
    </row>
    <row r="321" spans="1:107">
      <c r="A321" s="7" t="s">
        <v>205</v>
      </c>
      <c r="B321" s="7" t="s">
        <v>206</v>
      </c>
      <c r="C321" s="37" t="s">
        <v>36</v>
      </c>
      <c r="D321" s="296">
        <v>4047</v>
      </c>
      <c r="E321" s="297">
        <v>40047</v>
      </c>
      <c r="F321" s="27" t="s">
        <v>162</v>
      </c>
      <c r="G321" s="27" t="s">
        <v>158</v>
      </c>
      <c r="H321" s="35">
        <v>128754</v>
      </c>
      <c r="I321" s="35">
        <v>25</v>
      </c>
      <c r="J321" s="292"/>
      <c r="K321" s="8">
        <v>109117</v>
      </c>
      <c r="L321" s="8"/>
      <c r="M321" s="8">
        <v>18116</v>
      </c>
      <c r="N321" s="9"/>
      <c r="O321" s="8">
        <v>7956</v>
      </c>
      <c r="P321" s="9"/>
      <c r="Q321" s="8">
        <v>6304</v>
      </c>
      <c r="R321" s="9"/>
      <c r="S321" s="8">
        <v>0</v>
      </c>
      <c r="T321" s="9"/>
      <c r="U321" s="33">
        <v>141493</v>
      </c>
      <c r="V321" s="9"/>
      <c r="W321" s="30">
        <v>64</v>
      </c>
      <c r="X321" s="9"/>
      <c r="Y321" s="30">
        <v>9</v>
      </c>
      <c r="Z321" s="9"/>
      <c r="AA321" s="30">
        <v>5</v>
      </c>
      <c r="AB321" s="9"/>
      <c r="AC321" s="30">
        <v>3</v>
      </c>
      <c r="AD321" s="9"/>
      <c r="AE321" s="80">
        <v>0</v>
      </c>
      <c r="AF321" s="46"/>
      <c r="AG321" s="88">
        <v>81</v>
      </c>
      <c r="AH321" s="47"/>
      <c r="AJ321" s="83">
        <v>80054</v>
      </c>
      <c r="AL321" s="83">
        <v>18116</v>
      </c>
      <c r="AN321" s="83">
        <v>6219</v>
      </c>
      <c r="AP321" s="83">
        <v>5554</v>
      </c>
      <c r="AR321" s="83">
        <v>0</v>
      </c>
      <c r="AT321" s="204">
        <v>109943</v>
      </c>
      <c r="AV321" s="46">
        <v>42</v>
      </c>
      <c r="AX321" s="46">
        <v>9</v>
      </c>
      <c r="AZ321" s="46">
        <v>4</v>
      </c>
      <c r="BB321" s="46">
        <v>3</v>
      </c>
      <c r="BD321" s="46">
        <v>0</v>
      </c>
      <c r="BF321" s="209">
        <v>81</v>
      </c>
      <c r="BI321" s="83">
        <v>29063</v>
      </c>
      <c r="BK321" s="83">
        <v>0</v>
      </c>
      <c r="BM321" s="83">
        <v>1737</v>
      </c>
      <c r="BO321" s="83">
        <v>750</v>
      </c>
      <c r="BQ321" s="83">
        <v>0</v>
      </c>
      <c r="BS321" s="85">
        <v>31550</v>
      </c>
      <c r="BU321" s="46">
        <v>22</v>
      </c>
      <c r="BW321" s="46">
        <v>0</v>
      </c>
      <c r="BY321" s="46">
        <v>1</v>
      </c>
      <c r="CA321" s="46">
        <v>0</v>
      </c>
      <c r="CC321" s="46">
        <v>0</v>
      </c>
      <c r="CE321" s="209">
        <v>23</v>
      </c>
      <c r="CH321" s="41">
        <v>2158933</v>
      </c>
      <c r="CJ321" s="41">
        <v>429404</v>
      </c>
      <c r="CL321" s="41">
        <v>104252</v>
      </c>
      <c r="CN321" s="41">
        <v>165186</v>
      </c>
      <c r="CP321" s="43">
        <v>2857775</v>
      </c>
      <c r="CS321" s="39">
        <v>19.785499999999999</v>
      </c>
      <c r="CU321" s="39">
        <v>23.702999999999999</v>
      </c>
      <c r="CW321" s="39">
        <v>0.95540000000000003</v>
      </c>
      <c r="CY321" s="39">
        <v>26.203399999999998</v>
      </c>
      <c r="DA321" s="44">
        <v>20.197299999999998</v>
      </c>
      <c r="DC321" s="1" t="str">
        <f t="shared" si="4"/>
        <v>No</v>
      </c>
    </row>
    <row r="322" spans="1:107">
      <c r="A322" s="7" t="s">
        <v>745</v>
      </c>
      <c r="B322" s="7" t="s">
        <v>746</v>
      </c>
      <c r="C322" s="37" t="s">
        <v>62</v>
      </c>
      <c r="D322" s="296">
        <v>1119</v>
      </c>
      <c r="E322" s="297">
        <v>10119</v>
      </c>
      <c r="F322" s="27" t="s">
        <v>114</v>
      </c>
      <c r="G322" s="27" t="s">
        <v>158</v>
      </c>
      <c r="H322" s="35">
        <v>88087</v>
      </c>
      <c r="I322" s="35">
        <v>25</v>
      </c>
      <c r="J322" s="292"/>
      <c r="K322" s="8">
        <v>69116</v>
      </c>
      <c r="L322" s="8"/>
      <c r="M322" s="8">
        <v>11111</v>
      </c>
      <c r="N322" s="9"/>
      <c r="O322" s="8">
        <v>0</v>
      </c>
      <c r="P322" s="9"/>
      <c r="Q322" s="8">
        <v>37320</v>
      </c>
      <c r="R322" s="9"/>
      <c r="S322" s="8">
        <v>0</v>
      </c>
      <c r="T322" s="9"/>
      <c r="U322" s="33">
        <v>117547</v>
      </c>
      <c r="V322" s="9"/>
      <c r="W322" s="30">
        <v>121</v>
      </c>
      <c r="X322" s="9"/>
      <c r="Y322" s="30">
        <v>8</v>
      </c>
      <c r="Z322" s="9"/>
      <c r="AA322" s="30">
        <v>0</v>
      </c>
      <c r="AB322" s="9"/>
      <c r="AC322" s="30">
        <v>32</v>
      </c>
      <c r="AD322" s="9"/>
      <c r="AE322" s="80">
        <v>0</v>
      </c>
      <c r="AF322" s="46"/>
      <c r="AG322" s="88">
        <v>161</v>
      </c>
      <c r="AH322" s="47"/>
      <c r="AJ322" s="83">
        <v>11276</v>
      </c>
      <c r="AL322" s="83">
        <v>8734</v>
      </c>
      <c r="AN322" s="83">
        <v>0</v>
      </c>
      <c r="AP322" s="83">
        <v>16702</v>
      </c>
      <c r="AR322" s="83">
        <v>0</v>
      </c>
      <c r="AT322" s="204">
        <v>36712</v>
      </c>
      <c r="AV322" s="46">
        <v>6</v>
      </c>
      <c r="AX322" s="46">
        <v>5</v>
      </c>
      <c r="AZ322" s="46">
        <v>0</v>
      </c>
      <c r="BB322" s="46">
        <v>10</v>
      </c>
      <c r="BD322" s="46">
        <v>0</v>
      </c>
      <c r="BF322" s="209">
        <v>161</v>
      </c>
      <c r="BI322" s="83">
        <v>57840</v>
      </c>
      <c r="BK322" s="83">
        <v>2377</v>
      </c>
      <c r="BM322" s="83">
        <v>0</v>
      </c>
      <c r="BO322" s="83">
        <v>20618</v>
      </c>
      <c r="BQ322" s="83">
        <v>0</v>
      </c>
      <c r="BS322" s="85">
        <v>80835</v>
      </c>
      <c r="BU322" s="46">
        <v>115</v>
      </c>
      <c r="BW322" s="46">
        <v>3</v>
      </c>
      <c r="BY322" s="46">
        <v>0</v>
      </c>
      <c r="CA322" s="46">
        <v>22</v>
      </c>
      <c r="CC322" s="46">
        <v>0</v>
      </c>
      <c r="CE322" s="209">
        <v>140</v>
      </c>
      <c r="CH322" s="41">
        <v>879564</v>
      </c>
      <c r="CJ322" s="41">
        <v>265204</v>
      </c>
      <c r="CL322" s="41">
        <v>0</v>
      </c>
      <c r="CN322" s="41">
        <v>581942</v>
      </c>
      <c r="CP322" s="43">
        <v>1726710</v>
      </c>
      <c r="CS322" s="39">
        <v>12.725899999999999</v>
      </c>
      <c r="CU322" s="39">
        <v>23.868600000000001</v>
      </c>
      <c r="CW322" s="39">
        <v>0</v>
      </c>
      <c r="CY322" s="39">
        <v>15.593299999999999</v>
      </c>
      <c r="DA322" s="44">
        <v>14.689500000000001</v>
      </c>
      <c r="DC322" s="1" t="str">
        <f t="shared" si="4"/>
        <v>No</v>
      </c>
    </row>
    <row r="323" spans="1:107">
      <c r="A323" s="7" t="s">
        <v>1109</v>
      </c>
      <c r="B323" s="7" t="s">
        <v>477</v>
      </c>
      <c r="C323" s="37" t="s">
        <v>54</v>
      </c>
      <c r="D323" s="296">
        <v>5218</v>
      </c>
      <c r="E323" s="297">
        <v>50515</v>
      </c>
      <c r="F323" s="27" t="s">
        <v>114</v>
      </c>
      <c r="G323" s="27" t="s">
        <v>158</v>
      </c>
      <c r="H323" s="35">
        <v>2650890</v>
      </c>
      <c r="I323" s="35">
        <v>24</v>
      </c>
      <c r="J323" s="292"/>
      <c r="K323" s="8">
        <v>6079</v>
      </c>
      <c r="L323" s="8"/>
      <c r="M323" s="8">
        <v>0</v>
      </c>
      <c r="N323" s="9"/>
      <c r="O323" s="8">
        <v>0</v>
      </c>
      <c r="P323" s="9"/>
      <c r="Q323" s="8">
        <v>1664</v>
      </c>
      <c r="R323" s="9"/>
      <c r="S323" s="8">
        <v>0</v>
      </c>
      <c r="T323" s="9"/>
      <c r="U323" s="33">
        <v>7743</v>
      </c>
      <c r="V323" s="9"/>
      <c r="W323" s="30">
        <v>7</v>
      </c>
      <c r="X323" s="9"/>
      <c r="Y323" s="30">
        <v>0</v>
      </c>
      <c r="Z323" s="9"/>
      <c r="AA323" s="30">
        <v>0</v>
      </c>
      <c r="AB323" s="9"/>
      <c r="AC323" s="30">
        <v>2</v>
      </c>
      <c r="AD323" s="9"/>
      <c r="AE323" s="80">
        <v>0</v>
      </c>
      <c r="AF323" s="46"/>
      <c r="AG323" s="88">
        <v>9</v>
      </c>
      <c r="AH323" s="47"/>
      <c r="AJ323" s="83">
        <v>4557</v>
      </c>
      <c r="AL323" s="83">
        <v>0</v>
      </c>
      <c r="AN323" s="83">
        <v>0</v>
      </c>
      <c r="AP323" s="83">
        <v>1664</v>
      </c>
      <c r="AR323" s="83">
        <v>0</v>
      </c>
      <c r="AT323" s="204">
        <v>6221</v>
      </c>
      <c r="AV323" s="46">
        <v>3</v>
      </c>
      <c r="AX323" s="46">
        <v>0</v>
      </c>
      <c r="AZ323" s="46">
        <v>0</v>
      </c>
      <c r="BB323" s="46">
        <v>2</v>
      </c>
      <c r="BD323" s="46">
        <v>0</v>
      </c>
      <c r="BF323" s="209">
        <v>9</v>
      </c>
      <c r="BI323" s="83">
        <v>1522</v>
      </c>
      <c r="BK323" s="83">
        <v>0</v>
      </c>
      <c r="BM323" s="83">
        <v>0</v>
      </c>
      <c r="BO323" s="83">
        <v>0</v>
      </c>
      <c r="BQ323" s="83">
        <v>0</v>
      </c>
      <c r="BS323" s="85">
        <v>1522</v>
      </c>
      <c r="BU323" s="46">
        <v>4</v>
      </c>
      <c r="BW323" s="46">
        <v>0</v>
      </c>
      <c r="BY323" s="46">
        <v>0</v>
      </c>
      <c r="CA323" s="46">
        <v>0</v>
      </c>
      <c r="CC323" s="46">
        <v>0</v>
      </c>
      <c r="CE323" s="209">
        <v>4</v>
      </c>
      <c r="CH323" s="41">
        <v>138336</v>
      </c>
      <c r="CJ323" s="41">
        <v>0</v>
      </c>
      <c r="CL323" s="41">
        <v>0</v>
      </c>
      <c r="CN323" s="41">
        <v>36581</v>
      </c>
      <c r="CP323" s="43">
        <v>174917</v>
      </c>
      <c r="CS323" s="39">
        <v>22.756399999999999</v>
      </c>
      <c r="CW323" s="39">
        <v>0</v>
      </c>
      <c r="CY323" s="39">
        <v>21.983799999999999</v>
      </c>
      <c r="DA323" s="44">
        <v>22.590299999999999</v>
      </c>
      <c r="DC323" s="1" t="str">
        <f t="shared" ref="DC323:DC383" si="5">IF(DB323&amp;CZ323&amp;CX323&amp;CV323&amp;CT323&amp;CQ323&amp;CO323&amp;CM323&amp;CK323&amp;CI323&amp;CF323&amp;CD323&amp;CB323&amp;BZ323&amp;BX323&amp;BV323&amp;BT323&amp;BR323&amp;BP323&amp;BN323&amp;BL323&amp;BJ323&amp;BG323&amp;BE323&amp;BC323&amp;BA323&amp;AY323&amp;AW323&amp;AS323&amp;AQ323&amp;AO323&amp;AM323&amp;AK323&amp;AH323&amp;AF323&amp;AD323&amp;AB323&amp;Z323&amp;X323&amp;V323&amp;T323&amp;R323&amp;P323&amp;N323&amp;L323&lt;&gt;"","Yes","No")</f>
        <v>No</v>
      </c>
    </row>
    <row r="324" spans="1:107">
      <c r="A324" s="7" t="s">
        <v>1145</v>
      </c>
      <c r="B324" s="7" t="s">
        <v>284</v>
      </c>
      <c r="C324" s="37" t="s">
        <v>55</v>
      </c>
      <c r="D324" s="296">
        <v>7003</v>
      </c>
      <c r="E324" s="297">
        <v>70003</v>
      </c>
      <c r="F324" s="27" t="s">
        <v>162</v>
      </c>
      <c r="G324" s="27" t="s">
        <v>158</v>
      </c>
      <c r="H324" s="35">
        <v>273724</v>
      </c>
      <c r="I324" s="35">
        <v>24</v>
      </c>
      <c r="J324" s="292"/>
      <c r="K324" s="8">
        <v>115894</v>
      </c>
      <c r="L324" s="8"/>
      <c r="M324" s="8">
        <v>18961</v>
      </c>
      <c r="N324" s="9"/>
      <c r="O324" s="8">
        <v>2556</v>
      </c>
      <c r="P324" s="9"/>
      <c r="Q324" s="8">
        <v>12449</v>
      </c>
      <c r="R324" s="9"/>
      <c r="S324" s="8">
        <v>0</v>
      </c>
      <c r="T324" s="9"/>
      <c r="U324" s="33">
        <v>149860</v>
      </c>
      <c r="V324" s="9"/>
      <c r="W324" s="30">
        <v>56</v>
      </c>
      <c r="X324" s="9"/>
      <c r="Y324" s="30">
        <v>10.4</v>
      </c>
      <c r="Z324" s="9"/>
      <c r="AA324" s="30">
        <v>1.35</v>
      </c>
      <c r="AB324" s="9"/>
      <c r="AC324" s="30">
        <v>6.9</v>
      </c>
      <c r="AD324" s="9"/>
      <c r="AE324" s="80">
        <v>0</v>
      </c>
      <c r="AF324" s="46"/>
      <c r="AG324" s="88">
        <v>74.650000000000006</v>
      </c>
      <c r="AH324" s="47"/>
      <c r="AJ324" s="83">
        <v>115894</v>
      </c>
      <c r="AL324" s="83">
        <v>18961</v>
      </c>
      <c r="AN324" s="83">
        <v>2556</v>
      </c>
      <c r="AP324" s="83">
        <v>12449</v>
      </c>
      <c r="AR324" s="83">
        <v>0</v>
      </c>
      <c r="AT324" s="204">
        <v>149860</v>
      </c>
      <c r="AV324" s="46">
        <v>56</v>
      </c>
      <c r="AX324" s="46">
        <v>10.4</v>
      </c>
      <c r="AZ324" s="46">
        <v>1.35</v>
      </c>
      <c r="BB324" s="46">
        <v>6.9</v>
      </c>
      <c r="BD324" s="46">
        <v>0</v>
      </c>
      <c r="BF324" s="209">
        <v>74.650000000000006</v>
      </c>
      <c r="BI324" s="83">
        <v>0</v>
      </c>
      <c r="BK324" s="83">
        <v>0</v>
      </c>
      <c r="BM324" s="83">
        <v>0</v>
      </c>
      <c r="BO324" s="83">
        <v>0</v>
      </c>
      <c r="BQ324" s="83">
        <v>0</v>
      </c>
      <c r="BS324" s="85">
        <v>0</v>
      </c>
      <c r="BU324" s="46">
        <v>0</v>
      </c>
      <c r="BW324" s="46">
        <v>0</v>
      </c>
      <c r="BY324" s="46">
        <v>0</v>
      </c>
      <c r="CA324" s="46">
        <v>0</v>
      </c>
      <c r="CC324" s="46">
        <v>0</v>
      </c>
      <c r="CE324" s="209">
        <v>0</v>
      </c>
      <c r="CH324" s="41">
        <v>2740577</v>
      </c>
      <c r="CJ324" s="41">
        <v>614868</v>
      </c>
      <c r="CL324" s="41">
        <v>48182</v>
      </c>
      <c r="CN324" s="41">
        <v>516592</v>
      </c>
      <c r="CP324" s="43">
        <v>3920219</v>
      </c>
      <c r="CS324" s="39">
        <v>23.647300000000001</v>
      </c>
      <c r="CU324" s="39">
        <v>32.427999999999997</v>
      </c>
      <c r="CW324" s="39">
        <v>0.41570000000000001</v>
      </c>
      <c r="CY324" s="39">
        <v>41.496699999999997</v>
      </c>
      <c r="DA324" s="44">
        <v>26.159199999999998</v>
      </c>
      <c r="DC324" s="1" t="str">
        <f t="shared" si="5"/>
        <v>No</v>
      </c>
    </row>
    <row r="325" spans="1:107">
      <c r="A325" s="7" t="s">
        <v>558</v>
      </c>
      <c r="B325" s="7" t="s">
        <v>559</v>
      </c>
      <c r="C325" s="37" t="s">
        <v>26</v>
      </c>
      <c r="D325" s="296">
        <v>8007</v>
      </c>
      <c r="E325" s="297">
        <v>80007</v>
      </c>
      <c r="F325" s="27" t="s">
        <v>162</v>
      </c>
      <c r="G325" s="27" t="s">
        <v>158</v>
      </c>
      <c r="H325" s="35">
        <v>136550</v>
      </c>
      <c r="I325" s="35">
        <v>24</v>
      </c>
      <c r="J325" s="292"/>
      <c r="K325" s="8">
        <v>55225</v>
      </c>
      <c r="L325" s="8"/>
      <c r="M325" s="8">
        <v>8728</v>
      </c>
      <c r="N325" s="9"/>
      <c r="O325" s="8">
        <v>1473</v>
      </c>
      <c r="P325" s="9" t="s">
        <v>121</v>
      </c>
      <c r="Q325" s="8">
        <v>5631</v>
      </c>
      <c r="R325" s="9"/>
      <c r="S325" s="8">
        <v>0</v>
      </c>
      <c r="T325" s="9"/>
      <c r="U325" s="33">
        <v>71057</v>
      </c>
      <c r="V325" s="9" t="s">
        <v>121</v>
      </c>
      <c r="W325" s="30">
        <v>39</v>
      </c>
      <c r="X325" s="9"/>
      <c r="Y325" s="30">
        <v>6</v>
      </c>
      <c r="Z325" s="9"/>
      <c r="AA325" s="30">
        <v>2</v>
      </c>
      <c r="AB325" s="9"/>
      <c r="AC325" s="30">
        <v>3</v>
      </c>
      <c r="AD325" s="9"/>
      <c r="AE325" s="80">
        <v>0</v>
      </c>
      <c r="AF325" s="46"/>
      <c r="AG325" s="88">
        <v>50</v>
      </c>
      <c r="AH325" s="47"/>
      <c r="AJ325" s="83">
        <v>53079</v>
      </c>
      <c r="AL325" s="83">
        <v>8728</v>
      </c>
      <c r="AN325" s="83">
        <v>1473</v>
      </c>
      <c r="AO325" s="46" t="s">
        <v>121</v>
      </c>
      <c r="AP325" s="83">
        <v>5631</v>
      </c>
      <c r="AR325" s="83">
        <v>0</v>
      </c>
      <c r="AT325" s="204">
        <v>68911</v>
      </c>
      <c r="AU325" s="46" t="s">
        <v>121</v>
      </c>
      <c r="AV325" s="46">
        <v>33</v>
      </c>
      <c r="AX325" s="46">
        <v>6</v>
      </c>
      <c r="AZ325" s="46">
        <v>2</v>
      </c>
      <c r="BB325" s="46">
        <v>3</v>
      </c>
      <c r="BD325" s="46">
        <v>0</v>
      </c>
      <c r="BF325" s="209">
        <v>50</v>
      </c>
      <c r="BI325" s="83">
        <v>2146</v>
      </c>
      <c r="BK325" s="83">
        <v>0</v>
      </c>
      <c r="BM325" s="83">
        <v>0</v>
      </c>
      <c r="BO325" s="83">
        <v>0</v>
      </c>
      <c r="BQ325" s="83">
        <v>0</v>
      </c>
      <c r="BS325" s="85">
        <v>2146</v>
      </c>
      <c r="BU325" s="46">
        <v>6</v>
      </c>
      <c r="BW325" s="46">
        <v>0</v>
      </c>
      <c r="BY325" s="46">
        <v>0</v>
      </c>
      <c r="CA325" s="46">
        <v>0</v>
      </c>
      <c r="CC325" s="46">
        <v>0</v>
      </c>
      <c r="CE325" s="209">
        <v>6</v>
      </c>
      <c r="CH325" s="41">
        <v>1064217</v>
      </c>
      <c r="CJ325" s="41">
        <v>247449</v>
      </c>
      <c r="CL325" s="41">
        <v>128841</v>
      </c>
      <c r="CM325" s="41" t="s">
        <v>121</v>
      </c>
      <c r="CN325" s="41">
        <v>188202</v>
      </c>
      <c r="CP325" s="43">
        <v>1628709</v>
      </c>
      <c r="CQ325" s="7" t="s">
        <v>121</v>
      </c>
      <c r="CS325" s="39">
        <v>19.270600000000002</v>
      </c>
      <c r="CU325" s="39">
        <v>28.351199999999999</v>
      </c>
      <c r="CW325" s="39">
        <v>2.3330000000000002</v>
      </c>
      <c r="CX325" s="39" t="s">
        <v>121</v>
      </c>
      <c r="CY325" s="39">
        <v>33.422499999999999</v>
      </c>
      <c r="DA325" s="44">
        <v>22.921199999999999</v>
      </c>
      <c r="DB325" s="7" t="s">
        <v>121</v>
      </c>
      <c r="DC325" s="1" t="str">
        <f t="shared" si="5"/>
        <v>Yes</v>
      </c>
    </row>
    <row r="326" spans="1:107">
      <c r="A326" s="7" t="s">
        <v>795</v>
      </c>
      <c r="B326" s="7" t="s">
        <v>791</v>
      </c>
      <c r="C326" s="37" t="s">
        <v>792</v>
      </c>
      <c r="D326" s="296">
        <v>9242</v>
      </c>
      <c r="E326" s="297">
        <v>90242</v>
      </c>
      <c r="F326" s="27" t="s">
        <v>187</v>
      </c>
      <c r="G326" s="27" t="s">
        <v>158</v>
      </c>
      <c r="H326" s="35">
        <v>1886011</v>
      </c>
      <c r="I326" s="35">
        <v>24</v>
      </c>
      <c r="J326" s="292"/>
      <c r="K326" s="8">
        <v>164800</v>
      </c>
      <c r="L326" s="8"/>
      <c r="M326" s="8">
        <v>41120</v>
      </c>
      <c r="N326" s="9"/>
      <c r="O326" s="8">
        <v>5680</v>
      </c>
      <c r="P326" s="9"/>
      <c r="Q326" s="8">
        <v>33750</v>
      </c>
      <c r="R326" s="9"/>
      <c r="S326" s="8">
        <v>0</v>
      </c>
      <c r="T326" s="9"/>
      <c r="U326" s="33">
        <v>245350</v>
      </c>
      <c r="V326" s="9"/>
      <c r="W326" s="30">
        <v>88</v>
      </c>
      <c r="X326" s="9"/>
      <c r="Y326" s="30">
        <v>24</v>
      </c>
      <c r="Z326" s="9"/>
      <c r="AA326" s="30">
        <v>3</v>
      </c>
      <c r="AB326" s="9"/>
      <c r="AC326" s="30">
        <v>19</v>
      </c>
      <c r="AD326" s="9"/>
      <c r="AE326" s="80">
        <v>0</v>
      </c>
      <c r="AF326" s="46"/>
      <c r="AG326" s="88">
        <v>134</v>
      </c>
      <c r="AH326" s="47"/>
      <c r="AJ326" s="83">
        <v>164800</v>
      </c>
      <c r="AL326" s="83">
        <v>41120</v>
      </c>
      <c r="AN326" s="83">
        <v>5680</v>
      </c>
      <c r="AP326" s="83">
        <v>32840</v>
      </c>
      <c r="AR326" s="83">
        <v>0</v>
      </c>
      <c r="AT326" s="204">
        <v>244440</v>
      </c>
      <c r="AV326" s="46">
        <v>88</v>
      </c>
      <c r="AX326" s="46">
        <v>24</v>
      </c>
      <c r="AZ326" s="46">
        <v>3</v>
      </c>
      <c r="BB326" s="46">
        <v>17</v>
      </c>
      <c r="BD326" s="46">
        <v>0</v>
      </c>
      <c r="BF326" s="209">
        <v>134</v>
      </c>
      <c r="BI326" s="83">
        <v>0</v>
      </c>
      <c r="BK326" s="83">
        <v>0</v>
      </c>
      <c r="BM326" s="83">
        <v>0</v>
      </c>
      <c r="BO326" s="83">
        <v>910</v>
      </c>
      <c r="BQ326" s="83">
        <v>0</v>
      </c>
      <c r="BS326" s="85">
        <v>910</v>
      </c>
      <c r="BU326" s="46">
        <v>0</v>
      </c>
      <c r="BW326" s="46">
        <v>0</v>
      </c>
      <c r="BY326" s="46">
        <v>0</v>
      </c>
      <c r="CA326" s="46">
        <v>2</v>
      </c>
      <c r="CC326" s="46">
        <v>0</v>
      </c>
      <c r="CE326" s="209">
        <v>2</v>
      </c>
      <c r="CH326" s="41">
        <v>3797804</v>
      </c>
      <c r="CJ326" s="41">
        <v>1204120</v>
      </c>
      <c r="CL326" s="41">
        <v>202128</v>
      </c>
      <c r="CN326" s="41">
        <v>2246117</v>
      </c>
      <c r="CP326" s="43">
        <v>7450169</v>
      </c>
      <c r="CS326" s="39">
        <v>23.044899999999998</v>
      </c>
      <c r="CU326" s="39">
        <v>29.283100000000001</v>
      </c>
      <c r="CW326" s="39">
        <v>1.2264999999999999</v>
      </c>
      <c r="CY326" s="39">
        <v>66.551599999999993</v>
      </c>
      <c r="DA326" s="44">
        <v>30.365500000000001</v>
      </c>
      <c r="DC326" s="1" t="str">
        <f t="shared" si="5"/>
        <v>No</v>
      </c>
    </row>
    <row r="327" spans="1:107">
      <c r="A327" s="7" t="s">
        <v>1106</v>
      </c>
      <c r="B327" s="7" t="s">
        <v>1107</v>
      </c>
      <c r="C327" s="37" t="s">
        <v>32</v>
      </c>
      <c r="D327" s="296" t="s">
        <v>1108</v>
      </c>
      <c r="E327" s="297">
        <v>41068</v>
      </c>
      <c r="F327" s="27" t="s">
        <v>162</v>
      </c>
      <c r="G327" s="27" t="s">
        <v>158</v>
      </c>
      <c r="H327" s="35">
        <v>349064</v>
      </c>
      <c r="I327" s="35">
        <v>24</v>
      </c>
      <c r="J327" s="292"/>
      <c r="K327" s="8">
        <v>61152</v>
      </c>
      <c r="L327" s="8"/>
      <c r="M327" s="8">
        <v>0</v>
      </c>
      <c r="N327" s="9"/>
      <c r="O327" s="8">
        <v>0</v>
      </c>
      <c r="P327" s="9"/>
      <c r="Q327" s="8">
        <v>4160</v>
      </c>
      <c r="R327" s="9"/>
      <c r="S327" s="8">
        <v>0</v>
      </c>
      <c r="T327" s="9"/>
      <c r="U327" s="33">
        <v>65312</v>
      </c>
      <c r="V327" s="9"/>
      <c r="W327" s="30">
        <v>30</v>
      </c>
      <c r="X327" s="9"/>
      <c r="Y327" s="30">
        <v>0</v>
      </c>
      <c r="Z327" s="9"/>
      <c r="AA327" s="30">
        <v>0</v>
      </c>
      <c r="AB327" s="9"/>
      <c r="AC327" s="30">
        <v>2</v>
      </c>
      <c r="AD327" s="9"/>
      <c r="AE327" s="80">
        <v>0</v>
      </c>
      <c r="AF327" s="46"/>
      <c r="AG327" s="88">
        <v>32</v>
      </c>
      <c r="AH327" s="47"/>
      <c r="AJ327" s="83">
        <v>53664</v>
      </c>
      <c r="AL327" s="83">
        <v>0</v>
      </c>
      <c r="AN327" s="83">
        <v>0</v>
      </c>
      <c r="AP327" s="83">
        <v>4160</v>
      </c>
      <c r="AR327" s="83">
        <v>0</v>
      </c>
      <c r="AT327" s="204">
        <v>57824</v>
      </c>
      <c r="AV327" s="46">
        <v>24</v>
      </c>
      <c r="AX327" s="46">
        <v>0</v>
      </c>
      <c r="AZ327" s="46">
        <v>0</v>
      </c>
      <c r="BB327" s="46">
        <v>2</v>
      </c>
      <c r="BD327" s="46">
        <v>0</v>
      </c>
      <c r="BF327" s="209">
        <v>32</v>
      </c>
      <c r="BI327" s="83">
        <v>7488</v>
      </c>
      <c r="BK327" s="83">
        <v>0</v>
      </c>
      <c r="BM327" s="83">
        <v>0</v>
      </c>
      <c r="BO327" s="83">
        <v>0</v>
      </c>
      <c r="BQ327" s="83">
        <v>0</v>
      </c>
      <c r="BS327" s="85">
        <v>7488</v>
      </c>
      <c r="BU327" s="46">
        <v>6</v>
      </c>
      <c r="BW327" s="46">
        <v>0</v>
      </c>
      <c r="BY327" s="46">
        <v>0</v>
      </c>
      <c r="CA327" s="46">
        <v>0</v>
      </c>
      <c r="CC327" s="46">
        <v>0</v>
      </c>
      <c r="CE327" s="209">
        <v>6</v>
      </c>
      <c r="CH327" s="41">
        <v>635474</v>
      </c>
      <c r="CJ327" s="41">
        <v>0</v>
      </c>
      <c r="CL327" s="41">
        <v>0</v>
      </c>
      <c r="CN327" s="41">
        <v>70325</v>
      </c>
      <c r="CP327" s="43">
        <v>705799</v>
      </c>
      <c r="CS327" s="39">
        <v>10.3917</v>
      </c>
      <c r="CW327" s="39">
        <v>0</v>
      </c>
      <c r="CY327" s="39">
        <v>16.905000000000001</v>
      </c>
      <c r="DA327" s="44">
        <v>10.8066</v>
      </c>
      <c r="DC327" s="1" t="str">
        <f t="shared" si="5"/>
        <v>No</v>
      </c>
    </row>
    <row r="328" spans="1:107">
      <c r="A328" s="7" t="s">
        <v>528</v>
      </c>
      <c r="B328" s="7" t="s">
        <v>527</v>
      </c>
      <c r="C328" s="37" t="s">
        <v>17</v>
      </c>
      <c r="D328" s="296">
        <v>9022</v>
      </c>
      <c r="E328" s="297">
        <v>90022</v>
      </c>
      <c r="F328" s="27" t="s">
        <v>162</v>
      </c>
      <c r="G328" s="27" t="s">
        <v>158</v>
      </c>
      <c r="H328" s="35">
        <v>12150996</v>
      </c>
      <c r="I328" s="35">
        <v>24</v>
      </c>
      <c r="J328" s="292"/>
      <c r="K328" s="8">
        <v>99642</v>
      </c>
      <c r="L328" s="8"/>
      <c r="M328" s="8">
        <v>28027</v>
      </c>
      <c r="N328" s="9"/>
      <c r="O328" s="8">
        <v>3114</v>
      </c>
      <c r="P328" s="9"/>
      <c r="Q328" s="8">
        <v>17865</v>
      </c>
      <c r="R328" s="9"/>
      <c r="S328" s="8">
        <v>0</v>
      </c>
      <c r="T328" s="9"/>
      <c r="U328" s="33">
        <v>148648</v>
      </c>
      <c r="V328" s="9"/>
      <c r="W328" s="30">
        <v>69</v>
      </c>
      <c r="X328" s="9"/>
      <c r="Y328" s="30">
        <v>18</v>
      </c>
      <c r="Z328" s="9"/>
      <c r="AA328" s="30">
        <v>2</v>
      </c>
      <c r="AB328" s="9"/>
      <c r="AC328" s="30">
        <v>11</v>
      </c>
      <c r="AD328" s="9"/>
      <c r="AE328" s="80">
        <v>0</v>
      </c>
      <c r="AF328" s="46"/>
      <c r="AG328" s="88">
        <v>100</v>
      </c>
      <c r="AH328" s="47"/>
      <c r="AJ328" s="83">
        <v>59987</v>
      </c>
      <c r="AL328" s="83">
        <v>19584</v>
      </c>
      <c r="AN328" s="83">
        <v>2176</v>
      </c>
      <c r="AP328" s="83">
        <v>17736</v>
      </c>
      <c r="AR328" s="83">
        <v>0</v>
      </c>
      <c r="AT328" s="204">
        <v>99483</v>
      </c>
      <c r="AV328" s="46">
        <v>37</v>
      </c>
      <c r="AX328" s="46">
        <v>13</v>
      </c>
      <c r="AZ328" s="46">
        <v>1</v>
      </c>
      <c r="BB328" s="46">
        <v>10</v>
      </c>
      <c r="BD328" s="46">
        <v>0</v>
      </c>
      <c r="BF328" s="209">
        <v>100</v>
      </c>
      <c r="BI328" s="83">
        <v>39655</v>
      </c>
      <c r="BK328" s="83">
        <v>8443</v>
      </c>
      <c r="BM328" s="83">
        <v>938</v>
      </c>
      <c r="BO328" s="83">
        <v>129</v>
      </c>
      <c r="BQ328" s="83">
        <v>0</v>
      </c>
      <c r="BS328" s="85">
        <v>49165</v>
      </c>
      <c r="BU328" s="46">
        <v>32</v>
      </c>
      <c r="BW328" s="46">
        <v>5</v>
      </c>
      <c r="BY328" s="46">
        <v>1</v>
      </c>
      <c r="CA328" s="46">
        <v>1</v>
      </c>
      <c r="CC328" s="46">
        <v>0</v>
      </c>
      <c r="CE328" s="209">
        <v>39</v>
      </c>
      <c r="CH328" s="41">
        <v>3185514</v>
      </c>
      <c r="CJ328" s="41">
        <v>943157</v>
      </c>
      <c r="CL328" s="41">
        <v>42749</v>
      </c>
      <c r="CN328" s="41">
        <v>549493</v>
      </c>
      <c r="CP328" s="43">
        <v>4720913</v>
      </c>
      <c r="CS328" s="39">
        <v>31.9696</v>
      </c>
      <c r="CU328" s="39">
        <v>33.651699999999998</v>
      </c>
      <c r="CW328" s="39">
        <v>0.42899999999999999</v>
      </c>
      <c r="CY328" s="39">
        <v>30.758099999999999</v>
      </c>
      <c r="DA328" s="44">
        <v>31.759</v>
      </c>
      <c r="DC328" s="1" t="str">
        <f t="shared" si="5"/>
        <v>No</v>
      </c>
    </row>
    <row r="329" spans="1:107">
      <c r="A329" s="7" t="s">
        <v>737</v>
      </c>
      <c r="B329" s="7" t="s">
        <v>422</v>
      </c>
      <c r="C329" s="37" t="s">
        <v>38</v>
      </c>
      <c r="D329" s="296">
        <v>7045</v>
      </c>
      <c r="E329" s="297">
        <v>70045</v>
      </c>
      <c r="F329" s="27" t="s">
        <v>162</v>
      </c>
      <c r="G329" s="27" t="s">
        <v>158</v>
      </c>
      <c r="H329" s="35">
        <v>106621</v>
      </c>
      <c r="I329" s="35">
        <v>24</v>
      </c>
      <c r="J329" s="292"/>
      <c r="K329" s="8">
        <v>62657</v>
      </c>
      <c r="L329" s="8"/>
      <c r="M329" s="8">
        <v>1253</v>
      </c>
      <c r="N329" s="9"/>
      <c r="O329" s="8">
        <v>0</v>
      </c>
      <c r="P329" s="9"/>
      <c r="Q329" s="8">
        <v>5805</v>
      </c>
      <c r="R329" s="9"/>
      <c r="S329" s="8">
        <v>0</v>
      </c>
      <c r="T329" s="9"/>
      <c r="U329" s="33">
        <v>69715</v>
      </c>
      <c r="V329" s="9"/>
      <c r="W329" s="30">
        <v>54</v>
      </c>
      <c r="X329" s="9"/>
      <c r="Y329" s="30">
        <v>3</v>
      </c>
      <c r="Z329" s="9"/>
      <c r="AA329" s="30">
        <v>0</v>
      </c>
      <c r="AB329" s="9"/>
      <c r="AC329" s="30">
        <v>4</v>
      </c>
      <c r="AD329" s="9"/>
      <c r="AE329" s="80">
        <v>0</v>
      </c>
      <c r="AF329" s="46"/>
      <c r="AG329" s="88">
        <v>61</v>
      </c>
      <c r="AH329" s="47"/>
      <c r="AJ329" s="83">
        <v>33890</v>
      </c>
      <c r="AL329" s="83">
        <v>1021</v>
      </c>
      <c r="AN329" s="83">
        <v>0</v>
      </c>
      <c r="AP329" s="83">
        <v>4656</v>
      </c>
      <c r="AR329" s="83">
        <v>0</v>
      </c>
      <c r="AT329" s="204">
        <v>39567</v>
      </c>
      <c r="AV329" s="46">
        <v>23</v>
      </c>
      <c r="AX329" s="46">
        <v>2</v>
      </c>
      <c r="AZ329" s="46">
        <v>0</v>
      </c>
      <c r="BB329" s="46">
        <v>3</v>
      </c>
      <c r="BD329" s="46">
        <v>0</v>
      </c>
      <c r="BF329" s="209">
        <v>61</v>
      </c>
      <c r="BI329" s="83">
        <v>28767</v>
      </c>
      <c r="BK329" s="83">
        <v>232</v>
      </c>
      <c r="BM329" s="83">
        <v>0</v>
      </c>
      <c r="BO329" s="83">
        <v>1149</v>
      </c>
      <c r="BQ329" s="83">
        <v>0</v>
      </c>
      <c r="BS329" s="85">
        <v>30148</v>
      </c>
      <c r="BU329" s="46">
        <v>31</v>
      </c>
      <c r="BW329" s="46">
        <v>1</v>
      </c>
      <c r="BY329" s="46">
        <v>0</v>
      </c>
      <c r="CA329" s="46">
        <v>1</v>
      </c>
      <c r="CC329" s="46">
        <v>0</v>
      </c>
      <c r="CE329" s="209">
        <v>33</v>
      </c>
      <c r="CH329" s="41">
        <v>1397099</v>
      </c>
      <c r="CJ329" s="41">
        <v>28426</v>
      </c>
      <c r="CL329" s="41">
        <v>0</v>
      </c>
      <c r="CN329" s="41">
        <v>228077</v>
      </c>
      <c r="CP329" s="43">
        <v>1653602</v>
      </c>
      <c r="CS329" s="39">
        <v>22.297599999999999</v>
      </c>
      <c r="CU329" s="39">
        <v>22.686399999999999</v>
      </c>
      <c r="CW329" s="39">
        <v>0</v>
      </c>
      <c r="CY329" s="39">
        <v>39.2898</v>
      </c>
      <c r="DA329" s="44">
        <v>23.7195</v>
      </c>
      <c r="DC329" s="1" t="str">
        <f t="shared" si="5"/>
        <v>No</v>
      </c>
    </row>
    <row r="330" spans="1:107">
      <c r="A330" s="7" t="s">
        <v>715</v>
      </c>
      <c r="B330" s="7" t="s">
        <v>716</v>
      </c>
      <c r="C330" s="37" t="s">
        <v>77</v>
      </c>
      <c r="D330" s="296">
        <v>3095</v>
      </c>
      <c r="E330" s="297">
        <v>30095</v>
      </c>
      <c r="F330" s="27" t="s">
        <v>165</v>
      </c>
      <c r="G330" s="27" t="s">
        <v>158</v>
      </c>
      <c r="H330" s="35">
        <v>77086</v>
      </c>
      <c r="I330" s="35">
        <v>24</v>
      </c>
      <c r="J330" s="292"/>
      <c r="K330" s="8">
        <v>61742</v>
      </c>
      <c r="L330" s="8"/>
      <c r="M330" s="8">
        <v>11829</v>
      </c>
      <c r="N330" s="9"/>
      <c r="O330" s="8">
        <v>2166</v>
      </c>
      <c r="P330" s="9"/>
      <c r="Q330" s="8">
        <v>10648</v>
      </c>
      <c r="R330" s="9"/>
      <c r="S330" s="8">
        <v>0</v>
      </c>
      <c r="T330" s="9"/>
      <c r="U330" s="33">
        <v>86385</v>
      </c>
      <c r="V330" s="9"/>
      <c r="W330" s="30">
        <v>32.299999999999997</v>
      </c>
      <c r="X330" s="9"/>
      <c r="Y330" s="30">
        <v>6.5</v>
      </c>
      <c r="Z330" s="9"/>
      <c r="AA330" s="30">
        <v>1.2</v>
      </c>
      <c r="AB330" s="9"/>
      <c r="AC330" s="30">
        <v>7</v>
      </c>
      <c r="AD330" s="9"/>
      <c r="AE330" s="80">
        <v>0</v>
      </c>
      <c r="AF330" s="46"/>
      <c r="AG330" s="88">
        <v>47</v>
      </c>
      <c r="AH330" s="47"/>
      <c r="AJ330" s="83">
        <v>56497</v>
      </c>
      <c r="AL330" s="83">
        <v>11829</v>
      </c>
      <c r="AN330" s="83">
        <v>2166</v>
      </c>
      <c r="AP330" s="83">
        <v>9487</v>
      </c>
      <c r="AR330" s="83">
        <v>0</v>
      </c>
      <c r="AT330" s="204">
        <v>79979</v>
      </c>
      <c r="AV330" s="46">
        <v>28.3</v>
      </c>
      <c r="AX330" s="46">
        <v>6.5</v>
      </c>
      <c r="AZ330" s="46">
        <v>1.2</v>
      </c>
      <c r="BB330" s="46">
        <v>6</v>
      </c>
      <c r="BD330" s="46">
        <v>0</v>
      </c>
      <c r="BF330" s="209">
        <v>47</v>
      </c>
      <c r="BI330" s="83">
        <v>5245</v>
      </c>
      <c r="BK330" s="83">
        <v>0</v>
      </c>
      <c r="BM330" s="83">
        <v>0</v>
      </c>
      <c r="BO330" s="83">
        <v>1161</v>
      </c>
      <c r="BQ330" s="83">
        <v>0</v>
      </c>
      <c r="BS330" s="85">
        <v>6406</v>
      </c>
      <c r="BU330" s="46">
        <v>4</v>
      </c>
      <c r="BW330" s="46">
        <v>0</v>
      </c>
      <c r="BY330" s="46">
        <v>0</v>
      </c>
      <c r="CA330" s="46">
        <v>1</v>
      </c>
      <c r="CC330" s="46">
        <v>0</v>
      </c>
      <c r="CE330" s="209">
        <v>5</v>
      </c>
      <c r="CH330" s="41">
        <v>1026259</v>
      </c>
      <c r="CJ330" s="41">
        <v>219465</v>
      </c>
      <c r="CL330" s="41">
        <v>59089</v>
      </c>
      <c r="CN330" s="41">
        <v>301909</v>
      </c>
      <c r="CP330" s="43">
        <v>1606722</v>
      </c>
      <c r="CS330" s="39">
        <v>16.621700000000001</v>
      </c>
      <c r="CU330" s="39">
        <v>18.553100000000001</v>
      </c>
      <c r="CW330" s="39">
        <v>0.95699999999999996</v>
      </c>
      <c r="CY330" s="39">
        <v>28.3536</v>
      </c>
      <c r="DA330" s="44">
        <v>18.599499999999999</v>
      </c>
      <c r="DC330" s="1" t="str">
        <f t="shared" si="5"/>
        <v>No</v>
      </c>
    </row>
    <row r="331" spans="1:107">
      <c r="A331" s="7" t="s">
        <v>95</v>
      </c>
      <c r="B331" s="7" t="s">
        <v>599</v>
      </c>
      <c r="C331" s="37" t="s">
        <v>93</v>
      </c>
      <c r="D331" s="296">
        <v>5088</v>
      </c>
      <c r="E331" s="297">
        <v>50088</v>
      </c>
      <c r="F331" s="27" t="s">
        <v>162</v>
      </c>
      <c r="G331" s="27" t="s">
        <v>158</v>
      </c>
      <c r="H331" s="35">
        <v>71313</v>
      </c>
      <c r="I331" s="35">
        <v>23</v>
      </c>
      <c r="J331" s="292"/>
      <c r="K331" s="8">
        <v>62954</v>
      </c>
      <c r="L331" s="8"/>
      <c r="M331" s="8">
        <v>6849</v>
      </c>
      <c r="N331" s="9"/>
      <c r="O331" s="8">
        <v>6638</v>
      </c>
      <c r="P331" s="9"/>
      <c r="Q331" s="8">
        <v>8086</v>
      </c>
      <c r="R331" s="9"/>
      <c r="S331" s="8">
        <v>0</v>
      </c>
      <c r="T331" s="9"/>
      <c r="U331" s="33">
        <v>84527</v>
      </c>
      <c r="V331" s="9"/>
      <c r="W331" s="30">
        <v>50.4</v>
      </c>
      <c r="X331" s="9"/>
      <c r="Y331" s="30">
        <v>4</v>
      </c>
      <c r="Z331" s="9"/>
      <c r="AA331" s="30">
        <v>5</v>
      </c>
      <c r="AB331" s="9"/>
      <c r="AC331" s="30">
        <v>4.5999999999999996</v>
      </c>
      <c r="AD331" s="9"/>
      <c r="AE331" s="80">
        <v>0</v>
      </c>
      <c r="AF331" s="46"/>
      <c r="AG331" s="88">
        <v>64</v>
      </c>
      <c r="AH331" s="47"/>
      <c r="AJ331" s="83">
        <v>39147</v>
      </c>
      <c r="AL331" s="83">
        <v>6849</v>
      </c>
      <c r="AN331" s="83">
        <v>0</v>
      </c>
      <c r="AP331" s="83">
        <v>8086</v>
      </c>
      <c r="AR331" s="83">
        <v>0</v>
      </c>
      <c r="AT331" s="204">
        <v>54082</v>
      </c>
      <c r="AV331" s="46">
        <v>22.4</v>
      </c>
      <c r="AX331" s="46">
        <v>4</v>
      </c>
      <c r="AZ331" s="46">
        <v>0</v>
      </c>
      <c r="BB331" s="46">
        <v>4.5999999999999996</v>
      </c>
      <c r="BD331" s="46">
        <v>0</v>
      </c>
      <c r="BF331" s="209">
        <v>64</v>
      </c>
      <c r="BI331" s="83">
        <v>23807</v>
      </c>
      <c r="BK331" s="83">
        <v>0</v>
      </c>
      <c r="BM331" s="83">
        <v>6638</v>
      </c>
      <c r="BO331" s="83">
        <v>0</v>
      </c>
      <c r="BQ331" s="83">
        <v>0</v>
      </c>
      <c r="BS331" s="85">
        <v>30445</v>
      </c>
      <c r="BU331" s="46">
        <v>28</v>
      </c>
      <c r="BW331" s="46">
        <v>0</v>
      </c>
      <c r="BY331" s="46">
        <v>5</v>
      </c>
      <c r="CA331" s="46">
        <v>0</v>
      </c>
      <c r="CC331" s="46">
        <v>0</v>
      </c>
      <c r="CE331" s="209">
        <v>33</v>
      </c>
      <c r="CH331" s="41">
        <v>1186082</v>
      </c>
      <c r="CJ331" s="41">
        <v>175790</v>
      </c>
      <c r="CL331" s="41">
        <v>123013</v>
      </c>
      <c r="CN331" s="41">
        <v>285587</v>
      </c>
      <c r="CP331" s="43">
        <v>1770472</v>
      </c>
      <c r="CS331" s="39">
        <v>18.840499999999999</v>
      </c>
      <c r="CU331" s="39">
        <v>25.666499999999999</v>
      </c>
      <c r="CW331" s="39">
        <v>1.954</v>
      </c>
      <c r="CY331" s="39">
        <v>35.3187</v>
      </c>
      <c r="DA331" s="44">
        <v>20.945599999999999</v>
      </c>
      <c r="DC331" s="1" t="str">
        <f t="shared" si="5"/>
        <v>No</v>
      </c>
    </row>
    <row r="332" spans="1:107">
      <c r="A332" s="7" t="s">
        <v>326</v>
      </c>
      <c r="B332" s="7" t="s">
        <v>327</v>
      </c>
      <c r="C332" s="37" t="s">
        <v>89</v>
      </c>
      <c r="D332" s="296">
        <v>16</v>
      </c>
      <c r="E332" s="297">
        <v>16</v>
      </c>
      <c r="F332" s="27" t="s">
        <v>162</v>
      </c>
      <c r="G332" s="27" t="s">
        <v>158</v>
      </c>
      <c r="H332" s="35">
        <v>63952</v>
      </c>
      <c r="I332" s="35">
        <v>23</v>
      </c>
      <c r="J332" s="292"/>
      <c r="K332" s="8">
        <v>41290</v>
      </c>
      <c r="L332" s="8"/>
      <c r="M332" s="8">
        <v>1708</v>
      </c>
      <c r="N332" s="9"/>
      <c r="O332" s="8">
        <v>1348</v>
      </c>
      <c r="P332" s="9"/>
      <c r="Q332" s="8">
        <v>4351</v>
      </c>
      <c r="R332" s="9"/>
      <c r="S332" s="8">
        <v>0</v>
      </c>
      <c r="T332" s="9"/>
      <c r="U332" s="33">
        <v>48697</v>
      </c>
      <c r="V332" s="9"/>
      <c r="W332" s="30">
        <v>22</v>
      </c>
      <c r="X332" s="9"/>
      <c r="Y332" s="30">
        <v>0.82</v>
      </c>
      <c r="Z332" s="9"/>
      <c r="AA332" s="30">
        <v>1</v>
      </c>
      <c r="AB332" s="9"/>
      <c r="AC332" s="30">
        <v>2.23</v>
      </c>
      <c r="AD332" s="9"/>
      <c r="AE332" s="80">
        <v>0</v>
      </c>
      <c r="AF332" s="46"/>
      <c r="AG332" s="88">
        <v>26.05</v>
      </c>
      <c r="AH332" s="47"/>
      <c r="AJ332" s="83">
        <v>32538</v>
      </c>
      <c r="AL332" s="83">
        <v>1708</v>
      </c>
      <c r="AN332" s="83">
        <v>1348</v>
      </c>
      <c r="AP332" s="83">
        <v>4351</v>
      </c>
      <c r="AR332" s="83">
        <v>0</v>
      </c>
      <c r="AT332" s="204">
        <v>39945</v>
      </c>
      <c r="AV332" s="46">
        <v>14</v>
      </c>
      <c r="AX332" s="46">
        <v>0.82</v>
      </c>
      <c r="AZ332" s="46">
        <v>1</v>
      </c>
      <c r="BB332" s="46">
        <v>2.23</v>
      </c>
      <c r="BD332" s="46">
        <v>0</v>
      </c>
      <c r="BF332" s="209">
        <v>26.05</v>
      </c>
      <c r="BI332" s="83">
        <v>8752</v>
      </c>
      <c r="BK332" s="83">
        <v>0</v>
      </c>
      <c r="BM332" s="83">
        <v>0</v>
      </c>
      <c r="BO332" s="83">
        <v>0</v>
      </c>
      <c r="BQ332" s="83">
        <v>0</v>
      </c>
      <c r="BS332" s="85">
        <v>8752</v>
      </c>
      <c r="BU332" s="46">
        <v>8</v>
      </c>
      <c r="BW332" s="46">
        <v>0</v>
      </c>
      <c r="BY332" s="46">
        <v>0</v>
      </c>
      <c r="CA332" s="46">
        <v>0</v>
      </c>
      <c r="CC332" s="46">
        <v>0</v>
      </c>
      <c r="CE332" s="209">
        <v>8</v>
      </c>
      <c r="CH332" s="41">
        <v>937898</v>
      </c>
      <c r="CJ332" s="41">
        <v>161322</v>
      </c>
      <c r="CL332" s="41">
        <v>36515</v>
      </c>
      <c r="CN332" s="41">
        <v>131202</v>
      </c>
      <c r="CP332" s="43">
        <v>1266937</v>
      </c>
      <c r="CS332" s="39">
        <v>22.7149</v>
      </c>
      <c r="CU332" s="39">
        <v>94.450800000000001</v>
      </c>
      <c r="CW332" s="39">
        <v>0.88439999999999996</v>
      </c>
      <c r="CY332" s="39">
        <v>30.154399999999999</v>
      </c>
      <c r="DA332" s="44">
        <v>26.0167</v>
      </c>
      <c r="DC332" s="1" t="str">
        <f t="shared" si="5"/>
        <v>No</v>
      </c>
    </row>
    <row r="333" spans="1:107">
      <c r="A333" s="7" t="s">
        <v>163</v>
      </c>
      <c r="B333" s="7" t="s">
        <v>164</v>
      </c>
      <c r="C333" s="37" t="s">
        <v>28</v>
      </c>
      <c r="D333" s="296">
        <v>1040</v>
      </c>
      <c r="E333" s="297">
        <v>10040</v>
      </c>
      <c r="F333" s="27" t="s">
        <v>165</v>
      </c>
      <c r="G333" s="27" t="s">
        <v>158</v>
      </c>
      <c r="H333" s="35">
        <v>209190</v>
      </c>
      <c r="I333" s="35">
        <v>23</v>
      </c>
      <c r="J333" s="292"/>
      <c r="K333" s="8">
        <v>87052</v>
      </c>
      <c r="L333" s="8"/>
      <c r="M333" s="8">
        <v>20995</v>
      </c>
      <c r="N333" s="9"/>
      <c r="O333" s="8">
        <v>905</v>
      </c>
      <c r="P333" s="9"/>
      <c r="Q333" s="8">
        <v>7655</v>
      </c>
      <c r="R333" s="9"/>
      <c r="S333" s="8">
        <v>245</v>
      </c>
      <c r="T333" s="9"/>
      <c r="U333" s="33">
        <v>116852</v>
      </c>
      <c r="V333" s="9"/>
      <c r="W333" s="30">
        <v>49</v>
      </c>
      <c r="X333" s="9"/>
      <c r="Y333" s="30">
        <v>13.5</v>
      </c>
      <c r="Z333" s="9"/>
      <c r="AA333" s="30">
        <v>0.5</v>
      </c>
      <c r="AB333" s="9"/>
      <c r="AC333" s="30">
        <v>6</v>
      </c>
      <c r="AD333" s="9"/>
      <c r="AE333" s="80">
        <v>0.13</v>
      </c>
      <c r="AF333" s="46"/>
      <c r="AG333" s="88">
        <v>69.13</v>
      </c>
      <c r="AH333" s="47"/>
      <c r="AJ333" s="83">
        <v>87052</v>
      </c>
      <c r="AL333" s="83">
        <v>19970</v>
      </c>
      <c r="AN333" s="83">
        <v>905</v>
      </c>
      <c r="AP333" s="83">
        <v>5378</v>
      </c>
      <c r="AR333" s="83">
        <v>245</v>
      </c>
      <c r="AT333" s="204">
        <v>113550</v>
      </c>
      <c r="AV333" s="46">
        <v>49</v>
      </c>
      <c r="AX333" s="46">
        <v>11.5</v>
      </c>
      <c r="AZ333" s="46">
        <v>0.5</v>
      </c>
      <c r="BB333" s="46">
        <v>3</v>
      </c>
      <c r="BD333" s="46">
        <v>0.13</v>
      </c>
      <c r="BF333" s="209">
        <v>69.13</v>
      </c>
      <c r="BI333" s="83">
        <v>0</v>
      </c>
      <c r="BK333" s="83">
        <v>1025</v>
      </c>
      <c r="BM333" s="83">
        <v>0</v>
      </c>
      <c r="BO333" s="83">
        <v>2277</v>
      </c>
      <c r="BQ333" s="83">
        <v>0</v>
      </c>
      <c r="BS333" s="85">
        <v>3302</v>
      </c>
      <c r="BU333" s="46">
        <v>0</v>
      </c>
      <c r="BW333" s="46">
        <v>2</v>
      </c>
      <c r="BY333" s="46">
        <v>0</v>
      </c>
      <c r="CA333" s="46">
        <v>3</v>
      </c>
      <c r="CC333" s="46">
        <v>0</v>
      </c>
      <c r="CE333" s="209">
        <v>5</v>
      </c>
      <c r="CH333" s="41">
        <v>1965659</v>
      </c>
      <c r="CJ333" s="41">
        <v>509373</v>
      </c>
      <c r="CL333" s="41">
        <v>23647</v>
      </c>
      <c r="CN333" s="41">
        <v>156071</v>
      </c>
      <c r="CP333" s="43">
        <v>2654750</v>
      </c>
      <c r="CS333" s="39">
        <v>22.580300000000001</v>
      </c>
      <c r="CU333" s="39">
        <v>24.261600000000001</v>
      </c>
      <c r="CW333" s="39">
        <v>0.27160000000000001</v>
      </c>
      <c r="CY333" s="39">
        <v>20.388100000000001</v>
      </c>
      <c r="DA333" s="44">
        <v>22.718900000000001</v>
      </c>
      <c r="DC333" s="1" t="str">
        <f t="shared" si="5"/>
        <v>No</v>
      </c>
    </row>
    <row r="334" spans="1:107">
      <c r="A334" s="7" t="s">
        <v>415</v>
      </c>
      <c r="B334" s="7" t="s">
        <v>416</v>
      </c>
      <c r="C334" s="37" t="s">
        <v>70</v>
      </c>
      <c r="D334" s="296">
        <v>2071</v>
      </c>
      <c r="E334" s="297">
        <v>20071</v>
      </c>
      <c r="F334" s="27" t="s">
        <v>162</v>
      </c>
      <c r="G334" s="27" t="s">
        <v>158</v>
      </c>
      <c r="H334" s="35">
        <v>18351295</v>
      </c>
      <c r="I334" s="35">
        <v>22</v>
      </c>
      <c r="J334" s="292"/>
      <c r="K334" s="8">
        <v>64320</v>
      </c>
      <c r="L334" s="8"/>
      <c r="M334" s="8">
        <v>7621</v>
      </c>
      <c r="N334" s="9"/>
      <c r="O334" s="8">
        <v>1605</v>
      </c>
      <c r="P334" s="9"/>
      <c r="Q334" s="8">
        <v>3764</v>
      </c>
      <c r="R334" s="9"/>
      <c r="S334" s="8">
        <v>0</v>
      </c>
      <c r="T334" s="9"/>
      <c r="U334" s="33">
        <v>77310</v>
      </c>
      <c r="V334" s="9"/>
      <c r="W334" s="30">
        <v>38.51</v>
      </c>
      <c r="X334" s="9"/>
      <c r="Y334" s="30">
        <v>4.71</v>
      </c>
      <c r="Z334" s="9"/>
      <c r="AA334" s="30">
        <v>1.26</v>
      </c>
      <c r="AB334" s="9"/>
      <c r="AC334" s="30">
        <v>2.2999999999999998</v>
      </c>
      <c r="AD334" s="9"/>
      <c r="AE334" s="80">
        <v>0</v>
      </c>
      <c r="AF334" s="46"/>
      <c r="AG334" s="88">
        <v>46.78</v>
      </c>
      <c r="AH334" s="47"/>
      <c r="AJ334" s="83">
        <v>35348</v>
      </c>
      <c r="AL334" s="83">
        <v>7621</v>
      </c>
      <c r="AN334" s="83">
        <v>401</v>
      </c>
      <c r="AP334" s="83">
        <v>3764</v>
      </c>
      <c r="AR334" s="83">
        <v>0</v>
      </c>
      <c r="AT334" s="204">
        <v>47134</v>
      </c>
      <c r="AV334" s="46">
        <v>20.96</v>
      </c>
      <c r="AX334" s="46">
        <v>4.71</v>
      </c>
      <c r="AZ334" s="46">
        <v>0.25</v>
      </c>
      <c r="BB334" s="46">
        <v>2.2999999999999998</v>
      </c>
      <c r="BD334" s="46">
        <v>0</v>
      </c>
      <c r="BF334" s="209">
        <v>46.78</v>
      </c>
      <c r="BI334" s="83">
        <v>28972</v>
      </c>
      <c r="BK334" s="83">
        <v>0</v>
      </c>
      <c r="BM334" s="83">
        <v>1204</v>
      </c>
      <c r="BO334" s="83">
        <v>0</v>
      </c>
      <c r="BQ334" s="83">
        <v>0</v>
      </c>
      <c r="BS334" s="85">
        <v>30176</v>
      </c>
      <c r="BU334" s="46">
        <v>17.55</v>
      </c>
      <c r="BW334" s="46">
        <v>0</v>
      </c>
      <c r="BY334" s="46">
        <v>1.01</v>
      </c>
      <c r="CA334" s="46">
        <v>0</v>
      </c>
      <c r="CC334" s="46">
        <v>0</v>
      </c>
      <c r="CE334" s="209">
        <v>18.559999999999999</v>
      </c>
      <c r="CH334" s="41">
        <v>2060081</v>
      </c>
      <c r="CJ334" s="41">
        <v>300334</v>
      </c>
      <c r="CL334" s="41">
        <v>53097</v>
      </c>
      <c r="CN334" s="41">
        <v>195105</v>
      </c>
      <c r="CP334" s="43">
        <v>2608617</v>
      </c>
      <c r="CS334" s="39">
        <v>32.028599999999997</v>
      </c>
      <c r="CU334" s="39">
        <v>39.408700000000003</v>
      </c>
      <c r="CW334" s="39">
        <v>0.82550000000000001</v>
      </c>
      <c r="CY334" s="39">
        <v>51.834499999999998</v>
      </c>
      <c r="DA334" s="44">
        <v>33.7423</v>
      </c>
      <c r="DC334" s="1" t="str">
        <f t="shared" si="5"/>
        <v>No</v>
      </c>
    </row>
    <row r="335" spans="1:107">
      <c r="A335" s="7" t="s">
        <v>183</v>
      </c>
      <c r="B335" s="7" t="s">
        <v>184</v>
      </c>
      <c r="C335" s="37" t="s">
        <v>70</v>
      </c>
      <c r="D335" s="296">
        <v>2178</v>
      </c>
      <c r="E335" s="297">
        <v>20178</v>
      </c>
      <c r="F335" s="27" t="s">
        <v>162</v>
      </c>
      <c r="G335" s="27" t="s">
        <v>158</v>
      </c>
      <c r="H335" s="35">
        <v>423566</v>
      </c>
      <c r="I335" s="35">
        <v>22</v>
      </c>
      <c r="J335" s="292"/>
      <c r="K335" s="8">
        <v>80970</v>
      </c>
      <c r="L335" s="8"/>
      <c r="M335" s="8">
        <v>12809</v>
      </c>
      <c r="N335" s="9"/>
      <c r="O335" s="8">
        <v>1539</v>
      </c>
      <c r="P335" s="9"/>
      <c r="Q335" s="8">
        <v>11249</v>
      </c>
      <c r="R335" s="9"/>
      <c r="S335" s="8">
        <v>652</v>
      </c>
      <c r="T335" s="9"/>
      <c r="U335" s="33">
        <v>107219</v>
      </c>
      <c r="V335" s="9"/>
      <c r="W335" s="30">
        <v>53</v>
      </c>
      <c r="X335" s="9"/>
      <c r="Y335" s="30">
        <v>7</v>
      </c>
      <c r="Z335" s="9"/>
      <c r="AA335" s="30">
        <v>1</v>
      </c>
      <c r="AB335" s="9"/>
      <c r="AC335" s="30">
        <v>5.65</v>
      </c>
      <c r="AD335" s="9"/>
      <c r="AE335" s="80">
        <v>0.35</v>
      </c>
      <c r="AF335" s="46"/>
      <c r="AG335" s="88">
        <v>67</v>
      </c>
      <c r="AH335" s="47"/>
      <c r="AJ335" s="83">
        <v>65474</v>
      </c>
      <c r="AL335" s="83">
        <v>12809</v>
      </c>
      <c r="AN335" s="83">
        <v>1539</v>
      </c>
      <c r="AP335" s="83">
        <v>11249</v>
      </c>
      <c r="AR335" s="83">
        <v>652</v>
      </c>
      <c r="AT335" s="204">
        <v>91723</v>
      </c>
      <c r="AV335" s="46">
        <v>36</v>
      </c>
      <c r="AX335" s="46">
        <v>7</v>
      </c>
      <c r="AZ335" s="46">
        <v>1</v>
      </c>
      <c r="BB335" s="46">
        <v>5.65</v>
      </c>
      <c r="BD335" s="46">
        <v>0.35</v>
      </c>
      <c r="BF335" s="209">
        <v>67</v>
      </c>
      <c r="BI335" s="83">
        <v>15496</v>
      </c>
      <c r="BK335" s="83">
        <v>0</v>
      </c>
      <c r="BM335" s="83">
        <v>0</v>
      </c>
      <c r="BO335" s="83">
        <v>0</v>
      </c>
      <c r="BQ335" s="83">
        <v>0</v>
      </c>
      <c r="BS335" s="85">
        <v>15496</v>
      </c>
      <c r="BU335" s="46">
        <v>17</v>
      </c>
      <c r="BW335" s="46">
        <v>0</v>
      </c>
      <c r="BY335" s="46">
        <v>0</v>
      </c>
      <c r="CA335" s="46">
        <v>0</v>
      </c>
      <c r="CC335" s="46">
        <v>0</v>
      </c>
      <c r="CE335" s="209">
        <v>17</v>
      </c>
      <c r="CH335" s="41">
        <v>1620016</v>
      </c>
      <c r="CJ335" s="41">
        <v>304491</v>
      </c>
      <c r="CL335" s="41">
        <v>37358</v>
      </c>
      <c r="CN335" s="41">
        <v>323589</v>
      </c>
      <c r="CP335" s="43">
        <v>2285454</v>
      </c>
      <c r="CS335" s="39">
        <v>20.0076</v>
      </c>
      <c r="CU335" s="39">
        <v>23.771599999999999</v>
      </c>
      <c r="CW335" s="39">
        <v>0.46139999999999998</v>
      </c>
      <c r="CY335" s="39">
        <v>28.765999999999998</v>
      </c>
      <c r="DA335" s="44">
        <v>21.315799999999999</v>
      </c>
      <c r="DC335" s="1" t="str">
        <f t="shared" si="5"/>
        <v>No</v>
      </c>
    </row>
    <row r="336" spans="1:107">
      <c r="A336" s="7" t="s">
        <v>729</v>
      </c>
      <c r="B336" s="7" t="s">
        <v>730</v>
      </c>
      <c r="C336" s="37" t="s">
        <v>85</v>
      </c>
      <c r="D336" s="296">
        <v>8028</v>
      </c>
      <c r="E336" s="297">
        <v>80028</v>
      </c>
      <c r="F336" s="27" t="s">
        <v>165</v>
      </c>
      <c r="G336" s="27" t="s">
        <v>158</v>
      </c>
      <c r="H336" s="35">
        <v>94983</v>
      </c>
      <c r="I336" s="35">
        <v>22</v>
      </c>
      <c r="J336" s="292"/>
      <c r="K336" s="8">
        <v>98456</v>
      </c>
      <c r="L336" s="8"/>
      <c r="M336" s="8">
        <v>13439</v>
      </c>
      <c r="N336" s="9" t="s">
        <v>121</v>
      </c>
      <c r="O336" s="8">
        <v>1842</v>
      </c>
      <c r="P336" s="9"/>
      <c r="Q336" s="8">
        <v>14370</v>
      </c>
      <c r="R336" s="9" t="s">
        <v>121</v>
      </c>
      <c r="S336" s="8">
        <v>150</v>
      </c>
      <c r="T336" s="9"/>
      <c r="U336" s="33">
        <v>128257</v>
      </c>
      <c r="V336" s="9" t="s">
        <v>121</v>
      </c>
      <c r="W336" s="30">
        <v>85</v>
      </c>
      <c r="X336" s="9"/>
      <c r="Y336" s="30">
        <v>12</v>
      </c>
      <c r="Z336" s="9"/>
      <c r="AA336" s="30">
        <v>1</v>
      </c>
      <c r="AB336" s="9"/>
      <c r="AC336" s="30">
        <v>23</v>
      </c>
      <c r="AD336" s="9"/>
      <c r="AE336" s="80">
        <v>0.09</v>
      </c>
      <c r="AF336" s="46"/>
      <c r="AG336" s="88">
        <v>121.09</v>
      </c>
      <c r="AH336" s="47"/>
      <c r="AJ336" s="83">
        <v>56674</v>
      </c>
      <c r="AL336" s="83">
        <v>9286</v>
      </c>
      <c r="AM336" s="46" t="s">
        <v>121</v>
      </c>
      <c r="AN336" s="83">
        <v>1842</v>
      </c>
      <c r="AP336" s="83">
        <v>14064</v>
      </c>
      <c r="AQ336" s="46" t="s">
        <v>121</v>
      </c>
      <c r="AR336" s="83">
        <v>150</v>
      </c>
      <c r="AT336" s="204">
        <v>82016</v>
      </c>
      <c r="AU336" s="46" t="s">
        <v>121</v>
      </c>
      <c r="AV336" s="46">
        <v>30</v>
      </c>
      <c r="AX336" s="46">
        <v>5</v>
      </c>
      <c r="AZ336" s="46">
        <v>1</v>
      </c>
      <c r="BB336" s="46">
        <v>8</v>
      </c>
      <c r="BD336" s="46">
        <v>0.09</v>
      </c>
      <c r="BF336" s="209">
        <v>121.09</v>
      </c>
      <c r="BI336" s="83">
        <v>41782</v>
      </c>
      <c r="BK336" s="83">
        <v>4153</v>
      </c>
      <c r="BL336" s="46" t="s">
        <v>121</v>
      </c>
      <c r="BM336" s="83">
        <v>0</v>
      </c>
      <c r="BO336" s="83">
        <v>306</v>
      </c>
      <c r="BP336" s="46" t="s">
        <v>121</v>
      </c>
      <c r="BQ336" s="83">
        <v>0</v>
      </c>
      <c r="BS336" s="85">
        <v>46241</v>
      </c>
      <c r="BT336" s="46" t="s">
        <v>121</v>
      </c>
      <c r="BU336" s="46">
        <v>55</v>
      </c>
      <c r="BW336" s="46">
        <v>7</v>
      </c>
      <c r="BY336" s="46">
        <v>0</v>
      </c>
      <c r="CA336" s="46">
        <v>15</v>
      </c>
      <c r="CC336" s="46">
        <v>0</v>
      </c>
      <c r="CE336" s="209">
        <v>77</v>
      </c>
      <c r="CH336" s="41">
        <v>1504278</v>
      </c>
      <c r="CJ336" s="41">
        <v>289152</v>
      </c>
      <c r="CK336" s="41" t="s">
        <v>121</v>
      </c>
      <c r="CL336" s="41">
        <v>42936</v>
      </c>
      <c r="CN336" s="41">
        <v>466599</v>
      </c>
      <c r="CO336" s="41" t="s">
        <v>121</v>
      </c>
      <c r="CP336" s="43">
        <v>2302965</v>
      </c>
      <c r="CQ336" s="7" t="s">
        <v>121</v>
      </c>
      <c r="CS336" s="39">
        <v>15.278700000000001</v>
      </c>
      <c r="CU336" s="39">
        <v>21.515899999999998</v>
      </c>
      <c r="CV336" s="39" t="s">
        <v>121</v>
      </c>
      <c r="CW336" s="39">
        <v>0.43609999999999999</v>
      </c>
      <c r="CY336" s="39">
        <v>32.470399999999998</v>
      </c>
      <c r="CZ336" s="39" t="s">
        <v>121</v>
      </c>
      <c r="DA336" s="44">
        <v>17.9559</v>
      </c>
      <c r="DB336" s="7" t="s">
        <v>121</v>
      </c>
      <c r="DC336" s="1" t="str">
        <f t="shared" si="5"/>
        <v>Yes</v>
      </c>
    </row>
    <row r="337" spans="1:107">
      <c r="A337" s="7" t="s">
        <v>742</v>
      </c>
      <c r="B337" s="7" t="s">
        <v>743</v>
      </c>
      <c r="C337" s="37" t="s">
        <v>83</v>
      </c>
      <c r="D337" s="296">
        <v>4178</v>
      </c>
      <c r="E337" s="297">
        <v>40178</v>
      </c>
      <c r="F337" s="27" t="s">
        <v>243</v>
      </c>
      <c r="G337" s="27" t="s">
        <v>158</v>
      </c>
      <c r="H337" s="35">
        <v>969587</v>
      </c>
      <c r="I337" s="35">
        <v>21</v>
      </c>
      <c r="J337" s="292"/>
      <c r="K337" s="8">
        <v>508</v>
      </c>
      <c r="L337" s="8"/>
      <c r="M337" s="8">
        <v>258</v>
      </c>
      <c r="N337" s="9"/>
      <c r="O337" s="8">
        <v>50</v>
      </c>
      <c r="P337" s="9"/>
      <c r="Q337" s="8">
        <v>1199</v>
      </c>
      <c r="R337" s="9"/>
      <c r="S337" s="8">
        <v>0</v>
      </c>
      <c r="T337" s="9"/>
      <c r="U337" s="33">
        <v>2015</v>
      </c>
      <c r="V337" s="9"/>
      <c r="W337" s="30">
        <v>0.28000000000000003</v>
      </c>
      <c r="X337" s="9"/>
      <c r="Y337" s="30">
        <v>0.14000000000000001</v>
      </c>
      <c r="Z337" s="9"/>
      <c r="AA337" s="30">
        <v>0.03</v>
      </c>
      <c r="AB337" s="9"/>
      <c r="AC337" s="30">
        <v>0.65</v>
      </c>
      <c r="AD337" s="9"/>
      <c r="AE337" s="80">
        <v>0</v>
      </c>
      <c r="AF337" s="46"/>
      <c r="AG337" s="88">
        <v>1.1000000000000001</v>
      </c>
      <c r="AH337" s="47"/>
      <c r="AJ337" s="83">
        <v>508</v>
      </c>
      <c r="AL337" s="83">
        <v>258</v>
      </c>
      <c r="AN337" s="83">
        <v>50</v>
      </c>
      <c r="AP337" s="83">
        <v>1199</v>
      </c>
      <c r="AR337" s="83">
        <v>0</v>
      </c>
      <c r="AT337" s="204">
        <v>2015</v>
      </c>
      <c r="AV337" s="46">
        <v>0.28000000000000003</v>
      </c>
      <c r="AX337" s="46">
        <v>0.14000000000000001</v>
      </c>
      <c r="AZ337" s="46">
        <v>0.03</v>
      </c>
      <c r="BB337" s="46">
        <v>0.65</v>
      </c>
      <c r="BD337" s="46">
        <v>0</v>
      </c>
      <c r="BF337" s="209">
        <v>1.1000000000000001</v>
      </c>
      <c r="BI337" s="83">
        <v>0</v>
      </c>
      <c r="BK337" s="83">
        <v>0</v>
      </c>
      <c r="BM337" s="83">
        <v>0</v>
      </c>
      <c r="BO337" s="83">
        <v>0</v>
      </c>
      <c r="BQ337" s="83">
        <v>0</v>
      </c>
      <c r="BS337" s="85">
        <v>0</v>
      </c>
      <c r="BU337" s="46">
        <v>0</v>
      </c>
      <c r="BW337" s="46">
        <v>0</v>
      </c>
      <c r="BY337" s="46">
        <v>0</v>
      </c>
      <c r="CA337" s="46">
        <v>0</v>
      </c>
      <c r="CC337" s="46">
        <v>0</v>
      </c>
      <c r="CE337" s="209">
        <v>0</v>
      </c>
      <c r="CH337" s="41">
        <v>22801</v>
      </c>
      <c r="CJ337" s="41">
        <v>5785</v>
      </c>
      <c r="CL337" s="41">
        <v>2005</v>
      </c>
      <c r="CN337" s="41">
        <v>36884</v>
      </c>
      <c r="CP337" s="43">
        <v>67475</v>
      </c>
      <c r="CS337" s="39">
        <v>44.883899999999997</v>
      </c>
      <c r="CU337" s="39">
        <v>22.422499999999999</v>
      </c>
      <c r="CW337" s="39">
        <v>3.9468999999999999</v>
      </c>
      <c r="CY337" s="39">
        <v>30.7623</v>
      </c>
      <c r="DA337" s="44">
        <v>33.486400000000003</v>
      </c>
      <c r="DC337" s="1" t="str">
        <f t="shared" si="5"/>
        <v>No</v>
      </c>
    </row>
    <row r="338" spans="1:107">
      <c r="A338" s="7" t="s">
        <v>733</v>
      </c>
      <c r="B338" s="7" t="s">
        <v>734</v>
      </c>
      <c r="C338" s="37" t="s">
        <v>52</v>
      </c>
      <c r="D338" s="296">
        <v>5184</v>
      </c>
      <c r="E338" s="297">
        <v>50184</v>
      </c>
      <c r="F338" s="27" t="s">
        <v>165</v>
      </c>
      <c r="G338" s="27" t="s">
        <v>158</v>
      </c>
      <c r="H338" s="35">
        <v>99941</v>
      </c>
      <c r="I338" s="35">
        <v>21</v>
      </c>
      <c r="J338" s="292"/>
      <c r="K338" s="8">
        <v>98203</v>
      </c>
      <c r="L338" s="8"/>
      <c r="M338" s="8">
        <v>2906</v>
      </c>
      <c r="N338" s="9"/>
      <c r="O338" s="8">
        <v>2906</v>
      </c>
      <c r="P338" s="9"/>
      <c r="Q338" s="8">
        <v>17486</v>
      </c>
      <c r="R338" s="9"/>
      <c r="S338" s="8">
        <v>0</v>
      </c>
      <c r="T338" s="9"/>
      <c r="U338" s="33">
        <v>121501</v>
      </c>
      <c r="V338" s="9"/>
      <c r="W338" s="30">
        <v>65</v>
      </c>
      <c r="X338" s="9"/>
      <c r="Y338" s="30">
        <v>1.5</v>
      </c>
      <c r="Z338" s="9"/>
      <c r="AA338" s="30">
        <v>1.5</v>
      </c>
      <c r="AB338" s="9"/>
      <c r="AC338" s="30">
        <v>10</v>
      </c>
      <c r="AD338" s="9"/>
      <c r="AE338" s="80">
        <v>0</v>
      </c>
      <c r="AF338" s="46"/>
      <c r="AG338" s="88">
        <v>78</v>
      </c>
      <c r="AH338" s="47"/>
      <c r="AJ338" s="83">
        <v>77992</v>
      </c>
      <c r="AL338" s="83">
        <v>2384</v>
      </c>
      <c r="AN338" s="83">
        <v>2384</v>
      </c>
      <c r="AP338" s="83">
        <v>16053</v>
      </c>
      <c r="AR338" s="83">
        <v>0</v>
      </c>
      <c r="AT338" s="204">
        <v>98813</v>
      </c>
      <c r="AV338" s="46">
        <v>44</v>
      </c>
      <c r="AX338" s="46">
        <v>1</v>
      </c>
      <c r="AZ338" s="46">
        <v>1</v>
      </c>
      <c r="BB338" s="46">
        <v>9</v>
      </c>
      <c r="BD338" s="46">
        <v>0</v>
      </c>
      <c r="BF338" s="209">
        <v>78</v>
      </c>
      <c r="BI338" s="83">
        <v>20211</v>
      </c>
      <c r="BK338" s="83">
        <v>522</v>
      </c>
      <c r="BM338" s="83">
        <v>522</v>
      </c>
      <c r="BO338" s="83">
        <v>1433</v>
      </c>
      <c r="BQ338" s="83">
        <v>0</v>
      </c>
      <c r="BS338" s="85">
        <v>22688</v>
      </c>
      <c r="BU338" s="46">
        <v>21</v>
      </c>
      <c r="BW338" s="46">
        <v>0.5</v>
      </c>
      <c r="BY338" s="46">
        <v>0.5</v>
      </c>
      <c r="CA338" s="46">
        <v>1</v>
      </c>
      <c r="CC338" s="46">
        <v>0</v>
      </c>
      <c r="CE338" s="209">
        <v>23</v>
      </c>
      <c r="CH338" s="41">
        <v>1335656</v>
      </c>
      <c r="CJ338" s="41">
        <v>37244</v>
      </c>
      <c r="CL338" s="41">
        <v>37244</v>
      </c>
      <c r="CN338" s="41">
        <v>311435</v>
      </c>
      <c r="CP338" s="43">
        <v>1721579</v>
      </c>
      <c r="CS338" s="39">
        <v>13.601000000000001</v>
      </c>
      <c r="CU338" s="39">
        <v>12.8162</v>
      </c>
      <c r="CW338" s="39">
        <v>0.37930000000000003</v>
      </c>
      <c r="CY338" s="39">
        <v>17.810500000000001</v>
      </c>
      <c r="DA338" s="44">
        <v>14.1693</v>
      </c>
      <c r="DC338" s="1" t="str">
        <f t="shared" si="5"/>
        <v>No</v>
      </c>
    </row>
    <row r="339" spans="1:107">
      <c r="A339" s="7" t="s">
        <v>421</v>
      </c>
      <c r="B339" s="7" t="s">
        <v>422</v>
      </c>
      <c r="C339" s="37" t="s">
        <v>38</v>
      </c>
      <c r="D339" s="296">
        <v>7018</v>
      </c>
      <c r="E339" s="297">
        <v>70018</v>
      </c>
      <c r="F339" s="27" t="s">
        <v>162</v>
      </c>
      <c r="G339" s="27" t="s">
        <v>158</v>
      </c>
      <c r="H339" s="35">
        <v>106621</v>
      </c>
      <c r="I339" s="35">
        <v>21</v>
      </c>
      <c r="J339" s="292"/>
      <c r="K339" s="8">
        <v>93404</v>
      </c>
      <c r="L339" s="8"/>
      <c r="M339" s="8">
        <v>8467</v>
      </c>
      <c r="N339" s="9"/>
      <c r="O339" s="8">
        <v>3842</v>
      </c>
      <c r="P339" s="9"/>
      <c r="Q339" s="8">
        <v>5752</v>
      </c>
      <c r="R339" s="9"/>
      <c r="S339" s="8">
        <v>0</v>
      </c>
      <c r="T339" s="9"/>
      <c r="U339" s="33">
        <v>111465</v>
      </c>
      <c r="V339" s="9"/>
      <c r="W339" s="30">
        <v>52</v>
      </c>
      <c r="X339" s="9"/>
      <c r="Y339" s="30">
        <v>4.5</v>
      </c>
      <c r="Z339" s="9"/>
      <c r="AA339" s="30">
        <v>2</v>
      </c>
      <c r="AB339" s="9"/>
      <c r="AC339" s="30">
        <v>3</v>
      </c>
      <c r="AD339" s="9"/>
      <c r="AE339" s="80">
        <v>0</v>
      </c>
      <c r="AF339" s="46"/>
      <c r="AG339" s="88">
        <v>61.5</v>
      </c>
      <c r="AH339" s="47"/>
      <c r="AJ339" s="83">
        <v>60175</v>
      </c>
      <c r="AL339" s="83">
        <v>8467</v>
      </c>
      <c r="AN339" s="83">
        <v>3842</v>
      </c>
      <c r="AP339" s="83">
        <v>5752</v>
      </c>
      <c r="AR339" s="83">
        <v>0</v>
      </c>
      <c r="AT339" s="204">
        <v>78236</v>
      </c>
      <c r="AV339" s="46">
        <v>31</v>
      </c>
      <c r="AX339" s="46">
        <v>4.5</v>
      </c>
      <c r="AZ339" s="46">
        <v>2</v>
      </c>
      <c r="BB339" s="46">
        <v>3</v>
      </c>
      <c r="BD339" s="46">
        <v>0</v>
      </c>
      <c r="BF339" s="209">
        <v>61.5</v>
      </c>
      <c r="BI339" s="83">
        <v>33229</v>
      </c>
      <c r="BK339" s="83">
        <v>0</v>
      </c>
      <c r="BM339" s="83">
        <v>0</v>
      </c>
      <c r="BO339" s="83">
        <v>0</v>
      </c>
      <c r="BQ339" s="83">
        <v>0</v>
      </c>
      <c r="BS339" s="85">
        <v>33229</v>
      </c>
      <c r="BU339" s="46">
        <v>21</v>
      </c>
      <c r="BW339" s="46">
        <v>0</v>
      </c>
      <c r="BY339" s="46">
        <v>0</v>
      </c>
      <c r="CA339" s="46">
        <v>0</v>
      </c>
      <c r="CC339" s="46">
        <v>0</v>
      </c>
      <c r="CE339" s="209">
        <v>21</v>
      </c>
      <c r="CH339" s="41">
        <v>2295942</v>
      </c>
      <c r="CJ339" s="41">
        <v>232881</v>
      </c>
      <c r="CL339" s="41">
        <v>55468</v>
      </c>
      <c r="CN339" s="41">
        <v>188375</v>
      </c>
      <c r="CP339" s="43">
        <v>2772666</v>
      </c>
      <c r="CS339" s="39">
        <v>24.5808</v>
      </c>
      <c r="CU339" s="39">
        <v>27.5045</v>
      </c>
      <c r="CW339" s="39">
        <v>0.59389999999999998</v>
      </c>
      <c r="CY339" s="39">
        <v>32.749499999999998</v>
      </c>
      <c r="DA339" s="44">
        <v>24.8748</v>
      </c>
      <c r="DC339" s="1" t="str">
        <f t="shared" si="5"/>
        <v>No</v>
      </c>
    </row>
    <row r="340" spans="1:107">
      <c r="A340" s="7" t="s">
        <v>381</v>
      </c>
      <c r="B340" s="7" t="s">
        <v>382</v>
      </c>
      <c r="C340" s="37" t="s">
        <v>42</v>
      </c>
      <c r="D340" s="296">
        <v>5045</v>
      </c>
      <c r="E340" s="297">
        <v>50045</v>
      </c>
      <c r="F340" s="27" t="s">
        <v>162</v>
      </c>
      <c r="G340" s="27" t="s">
        <v>158</v>
      </c>
      <c r="H340" s="35">
        <v>8608208</v>
      </c>
      <c r="I340" s="35">
        <v>20</v>
      </c>
      <c r="J340" s="292"/>
      <c r="K340" s="8">
        <v>87225</v>
      </c>
      <c r="L340" s="8"/>
      <c r="M340" s="8">
        <v>26181</v>
      </c>
      <c r="N340" s="9"/>
      <c r="O340" s="8">
        <v>12540</v>
      </c>
      <c r="P340" s="9"/>
      <c r="Q340" s="8">
        <v>24573</v>
      </c>
      <c r="R340" s="9"/>
      <c r="S340" s="8">
        <v>0</v>
      </c>
      <c r="T340" s="9"/>
      <c r="U340" s="33">
        <v>150519</v>
      </c>
      <c r="V340" s="9"/>
      <c r="W340" s="30">
        <v>51</v>
      </c>
      <c r="X340" s="9"/>
      <c r="Y340" s="30">
        <v>15.5</v>
      </c>
      <c r="Z340" s="9"/>
      <c r="AA340" s="30">
        <v>6.5</v>
      </c>
      <c r="AB340" s="9"/>
      <c r="AC340" s="30">
        <v>11.5</v>
      </c>
      <c r="AD340" s="9"/>
      <c r="AE340" s="80">
        <v>0</v>
      </c>
      <c r="AF340" s="46"/>
      <c r="AG340" s="88">
        <v>84.5</v>
      </c>
      <c r="AH340" s="47"/>
      <c r="AJ340" s="83">
        <v>82100</v>
      </c>
      <c r="AL340" s="83">
        <v>25214</v>
      </c>
      <c r="AN340" s="83">
        <v>11488</v>
      </c>
      <c r="AP340" s="83">
        <v>22933</v>
      </c>
      <c r="AR340" s="83">
        <v>0</v>
      </c>
      <c r="AT340" s="204">
        <v>141735</v>
      </c>
      <c r="AV340" s="46">
        <v>46</v>
      </c>
      <c r="AX340" s="46">
        <v>14.5</v>
      </c>
      <c r="AZ340" s="46">
        <v>5.5</v>
      </c>
      <c r="BB340" s="46">
        <v>10.5</v>
      </c>
      <c r="BD340" s="46">
        <v>0</v>
      </c>
      <c r="BF340" s="209">
        <v>84.5</v>
      </c>
      <c r="BI340" s="83">
        <v>5125</v>
      </c>
      <c r="BK340" s="83">
        <v>967</v>
      </c>
      <c r="BM340" s="83">
        <v>1052</v>
      </c>
      <c r="BO340" s="83">
        <v>1640</v>
      </c>
      <c r="BQ340" s="83">
        <v>0</v>
      </c>
      <c r="BS340" s="85">
        <v>8784</v>
      </c>
      <c r="BU340" s="46">
        <v>5</v>
      </c>
      <c r="BW340" s="46">
        <v>1</v>
      </c>
      <c r="BY340" s="46">
        <v>1</v>
      </c>
      <c r="CA340" s="46">
        <v>1</v>
      </c>
      <c r="CC340" s="46">
        <v>0</v>
      </c>
      <c r="CE340" s="209">
        <v>8</v>
      </c>
      <c r="CH340" s="41">
        <v>1406738</v>
      </c>
      <c r="CJ340" s="41">
        <v>392060</v>
      </c>
      <c r="CL340" s="41">
        <v>193220</v>
      </c>
      <c r="CN340" s="41">
        <v>446636</v>
      </c>
      <c r="CP340" s="43">
        <v>2438654</v>
      </c>
      <c r="CS340" s="39">
        <v>16.127700000000001</v>
      </c>
      <c r="CU340" s="39">
        <v>14.975</v>
      </c>
      <c r="CW340" s="39">
        <v>2.2151999999999998</v>
      </c>
      <c r="CY340" s="39">
        <v>18.175899999999999</v>
      </c>
      <c r="DA340" s="44">
        <v>16.201599999999999</v>
      </c>
      <c r="DC340" s="1" t="str">
        <f t="shared" si="5"/>
        <v>No</v>
      </c>
    </row>
    <row r="341" spans="1:107">
      <c r="A341" s="7" t="s">
        <v>705</v>
      </c>
      <c r="B341" s="7" t="s">
        <v>706</v>
      </c>
      <c r="C341" s="37" t="s">
        <v>57</v>
      </c>
      <c r="D341" s="296">
        <v>8012</v>
      </c>
      <c r="E341" s="297">
        <v>80012</v>
      </c>
      <c r="F341" s="27" t="s">
        <v>165</v>
      </c>
      <c r="G341" s="27" t="s">
        <v>158</v>
      </c>
      <c r="H341" s="35">
        <v>65207</v>
      </c>
      <c r="I341" s="35">
        <v>20</v>
      </c>
      <c r="J341" s="292"/>
      <c r="K341" s="8">
        <v>67349</v>
      </c>
      <c r="L341" s="8"/>
      <c r="M341" s="8">
        <v>7020</v>
      </c>
      <c r="N341" s="9"/>
      <c r="O341" s="8">
        <v>2378</v>
      </c>
      <c r="P341" s="9"/>
      <c r="Q341" s="8">
        <v>7590</v>
      </c>
      <c r="R341" s="9"/>
      <c r="S341" s="8">
        <v>0</v>
      </c>
      <c r="T341" s="9"/>
      <c r="U341" s="33">
        <v>84337</v>
      </c>
      <c r="V341" s="9"/>
      <c r="W341" s="30">
        <v>39</v>
      </c>
      <c r="X341" s="9"/>
      <c r="Y341" s="30">
        <v>4.5999999999999996</v>
      </c>
      <c r="Z341" s="9"/>
      <c r="AA341" s="30">
        <v>1.51</v>
      </c>
      <c r="AB341" s="9"/>
      <c r="AC341" s="30">
        <v>5</v>
      </c>
      <c r="AD341" s="9"/>
      <c r="AE341" s="80">
        <v>0</v>
      </c>
      <c r="AF341" s="46"/>
      <c r="AG341" s="88">
        <v>50.11</v>
      </c>
      <c r="AH341" s="47"/>
      <c r="AJ341" s="83">
        <v>32694</v>
      </c>
      <c r="AL341" s="83">
        <v>6321</v>
      </c>
      <c r="AN341" s="83">
        <v>1679</v>
      </c>
      <c r="AP341" s="83">
        <v>7126</v>
      </c>
      <c r="AR341" s="83">
        <v>0</v>
      </c>
      <c r="AT341" s="204">
        <v>47820</v>
      </c>
      <c r="AV341" s="46">
        <v>18</v>
      </c>
      <c r="AX341" s="46">
        <v>4.0999999999999996</v>
      </c>
      <c r="AZ341" s="46">
        <v>1.01</v>
      </c>
      <c r="BB341" s="46">
        <v>4</v>
      </c>
      <c r="BD341" s="46">
        <v>0</v>
      </c>
      <c r="BF341" s="209">
        <v>50.11</v>
      </c>
      <c r="BI341" s="83">
        <v>34655</v>
      </c>
      <c r="BK341" s="83">
        <v>699</v>
      </c>
      <c r="BM341" s="83">
        <v>699</v>
      </c>
      <c r="BO341" s="83">
        <v>464</v>
      </c>
      <c r="BQ341" s="83">
        <v>0</v>
      </c>
      <c r="BS341" s="85">
        <v>36517</v>
      </c>
      <c r="BU341" s="46">
        <v>21</v>
      </c>
      <c r="BW341" s="46">
        <v>0.5</v>
      </c>
      <c r="BY341" s="46">
        <v>0.5</v>
      </c>
      <c r="CA341" s="46">
        <v>1</v>
      </c>
      <c r="CC341" s="46">
        <v>0</v>
      </c>
      <c r="CE341" s="209">
        <v>23</v>
      </c>
      <c r="CH341" s="41">
        <v>1098537</v>
      </c>
      <c r="CJ341" s="41">
        <v>113560</v>
      </c>
      <c r="CL341" s="41">
        <v>37033</v>
      </c>
      <c r="CN341" s="41">
        <v>161195</v>
      </c>
      <c r="CP341" s="43">
        <v>1410325</v>
      </c>
      <c r="CS341" s="39">
        <v>16.3111</v>
      </c>
      <c r="CU341" s="39">
        <v>16.176600000000001</v>
      </c>
      <c r="CW341" s="39">
        <v>0.54990000000000006</v>
      </c>
      <c r="CY341" s="39">
        <v>21.2378</v>
      </c>
      <c r="DA341" s="44">
        <v>16.7225</v>
      </c>
      <c r="DC341" s="1" t="str">
        <f t="shared" si="5"/>
        <v>No</v>
      </c>
    </row>
    <row r="342" spans="1:107">
      <c r="A342" s="7" t="s">
        <v>300</v>
      </c>
      <c r="B342" s="7" t="s">
        <v>299</v>
      </c>
      <c r="C342" s="37" t="s">
        <v>52</v>
      </c>
      <c r="D342" s="296">
        <v>5034</v>
      </c>
      <c r="E342" s="297">
        <v>50034</v>
      </c>
      <c r="F342" s="27" t="s">
        <v>165</v>
      </c>
      <c r="G342" s="27" t="s">
        <v>158</v>
      </c>
      <c r="H342" s="35">
        <v>90057</v>
      </c>
      <c r="I342" s="35">
        <v>20</v>
      </c>
      <c r="J342" s="292"/>
      <c r="K342" s="8">
        <v>66390</v>
      </c>
      <c r="L342" s="8"/>
      <c r="M342" s="8">
        <v>21288</v>
      </c>
      <c r="N342" s="9"/>
      <c r="O342" s="8">
        <v>4196</v>
      </c>
      <c r="P342" s="9"/>
      <c r="Q342" s="8">
        <v>10822</v>
      </c>
      <c r="R342" s="9"/>
      <c r="S342" s="8">
        <v>0</v>
      </c>
      <c r="T342" s="9"/>
      <c r="U342" s="33">
        <v>102696</v>
      </c>
      <c r="V342" s="9"/>
      <c r="W342" s="30">
        <v>38</v>
      </c>
      <c r="X342" s="9"/>
      <c r="Y342" s="30">
        <v>12</v>
      </c>
      <c r="Z342" s="9"/>
      <c r="AA342" s="30">
        <v>2</v>
      </c>
      <c r="AB342" s="9"/>
      <c r="AC342" s="30">
        <v>6</v>
      </c>
      <c r="AD342" s="9"/>
      <c r="AE342" s="80">
        <v>0</v>
      </c>
      <c r="AF342" s="46"/>
      <c r="AG342" s="88">
        <v>58</v>
      </c>
      <c r="AH342" s="47"/>
      <c r="AJ342" s="83">
        <v>52525</v>
      </c>
      <c r="AL342" s="83">
        <v>18809</v>
      </c>
      <c r="AN342" s="83">
        <v>4196</v>
      </c>
      <c r="AP342" s="83">
        <v>10822</v>
      </c>
      <c r="AR342" s="83">
        <v>0</v>
      </c>
      <c r="AT342" s="204">
        <v>86352</v>
      </c>
      <c r="AV342" s="46">
        <v>29</v>
      </c>
      <c r="AX342" s="46">
        <v>10</v>
      </c>
      <c r="AZ342" s="46">
        <v>2</v>
      </c>
      <c r="BB342" s="46">
        <v>6</v>
      </c>
      <c r="BD342" s="46">
        <v>0</v>
      </c>
      <c r="BF342" s="209">
        <v>58</v>
      </c>
      <c r="BI342" s="83">
        <v>13865</v>
      </c>
      <c r="BK342" s="83">
        <v>2479</v>
      </c>
      <c r="BM342" s="83">
        <v>0</v>
      </c>
      <c r="BO342" s="83">
        <v>0</v>
      </c>
      <c r="BQ342" s="83">
        <v>0</v>
      </c>
      <c r="BS342" s="85">
        <v>16344</v>
      </c>
      <c r="BU342" s="46">
        <v>9</v>
      </c>
      <c r="BW342" s="46">
        <v>2</v>
      </c>
      <c r="BY342" s="46">
        <v>0</v>
      </c>
      <c r="CA342" s="46">
        <v>0</v>
      </c>
      <c r="CC342" s="46">
        <v>0</v>
      </c>
      <c r="CE342" s="209">
        <v>11</v>
      </c>
      <c r="CH342" s="41">
        <v>1334550</v>
      </c>
      <c r="CJ342" s="41">
        <v>435801</v>
      </c>
      <c r="CL342" s="41">
        <v>65187</v>
      </c>
      <c r="CN342" s="41">
        <v>306139</v>
      </c>
      <c r="CP342" s="43">
        <v>2141677</v>
      </c>
      <c r="CS342" s="39">
        <v>20.101700000000001</v>
      </c>
      <c r="CU342" s="39">
        <v>20.471699999999998</v>
      </c>
      <c r="CW342" s="39">
        <v>0.9819</v>
      </c>
      <c r="CY342" s="39">
        <v>28.288599999999999</v>
      </c>
      <c r="DA342" s="44">
        <v>20.854500000000002</v>
      </c>
      <c r="DC342" s="1" t="str">
        <f t="shared" si="5"/>
        <v>No</v>
      </c>
    </row>
    <row r="343" spans="1:107">
      <c r="A343" s="7" t="s">
        <v>758</v>
      </c>
      <c r="B343" s="7" t="s">
        <v>759</v>
      </c>
      <c r="C343" s="37" t="s">
        <v>63</v>
      </c>
      <c r="D343" s="296">
        <v>2193</v>
      </c>
      <c r="E343" s="297">
        <v>20193</v>
      </c>
      <c r="F343" s="27" t="s">
        <v>162</v>
      </c>
      <c r="G343" s="27" t="s">
        <v>158</v>
      </c>
      <c r="H343" s="35">
        <v>95259</v>
      </c>
      <c r="I343" s="35">
        <v>20</v>
      </c>
      <c r="J343" s="292"/>
      <c r="K343" s="8">
        <v>39329</v>
      </c>
      <c r="L343" s="8"/>
      <c r="M343" s="8">
        <v>2873</v>
      </c>
      <c r="N343" s="9"/>
      <c r="O343" s="8">
        <v>0</v>
      </c>
      <c r="P343" s="9"/>
      <c r="Q343" s="8">
        <v>4720</v>
      </c>
      <c r="R343" s="9"/>
      <c r="S343" s="8">
        <v>0</v>
      </c>
      <c r="T343" s="9"/>
      <c r="U343" s="33">
        <v>46922</v>
      </c>
      <c r="V343" s="9"/>
      <c r="W343" s="30">
        <v>30</v>
      </c>
      <c r="X343" s="9"/>
      <c r="Y343" s="30">
        <v>2</v>
      </c>
      <c r="Z343" s="9"/>
      <c r="AA343" s="30">
        <v>0</v>
      </c>
      <c r="AB343" s="9"/>
      <c r="AC343" s="30">
        <v>5</v>
      </c>
      <c r="AD343" s="9"/>
      <c r="AE343" s="80">
        <v>0</v>
      </c>
      <c r="AF343" s="46"/>
      <c r="AG343" s="88">
        <v>37</v>
      </c>
      <c r="AH343" s="47"/>
      <c r="AJ343" s="83">
        <v>33812</v>
      </c>
      <c r="AL343" s="83">
        <v>2873</v>
      </c>
      <c r="AN343" s="83">
        <v>0</v>
      </c>
      <c r="AP343" s="83">
        <v>2916</v>
      </c>
      <c r="AR343" s="83">
        <v>0</v>
      </c>
      <c r="AT343" s="204">
        <v>39601</v>
      </c>
      <c r="AV343" s="46">
        <v>23</v>
      </c>
      <c r="AX343" s="46">
        <v>2</v>
      </c>
      <c r="AZ343" s="46">
        <v>0</v>
      </c>
      <c r="BB343" s="46">
        <v>2</v>
      </c>
      <c r="BD343" s="46">
        <v>0</v>
      </c>
      <c r="BF343" s="209">
        <v>37</v>
      </c>
      <c r="BI343" s="83">
        <v>5517</v>
      </c>
      <c r="BK343" s="83">
        <v>0</v>
      </c>
      <c r="BM343" s="83">
        <v>0</v>
      </c>
      <c r="BO343" s="83">
        <v>1804</v>
      </c>
      <c r="BQ343" s="83">
        <v>0</v>
      </c>
      <c r="BS343" s="85">
        <v>7321</v>
      </c>
      <c r="BU343" s="46">
        <v>7</v>
      </c>
      <c r="BW343" s="46">
        <v>0</v>
      </c>
      <c r="BY343" s="46">
        <v>0</v>
      </c>
      <c r="CA343" s="46">
        <v>3</v>
      </c>
      <c r="CC343" s="46">
        <v>0</v>
      </c>
      <c r="CE343" s="209">
        <v>10</v>
      </c>
      <c r="CH343" s="41">
        <v>1079735</v>
      </c>
      <c r="CJ343" s="41">
        <v>84678</v>
      </c>
      <c r="CL343" s="41">
        <v>0</v>
      </c>
      <c r="CN343" s="41">
        <v>174994</v>
      </c>
      <c r="CP343" s="43">
        <v>1339407</v>
      </c>
      <c r="CS343" s="39">
        <v>27.453900000000001</v>
      </c>
      <c r="CU343" s="39">
        <v>29.473700000000001</v>
      </c>
      <c r="CW343" s="39">
        <v>0</v>
      </c>
      <c r="CY343" s="39">
        <v>37.075000000000003</v>
      </c>
      <c r="DA343" s="44">
        <v>28.545400000000001</v>
      </c>
      <c r="DC343" s="1" t="str">
        <f t="shared" si="5"/>
        <v>No</v>
      </c>
    </row>
    <row r="344" spans="1:107">
      <c r="A344" s="7" t="s">
        <v>406</v>
      </c>
      <c r="B344" s="7" t="s">
        <v>407</v>
      </c>
      <c r="C344" s="37" t="s">
        <v>81</v>
      </c>
      <c r="D344" s="296">
        <v>4053</v>
      </c>
      <c r="E344" s="297">
        <v>40053</v>
      </c>
      <c r="F344" s="27" t="s">
        <v>165</v>
      </c>
      <c r="G344" s="27" t="s">
        <v>158</v>
      </c>
      <c r="H344" s="35">
        <v>400492</v>
      </c>
      <c r="I344" s="35">
        <v>20</v>
      </c>
      <c r="J344" s="292"/>
      <c r="K344" s="8">
        <v>85695</v>
      </c>
      <c r="L344" s="8"/>
      <c r="M344" s="8">
        <v>18130</v>
      </c>
      <c r="N344" s="9"/>
      <c r="O344" s="8">
        <v>2177</v>
      </c>
      <c r="P344" s="9"/>
      <c r="Q344" s="8">
        <v>30853</v>
      </c>
      <c r="R344" s="9"/>
      <c r="S344" s="8">
        <v>0</v>
      </c>
      <c r="T344" s="9"/>
      <c r="U344" s="33">
        <v>136855</v>
      </c>
      <c r="V344" s="9"/>
      <c r="W344" s="30">
        <v>57</v>
      </c>
      <c r="X344" s="9"/>
      <c r="Y344" s="30">
        <v>7.5</v>
      </c>
      <c r="Z344" s="9"/>
      <c r="AA344" s="30">
        <v>1</v>
      </c>
      <c r="AB344" s="9"/>
      <c r="AC344" s="30">
        <v>18</v>
      </c>
      <c r="AD344" s="9"/>
      <c r="AE344" s="80">
        <v>0</v>
      </c>
      <c r="AF344" s="46"/>
      <c r="AG344" s="88">
        <v>83.5</v>
      </c>
      <c r="AH344" s="47"/>
      <c r="AJ344" s="83">
        <v>80708</v>
      </c>
      <c r="AL344" s="83">
        <v>18130</v>
      </c>
      <c r="AN344" s="83">
        <v>2177</v>
      </c>
      <c r="AP344" s="83">
        <v>30853</v>
      </c>
      <c r="AR344" s="83">
        <v>0</v>
      </c>
      <c r="AT344" s="204">
        <v>131868</v>
      </c>
      <c r="AV344" s="46">
        <v>50</v>
      </c>
      <c r="AX344" s="46">
        <v>7.5</v>
      </c>
      <c r="AZ344" s="46">
        <v>1</v>
      </c>
      <c r="BB344" s="46">
        <v>18</v>
      </c>
      <c r="BD344" s="46">
        <v>0</v>
      </c>
      <c r="BF344" s="209">
        <v>83.5</v>
      </c>
      <c r="BI344" s="83">
        <v>4987</v>
      </c>
      <c r="BK344" s="83">
        <v>0</v>
      </c>
      <c r="BM344" s="83">
        <v>0</v>
      </c>
      <c r="BO344" s="83">
        <v>0</v>
      </c>
      <c r="BQ344" s="83">
        <v>0</v>
      </c>
      <c r="BS344" s="85">
        <v>4987</v>
      </c>
      <c r="BU344" s="46">
        <v>7</v>
      </c>
      <c r="BW344" s="46">
        <v>0</v>
      </c>
      <c r="BY344" s="46">
        <v>0</v>
      </c>
      <c r="CA344" s="46">
        <v>0</v>
      </c>
      <c r="CC344" s="46">
        <v>0</v>
      </c>
      <c r="CE344" s="209">
        <v>7</v>
      </c>
      <c r="CH344" s="41">
        <v>1306753</v>
      </c>
      <c r="CJ344" s="41">
        <v>368611</v>
      </c>
      <c r="CL344" s="41">
        <v>26301</v>
      </c>
      <c r="CN344" s="41">
        <v>702208</v>
      </c>
      <c r="CP344" s="43">
        <v>2403873</v>
      </c>
      <c r="CS344" s="39">
        <v>15.248900000000001</v>
      </c>
      <c r="CU344" s="39">
        <v>20.331499999999998</v>
      </c>
      <c r="CW344" s="39">
        <v>0.30690000000000001</v>
      </c>
      <c r="CY344" s="39">
        <v>22.759799999999998</v>
      </c>
      <c r="DA344" s="44">
        <v>17.565100000000001</v>
      </c>
      <c r="DC344" s="1" t="str">
        <f t="shared" si="5"/>
        <v>No</v>
      </c>
    </row>
    <row r="345" spans="1:107">
      <c r="A345" s="7" t="s">
        <v>303</v>
      </c>
      <c r="B345" s="7" t="s">
        <v>304</v>
      </c>
      <c r="C345" s="37" t="s">
        <v>46</v>
      </c>
      <c r="D345" s="296">
        <v>6038</v>
      </c>
      <c r="E345" s="297">
        <v>60038</v>
      </c>
      <c r="F345" s="27" t="s">
        <v>162</v>
      </c>
      <c r="G345" s="27" t="s">
        <v>158</v>
      </c>
      <c r="H345" s="35">
        <v>252720</v>
      </c>
      <c r="I345" s="35">
        <v>19</v>
      </c>
      <c r="J345" s="292"/>
      <c r="K345" s="8">
        <v>67813</v>
      </c>
      <c r="L345" s="8"/>
      <c r="M345" s="8">
        <v>1542</v>
      </c>
      <c r="N345" s="9"/>
      <c r="O345" s="8">
        <v>3280</v>
      </c>
      <c r="P345" s="9"/>
      <c r="Q345" s="8">
        <v>8414</v>
      </c>
      <c r="R345" s="9"/>
      <c r="S345" s="8">
        <v>0</v>
      </c>
      <c r="T345" s="9"/>
      <c r="U345" s="33">
        <v>81049</v>
      </c>
      <c r="V345" s="9"/>
      <c r="W345" s="30">
        <v>58</v>
      </c>
      <c r="X345" s="9"/>
      <c r="Y345" s="30">
        <v>9</v>
      </c>
      <c r="Z345" s="9"/>
      <c r="AA345" s="30">
        <v>3</v>
      </c>
      <c r="AB345" s="9"/>
      <c r="AC345" s="30">
        <v>6</v>
      </c>
      <c r="AD345" s="9"/>
      <c r="AE345" s="80">
        <v>0</v>
      </c>
      <c r="AF345" s="46"/>
      <c r="AG345" s="88">
        <v>76</v>
      </c>
      <c r="AH345" s="47"/>
      <c r="AJ345" s="83">
        <v>58610</v>
      </c>
      <c r="AL345" s="83">
        <v>0</v>
      </c>
      <c r="AN345" s="83">
        <v>2107</v>
      </c>
      <c r="AP345" s="83">
        <v>5490</v>
      </c>
      <c r="AR345" s="83">
        <v>0</v>
      </c>
      <c r="AT345" s="204">
        <v>66207</v>
      </c>
      <c r="AV345" s="46">
        <v>32</v>
      </c>
      <c r="AX345" s="46">
        <v>0</v>
      </c>
      <c r="AZ345" s="46">
        <v>1</v>
      </c>
      <c r="BB345" s="46">
        <v>3</v>
      </c>
      <c r="BD345" s="46">
        <v>0</v>
      </c>
      <c r="BF345" s="209">
        <v>76</v>
      </c>
      <c r="BI345" s="83">
        <v>9203</v>
      </c>
      <c r="BK345" s="83">
        <v>1542</v>
      </c>
      <c r="BM345" s="83">
        <v>1173</v>
      </c>
      <c r="BO345" s="83">
        <v>2924</v>
      </c>
      <c r="BQ345" s="83">
        <v>0</v>
      </c>
      <c r="BS345" s="85">
        <v>14842</v>
      </c>
      <c r="BU345" s="46">
        <v>26</v>
      </c>
      <c r="BW345" s="46">
        <v>9</v>
      </c>
      <c r="BY345" s="46">
        <v>2</v>
      </c>
      <c r="CA345" s="46">
        <v>3</v>
      </c>
      <c r="CC345" s="46">
        <v>0</v>
      </c>
      <c r="CE345" s="209">
        <v>40</v>
      </c>
      <c r="CH345" s="41">
        <v>1227089</v>
      </c>
      <c r="CJ345" s="41">
        <v>36113</v>
      </c>
      <c r="CL345" s="41">
        <v>96712</v>
      </c>
      <c r="CN345" s="41">
        <v>96855</v>
      </c>
      <c r="CP345" s="43">
        <v>1456769</v>
      </c>
      <c r="CS345" s="39">
        <v>18.095199999999998</v>
      </c>
      <c r="CU345" s="39">
        <v>23.419599999999999</v>
      </c>
      <c r="CW345" s="39">
        <v>1.4261999999999999</v>
      </c>
      <c r="CY345" s="39">
        <v>11.511200000000001</v>
      </c>
      <c r="DA345" s="44">
        <v>17.9739</v>
      </c>
      <c r="DC345" s="1" t="str">
        <f t="shared" si="5"/>
        <v>No</v>
      </c>
    </row>
    <row r="346" spans="1:107">
      <c r="A346" s="7" t="s">
        <v>682</v>
      </c>
      <c r="B346" s="7" t="s">
        <v>266</v>
      </c>
      <c r="C346" s="37" t="s">
        <v>89</v>
      </c>
      <c r="D346" s="296">
        <v>35</v>
      </c>
      <c r="E346" s="297">
        <v>35</v>
      </c>
      <c r="F346" s="27" t="s">
        <v>157</v>
      </c>
      <c r="G346" s="27" t="s">
        <v>158</v>
      </c>
      <c r="H346" s="35">
        <v>3059393</v>
      </c>
      <c r="I346" s="35">
        <v>19</v>
      </c>
      <c r="J346" s="292"/>
      <c r="K346" s="8">
        <v>2954620</v>
      </c>
      <c r="L346" s="8"/>
      <c r="M346" s="8">
        <v>253881</v>
      </c>
      <c r="N346" s="9"/>
      <c r="O346" s="8">
        <v>125411</v>
      </c>
      <c r="P346" s="9"/>
      <c r="Q346" s="8">
        <v>125546</v>
      </c>
      <c r="R346" s="9"/>
      <c r="S346" s="8">
        <v>203352</v>
      </c>
      <c r="T346" s="9"/>
      <c r="U346" s="33">
        <v>3662810</v>
      </c>
      <c r="V346" s="9"/>
      <c r="W346" s="30">
        <v>1586</v>
      </c>
      <c r="X346" s="9"/>
      <c r="Y346" s="30">
        <v>119</v>
      </c>
      <c r="Z346" s="9"/>
      <c r="AA346" s="30">
        <v>67</v>
      </c>
      <c r="AB346" s="9"/>
      <c r="AC346" s="30">
        <v>97</v>
      </c>
      <c r="AD346" s="9"/>
      <c r="AE346" s="80">
        <v>104</v>
      </c>
      <c r="AF346" s="46"/>
      <c r="AG346" s="88">
        <v>1973</v>
      </c>
      <c r="AH346" s="47"/>
      <c r="AJ346" s="83">
        <v>2555714</v>
      </c>
      <c r="AL346" s="83">
        <v>252956</v>
      </c>
      <c r="AN346" s="83">
        <v>125411</v>
      </c>
      <c r="AP346" s="83">
        <v>109046</v>
      </c>
      <c r="AR346" s="83">
        <v>203352</v>
      </c>
      <c r="AT346" s="204">
        <v>3246479</v>
      </c>
      <c r="AV346" s="46">
        <v>1298</v>
      </c>
      <c r="AX346" s="46">
        <v>116</v>
      </c>
      <c r="AZ346" s="46">
        <v>67</v>
      </c>
      <c r="BB346" s="46">
        <v>71</v>
      </c>
      <c r="BD346" s="46">
        <v>104</v>
      </c>
      <c r="BF346" s="209">
        <v>1973</v>
      </c>
      <c r="BI346" s="83">
        <v>398906</v>
      </c>
      <c r="BK346" s="83">
        <v>925</v>
      </c>
      <c r="BM346" s="83">
        <v>0</v>
      </c>
      <c r="BO346" s="83">
        <v>16500</v>
      </c>
      <c r="BQ346" s="83">
        <v>0</v>
      </c>
      <c r="BS346" s="85">
        <v>416331</v>
      </c>
      <c r="BU346" s="46">
        <v>288</v>
      </c>
      <c r="BW346" s="46">
        <v>3</v>
      </c>
      <c r="BY346" s="46">
        <v>0</v>
      </c>
      <c r="CA346" s="46">
        <v>26</v>
      </c>
      <c r="CC346" s="46">
        <v>0</v>
      </c>
      <c r="CE346" s="209">
        <v>317</v>
      </c>
      <c r="CH346" s="41">
        <v>100354688</v>
      </c>
      <c r="CJ346" s="41">
        <v>11562983</v>
      </c>
      <c r="CL346" s="41">
        <v>5015951</v>
      </c>
      <c r="CN346" s="41">
        <v>3923234</v>
      </c>
      <c r="CP346" s="43">
        <v>120856856</v>
      </c>
      <c r="CS346" s="39">
        <v>33.965299999999999</v>
      </c>
      <c r="CU346" s="39">
        <v>45.544899999999998</v>
      </c>
      <c r="CW346" s="39">
        <v>1.6977</v>
      </c>
      <c r="CY346" s="39">
        <v>31.249400000000001</v>
      </c>
      <c r="DA346" s="44">
        <v>32.995699999999999</v>
      </c>
      <c r="DC346" s="1" t="str">
        <f t="shared" si="5"/>
        <v>No</v>
      </c>
    </row>
    <row r="347" spans="1:107">
      <c r="A347" s="7" t="s">
        <v>387</v>
      </c>
      <c r="B347" s="7" t="s">
        <v>388</v>
      </c>
      <c r="C347" s="37" t="s">
        <v>59</v>
      </c>
      <c r="D347" s="296">
        <v>8008</v>
      </c>
      <c r="E347" s="297">
        <v>80008</v>
      </c>
      <c r="F347" s="27" t="s">
        <v>162</v>
      </c>
      <c r="G347" s="27" t="s">
        <v>158</v>
      </c>
      <c r="H347" s="35">
        <v>61270</v>
      </c>
      <c r="I347" s="35">
        <v>18</v>
      </c>
      <c r="J347" s="292"/>
      <c r="K347" s="8">
        <v>30495</v>
      </c>
      <c r="L347" s="8"/>
      <c r="M347" s="8">
        <v>4542</v>
      </c>
      <c r="N347" s="9"/>
      <c r="O347" s="8">
        <v>606</v>
      </c>
      <c r="P347" s="9"/>
      <c r="Q347" s="8">
        <v>6540</v>
      </c>
      <c r="R347" s="9"/>
      <c r="S347" s="8">
        <v>0</v>
      </c>
      <c r="T347" s="9"/>
      <c r="U347" s="33">
        <v>42183</v>
      </c>
      <c r="V347" s="9"/>
      <c r="W347" s="30">
        <v>25</v>
      </c>
      <c r="X347" s="9"/>
      <c r="Y347" s="30">
        <v>2.5</v>
      </c>
      <c r="Z347" s="9"/>
      <c r="AA347" s="30">
        <v>1</v>
      </c>
      <c r="AB347" s="9"/>
      <c r="AC347" s="30">
        <v>4.5</v>
      </c>
      <c r="AD347" s="9"/>
      <c r="AE347" s="80">
        <v>0</v>
      </c>
      <c r="AF347" s="46"/>
      <c r="AG347" s="88">
        <v>33</v>
      </c>
      <c r="AH347" s="47"/>
      <c r="AJ347" s="83">
        <v>24817</v>
      </c>
      <c r="AL347" s="83">
        <v>4542</v>
      </c>
      <c r="AN347" s="83">
        <v>0</v>
      </c>
      <c r="AP347" s="83">
        <v>4678</v>
      </c>
      <c r="AR347" s="83">
        <v>0</v>
      </c>
      <c r="AT347" s="204">
        <v>34037</v>
      </c>
      <c r="AV347" s="46">
        <v>16</v>
      </c>
      <c r="AX347" s="46">
        <v>2.5</v>
      </c>
      <c r="AZ347" s="46">
        <v>0</v>
      </c>
      <c r="BB347" s="46">
        <v>2.5</v>
      </c>
      <c r="BD347" s="46">
        <v>0</v>
      </c>
      <c r="BF347" s="209">
        <v>33</v>
      </c>
      <c r="BI347" s="83">
        <v>5678</v>
      </c>
      <c r="BK347" s="83">
        <v>0</v>
      </c>
      <c r="BM347" s="83">
        <v>606</v>
      </c>
      <c r="BO347" s="83">
        <v>1862</v>
      </c>
      <c r="BQ347" s="83">
        <v>0</v>
      </c>
      <c r="BS347" s="85">
        <v>8146</v>
      </c>
      <c r="BU347" s="46">
        <v>9</v>
      </c>
      <c r="BW347" s="46">
        <v>0</v>
      </c>
      <c r="BY347" s="46">
        <v>1</v>
      </c>
      <c r="CA347" s="46">
        <v>2</v>
      </c>
      <c r="CC347" s="46">
        <v>0</v>
      </c>
      <c r="CE347" s="209">
        <v>12</v>
      </c>
      <c r="CH347" s="41">
        <v>765868</v>
      </c>
      <c r="CJ347" s="41">
        <v>60146</v>
      </c>
      <c r="CL347" s="41">
        <v>9228</v>
      </c>
      <c r="CN347" s="41">
        <v>117291</v>
      </c>
      <c r="CP347" s="43">
        <v>952533</v>
      </c>
      <c r="CS347" s="39">
        <v>25.1145</v>
      </c>
      <c r="CU347" s="39">
        <v>13.2422</v>
      </c>
      <c r="CW347" s="39">
        <v>0.30259999999999998</v>
      </c>
      <c r="CY347" s="39">
        <v>17.9344</v>
      </c>
      <c r="DA347" s="44">
        <v>22.581</v>
      </c>
      <c r="DC347" s="1" t="str">
        <f t="shared" si="5"/>
        <v>No</v>
      </c>
    </row>
    <row r="348" spans="1:107">
      <c r="A348" s="7" t="s">
        <v>1097</v>
      </c>
      <c r="B348" s="7" t="s">
        <v>350</v>
      </c>
      <c r="C348" s="37" t="s">
        <v>62</v>
      </c>
      <c r="D348" s="296">
        <v>1086</v>
      </c>
      <c r="E348" s="297">
        <v>10086</v>
      </c>
      <c r="F348" s="27" t="s">
        <v>165</v>
      </c>
      <c r="G348" s="27" t="s">
        <v>158</v>
      </c>
      <c r="H348" s="35">
        <v>88087</v>
      </c>
      <c r="I348" s="35">
        <v>18</v>
      </c>
      <c r="J348" s="292"/>
      <c r="K348" s="8">
        <v>100292</v>
      </c>
      <c r="L348" s="8"/>
      <c r="M348" s="8">
        <v>10411</v>
      </c>
      <c r="N348" s="9"/>
      <c r="O348" s="8">
        <v>0</v>
      </c>
      <c r="P348" s="9"/>
      <c r="Q348" s="8">
        <v>10993</v>
      </c>
      <c r="R348" s="9"/>
      <c r="S348" s="8">
        <v>0</v>
      </c>
      <c r="T348" s="9"/>
      <c r="U348" s="33">
        <v>121696</v>
      </c>
      <c r="V348" s="9"/>
      <c r="W348" s="30">
        <v>64</v>
      </c>
      <c r="X348" s="9"/>
      <c r="Y348" s="30">
        <v>11</v>
      </c>
      <c r="Z348" s="9"/>
      <c r="AA348" s="30">
        <v>0</v>
      </c>
      <c r="AB348" s="9"/>
      <c r="AC348" s="30">
        <v>6</v>
      </c>
      <c r="AD348" s="9"/>
      <c r="AE348" s="80">
        <v>0</v>
      </c>
      <c r="AF348" s="46"/>
      <c r="AG348" s="88">
        <v>81</v>
      </c>
      <c r="AJ348" s="83">
        <v>87235</v>
      </c>
      <c r="AL348" s="83">
        <v>5744</v>
      </c>
      <c r="AN348" s="83">
        <v>0</v>
      </c>
      <c r="AP348" s="83">
        <v>10993</v>
      </c>
      <c r="AR348" s="83">
        <v>0</v>
      </c>
      <c r="AT348" s="204">
        <v>103972</v>
      </c>
      <c r="AV348" s="46">
        <v>45</v>
      </c>
      <c r="AX348" s="46">
        <v>3</v>
      </c>
      <c r="AZ348" s="46">
        <v>0</v>
      </c>
      <c r="BB348" s="46">
        <v>6</v>
      </c>
      <c r="BD348" s="46">
        <v>0</v>
      </c>
      <c r="BF348" s="209">
        <v>81</v>
      </c>
      <c r="BI348" s="83">
        <v>13057</v>
      </c>
      <c r="BK348" s="83">
        <v>4667</v>
      </c>
      <c r="BM348" s="83">
        <v>0</v>
      </c>
      <c r="BO348" s="83">
        <v>0</v>
      </c>
      <c r="BQ348" s="83">
        <v>0</v>
      </c>
      <c r="BS348" s="85">
        <v>17724</v>
      </c>
      <c r="BU348" s="46">
        <v>19</v>
      </c>
      <c r="BW348" s="46">
        <v>8</v>
      </c>
      <c r="BY348" s="46">
        <v>0</v>
      </c>
      <c r="CA348" s="46">
        <v>0</v>
      </c>
      <c r="CC348" s="46">
        <v>0</v>
      </c>
      <c r="CE348" s="209">
        <v>27</v>
      </c>
      <c r="CH348" s="41">
        <v>1772132</v>
      </c>
      <c r="CJ348" s="41">
        <v>240540</v>
      </c>
      <c r="CL348" s="41">
        <v>0</v>
      </c>
      <c r="CN348" s="41">
        <v>354057</v>
      </c>
      <c r="CP348" s="43">
        <v>2366729</v>
      </c>
      <c r="CS348" s="39">
        <v>17.669699999999999</v>
      </c>
      <c r="CU348" s="39">
        <v>23.104399999999998</v>
      </c>
      <c r="CW348" s="39">
        <v>0</v>
      </c>
      <c r="CY348" s="39">
        <v>32.207500000000003</v>
      </c>
      <c r="DA348" s="44">
        <v>19.447900000000001</v>
      </c>
      <c r="DC348" s="1" t="str">
        <f t="shared" si="5"/>
        <v>No</v>
      </c>
    </row>
    <row r="349" spans="1:107">
      <c r="A349" s="7" t="s">
        <v>14</v>
      </c>
      <c r="B349" s="7" t="s">
        <v>297</v>
      </c>
      <c r="C349" s="37" t="s">
        <v>13</v>
      </c>
      <c r="D349" s="296">
        <v>9034</v>
      </c>
      <c r="E349" s="297">
        <v>90034</v>
      </c>
      <c r="F349" s="27" t="s">
        <v>162</v>
      </c>
      <c r="G349" s="27" t="s">
        <v>158</v>
      </c>
      <c r="H349" s="35">
        <v>3629114</v>
      </c>
      <c r="I349" s="35">
        <v>18</v>
      </c>
      <c r="J349" s="292"/>
      <c r="K349" s="8">
        <v>72479</v>
      </c>
      <c r="L349" s="8"/>
      <c r="M349" s="8">
        <v>2370</v>
      </c>
      <c r="N349" s="9"/>
      <c r="O349" s="8">
        <v>602</v>
      </c>
      <c r="P349" s="9"/>
      <c r="Q349" s="8">
        <v>14705</v>
      </c>
      <c r="R349" s="9"/>
      <c r="S349" s="8">
        <v>0</v>
      </c>
      <c r="T349" s="9"/>
      <c r="U349" s="33">
        <v>90156</v>
      </c>
      <c r="V349" s="9"/>
      <c r="W349" s="30">
        <v>37.99</v>
      </c>
      <c r="X349" s="9"/>
      <c r="Y349" s="30">
        <v>1.1399999999999999</v>
      </c>
      <c r="Z349" s="9"/>
      <c r="AA349" s="30">
        <v>0.28999999999999998</v>
      </c>
      <c r="AB349" s="9"/>
      <c r="AC349" s="30">
        <v>7.32</v>
      </c>
      <c r="AD349" s="9"/>
      <c r="AE349" s="80">
        <v>0</v>
      </c>
      <c r="AF349" s="46"/>
      <c r="AG349" s="88">
        <v>46.74</v>
      </c>
      <c r="AH349" s="47"/>
      <c r="AJ349" s="83">
        <v>46232</v>
      </c>
      <c r="AL349" s="83">
        <v>2370</v>
      </c>
      <c r="AN349" s="83">
        <v>602</v>
      </c>
      <c r="AP349" s="83">
        <v>14705</v>
      </c>
      <c r="AR349" s="83">
        <v>0</v>
      </c>
      <c r="AT349" s="204">
        <v>63909</v>
      </c>
      <c r="AV349" s="46">
        <v>21.16</v>
      </c>
      <c r="AX349" s="46">
        <v>1.1399999999999999</v>
      </c>
      <c r="AZ349" s="46">
        <v>0.28999999999999998</v>
      </c>
      <c r="BB349" s="46">
        <v>7.32</v>
      </c>
      <c r="BD349" s="46">
        <v>0</v>
      </c>
      <c r="BF349" s="209">
        <v>46.74</v>
      </c>
      <c r="BI349" s="83">
        <v>26247</v>
      </c>
      <c r="BK349" s="83">
        <v>0</v>
      </c>
      <c r="BM349" s="83">
        <v>0</v>
      </c>
      <c r="BO349" s="83">
        <v>0</v>
      </c>
      <c r="BQ349" s="83">
        <v>0</v>
      </c>
      <c r="BS349" s="85">
        <v>26247</v>
      </c>
      <c r="BU349" s="46">
        <v>16.829999999999998</v>
      </c>
      <c r="BW349" s="46">
        <v>0</v>
      </c>
      <c r="BY349" s="46">
        <v>0</v>
      </c>
      <c r="CA349" s="46">
        <v>0</v>
      </c>
      <c r="CC349" s="46">
        <v>0</v>
      </c>
      <c r="CE349" s="209">
        <v>16.829999999999998</v>
      </c>
      <c r="CH349" s="41">
        <v>1087431</v>
      </c>
      <c r="CJ349" s="41">
        <v>47921</v>
      </c>
      <c r="CL349" s="41">
        <v>12174</v>
      </c>
      <c r="CN349" s="41">
        <v>417603</v>
      </c>
      <c r="CP349" s="43">
        <v>1565129</v>
      </c>
      <c r="CS349" s="39">
        <v>15.003399999999999</v>
      </c>
      <c r="CU349" s="39">
        <v>20.219799999999999</v>
      </c>
      <c r="CW349" s="39">
        <v>0.16800000000000001</v>
      </c>
      <c r="CY349" s="39">
        <v>28.398700000000002</v>
      </c>
      <c r="DA349" s="44">
        <v>17.360199999999999</v>
      </c>
      <c r="DC349" s="1" t="str">
        <f t="shared" si="5"/>
        <v>No</v>
      </c>
    </row>
    <row r="350" spans="1:107">
      <c r="A350" s="7" t="s">
        <v>777</v>
      </c>
      <c r="B350" s="7" t="s">
        <v>778</v>
      </c>
      <c r="C350" s="37" t="s">
        <v>73</v>
      </c>
      <c r="D350" s="296">
        <v>5199</v>
      </c>
      <c r="E350" s="297">
        <v>50199</v>
      </c>
      <c r="F350" s="27" t="s">
        <v>165</v>
      </c>
      <c r="G350" s="27" t="s">
        <v>158</v>
      </c>
      <c r="H350" s="35">
        <v>1368035</v>
      </c>
      <c r="I350" s="35">
        <v>18</v>
      </c>
      <c r="J350" s="292"/>
      <c r="K350" s="8">
        <v>43273</v>
      </c>
      <c r="L350" s="8"/>
      <c r="M350" s="8">
        <v>4372</v>
      </c>
      <c r="N350" s="9"/>
      <c r="O350" s="8">
        <v>0</v>
      </c>
      <c r="P350" s="9"/>
      <c r="Q350" s="8">
        <v>12040</v>
      </c>
      <c r="R350" s="9"/>
      <c r="S350" s="8">
        <v>0</v>
      </c>
      <c r="T350" s="9"/>
      <c r="U350" s="33">
        <v>59685</v>
      </c>
      <c r="V350" s="9"/>
      <c r="W350" s="30">
        <v>34</v>
      </c>
      <c r="X350" s="9"/>
      <c r="Y350" s="30">
        <v>3</v>
      </c>
      <c r="Z350" s="9"/>
      <c r="AA350" s="30">
        <v>0</v>
      </c>
      <c r="AB350" s="9"/>
      <c r="AC350" s="30">
        <v>7</v>
      </c>
      <c r="AD350" s="9"/>
      <c r="AE350" s="80">
        <v>0</v>
      </c>
      <c r="AF350" s="46"/>
      <c r="AG350" s="88">
        <v>44</v>
      </c>
      <c r="AH350" s="47"/>
      <c r="AJ350" s="83">
        <v>24656</v>
      </c>
      <c r="AL350" s="83">
        <v>3517</v>
      </c>
      <c r="AN350" s="83">
        <v>0</v>
      </c>
      <c r="AP350" s="83">
        <v>12040</v>
      </c>
      <c r="AR350" s="83">
        <v>0</v>
      </c>
      <c r="AT350" s="204">
        <v>40213</v>
      </c>
      <c r="AV350" s="46">
        <v>15</v>
      </c>
      <c r="AX350" s="46">
        <v>2</v>
      </c>
      <c r="AZ350" s="46">
        <v>0</v>
      </c>
      <c r="BB350" s="46">
        <v>7</v>
      </c>
      <c r="BD350" s="46">
        <v>0</v>
      </c>
      <c r="BF350" s="209">
        <v>44</v>
      </c>
      <c r="BI350" s="83">
        <v>18617</v>
      </c>
      <c r="BK350" s="83">
        <v>855</v>
      </c>
      <c r="BM350" s="83">
        <v>0</v>
      </c>
      <c r="BO350" s="83">
        <v>0</v>
      </c>
      <c r="BQ350" s="83">
        <v>0</v>
      </c>
      <c r="BS350" s="85">
        <v>19472</v>
      </c>
      <c r="BU350" s="46">
        <v>19</v>
      </c>
      <c r="BW350" s="46">
        <v>1</v>
      </c>
      <c r="BY350" s="46">
        <v>0</v>
      </c>
      <c r="CA350" s="46">
        <v>0</v>
      </c>
      <c r="CC350" s="46">
        <v>0</v>
      </c>
      <c r="CE350" s="209">
        <v>20</v>
      </c>
      <c r="CH350" s="41">
        <v>605805</v>
      </c>
      <c r="CJ350" s="41">
        <v>98867</v>
      </c>
      <c r="CL350" s="41">
        <v>0</v>
      </c>
      <c r="CN350" s="41">
        <v>279918</v>
      </c>
      <c r="CP350" s="43">
        <v>984590</v>
      </c>
      <c r="CS350" s="39">
        <v>13.999599999999999</v>
      </c>
      <c r="CU350" s="39">
        <v>22.613700000000001</v>
      </c>
      <c r="CW350" s="39">
        <v>0</v>
      </c>
      <c r="CY350" s="39">
        <v>23.248999999999999</v>
      </c>
      <c r="DA350" s="44">
        <v>16.496400000000001</v>
      </c>
      <c r="DC350" s="1" t="str">
        <f t="shared" si="5"/>
        <v>No</v>
      </c>
    </row>
    <row r="351" spans="1:107">
      <c r="A351" s="7" t="s">
        <v>773</v>
      </c>
      <c r="B351" s="7" t="s">
        <v>774</v>
      </c>
      <c r="C351" s="37" t="s">
        <v>73</v>
      </c>
      <c r="D351" s="296">
        <v>5198</v>
      </c>
      <c r="E351" s="297">
        <v>50198</v>
      </c>
      <c r="F351" s="27" t="s">
        <v>162</v>
      </c>
      <c r="G351" s="27" t="s">
        <v>158</v>
      </c>
      <c r="H351" s="35">
        <v>1780673</v>
      </c>
      <c r="I351" s="35">
        <v>17</v>
      </c>
      <c r="J351" s="292"/>
      <c r="K351" s="8">
        <v>48190</v>
      </c>
      <c r="L351" s="8"/>
      <c r="M351" s="8">
        <v>0</v>
      </c>
      <c r="N351" s="9"/>
      <c r="O351" s="8">
        <v>0</v>
      </c>
      <c r="P351" s="9"/>
      <c r="Q351" s="8">
        <v>3004</v>
      </c>
      <c r="R351" s="9"/>
      <c r="S351" s="8">
        <v>0</v>
      </c>
      <c r="T351" s="9"/>
      <c r="U351" s="33">
        <v>51194</v>
      </c>
      <c r="V351" s="9"/>
      <c r="W351" s="30">
        <v>40</v>
      </c>
      <c r="X351" s="9"/>
      <c r="Y351" s="30">
        <v>0</v>
      </c>
      <c r="Z351" s="9"/>
      <c r="AA351" s="30">
        <v>0</v>
      </c>
      <c r="AB351" s="9"/>
      <c r="AC351" s="30">
        <v>1.85</v>
      </c>
      <c r="AD351" s="9"/>
      <c r="AE351" s="80">
        <v>0</v>
      </c>
      <c r="AF351" s="46"/>
      <c r="AG351" s="88">
        <v>41.85</v>
      </c>
      <c r="AH351" s="47"/>
      <c r="AJ351" s="83">
        <v>20361</v>
      </c>
      <c r="AL351" s="83">
        <v>0</v>
      </c>
      <c r="AN351" s="83">
        <v>0</v>
      </c>
      <c r="AP351" s="83">
        <v>3004</v>
      </c>
      <c r="AR351" s="83">
        <v>0</v>
      </c>
      <c r="AT351" s="204">
        <v>23365</v>
      </c>
      <c r="AV351" s="46">
        <v>13</v>
      </c>
      <c r="AX351" s="46">
        <v>0</v>
      </c>
      <c r="AZ351" s="46">
        <v>0</v>
      </c>
      <c r="BB351" s="46">
        <v>1.85</v>
      </c>
      <c r="BD351" s="46">
        <v>0</v>
      </c>
      <c r="BF351" s="209">
        <v>41.85</v>
      </c>
      <c r="BI351" s="83">
        <v>27829</v>
      </c>
      <c r="BK351" s="83">
        <v>0</v>
      </c>
      <c r="BM351" s="83">
        <v>0</v>
      </c>
      <c r="BO351" s="83">
        <v>0</v>
      </c>
      <c r="BQ351" s="83">
        <v>0</v>
      </c>
      <c r="BS351" s="85">
        <v>27829</v>
      </c>
      <c r="BU351" s="46">
        <v>27</v>
      </c>
      <c r="BW351" s="46">
        <v>0</v>
      </c>
      <c r="BY351" s="46">
        <v>0</v>
      </c>
      <c r="CA351" s="46">
        <v>0</v>
      </c>
      <c r="CC351" s="46">
        <v>0</v>
      </c>
      <c r="CE351" s="209">
        <v>27</v>
      </c>
      <c r="CH351" s="41">
        <v>710434</v>
      </c>
      <c r="CJ351" s="41">
        <v>0</v>
      </c>
      <c r="CL351" s="41">
        <v>0</v>
      </c>
      <c r="CN351" s="41">
        <v>80145</v>
      </c>
      <c r="CP351" s="43">
        <v>790579</v>
      </c>
      <c r="CS351" s="39">
        <v>14.7424</v>
      </c>
      <c r="CW351" s="39">
        <v>0</v>
      </c>
      <c r="CY351" s="39">
        <v>26.679400000000001</v>
      </c>
      <c r="DA351" s="44">
        <v>15.4428</v>
      </c>
      <c r="DC351" s="1" t="str">
        <f t="shared" si="5"/>
        <v>No</v>
      </c>
    </row>
    <row r="352" spans="1:107">
      <c r="A352" s="7" t="s">
        <v>531</v>
      </c>
      <c r="B352" s="7" t="s">
        <v>532</v>
      </c>
      <c r="C352" s="37" t="s">
        <v>96</v>
      </c>
      <c r="D352" s="296">
        <v>3035</v>
      </c>
      <c r="E352" s="297">
        <v>30035</v>
      </c>
      <c r="F352" s="27" t="s">
        <v>165</v>
      </c>
      <c r="G352" s="27" t="s">
        <v>158</v>
      </c>
      <c r="H352" s="35">
        <v>81249</v>
      </c>
      <c r="I352" s="35">
        <v>16</v>
      </c>
      <c r="J352" s="292"/>
      <c r="K352" s="8">
        <v>60473</v>
      </c>
      <c r="L352" s="8"/>
      <c r="M352" s="8">
        <v>15897</v>
      </c>
      <c r="N352" s="9"/>
      <c r="O352" s="8">
        <v>1761</v>
      </c>
      <c r="P352" s="9"/>
      <c r="Q352" s="8">
        <v>9040</v>
      </c>
      <c r="R352" s="9"/>
      <c r="S352" s="8">
        <v>0</v>
      </c>
      <c r="T352" s="9"/>
      <c r="U352" s="33">
        <v>87171</v>
      </c>
      <c r="V352" s="9"/>
      <c r="W352" s="30">
        <v>31</v>
      </c>
      <c r="X352" s="9"/>
      <c r="Y352" s="30">
        <v>8.07</v>
      </c>
      <c r="Z352" s="9"/>
      <c r="AA352" s="30">
        <v>0.93</v>
      </c>
      <c r="AB352" s="9"/>
      <c r="AC352" s="30">
        <v>5</v>
      </c>
      <c r="AD352" s="9"/>
      <c r="AE352" s="80">
        <v>0</v>
      </c>
      <c r="AF352" s="46"/>
      <c r="AG352" s="88">
        <v>45</v>
      </c>
      <c r="AH352" s="47"/>
      <c r="AJ352" s="83">
        <v>60473</v>
      </c>
      <c r="AL352" s="83">
        <v>15897</v>
      </c>
      <c r="AN352" s="83">
        <v>1761</v>
      </c>
      <c r="AP352" s="83">
        <v>9040</v>
      </c>
      <c r="AR352" s="83">
        <v>0</v>
      </c>
      <c r="AT352" s="204">
        <v>87171</v>
      </c>
      <c r="AV352" s="46">
        <v>31</v>
      </c>
      <c r="AX352" s="46">
        <v>8.07</v>
      </c>
      <c r="AZ352" s="46">
        <v>0.93</v>
      </c>
      <c r="BB352" s="46">
        <v>5</v>
      </c>
      <c r="BD352" s="46">
        <v>0</v>
      </c>
      <c r="BF352" s="209">
        <v>45</v>
      </c>
      <c r="BI352" s="83">
        <v>0</v>
      </c>
      <c r="BK352" s="83">
        <v>0</v>
      </c>
      <c r="BM352" s="83">
        <v>0</v>
      </c>
      <c r="BO352" s="83">
        <v>0</v>
      </c>
      <c r="BQ352" s="83">
        <v>0</v>
      </c>
      <c r="BS352" s="85">
        <v>0</v>
      </c>
      <c r="BU352" s="46">
        <v>0</v>
      </c>
      <c r="BW352" s="46">
        <v>0</v>
      </c>
      <c r="BY352" s="46">
        <v>0</v>
      </c>
      <c r="CA352" s="46">
        <v>0</v>
      </c>
      <c r="CC352" s="46">
        <v>0</v>
      </c>
      <c r="CE352" s="209">
        <v>0</v>
      </c>
      <c r="CH352" s="41">
        <v>1248814</v>
      </c>
      <c r="CJ352" s="41">
        <v>337863</v>
      </c>
      <c r="CL352" s="41">
        <v>37540</v>
      </c>
      <c r="CN352" s="41">
        <v>280234</v>
      </c>
      <c r="CP352" s="43">
        <v>1904451</v>
      </c>
      <c r="CS352" s="39">
        <v>20.6508</v>
      </c>
      <c r="CU352" s="39">
        <v>21.253299999999999</v>
      </c>
      <c r="CW352" s="39">
        <v>0.62080000000000002</v>
      </c>
      <c r="CY352" s="39">
        <v>30.999300000000002</v>
      </c>
      <c r="DA352" s="44">
        <v>21.847300000000001</v>
      </c>
      <c r="DC352" s="1" t="str">
        <f t="shared" si="5"/>
        <v>No</v>
      </c>
    </row>
    <row r="353" spans="1:107">
      <c r="A353" s="7" t="s">
        <v>203</v>
      </c>
      <c r="B353" s="7" t="s">
        <v>204</v>
      </c>
      <c r="C353" s="37" t="s">
        <v>58</v>
      </c>
      <c r="D353" s="296">
        <v>4005</v>
      </c>
      <c r="E353" s="297">
        <v>40005</v>
      </c>
      <c r="F353" s="27" t="s">
        <v>162</v>
      </c>
      <c r="G353" s="27" t="s">
        <v>158</v>
      </c>
      <c r="H353" s="35">
        <v>280648</v>
      </c>
      <c r="I353" s="35">
        <v>16</v>
      </c>
      <c r="J353" s="292"/>
      <c r="K353" s="8">
        <v>100875</v>
      </c>
      <c r="L353" s="8"/>
      <c r="M353" s="8">
        <v>16151</v>
      </c>
      <c r="N353" s="9"/>
      <c r="O353" s="8">
        <v>4294</v>
      </c>
      <c r="P353" s="9"/>
      <c r="Q353" s="8">
        <v>6850</v>
      </c>
      <c r="R353" s="9"/>
      <c r="S353" s="8">
        <v>0</v>
      </c>
      <c r="T353" s="9"/>
      <c r="U353" s="33">
        <v>128170</v>
      </c>
      <c r="V353" s="9"/>
      <c r="W353" s="30">
        <v>53</v>
      </c>
      <c r="X353" s="9"/>
      <c r="Y353" s="30">
        <v>8</v>
      </c>
      <c r="Z353" s="9"/>
      <c r="AA353" s="30">
        <v>2</v>
      </c>
      <c r="AB353" s="9"/>
      <c r="AC353" s="30">
        <v>5</v>
      </c>
      <c r="AD353" s="9"/>
      <c r="AE353" s="80">
        <v>0</v>
      </c>
      <c r="AF353" s="46"/>
      <c r="AG353" s="88">
        <v>68</v>
      </c>
      <c r="AH353" s="47"/>
      <c r="AJ353" s="83">
        <v>98876</v>
      </c>
      <c r="AL353" s="83">
        <v>14967</v>
      </c>
      <c r="AN353" s="83">
        <v>4294</v>
      </c>
      <c r="AP353" s="83">
        <v>6408</v>
      </c>
      <c r="AR353" s="83">
        <v>0</v>
      </c>
      <c r="AT353" s="204">
        <v>124545</v>
      </c>
      <c r="AV353" s="46">
        <v>51</v>
      </c>
      <c r="AX353" s="46">
        <v>7</v>
      </c>
      <c r="AZ353" s="46">
        <v>2</v>
      </c>
      <c r="BB353" s="46">
        <v>3</v>
      </c>
      <c r="BD353" s="46">
        <v>0</v>
      </c>
      <c r="BF353" s="209">
        <v>68</v>
      </c>
      <c r="BI353" s="83">
        <v>1999</v>
      </c>
      <c r="BK353" s="83">
        <v>1184</v>
      </c>
      <c r="BM353" s="83">
        <v>0</v>
      </c>
      <c r="BO353" s="83">
        <v>442</v>
      </c>
      <c r="BQ353" s="83">
        <v>0</v>
      </c>
      <c r="BS353" s="85">
        <v>3625</v>
      </c>
      <c r="BU353" s="46">
        <v>2</v>
      </c>
      <c r="BW353" s="46">
        <v>1</v>
      </c>
      <c r="BY353" s="46">
        <v>0</v>
      </c>
      <c r="CA353" s="46">
        <v>2</v>
      </c>
      <c r="CC353" s="46">
        <v>0</v>
      </c>
      <c r="CE353" s="209">
        <v>5</v>
      </c>
      <c r="CH353" s="41">
        <v>2010651</v>
      </c>
      <c r="CJ353" s="41">
        <v>324237</v>
      </c>
      <c r="CL353" s="41">
        <v>71153</v>
      </c>
      <c r="CN353" s="41">
        <v>214057</v>
      </c>
      <c r="CP353" s="43">
        <v>2620098</v>
      </c>
      <c r="CS353" s="39">
        <v>19.932099999999998</v>
      </c>
      <c r="CU353" s="39">
        <v>20.075399999999998</v>
      </c>
      <c r="CW353" s="39">
        <v>0.70540000000000003</v>
      </c>
      <c r="CY353" s="39">
        <v>31.249199999999998</v>
      </c>
      <c r="DA353" s="44">
        <v>20.442399999999999</v>
      </c>
      <c r="DC353" s="1" t="str">
        <f t="shared" si="5"/>
        <v>No</v>
      </c>
    </row>
    <row r="354" spans="1:107">
      <c r="A354" s="7" t="s">
        <v>495</v>
      </c>
      <c r="B354" s="7" t="s">
        <v>496</v>
      </c>
      <c r="C354" s="37" t="s">
        <v>28</v>
      </c>
      <c r="D354" s="296">
        <v>1063</v>
      </c>
      <c r="E354" s="297">
        <v>10063</v>
      </c>
      <c r="F354" s="27" t="s">
        <v>165</v>
      </c>
      <c r="G354" s="27" t="s">
        <v>158</v>
      </c>
      <c r="H354" s="35">
        <v>924859</v>
      </c>
      <c r="I354" s="35">
        <v>16</v>
      </c>
      <c r="J354" s="292"/>
      <c r="K354" s="8">
        <v>53200</v>
      </c>
      <c r="L354" s="8"/>
      <c r="M354" s="8">
        <v>4978</v>
      </c>
      <c r="N354" s="9"/>
      <c r="O354" s="8">
        <v>4457</v>
      </c>
      <c r="P354" s="9"/>
      <c r="Q354" s="8">
        <v>18848</v>
      </c>
      <c r="R354" s="9"/>
      <c r="S354" s="8">
        <v>0</v>
      </c>
      <c r="T354" s="9"/>
      <c r="U354" s="33">
        <v>81483</v>
      </c>
      <c r="V354" s="9"/>
      <c r="W354" s="30">
        <v>31</v>
      </c>
      <c r="X354" s="9"/>
      <c r="Y354" s="30">
        <v>3.5</v>
      </c>
      <c r="Z354" s="9"/>
      <c r="AA354" s="30">
        <v>3.8</v>
      </c>
      <c r="AB354" s="9"/>
      <c r="AC354" s="30">
        <v>10.7</v>
      </c>
      <c r="AD354" s="9"/>
      <c r="AE354" s="80">
        <v>0</v>
      </c>
      <c r="AF354" s="46"/>
      <c r="AG354" s="88">
        <v>49</v>
      </c>
      <c r="AH354" s="47"/>
      <c r="AJ354" s="83">
        <v>47499</v>
      </c>
      <c r="AL354" s="83">
        <v>4563</v>
      </c>
      <c r="AN354" s="83">
        <v>3395</v>
      </c>
      <c r="AP354" s="83">
        <v>18490</v>
      </c>
      <c r="AR354" s="83">
        <v>0</v>
      </c>
      <c r="AT354" s="204">
        <v>73947</v>
      </c>
      <c r="AV354" s="46">
        <v>26</v>
      </c>
      <c r="AX354" s="46">
        <v>2</v>
      </c>
      <c r="AZ354" s="46">
        <v>2</v>
      </c>
      <c r="BB354" s="46">
        <v>9</v>
      </c>
      <c r="BD354" s="46">
        <v>0</v>
      </c>
      <c r="BF354" s="209">
        <v>49</v>
      </c>
      <c r="BI354" s="83">
        <v>5701</v>
      </c>
      <c r="BK354" s="83">
        <v>415</v>
      </c>
      <c r="BM354" s="83">
        <v>1062</v>
      </c>
      <c r="BO354" s="83">
        <v>358</v>
      </c>
      <c r="BQ354" s="83">
        <v>0</v>
      </c>
      <c r="BS354" s="85">
        <v>7536</v>
      </c>
      <c r="BU354" s="46">
        <v>5</v>
      </c>
      <c r="BW354" s="46">
        <v>1.5</v>
      </c>
      <c r="BY354" s="46">
        <v>1.8</v>
      </c>
      <c r="CA354" s="46">
        <v>1.7</v>
      </c>
      <c r="CC354" s="46">
        <v>0</v>
      </c>
      <c r="CE354" s="209">
        <v>10</v>
      </c>
      <c r="CH354" s="41">
        <v>1003890</v>
      </c>
      <c r="CJ354" s="41">
        <v>72276</v>
      </c>
      <c r="CL354" s="41">
        <v>50800</v>
      </c>
      <c r="CN354" s="41">
        <v>332424</v>
      </c>
      <c r="CP354" s="43">
        <v>1459390</v>
      </c>
      <c r="CS354" s="39">
        <v>18.870100000000001</v>
      </c>
      <c r="CU354" s="39">
        <v>14.5191</v>
      </c>
      <c r="CW354" s="39">
        <v>0.95489999999999997</v>
      </c>
      <c r="CY354" s="39">
        <v>17.6371</v>
      </c>
      <c r="DA354" s="44">
        <v>17.910399999999999</v>
      </c>
      <c r="DC354" s="1" t="str">
        <f t="shared" si="5"/>
        <v>No</v>
      </c>
    </row>
    <row r="355" spans="1:107">
      <c r="A355" s="7" t="s">
        <v>1146</v>
      </c>
      <c r="B355" s="7" t="s">
        <v>1147</v>
      </c>
      <c r="C355" s="37" t="s">
        <v>81</v>
      </c>
      <c r="D355" s="296">
        <v>4208</v>
      </c>
      <c r="E355" s="297">
        <v>40208</v>
      </c>
      <c r="F355" s="27" t="s">
        <v>162</v>
      </c>
      <c r="G355" s="27" t="s">
        <v>158</v>
      </c>
      <c r="H355" s="35">
        <v>400492</v>
      </c>
      <c r="I355" s="35">
        <v>16</v>
      </c>
      <c r="J355" s="292"/>
      <c r="K355" s="8">
        <v>61108</v>
      </c>
      <c r="L355" s="8"/>
      <c r="M355" s="8">
        <v>8198</v>
      </c>
      <c r="N355" s="9"/>
      <c r="O355" s="8">
        <v>0</v>
      </c>
      <c r="P355" s="9"/>
      <c r="Q355" s="8">
        <v>11650</v>
      </c>
      <c r="R355" s="9"/>
      <c r="S355" s="8">
        <v>0</v>
      </c>
      <c r="T355" s="9"/>
      <c r="U355" s="33">
        <v>80956</v>
      </c>
      <c r="V355" s="9"/>
      <c r="W355" s="30">
        <v>63</v>
      </c>
      <c r="X355" s="9"/>
      <c r="Y355" s="30">
        <v>4</v>
      </c>
      <c r="Z355" s="9"/>
      <c r="AA355" s="30">
        <v>0</v>
      </c>
      <c r="AB355" s="9"/>
      <c r="AC355" s="30">
        <v>8</v>
      </c>
      <c r="AD355" s="9"/>
      <c r="AE355" s="80">
        <v>0</v>
      </c>
      <c r="AF355" s="46"/>
      <c r="AG355" s="88">
        <v>75</v>
      </c>
      <c r="AH355" s="47"/>
      <c r="AJ355" s="83">
        <v>22069</v>
      </c>
      <c r="AL355" s="83">
        <v>8198</v>
      </c>
      <c r="AN355" s="83">
        <v>0</v>
      </c>
      <c r="AP355" s="83">
        <v>11314</v>
      </c>
      <c r="AR355" s="83">
        <v>0</v>
      </c>
      <c r="AT355" s="204">
        <v>41581</v>
      </c>
      <c r="AV355" s="46">
        <v>12</v>
      </c>
      <c r="AX355" s="46">
        <v>4</v>
      </c>
      <c r="AZ355" s="46">
        <v>0</v>
      </c>
      <c r="BB355" s="46">
        <v>6</v>
      </c>
      <c r="BD355" s="46">
        <v>0</v>
      </c>
      <c r="BF355" s="209">
        <v>75</v>
      </c>
      <c r="BI355" s="83">
        <v>39039</v>
      </c>
      <c r="BK355" s="83">
        <v>0</v>
      </c>
      <c r="BM355" s="83">
        <v>0</v>
      </c>
      <c r="BO355" s="83">
        <v>336</v>
      </c>
      <c r="BQ355" s="83">
        <v>0</v>
      </c>
      <c r="BS355" s="85">
        <v>39375</v>
      </c>
      <c r="BU355" s="46">
        <v>51</v>
      </c>
      <c r="BW355" s="46">
        <v>0</v>
      </c>
      <c r="BY355" s="46">
        <v>0</v>
      </c>
      <c r="CA355" s="46">
        <v>2</v>
      </c>
      <c r="CC355" s="46">
        <v>0</v>
      </c>
      <c r="CE355" s="209">
        <v>53</v>
      </c>
      <c r="CH355" s="41">
        <v>826055</v>
      </c>
      <c r="CJ355" s="41">
        <v>195122</v>
      </c>
      <c r="CL355" s="41">
        <v>0</v>
      </c>
      <c r="CN355" s="41">
        <v>227828</v>
      </c>
      <c r="CP355" s="43">
        <v>1249005</v>
      </c>
      <c r="CS355" s="39">
        <v>13.518000000000001</v>
      </c>
      <c r="CU355" s="39">
        <v>23.801200000000001</v>
      </c>
      <c r="CW355" s="39">
        <v>0</v>
      </c>
      <c r="CY355" s="39">
        <v>19.556100000000001</v>
      </c>
      <c r="DA355" s="44">
        <v>15.4282</v>
      </c>
      <c r="DC355" s="1" t="str">
        <f t="shared" si="5"/>
        <v>No</v>
      </c>
    </row>
    <row r="356" spans="1:107">
      <c r="A356" s="7" t="s">
        <v>534</v>
      </c>
      <c r="B356" s="7" t="s">
        <v>535</v>
      </c>
      <c r="C356" s="37" t="s">
        <v>42</v>
      </c>
      <c r="D356" s="296">
        <v>5131</v>
      </c>
      <c r="E356" s="297">
        <v>50131</v>
      </c>
      <c r="F356" s="27" t="s">
        <v>187</v>
      </c>
      <c r="G356" s="27" t="s">
        <v>158</v>
      </c>
      <c r="H356" s="35">
        <v>8608208</v>
      </c>
      <c r="I356" s="35">
        <v>15</v>
      </c>
      <c r="J356" s="292"/>
      <c r="K356" s="8">
        <v>31103</v>
      </c>
      <c r="L356" s="8"/>
      <c r="M356" s="8">
        <v>0</v>
      </c>
      <c r="N356" s="9"/>
      <c r="O356" s="8">
        <v>52</v>
      </c>
      <c r="P356" s="9"/>
      <c r="Q356" s="8">
        <v>3061</v>
      </c>
      <c r="R356" s="9"/>
      <c r="S356" s="8">
        <v>0</v>
      </c>
      <c r="T356" s="9"/>
      <c r="U356" s="33">
        <v>34216</v>
      </c>
      <c r="V356" s="9"/>
      <c r="W356" s="30">
        <v>16</v>
      </c>
      <c r="X356" s="9"/>
      <c r="Y356" s="30">
        <v>0</v>
      </c>
      <c r="Z356" s="9"/>
      <c r="AA356" s="30">
        <v>0.03</v>
      </c>
      <c r="AB356" s="9"/>
      <c r="AC356" s="30">
        <v>3</v>
      </c>
      <c r="AD356" s="9"/>
      <c r="AE356" s="80">
        <v>0</v>
      </c>
      <c r="AF356" s="46"/>
      <c r="AG356" s="88">
        <v>19.03</v>
      </c>
      <c r="AH356" s="47"/>
      <c r="AJ356" s="83">
        <v>30981</v>
      </c>
      <c r="AL356" s="83">
        <v>0</v>
      </c>
      <c r="AN356" s="83">
        <v>52</v>
      </c>
      <c r="AP356" s="83">
        <v>2160</v>
      </c>
      <c r="AR356" s="83">
        <v>0</v>
      </c>
      <c r="AT356" s="204">
        <v>33193</v>
      </c>
      <c r="AV356" s="46">
        <v>14</v>
      </c>
      <c r="AX356" s="46">
        <v>0</v>
      </c>
      <c r="AZ356" s="46">
        <v>0.03</v>
      </c>
      <c r="BB356" s="46">
        <v>1</v>
      </c>
      <c r="BD356" s="46">
        <v>0</v>
      </c>
      <c r="BF356" s="209">
        <v>19.03</v>
      </c>
      <c r="BI356" s="83">
        <v>122</v>
      </c>
      <c r="BK356" s="83">
        <v>0</v>
      </c>
      <c r="BM356" s="83">
        <v>0</v>
      </c>
      <c r="BO356" s="83">
        <v>901</v>
      </c>
      <c r="BQ356" s="83">
        <v>0</v>
      </c>
      <c r="BS356" s="85">
        <v>1023</v>
      </c>
      <c r="BU356" s="46">
        <v>2</v>
      </c>
      <c r="BW356" s="46">
        <v>0</v>
      </c>
      <c r="BY356" s="46">
        <v>0</v>
      </c>
      <c r="CA356" s="46">
        <v>2</v>
      </c>
      <c r="CC356" s="46">
        <v>0</v>
      </c>
      <c r="CE356" s="209">
        <v>4</v>
      </c>
      <c r="CH356" s="41">
        <v>317042</v>
      </c>
      <c r="CJ356" s="41">
        <v>0</v>
      </c>
      <c r="CL356" s="41">
        <v>806</v>
      </c>
      <c r="CN356" s="41">
        <v>64599</v>
      </c>
      <c r="CP356" s="43">
        <v>382447</v>
      </c>
      <c r="CS356" s="39">
        <v>10.193300000000001</v>
      </c>
      <c r="CW356" s="39">
        <v>2.5899999999999999E-2</v>
      </c>
      <c r="CY356" s="39">
        <v>21.103899999999999</v>
      </c>
      <c r="DA356" s="44">
        <v>11.1774</v>
      </c>
      <c r="DC356" s="1" t="str">
        <f t="shared" si="5"/>
        <v>No</v>
      </c>
    </row>
    <row r="357" spans="1:107">
      <c r="A357" s="7" t="s">
        <v>423</v>
      </c>
      <c r="B357" s="7" t="s">
        <v>299</v>
      </c>
      <c r="C357" s="37" t="s">
        <v>83</v>
      </c>
      <c r="D357" s="296">
        <v>4057</v>
      </c>
      <c r="E357" s="297">
        <v>40057</v>
      </c>
      <c r="F357" s="27" t="s">
        <v>165</v>
      </c>
      <c r="G357" s="27" t="s">
        <v>158</v>
      </c>
      <c r="H357" s="35">
        <v>71880</v>
      </c>
      <c r="I357" s="35">
        <v>15</v>
      </c>
      <c r="J357" s="292"/>
      <c r="K357" s="8">
        <v>57574</v>
      </c>
      <c r="L357" s="8"/>
      <c r="M357" s="8">
        <v>12751</v>
      </c>
      <c r="N357" s="9"/>
      <c r="O357" s="8">
        <v>0</v>
      </c>
      <c r="P357" s="9"/>
      <c r="Q357" s="8">
        <v>5800</v>
      </c>
      <c r="R357" s="9"/>
      <c r="S357" s="8">
        <v>0</v>
      </c>
      <c r="T357" s="9"/>
      <c r="U357" s="33">
        <v>76125</v>
      </c>
      <c r="V357" s="9"/>
      <c r="W357" s="30">
        <v>30</v>
      </c>
      <c r="X357" s="9"/>
      <c r="Y357" s="30">
        <v>7</v>
      </c>
      <c r="Z357" s="9"/>
      <c r="AA357" s="30">
        <v>0</v>
      </c>
      <c r="AB357" s="9"/>
      <c r="AC357" s="30">
        <v>3</v>
      </c>
      <c r="AD357" s="9"/>
      <c r="AE357" s="80">
        <v>0</v>
      </c>
      <c r="AF357" s="46"/>
      <c r="AG357" s="88">
        <v>40</v>
      </c>
      <c r="AH357" s="47"/>
      <c r="AJ357" s="83">
        <v>53556</v>
      </c>
      <c r="AL357" s="83">
        <v>11432</v>
      </c>
      <c r="AN357" s="83">
        <v>0</v>
      </c>
      <c r="AP357" s="83">
        <v>5800</v>
      </c>
      <c r="AR357" s="83">
        <v>0</v>
      </c>
      <c r="AT357" s="204">
        <v>70788</v>
      </c>
      <c r="AV357" s="46">
        <v>28</v>
      </c>
      <c r="AX357" s="46">
        <v>6</v>
      </c>
      <c r="AZ357" s="46">
        <v>0</v>
      </c>
      <c r="BB357" s="46">
        <v>3</v>
      </c>
      <c r="BD357" s="46">
        <v>0</v>
      </c>
      <c r="BF357" s="209">
        <v>40</v>
      </c>
      <c r="BI357" s="83">
        <v>4018</v>
      </c>
      <c r="BK357" s="83">
        <v>1319</v>
      </c>
      <c r="BM357" s="83">
        <v>0</v>
      </c>
      <c r="BO357" s="83">
        <v>0</v>
      </c>
      <c r="BQ357" s="83">
        <v>0</v>
      </c>
      <c r="BS357" s="85">
        <v>5337</v>
      </c>
      <c r="BU357" s="46">
        <v>2</v>
      </c>
      <c r="BW357" s="46">
        <v>1</v>
      </c>
      <c r="BY357" s="46">
        <v>0</v>
      </c>
      <c r="CA357" s="46">
        <v>0</v>
      </c>
      <c r="CC357" s="46">
        <v>0</v>
      </c>
      <c r="CE357" s="209">
        <v>3</v>
      </c>
      <c r="CH357" s="41">
        <v>1101474</v>
      </c>
      <c r="CJ357" s="41">
        <v>261575</v>
      </c>
      <c r="CL357" s="41">
        <v>0</v>
      </c>
      <c r="CN357" s="41">
        <v>134379</v>
      </c>
      <c r="CP357" s="43">
        <v>1497428</v>
      </c>
      <c r="CS357" s="39">
        <v>19.131399999999999</v>
      </c>
      <c r="CU357" s="39">
        <v>20.514099999999999</v>
      </c>
      <c r="CW357" s="39">
        <v>0</v>
      </c>
      <c r="CY357" s="39">
        <v>23.168800000000001</v>
      </c>
      <c r="DA357" s="44">
        <v>19.6706</v>
      </c>
      <c r="DC357" s="1" t="str">
        <f t="shared" si="5"/>
        <v>No</v>
      </c>
    </row>
    <row r="358" spans="1:107">
      <c r="A358" s="7" t="s">
        <v>198</v>
      </c>
      <c r="B358" s="7" t="s">
        <v>199</v>
      </c>
      <c r="C358" s="37" t="s">
        <v>36</v>
      </c>
      <c r="D358" s="296">
        <v>4021</v>
      </c>
      <c r="E358" s="297">
        <v>40021</v>
      </c>
      <c r="F358" s="27" t="s">
        <v>162</v>
      </c>
      <c r="G358" s="27" t="s">
        <v>158</v>
      </c>
      <c r="H358" s="35">
        <v>95779</v>
      </c>
      <c r="I358" s="35">
        <v>14</v>
      </c>
      <c r="J358" s="292"/>
      <c r="K358" s="8">
        <v>85097</v>
      </c>
      <c r="L358" s="8"/>
      <c r="M358" s="8">
        <v>14231</v>
      </c>
      <c r="N358" s="9"/>
      <c r="O358" s="8">
        <v>3169</v>
      </c>
      <c r="P358" s="9"/>
      <c r="Q358" s="8">
        <v>7146</v>
      </c>
      <c r="R358" s="9"/>
      <c r="S358" s="8">
        <v>0</v>
      </c>
      <c r="T358" s="9"/>
      <c r="U358" s="33">
        <v>109643</v>
      </c>
      <c r="V358" s="9"/>
      <c r="W358" s="30">
        <v>51</v>
      </c>
      <c r="X358" s="9"/>
      <c r="Y358" s="30">
        <v>8</v>
      </c>
      <c r="Z358" s="9"/>
      <c r="AA358" s="30">
        <v>2</v>
      </c>
      <c r="AB358" s="9"/>
      <c r="AC358" s="30">
        <v>4</v>
      </c>
      <c r="AD358" s="9"/>
      <c r="AE358" s="80">
        <v>0</v>
      </c>
      <c r="AF358" s="46"/>
      <c r="AG358" s="88">
        <v>65</v>
      </c>
      <c r="AH358" s="47"/>
      <c r="AJ358" s="83">
        <v>55158</v>
      </c>
      <c r="AL358" s="83">
        <v>12940</v>
      </c>
      <c r="AN358" s="83">
        <v>3169</v>
      </c>
      <c r="AP358" s="83">
        <v>7146</v>
      </c>
      <c r="AR358" s="83">
        <v>0</v>
      </c>
      <c r="AT358" s="204">
        <v>78413</v>
      </c>
      <c r="AV358" s="46">
        <v>30</v>
      </c>
      <c r="AX358" s="46">
        <v>6</v>
      </c>
      <c r="AZ358" s="46">
        <v>2</v>
      </c>
      <c r="BB358" s="46">
        <v>4</v>
      </c>
      <c r="BD358" s="46">
        <v>0</v>
      </c>
      <c r="BF358" s="209">
        <v>65</v>
      </c>
      <c r="BI358" s="83">
        <v>29939</v>
      </c>
      <c r="BK358" s="83">
        <v>1291</v>
      </c>
      <c r="BM358" s="83">
        <v>0</v>
      </c>
      <c r="BO358" s="83">
        <v>0</v>
      </c>
      <c r="BQ358" s="83">
        <v>0</v>
      </c>
      <c r="BS358" s="85">
        <v>31230</v>
      </c>
      <c r="BU358" s="46">
        <v>21</v>
      </c>
      <c r="BW358" s="46">
        <v>2</v>
      </c>
      <c r="BY358" s="46">
        <v>0</v>
      </c>
      <c r="CA358" s="46">
        <v>0</v>
      </c>
      <c r="CC358" s="46">
        <v>0</v>
      </c>
      <c r="CE358" s="209">
        <v>23</v>
      </c>
      <c r="CH358" s="41">
        <v>1162760</v>
      </c>
      <c r="CJ358" s="41">
        <v>194887</v>
      </c>
      <c r="CL358" s="41">
        <v>46027</v>
      </c>
      <c r="CN358" s="41">
        <v>181333</v>
      </c>
      <c r="CP358" s="43">
        <v>1585007</v>
      </c>
      <c r="CS358" s="39">
        <v>13.6639</v>
      </c>
      <c r="CU358" s="39">
        <v>13.6945</v>
      </c>
      <c r="CW358" s="39">
        <v>0.54090000000000005</v>
      </c>
      <c r="CY358" s="39">
        <v>25.375499999999999</v>
      </c>
      <c r="DA358" s="44">
        <v>14.456099999999999</v>
      </c>
      <c r="DC358" s="1" t="str">
        <f t="shared" si="5"/>
        <v>No</v>
      </c>
    </row>
    <row r="359" spans="1:107">
      <c r="A359" s="7" t="s">
        <v>289</v>
      </c>
      <c r="B359" s="7" t="s">
        <v>290</v>
      </c>
      <c r="C359" s="37" t="s">
        <v>17</v>
      </c>
      <c r="D359" s="296">
        <v>9043</v>
      </c>
      <c r="E359" s="297">
        <v>90043</v>
      </c>
      <c r="F359" s="27" t="s">
        <v>162</v>
      </c>
      <c r="G359" s="27" t="s">
        <v>158</v>
      </c>
      <c r="H359" s="35">
        <v>12150996</v>
      </c>
      <c r="I359" s="35">
        <v>14</v>
      </c>
      <c r="J359" s="292"/>
      <c r="K359" s="8">
        <v>57762</v>
      </c>
      <c r="L359" s="8"/>
      <c r="M359" s="8">
        <v>5387</v>
      </c>
      <c r="N359" s="9"/>
      <c r="O359" s="8">
        <v>2219</v>
      </c>
      <c r="P359" s="9"/>
      <c r="Q359" s="8">
        <v>943</v>
      </c>
      <c r="R359" s="9"/>
      <c r="S359" s="8">
        <v>0</v>
      </c>
      <c r="T359" s="9"/>
      <c r="U359" s="33">
        <v>66311</v>
      </c>
      <c r="V359" s="9"/>
      <c r="W359" s="30">
        <v>32.799999999999997</v>
      </c>
      <c r="X359" s="9"/>
      <c r="Y359" s="30">
        <v>4.4000000000000004</v>
      </c>
      <c r="Z359" s="9"/>
      <c r="AA359" s="30">
        <v>6.6</v>
      </c>
      <c r="AB359" s="9"/>
      <c r="AC359" s="30">
        <v>0.72</v>
      </c>
      <c r="AD359" s="9"/>
      <c r="AE359" s="80">
        <v>0</v>
      </c>
      <c r="AF359" s="46"/>
      <c r="AG359" s="88">
        <v>44.52</v>
      </c>
      <c r="AH359" s="47"/>
      <c r="AJ359" s="83">
        <v>33248</v>
      </c>
      <c r="AL359" s="83">
        <v>1937</v>
      </c>
      <c r="AN359" s="83">
        <v>887</v>
      </c>
      <c r="AP359" s="83">
        <v>540</v>
      </c>
      <c r="AR359" s="83">
        <v>0</v>
      </c>
      <c r="AT359" s="204">
        <v>36612</v>
      </c>
      <c r="AV359" s="46">
        <v>15.5</v>
      </c>
      <c r="AX359" s="46">
        <v>1.2</v>
      </c>
      <c r="AZ359" s="46">
        <v>0.5</v>
      </c>
      <c r="BB359" s="46">
        <v>0.3</v>
      </c>
      <c r="BD359" s="46">
        <v>0</v>
      </c>
      <c r="BF359" s="209">
        <v>44.52</v>
      </c>
      <c r="BI359" s="83">
        <v>24514</v>
      </c>
      <c r="BK359" s="83">
        <v>3450</v>
      </c>
      <c r="BM359" s="83">
        <v>1332</v>
      </c>
      <c r="BO359" s="83">
        <v>403</v>
      </c>
      <c r="BQ359" s="83">
        <v>0</v>
      </c>
      <c r="BS359" s="85">
        <v>29699</v>
      </c>
      <c r="BU359" s="46">
        <v>17.3</v>
      </c>
      <c r="BW359" s="46">
        <v>3.2</v>
      </c>
      <c r="BY359" s="46">
        <v>6.1</v>
      </c>
      <c r="CA359" s="46">
        <v>0.42</v>
      </c>
      <c r="CC359" s="46">
        <v>0</v>
      </c>
      <c r="CE359" s="209">
        <v>27.02</v>
      </c>
      <c r="CH359" s="41">
        <v>1552190</v>
      </c>
      <c r="CJ359" s="41">
        <v>147100</v>
      </c>
      <c r="CL359" s="41">
        <v>47966</v>
      </c>
      <c r="CN359" s="41">
        <v>51679</v>
      </c>
      <c r="CP359" s="43">
        <v>1798935</v>
      </c>
      <c r="CS359" s="39">
        <v>26.872199999999999</v>
      </c>
      <c r="CU359" s="39">
        <v>27.3065</v>
      </c>
      <c r="CW359" s="39">
        <v>0.83040000000000003</v>
      </c>
      <c r="CY359" s="39">
        <v>54.802799999999998</v>
      </c>
      <c r="DA359" s="44">
        <v>27.128799999999998</v>
      </c>
      <c r="DC359" s="1" t="str">
        <f t="shared" si="5"/>
        <v>No</v>
      </c>
    </row>
    <row r="360" spans="1:107">
      <c r="A360" s="7" t="s">
        <v>497</v>
      </c>
      <c r="B360" s="7" t="s">
        <v>498</v>
      </c>
      <c r="C360" s="37" t="s">
        <v>28</v>
      </c>
      <c r="D360" s="296">
        <v>1107</v>
      </c>
      <c r="E360" s="297">
        <v>10107</v>
      </c>
      <c r="F360" s="27" t="s">
        <v>165</v>
      </c>
      <c r="G360" s="27" t="s">
        <v>158</v>
      </c>
      <c r="H360" s="35">
        <v>923311</v>
      </c>
      <c r="I360" s="35">
        <v>14</v>
      </c>
      <c r="J360" s="292"/>
      <c r="K360" s="8">
        <v>41486</v>
      </c>
      <c r="L360" s="8"/>
      <c r="M360" s="8">
        <v>8398</v>
      </c>
      <c r="N360" s="9"/>
      <c r="O360" s="8">
        <v>561</v>
      </c>
      <c r="P360" s="9"/>
      <c r="Q360" s="8">
        <v>12180</v>
      </c>
      <c r="R360" s="9"/>
      <c r="S360" s="8">
        <v>0</v>
      </c>
      <c r="T360" s="9"/>
      <c r="U360" s="33">
        <v>62625</v>
      </c>
      <c r="V360" s="9"/>
      <c r="W360" s="30">
        <v>21</v>
      </c>
      <c r="X360" s="9"/>
      <c r="Y360" s="30">
        <v>5</v>
      </c>
      <c r="Z360" s="9"/>
      <c r="AA360" s="30">
        <v>1.5</v>
      </c>
      <c r="AB360" s="9"/>
      <c r="AC360" s="30">
        <v>7</v>
      </c>
      <c r="AD360" s="9"/>
      <c r="AE360" s="80">
        <v>0</v>
      </c>
      <c r="AF360" s="46"/>
      <c r="AG360" s="88">
        <v>34.5</v>
      </c>
      <c r="AH360" s="47"/>
      <c r="AJ360" s="83">
        <v>39346</v>
      </c>
      <c r="AL360" s="83">
        <v>6006</v>
      </c>
      <c r="AN360" s="83">
        <v>0</v>
      </c>
      <c r="AP360" s="83">
        <v>9948</v>
      </c>
      <c r="AR360" s="83">
        <v>0</v>
      </c>
      <c r="AT360" s="204">
        <v>55300</v>
      </c>
      <c r="AV360" s="46">
        <v>19</v>
      </c>
      <c r="AX360" s="46">
        <v>3</v>
      </c>
      <c r="AZ360" s="46">
        <v>0</v>
      </c>
      <c r="BB360" s="46">
        <v>5</v>
      </c>
      <c r="BD360" s="46">
        <v>0</v>
      </c>
      <c r="BF360" s="209">
        <v>34.5</v>
      </c>
      <c r="BI360" s="83">
        <v>2140</v>
      </c>
      <c r="BK360" s="83">
        <v>2392</v>
      </c>
      <c r="BM360" s="83">
        <v>561</v>
      </c>
      <c r="BO360" s="83">
        <v>2232</v>
      </c>
      <c r="BQ360" s="83">
        <v>0</v>
      </c>
      <c r="BS360" s="85">
        <v>7325</v>
      </c>
      <c r="BU360" s="46">
        <v>2</v>
      </c>
      <c r="BW360" s="46">
        <v>2</v>
      </c>
      <c r="BY360" s="46">
        <v>1.5</v>
      </c>
      <c r="CA360" s="46">
        <v>2</v>
      </c>
      <c r="CC360" s="46">
        <v>0</v>
      </c>
      <c r="CE360" s="209">
        <v>7.5</v>
      </c>
      <c r="CH360" s="41">
        <v>954318</v>
      </c>
      <c r="CJ360" s="41">
        <v>174297</v>
      </c>
      <c r="CL360" s="41">
        <v>5854</v>
      </c>
      <c r="CN360" s="41">
        <v>231511</v>
      </c>
      <c r="CP360" s="43">
        <v>1365980</v>
      </c>
      <c r="CS360" s="39">
        <v>23.003399999999999</v>
      </c>
      <c r="CU360" s="39">
        <v>20.7546</v>
      </c>
      <c r="CW360" s="39">
        <v>0.1411</v>
      </c>
      <c r="CY360" s="39">
        <v>19.0075</v>
      </c>
      <c r="DA360" s="44">
        <v>21.812100000000001</v>
      </c>
      <c r="DC360" s="1" t="str">
        <f t="shared" si="5"/>
        <v>No</v>
      </c>
    </row>
    <row r="361" spans="1:107">
      <c r="A361" s="7" t="s">
        <v>185</v>
      </c>
      <c r="B361" s="7" t="s">
        <v>186</v>
      </c>
      <c r="C361" s="37" t="s">
        <v>42</v>
      </c>
      <c r="D361" s="296">
        <v>5167</v>
      </c>
      <c r="E361" s="297">
        <v>50167</v>
      </c>
      <c r="F361" s="27" t="s">
        <v>187</v>
      </c>
      <c r="G361" s="27" t="s">
        <v>158</v>
      </c>
      <c r="H361" s="35">
        <v>8608208</v>
      </c>
      <c r="I361" s="35">
        <v>14</v>
      </c>
      <c r="J361" s="292"/>
      <c r="K361" s="8">
        <v>34024</v>
      </c>
      <c r="L361" s="8"/>
      <c r="M361" s="8">
        <v>0</v>
      </c>
      <c r="N361" s="9"/>
      <c r="O361" s="8">
        <v>0</v>
      </c>
      <c r="P361" s="9"/>
      <c r="Q361" s="8">
        <v>2427</v>
      </c>
      <c r="R361" s="9"/>
      <c r="S361" s="8">
        <v>0</v>
      </c>
      <c r="T361" s="9"/>
      <c r="U361" s="33">
        <v>36451</v>
      </c>
      <c r="V361" s="9"/>
      <c r="W361" s="30">
        <v>18</v>
      </c>
      <c r="X361" s="9"/>
      <c r="Y361" s="30">
        <v>0</v>
      </c>
      <c r="Z361" s="9"/>
      <c r="AA361" s="30">
        <v>0</v>
      </c>
      <c r="AB361" s="9"/>
      <c r="AC361" s="30">
        <v>1.75</v>
      </c>
      <c r="AD361" s="9"/>
      <c r="AE361" s="80">
        <v>0</v>
      </c>
      <c r="AF361" s="46"/>
      <c r="AG361" s="88">
        <v>19.75</v>
      </c>
      <c r="AH361" s="47"/>
      <c r="AJ361" s="83">
        <v>33150</v>
      </c>
      <c r="AL361" s="83">
        <v>0</v>
      </c>
      <c r="AN361" s="83">
        <v>0</v>
      </c>
      <c r="AP361" s="83">
        <v>1277</v>
      </c>
      <c r="AR361" s="83">
        <v>0</v>
      </c>
      <c r="AT361" s="204">
        <v>34427</v>
      </c>
      <c r="AV361" s="46">
        <v>17</v>
      </c>
      <c r="AX361" s="46">
        <v>0</v>
      </c>
      <c r="AZ361" s="46">
        <v>0</v>
      </c>
      <c r="BB361" s="46">
        <v>0.75</v>
      </c>
      <c r="BD361" s="46">
        <v>0</v>
      </c>
      <c r="BF361" s="209">
        <v>19.75</v>
      </c>
      <c r="BI361" s="83">
        <v>874</v>
      </c>
      <c r="BK361" s="83">
        <v>0</v>
      </c>
      <c r="BM361" s="83">
        <v>0</v>
      </c>
      <c r="BO361" s="83">
        <v>1150</v>
      </c>
      <c r="BQ361" s="83">
        <v>0</v>
      </c>
      <c r="BS361" s="85">
        <v>2024</v>
      </c>
      <c r="BU361" s="46">
        <v>1</v>
      </c>
      <c r="BW361" s="46">
        <v>0</v>
      </c>
      <c r="BY361" s="46">
        <v>0</v>
      </c>
      <c r="CA361" s="46">
        <v>1</v>
      </c>
      <c r="CC361" s="46">
        <v>0</v>
      </c>
      <c r="CE361" s="209">
        <v>2</v>
      </c>
      <c r="CH361" s="41">
        <v>358248</v>
      </c>
      <c r="CJ361" s="41">
        <v>0</v>
      </c>
      <c r="CL361" s="41">
        <v>0</v>
      </c>
      <c r="CN361" s="41">
        <v>39000</v>
      </c>
      <c r="CP361" s="43">
        <v>397248</v>
      </c>
      <c r="CS361" s="39">
        <v>10.529299999999999</v>
      </c>
      <c r="CW361" s="39">
        <v>0</v>
      </c>
      <c r="CY361" s="39">
        <v>16.069199999999999</v>
      </c>
      <c r="DA361" s="44">
        <v>10.898099999999999</v>
      </c>
      <c r="DC361" s="1" t="str">
        <f t="shared" si="5"/>
        <v>No</v>
      </c>
    </row>
    <row r="362" spans="1:107">
      <c r="A362" s="7" t="s">
        <v>676</v>
      </c>
      <c r="B362" s="7" t="s">
        <v>677</v>
      </c>
      <c r="C362" s="37" t="s">
        <v>28</v>
      </c>
      <c r="D362" s="296">
        <v>1042</v>
      </c>
      <c r="E362" s="297">
        <v>10042</v>
      </c>
      <c r="F362" s="27" t="s">
        <v>165</v>
      </c>
      <c r="G362" s="27" t="s">
        <v>158</v>
      </c>
      <c r="H362" s="35">
        <v>923311</v>
      </c>
      <c r="I362" s="35">
        <v>12</v>
      </c>
      <c r="J362" s="292"/>
      <c r="K362" s="8">
        <v>25091</v>
      </c>
      <c r="L362" s="8"/>
      <c r="M362" s="8">
        <v>2093</v>
      </c>
      <c r="N362" s="9"/>
      <c r="O362" s="8">
        <v>0</v>
      </c>
      <c r="P362" s="9"/>
      <c r="Q362" s="8">
        <v>5783</v>
      </c>
      <c r="R362" s="9"/>
      <c r="S362" s="8">
        <v>0</v>
      </c>
      <c r="T362" s="9"/>
      <c r="U362" s="33">
        <v>32967</v>
      </c>
      <c r="V362" s="9"/>
      <c r="W362" s="30">
        <v>18</v>
      </c>
      <c r="X362" s="9"/>
      <c r="Y362" s="30">
        <v>1</v>
      </c>
      <c r="Z362" s="9"/>
      <c r="AA362" s="30">
        <v>0</v>
      </c>
      <c r="AB362" s="9"/>
      <c r="AC362" s="30">
        <v>5</v>
      </c>
      <c r="AD362" s="9"/>
      <c r="AE362" s="80">
        <v>0</v>
      </c>
      <c r="AF362" s="46"/>
      <c r="AG362" s="88">
        <v>24</v>
      </c>
      <c r="AH362" s="47"/>
      <c r="AJ362" s="83">
        <v>17515</v>
      </c>
      <c r="AL362" s="83">
        <v>2093</v>
      </c>
      <c r="AN362" s="83">
        <v>0</v>
      </c>
      <c r="AP362" s="83">
        <v>4580</v>
      </c>
      <c r="AR362" s="83">
        <v>0</v>
      </c>
      <c r="AT362" s="204">
        <v>24188</v>
      </c>
      <c r="AV362" s="46">
        <v>10</v>
      </c>
      <c r="AX362" s="46">
        <v>1</v>
      </c>
      <c r="AZ362" s="46">
        <v>0</v>
      </c>
      <c r="BB362" s="46">
        <v>3</v>
      </c>
      <c r="BD362" s="46">
        <v>0</v>
      </c>
      <c r="BF362" s="209">
        <v>24</v>
      </c>
      <c r="BI362" s="83">
        <v>7576</v>
      </c>
      <c r="BK362" s="83">
        <v>0</v>
      </c>
      <c r="BM362" s="83">
        <v>0</v>
      </c>
      <c r="BO362" s="83">
        <v>1203</v>
      </c>
      <c r="BQ362" s="83">
        <v>0</v>
      </c>
      <c r="BS362" s="85">
        <v>8779</v>
      </c>
      <c r="BU362" s="46">
        <v>8</v>
      </c>
      <c r="BW362" s="46">
        <v>0</v>
      </c>
      <c r="BY362" s="46">
        <v>0</v>
      </c>
      <c r="CA362" s="46">
        <v>2</v>
      </c>
      <c r="CC362" s="46">
        <v>0</v>
      </c>
      <c r="CE362" s="209">
        <v>10</v>
      </c>
      <c r="CH362" s="41">
        <v>537696</v>
      </c>
      <c r="CJ362" s="41">
        <v>51589</v>
      </c>
      <c r="CL362" s="41">
        <v>0</v>
      </c>
      <c r="CN362" s="41">
        <v>160216</v>
      </c>
      <c r="CP362" s="43">
        <v>749501</v>
      </c>
      <c r="CS362" s="39">
        <v>21.4298</v>
      </c>
      <c r="CU362" s="39">
        <v>24.648399999999999</v>
      </c>
      <c r="CW362" s="39">
        <v>0</v>
      </c>
      <c r="CY362" s="39">
        <v>27.704699999999999</v>
      </c>
      <c r="DA362" s="44">
        <v>22.7349</v>
      </c>
      <c r="DC362" s="1" t="str">
        <f t="shared" si="5"/>
        <v>No</v>
      </c>
    </row>
    <row r="363" spans="1:107">
      <c r="A363" s="7" t="s">
        <v>71</v>
      </c>
      <c r="B363" s="7" t="s">
        <v>190</v>
      </c>
      <c r="C363" s="37" t="s">
        <v>70</v>
      </c>
      <c r="D363" s="296">
        <v>2137</v>
      </c>
      <c r="E363" s="297">
        <v>20137</v>
      </c>
      <c r="F363" s="27" t="s">
        <v>173</v>
      </c>
      <c r="G363" s="27" t="s">
        <v>158</v>
      </c>
      <c r="H363" s="35">
        <v>423566</v>
      </c>
      <c r="I363" s="35">
        <v>12</v>
      </c>
      <c r="J363" s="292"/>
      <c r="K363" s="8">
        <v>30543</v>
      </c>
      <c r="L363" s="8"/>
      <c r="M363" s="8">
        <v>12326</v>
      </c>
      <c r="N363" s="9"/>
      <c r="O363" s="8">
        <v>661</v>
      </c>
      <c r="P363" s="9"/>
      <c r="Q363" s="8">
        <v>8306</v>
      </c>
      <c r="R363" s="9"/>
      <c r="S363" s="8">
        <v>0</v>
      </c>
      <c r="T363" s="9"/>
      <c r="U363" s="33">
        <v>51836</v>
      </c>
      <c r="V363" s="9"/>
      <c r="W363" s="30">
        <v>25</v>
      </c>
      <c r="X363" s="9"/>
      <c r="Y363" s="30">
        <v>8</v>
      </c>
      <c r="Z363" s="9"/>
      <c r="AA363" s="30">
        <v>1</v>
      </c>
      <c r="AB363" s="9"/>
      <c r="AC363" s="30">
        <v>6</v>
      </c>
      <c r="AD363" s="9"/>
      <c r="AE363" s="80">
        <v>0</v>
      </c>
      <c r="AF363" s="46"/>
      <c r="AG363" s="88">
        <v>40</v>
      </c>
      <c r="AH363" s="47"/>
      <c r="AJ363" s="83">
        <v>18865</v>
      </c>
      <c r="AL363" s="83">
        <v>5586</v>
      </c>
      <c r="AN363" s="83">
        <v>0</v>
      </c>
      <c r="AP363" s="83">
        <v>5513</v>
      </c>
      <c r="AR363" s="83">
        <v>0</v>
      </c>
      <c r="AT363" s="204">
        <v>29964</v>
      </c>
      <c r="AV363" s="46">
        <v>11</v>
      </c>
      <c r="AX363" s="46">
        <v>3</v>
      </c>
      <c r="AZ363" s="46">
        <v>0</v>
      </c>
      <c r="BB363" s="46">
        <v>3</v>
      </c>
      <c r="BD363" s="46">
        <v>0</v>
      </c>
      <c r="BF363" s="209">
        <v>40</v>
      </c>
      <c r="BI363" s="83">
        <v>11678</v>
      </c>
      <c r="BK363" s="83">
        <v>6740</v>
      </c>
      <c r="BM363" s="83">
        <v>661</v>
      </c>
      <c r="BO363" s="83">
        <v>2793</v>
      </c>
      <c r="BQ363" s="83">
        <v>0</v>
      </c>
      <c r="BS363" s="85">
        <v>21872</v>
      </c>
      <c r="BU363" s="46">
        <v>14</v>
      </c>
      <c r="BW363" s="46">
        <v>5</v>
      </c>
      <c r="BY363" s="46">
        <v>1</v>
      </c>
      <c r="CA363" s="46">
        <v>3</v>
      </c>
      <c r="CC363" s="46">
        <v>0</v>
      </c>
      <c r="CE363" s="209">
        <v>23</v>
      </c>
      <c r="CH363" s="41">
        <v>667464</v>
      </c>
      <c r="CJ363" s="41">
        <v>310959</v>
      </c>
      <c r="CL363" s="41">
        <v>7268</v>
      </c>
      <c r="CN363" s="41">
        <v>177727</v>
      </c>
      <c r="CP363" s="43">
        <v>1163418</v>
      </c>
      <c r="CS363" s="39">
        <v>21.853300000000001</v>
      </c>
      <c r="CU363" s="39">
        <v>25.227900000000002</v>
      </c>
      <c r="CW363" s="39">
        <v>0.23799999999999999</v>
      </c>
      <c r="CY363" s="39">
        <v>21.397400000000001</v>
      </c>
      <c r="DA363" s="44">
        <v>22.444199999999999</v>
      </c>
      <c r="DC363" s="1" t="str">
        <f t="shared" si="5"/>
        <v>No</v>
      </c>
    </row>
    <row r="364" spans="1:107">
      <c r="A364" s="7" t="s">
        <v>637</v>
      </c>
      <c r="B364" s="7" t="s">
        <v>638</v>
      </c>
      <c r="C364" s="37" t="s">
        <v>42</v>
      </c>
      <c r="D364" s="296">
        <v>5053</v>
      </c>
      <c r="E364" s="297">
        <v>50053</v>
      </c>
      <c r="F364" s="27" t="s">
        <v>162</v>
      </c>
      <c r="G364" s="27" t="s">
        <v>158</v>
      </c>
      <c r="H364" s="35">
        <v>92742</v>
      </c>
      <c r="I364" s="35">
        <v>11</v>
      </c>
      <c r="J364" s="292"/>
      <c r="K364" s="8">
        <v>52305</v>
      </c>
      <c r="L364" s="8"/>
      <c r="M364" s="8">
        <v>6055</v>
      </c>
      <c r="N364" s="9"/>
      <c r="O364" s="8">
        <v>5040</v>
      </c>
      <c r="P364" s="9"/>
      <c r="Q364" s="8">
        <v>15025</v>
      </c>
      <c r="R364" s="9"/>
      <c r="S364" s="8">
        <v>0</v>
      </c>
      <c r="T364" s="9"/>
      <c r="U364" s="33">
        <v>78425</v>
      </c>
      <c r="V364" s="9"/>
      <c r="W364" s="30">
        <v>29</v>
      </c>
      <c r="X364" s="9"/>
      <c r="Y364" s="30">
        <v>4</v>
      </c>
      <c r="Z364" s="9"/>
      <c r="AA364" s="30">
        <v>3</v>
      </c>
      <c r="AB364" s="9"/>
      <c r="AC364" s="30">
        <v>9</v>
      </c>
      <c r="AD364" s="9"/>
      <c r="AE364" s="80">
        <v>0</v>
      </c>
      <c r="AF364" s="46"/>
      <c r="AG364" s="88">
        <v>45</v>
      </c>
      <c r="AH364" s="47"/>
      <c r="AJ364" s="83">
        <v>45574</v>
      </c>
      <c r="AL364" s="83">
        <v>4034</v>
      </c>
      <c r="AN364" s="83">
        <v>4030</v>
      </c>
      <c r="AP364" s="83">
        <v>13461</v>
      </c>
      <c r="AR364" s="83">
        <v>0</v>
      </c>
      <c r="AT364" s="204">
        <v>67099</v>
      </c>
      <c r="AV364" s="46">
        <v>21</v>
      </c>
      <c r="AX364" s="46">
        <v>2</v>
      </c>
      <c r="AZ364" s="46">
        <v>2</v>
      </c>
      <c r="BB364" s="46">
        <v>7</v>
      </c>
      <c r="BD364" s="46">
        <v>0</v>
      </c>
      <c r="BF364" s="209">
        <v>45</v>
      </c>
      <c r="BI364" s="83">
        <v>6731</v>
      </c>
      <c r="BK364" s="83">
        <v>2021</v>
      </c>
      <c r="BM364" s="83">
        <v>1010</v>
      </c>
      <c r="BO364" s="83">
        <v>1564</v>
      </c>
      <c r="BQ364" s="83">
        <v>0</v>
      </c>
      <c r="BS364" s="85">
        <v>11326</v>
      </c>
      <c r="BU364" s="46">
        <v>8</v>
      </c>
      <c r="BW364" s="46">
        <v>2</v>
      </c>
      <c r="BY364" s="46">
        <v>1</v>
      </c>
      <c r="CA364" s="46">
        <v>2</v>
      </c>
      <c r="CC364" s="46">
        <v>0</v>
      </c>
      <c r="CE364" s="209">
        <v>13</v>
      </c>
      <c r="CH364" s="41">
        <v>1042930</v>
      </c>
      <c r="CJ364" s="41">
        <v>123017</v>
      </c>
      <c r="CL364" s="41">
        <v>103929</v>
      </c>
      <c r="CN364" s="41">
        <v>209550</v>
      </c>
      <c r="CP364" s="43">
        <v>1479426</v>
      </c>
      <c r="CS364" s="39">
        <v>19.939399999999999</v>
      </c>
      <c r="CU364" s="39">
        <v>20.316600000000001</v>
      </c>
      <c r="CW364" s="39">
        <v>1.9870000000000001</v>
      </c>
      <c r="CY364" s="39">
        <v>13.9468</v>
      </c>
      <c r="DA364" s="44">
        <v>18.8642</v>
      </c>
      <c r="DC364" s="1" t="str">
        <f t="shared" si="5"/>
        <v>No</v>
      </c>
    </row>
    <row r="365" spans="1:107">
      <c r="A365" s="7" t="s">
        <v>305</v>
      </c>
      <c r="B365" s="7" t="s">
        <v>306</v>
      </c>
      <c r="C365" s="37" t="s">
        <v>70</v>
      </c>
      <c r="D365" s="296">
        <v>2006</v>
      </c>
      <c r="E365" s="297">
        <v>20006</v>
      </c>
      <c r="F365" s="27" t="s">
        <v>162</v>
      </c>
      <c r="G365" s="27" t="s">
        <v>158</v>
      </c>
      <c r="H365" s="35">
        <v>18351295</v>
      </c>
      <c r="I365" s="35">
        <v>11</v>
      </c>
      <c r="J365" s="292"/>
      <c r="K365" s="8">
        <v>45247</v>
      </c>
      <c r="L365" s="8"/>
      <c r="M365" s="8">
        <v>6838</v>
      </c>
      <c r="N365" s="9"/>
      <c r="O365" s="8">
        <v>2171</v>
      </c>
      <c r="P365" s="9"/>
      <c r="Q365" s="8">
        <v>4131</v>
      </c>
      <c r="R365" s="9"/>
      <c r="S365" s="8">
        <v>0</v>
      </c>
      <c r="T365" s="9"/>
      <c r="U365" s="33">
        <v>58387</v>
      </c>
      <c r="V365" s="9"/>
      <c r="W365" s="30">
        <v>40</v>
      </c>
      <c r="X365" s="9"/>
      <c r="Y365" s="30">
        <v>3.5</v>
      </c>
      <c r="Z365" s="9"/>
      <c r="AA365" s="30">
        <v>2</v>
      </c>
      <c r="AB365" s="9"/>
      <c r="AC365" s="30">
        <v>2.2000000000000002</v>
      </c>
      <c r="AD365" s="9"/>
      <c r="AE365" s="80">
        <v>0</v>
      </c>
      <c r="AF365" s="46"/>
      <c r="AG365" s="88">
        <v>47.7</v>
      </c>
      <c r="AH365" s="47"/>
      <c r="AJ365" s="83">
        <v>25884</v>
      </c>
      <c r="AL365" s="83">
        <v>6838</v>
      </c>
      <c r="AN365" s="83">
        <v>0</v>
      </c>
      <c r="AP365" s="83">
        <v>2535</v>
      </c>
      <c r="AR365" s="83">
        <v>0</v>
      </c>
      <c r="AT365" s="204">
        <v>35257</v>
      </c>
      <c r="AV365" s="46">
        <v>14</v>
      </c>
      <c r="AX365" s="46">
        <v>3.5</v>
      </c>
      <c r="AZ365" s="46">
        <v>0</v>
      </c>
      <c r="BB365" s="46">
        <v>1.2</v>
      </c>
      <c r="BD365" s="46">
        <v>0</v>
      </c>
      <c r="BF365" s="209">
        <v>47.7</v>
      </c>
      <c r="BI365" s="83">
        <v>19363</v>
      </c>
      <c r="BK365" s="83">
        <v>0</v>
      </c>
      <c r="BM365" s="83">
        <v>2171</v>
      </c>
      <c r="BO365" s="83">
        <v>1596</v>
      </c>
      <c r="BQ365" s="83">
        <v>0</v>
      </c>
      <c r="BS365" s="85">
        <v>23130</v>
      </c>
      <c r="BU365" s="46">
        <v>26</v>
      </c>
      <c r="BW365" s="46">
        <v>0</v>
      </c>
      <c r="BY365" s="46">
        <v>2</v>
      </c>
      <c r="CA365" s="46">
        <v>1</v>
      </c>
      <c r="CC365" s="46">
        <v>0</v>
      </c>
      <c r="CE365" s="209">
        <v>29</v>
      </c>
      <c r="CH365" s="41">
        <v>1010553</v>
      </c>
      <c r="CJ365" s="41">
        <v>203295</v>
      </c>
      <c r="CL365" s="41">
        <v>72125</v>
      </c>
      <c r="CN365" s="41">
        <v>255873</v>
      </c>
      <c r="CP365" s="43">
        <v>1541846</v>
      </c>
      <c r="CS365" s="39">
        <v>22.334099999999999</v>
      </c>
      <c r="CU365" s="39">
        <v>29.7302</v>
      </c>
      <c r="CW365" s="39">
        <v>1.5940000000000001</v>
      </c>
      <c r="CY365" s="39">
        <v>61.939700000000002</v>
      </c>
      <c r="DA365" s="44">
        <v>26.407399999999999</v>
      </c>
      <c r="DC365" s="1" t="str">
        <f t="shared" si="5"/>
        <v>No</v>
      </c>
    </row>
    <row r="366" spans="1:107">
      <c r="A366" s="7" t="s">
        <v>353</v>
      </c>
      <c r="B366" s="7" t="s">
        <v>292</v>
      </c>
      <c r="C366" s="37" t="s">
        <v>52</v>
      </c>
      <c r="D366" s="296">
        <v>5141</v>
      </c>
      <c r="E366" s="297">
        <v>50141</v>
      </c>
      <c r="F366" s="27" t="s">
        <v>165</v>
      </c>
      <c r="G366" s="27" t="s">
        <v>158</v>
      </c>
      <c r="H366" s="35">
        <v>3734090</v>
      </c>
      <c r="I366" s="35">
        <v>10</v>
      </c>
      <c r="J366" s="292"/>
      <c r="K366" s="8">
        <v>140607</v>
      </c>
      <c r="L366" s="8"/>
      <c r="M366" s="8">
        <v>61586</v>
      </c>
      <c r="N366" s="9"/>
      <c r="O366" s="8">
        <v>0</v>
      </c>
      <c r="P366" s="9"/>
      <c r="Q366" s="8">
        <v>36067</v>
      </c>
      <c r="R366" s="9"/>
      <c r="S366" s="8">
        <v>0</v>
      </c>
      <c r="T366" s="9"/>
      <c r="U366" s="33">
        <v>238260</v>
      </c>
      <c r="V366" s="9"/>
      <c r="W366" s="30">
        <v>81</v>
      </c>
      <c r="X366" s="9"/>
      <c r="Y366" s="30">
        <v>22</v>
      </c>
      <c r="Z366" s="9"/>
      <c r="AA366" s="30">
        <v>0</v>
      </c>
      <c r="AB366" s="9"/>
      <c r="AC366" s="30">
        <v>18</v>
      </c>
      <c r="AD366" s="9"/>
      <c r="AE366" s="80">
        <v>0</v>
      </c>
      <c r="AF366" s="46"/>
      <c r="AG366" s="88">
        <v>121</v>
      </c>
      <c r="AH366" s="47"/>
      <c r="AJ366" s="83">
        <v>140607</v>
      </c>
      <c r="AL366" s="83">
        <v>61586</v>
      </c>
      <c r="AN366" s="83">
        <v>0</v>
      </c>
      <c r="AP366" s="83">
        <v>33474</v>
      </c>
      <c r="AR366" s="83">
        <v>0</v>
      </c>
      <c r="AT366" s="204">
        <v>235667</v>
      </c>
      <c r="AV366" s="46">
        <v>81</v>
      </c>
      <c r="AX366" s="46">
        <v>22</v>
      </c>
      <c r="AZ366" s="46">
        <v>0</v>
      </c>
      <c r="BB366" s="46">
        <v>16</v>
      </c>
      <c r="BD366" s="46">
        <v>0</v>
      </c>
      <c r="BF366" s="209">
        <v>121</v>
      </c>
      <c r="BI366" s="83">
        <v>0</v>
      </c>
      <c r="BK366" s="83">
        <v>0</v>
      </c>
      <c r="BM366" s="83">
        <v>0</v>
      </c>
      <c r="BO366" s="83">
        <v>2593</v>
      </c>
      <c r="BQ366" s="83">
        <v>0</v>
      </c>
      <c r="BS366" s="85">
        <v>2593</v>
      </c>
      <c r="BU366" s="46">
        <v>0</v>
      </c>
      <c r="BW366" s="46">
        <v>0</v>
      </c>
      <c r="BY366" s="46">
        <v>0</v>
      </c>
      <c r="CA366" s="46">
        <v>2</v>
      </c>
      <c r="CC366" s="46">
        <v>0</v>
      </c>
      <c r="CE366" s="209">
        <v>2</v>
      </c>
      <c r="CH366" s="41">
        <v>3436264</v>
      </c>
      <c r="CJ366" s="41">
        <v>1584229</v>
      </c>
      <c r="CL366" s="41">
        <v>0</v>
      </c>
      <c r="CN366" s="41">
        <v>1050128</v>
      </c>
      <c r="CP366" s="43">
        <v>6070621</v>
      </c>
      <c r="CS366" s="39">
        <v>24.438800000000001</v>
      </c>
      <c r="CU366" s="39">
        <v>25.723800000000001</v>
      </c>
      <c r="CW366" s="39">
        <v>0</v>
      </c>
      <c r="CY366" s="39">
        <v>29.116</v>
      </c>
      <c r="DA366" s="44">
        <v>25.478999999999999</v>
      </c>
      <c r="DC366" s="1" t="str">
        <f t="shared" si="5"/>
        <v>No</v>
      </c>
    </row>
    <row r="367" spans="1:107">
      <c r="A367" s="7" t="s">
        <v>1148</v>
      </c>
      <c r="B367" s="7" t="s">
        <v>744</v>
      </c>
      <c r="C367" s="37" t="s">
        <v>79</v>
      </c>
      <c r="D367" s="296">
        <v>4175</v>
      </c>
      <c r="E367" s="297">
        <v>40175</v>
      </c>
      <c r="F367" s="27" t="s">
        <v>157</v>
      </c>
      <c r="G367" s="27" t="s">
        <v>158</v>
      </c>
      <c r="H367" s="35">
        <v>2148346</v>
      </c>
      <c r="I367" s="35">
        <v>10</v>
      </c>
      <c r="J367" s="292"/>
      <c r="K367" s="8">
        <v>190685</v>
      </c>
      <c r="L367" s="8"/>
      <c r="M367" s="8">
        <v>125368</v>
      </c>
      <c r="N367" s="9"/>
      <c r="O367" s="8">
        <v>19370</v>
      </c>
      <c r="P367" s="9"/>
      <c r="Q367" s="8">
        <v>72020</v>
      </c>
      <c r="R367" s="9"/>
      <c r="S367" s="8">
        <v>0</v>
      </c>
      <c r="T367" s="9"/>
      <c r="U367" s="33">
        <v>407443</v>
      </c>
      <c r="V367" s="9"/>
      <c r="W367" s="30">
        <v>113</v>
      </c>
      <c r="X367" s="9"/>
      <c r="Y367" s="30">
        <v>68</v>
      </c>
      <c r="Z367" s="9"/>
      <c r="AA367" s="30">
        <v>13</v>
      </c>
      <c r="AB367" s="9"/>
      <c r="AC367" s="30">
        <v>37</v>
      </c>
      <c r="AD367" s="9"/>
      <c r="AE367" s="80">
        <v>0</v>
      </c>
      <c r="AF367" s="46"/>
      <c r="AG367" s="88">
        <v>231</v>
      </c>
      <c r="AH367" s="47"/>
      <c r="AJ367" s="83">
        <v>190685</v>
      </c>
      <c r="AL367" s="83">
        <v>125368</v>
      </c>
      <c r="AN367" s="83">
        <v>19370</v>
      </c>
      <c r="AP367" s="83">
        <v>72020</v>
      </c>
      <c r="AR367" s="83">
        <v>0</v>
      </c>
      <c r="AT367" s="204">
        <v>407443</v>
      </c>
      <c r="AV367" s="46">
        <v>113</v>
      </c>
      <c r="AX367" s="46">
        <v>68</v>
      </c>
      <c r="AZ367" s="46">
        <v>13</v>
      </c>
      <c r="BB367" s="46">
        <v>37</v>
      </c>
      <c r="BD367" s="46">
        <v>0</v>
      </c>
      <c r="BF367" s="209">
        <v>231</v>
      </c>
      <c r="BI367" s="83">
        <v>0</v>
      </c>
      <c r="BK367" s="83">
        <v>0</v>
      </c>
      <c r="BM367" s="83">
        <v>0</v>
      </c>
      <c r="BO367" s="83">
        <v>0</v>
      </c>
      <c r="BQ367" s="83">
        <v>0</v>
      </c>
      <c r="BS367" s="85">
        <v>0</v>
      </c>
      <c r="BU367" s="46">
        <v>0</v>
      </c>
      <c r="BW367" s="46">
        <v>0</v>
      </c>
      <c r="BY367" s="46">
        <v>0</v>
      </c>
      <c r="CA367" s="46">
        <v>0</v>
      </c>
      <c r="CC367" s="46">
        <v>0</v>
      </c>
      <c r="CE367" s="209">
        <v>0</v>
      </c>
      <c r="CH367" s="41">
        <v>7160337</v>
      </c>
      <c r="CJ367" s="41">
        <v>3863619</v>
      </c>
      <c r="CL367" s="41">
        <v>454741</v>
      </c>
      <c r="CN367" s="41">
        <v>1703550</v>
      </c>
      <c r="CP367" s="43">
        <v>13182247</v>
      </c>
      <c r="CS367" s="39">
        <v>37.550600000000003</v>
      </c>
      <c r="CU367" s="39">
        <v>30.818200000000001</v>
      </c>
      <c r="CW367" s="39">
        <v>2.3847999999999998</v>
      </c>
      <c r="CY367" s="39">
        <v>23.6538</v>
      </c>
      <c r="DA367" s="44">
        <v>32.3536</v>
      </c>
      <c r="DC367" s="1" t="str">
        <f t="shared" si="5"/>
        <v>No</v>
      </c>
    </row>
    <row r="368" spans="1:107">
      <c r="A368" s="7" t="s">
        <v>1149</v>
      </c>
      <c r="B368" s="7" t="s">
        <v>1150</v>
      </c>
      <c r="C368" s="37" t="s">
        <v>32</v>
      </c>
      <c r="D368" s="296"/>
      <c r="E368" s="297">
        <v>40259</v>
      </c>
      <c r="F368" s="27" t="s">
        <v>187</v>
      </c>
      <c r="G368" s="27" t="s">
        <v>158</v>
      </c>
      <c r="H368" s="35">
        <v>2441770</v>
      </c>
      <c r="I368" s="35">
        <v>8</v>
      </c>
      <c r="J368" s="292"/>
      <c r="K368" s="8">
        <v>10500</v>
      </c>
      <c r="L368" s="8"/>
      <c r="M368" s="8">
        <v>1800</v>
      </c>
      <c r="N368" s="9"/>
      <c r="O368" s="8">
        <v>1880</v>
      </c>
      <c r="P368" s="9"/>
      <c r="Q368" s="8">
        <v>4100</v>
      </c>
      <c r="R368" s="9"/>
      <c r="S368" s="8">
        <v>0</v>
      </c>
      <c r="T368" s="9"/>
      <c r="U368" s="33">
        <v>18280</v>
      </c>
      <c r="V368" s="9"/>
      <c r="W368" s="30">
        <v>5</v>
      </c>
      <c r="X368" s="9"/>
      <c r="Y368" s="30">
        <v>1</v>
      </c>
      <c r="Z368" s="9"/>
      <c r="AA368" s="30">
        <v>1</v>
      </c>
      <c r="AB368" s="9"/>
      <c r="AC368" s="30">
        <v>2</v>
      </c>
      <c r="AD368" s="9"/>
      <c r="AE368" s="80">
        <v>0</v>
      </c>
      <c r="AF368" s="46"/>
      <c r="AG368" s="88">
        <v>9</v>
      </c>
      <c r="AH368" s="47"/>
      <c r="AJ368" s="83">
        <v>10500</v>
      </c>
      <c r="AL368" s="83">
        <v>1800</v>
      </c>
      <c r="AN368" s="83">
        <v>1880</v>
      </c>
      <c r="AP368" s="83">
        <v>4100</v>
      </c>
      <c r="AR368" s="83">
        <v>0</v>
      </c>
      <c r="AT368" s="204">
        <v>18280</v>
      </c>
      <c r="AV368" s="46">
        <v>5</v>
      </c>
      <c r="AX368" s="46">
        <v>1</v>
      </c>
      <c r="AZ368" s="46">
        <v>1</v>
      </c>
      <c r="BB368" s="46">
        <v>2</v>
      </c>
      <c r="BD368" s="46">
        <v>0</v>
      </c>
      <c r="BF368" s="209">
        <v>9</v>
      </c>
      <c r="BI368" s="83">
        <v>0</v>
      </c>
      <c r="BK368" s="83">
        <v>0</v>
      </c>
      <c r="BM368" s="83">
        <v>0</v>
      </c>
      <c r="BO368" s="83">
        <v>0</v>
      </c>
      <c r="BQ368" s="83">
        <v>0</v>
      </c>
      <c r="BS368" s="85">
        <v>0</v>
      </c>
      <c r="BU368" s="46">
        <v>0</v>
      </c>
      <c r="BW368" s="46">
        <v>0</v>
      </c>
      <c r="BY368" s="46">
        <v>0</v>
      </c>
      <c r="CA368" s="46">
        <v>0</v>
      </c>
      <c r="CC368" s="46">
        <v>0</v>
      </c>
      <c r="CE368" s="209">
        <v>0</v>
      </c>
      <c r="CH368" s="41">
        <v>245265</v>
      </c>
      <c r="CJ368" s="41">
        <v>20500</v>
      </c>
      <c r="CL368" s="41">
        <v>21456</v>
      </c>
      <c r="CN368" s="41">
        <v>84265</v>
      </c>
      <c r="CP368" s="43">
        <v>371486</v>
      </c>
      <c r="CS368" s="39">
        <v>23.358599999999999</v>
      </c>
      <c r="CU368" s="39">
        <v>11.3889</v>
      </c>
      <c r="CW368" s="39">
        <v>2.0434000000000001</v>
      </c>
      <c r="CY368" s="39">
        <v>20.552399999999999</v>
      </c>
      <c r="DA368" s="44">
        <v>20.321999999999999</v>
      </c>
      <c r="DC368" s="1" t="str">
        <f t="shared" si="5"/>
        <v>No</v>
      </c>
    </row>
    <row r="369" spans="1:107">
      <c r="A369" s="7" t="s">
        <v>293</v>
      </c>
      <c r="B369" s="7" t="s">
        <v>294</v>
      </c>
      <c r="C369" s="37" t="s">
        <v>86</v>
      </c>
      <c r="D369" s="296">
        <v>3058</v>
      </c>
      <c r="E369" s="297">
        <v>30058</v>
      </c>
      <c r="F369" s="27" t="s">
        <v>162</v>
      </c>
      <c r="G369" s="27" t="s">
        <v>158</v>
      </c>
      <c r="H369" s="35">
        <v>4586770</v>
      </c>
      <c r="I369" s="35">
        <v>8</v>
      </c>
      <c r="J369" s="292"/>
      <c r="K369" s="8">
        <v>51819</v>
      </c>
      <c r="L369" s="8"/>
      <c r="M369" s="8">
        <v>4025</v>
      </c>
      <c r="N369" s="9"/>
      <c r="O369" s="8">
        <v>0</v>
      </c>
      <c r="P369" s="9"/>
      <c r="Q369" s="8">
        <v>6265</v>
      </c>
      <c r="R369" s="9"/>
      <c r="S369" s="8">
        <v>0</v>
      </c>
      <c r="T369" s="9"/>
      <c r="U369" s="33">
        <v>62109</v>
      </c>
      <c r="V369" s="9"/>
      <c r="W369" s="30">
        <v>38.700000000000003</v>
      </c>
      <c r="X369" s="9"/>
      <c r="Y369" s="30">
        <v>2.2400000000000002</v>
      </c>
      <c r="Z369" s="9"/>
      <c r="AA369" s="30">
        <v>0</v>
      </c>
      <c r="AB369" s="9"/>
      <c r="AC369" s="30">
        <v>43.9</v>
      </c>
      <c r="AD369" s="9"/>
      <c r="AE369" s="80">
        <v>0</v>
      </c>
      <c r="AF369" s="46"/>
      <c r="AG369" s="88">
        <v>84.84</v>
      </c>
      <c r="AH369" s="47"/>
      <c r="AJ369" s="83">
        <v>40788</v>
      </c>
      <c r="AL369" s="83">
        <v>3950</v>
      </c>
      <c r="AN369" s="83">
        <v>0</v>
      </c>
      <c r="AP369" s="83">
        <v>6265</v>
      </c>
      <c r="AR369" s="83">
        <v>0</v>
      </c>
      <c r="AT369" s="204">
        <v>51003</v>
      </c>
      <c r="AV369" s="46">
        <v>23.7</v>
      </c>
      <c r="AX369" s="46">
        <v>2.2000000000000002</v>
      </c>
      <c r="AZ369" s="46">
        <v>0</v>
      </c>
      <c r="BB369" s="46">
        <v>43.9</v>
      </c>
      <c r="BD369" s="46">
        <v>0</v>
      </c>
      <c r="BF369" s="209">
        <v>84.84</v>
      </c>
      <c r="BI369" s="83">
        <v>11031</v>
      </c>
      <c r="BK369" s="83">
        <v>75</v>
      </c>
      <c r="BM369" s="83">
        <v>0</v>
      </c>
      <c r="BO369" s="83">
        <v>0</v>
      </c>
      <c r="BQ369" s="83">
        <v>0</v>
      </c>
      <c r="BS369" s="85">
        <v>11106</v>
      </c>
      <c r="BU369" s="46">
        <v>15</v>
      </c>
      <c r="BW369" s="46">
        <v>0.04</v>
      </c>
      <c r="BY369" s="46">
        <v>0</v>
      </c>
      <c r="CA369" s="46">
        <v>0</v>
      </c>
      <c r="CC369" s="46">
        <v>0</v>
      </c>
      <c r="CE369" s="209">
        <v>15.04</v>
      </c>
      <c r="CH369" s="41">
        <v>1264740</v>
      </c>
      <c r="CJ369" s="41">
        <v>75852</v>
      </c>
      <c r="CL369" s="41">
        <v>0</v>
      </c>
      <c r="CN369" s="41">
        <v>324009</v>
      </c>
      <c r="CP369" s="43">
        <v>1664601</v>
      </c>
      <c r="CS369" s="39">
        <v>24.4069</v>
      </c>
      <c r="CU369" s="39">
        <v>18.845199999999998</v>
      </c>
      <c r="CW369" s="39">
        <v>0</v>
      </c>
      <c r="CY369" s="39">
        <v>51.717300000000002</v>
      </c>
      <c r="DA369" s="44">
        <v>26.801300000000001</v>
      </c>
      <c r="DC369" s="1" t="str">
        <f t="shared" si="5"/>
        <v>No</v>
      </c>
    </row>
    <row r="370" spans="1:107">
      <c r="A370" s="7" t="s">
        <v>724</v>
      </c>
      <c r="B370" s="7" t="s">
        <v>535</v>
      </c>
      <c r="C370" s="37" t="s">
        <v>42</v>
      </c>
      <c r="D370" s="296">
        <v>5179</v>
      </c>
      <c r="E370" s="297">
        <v>50179</v>
      </c>
      <c r="F370" s="27" t="s">
        <v>187</v>
      </c>
      <c r="G370" s="27" t="s">
        <v>158</v>
      </c>
      <c r="H370" s="35">
        <v>8608208</v>
      </c>
      <c r="I370" s="35">
        <v>7</v>
      </c>
      <c r="J370" s="292"/>
      <c r="K370" s="8">
        <v>18861</v>
      </c>
      <c r="L370" s="8"/>
      <c r="M370" s="8">
        <v>0</v>
      </c>
      <c r="N370" s="9"/>
      <c r="O370" s="8">
        <v>0</v>
      </c>
      <c r="P370" s="9"/>
      <c r="Q370" s="8">
        <v>4847</v>
      </c>
      <c r="R370" s="9"/>
      <c r="S370" s="8">
        <v>0</v>
      </c>
      <c r="T370" s="9"/>
      <c r="U370" s="33">
        <v>23708</v>
      </c>
      <c r="V370" s="9"/>
      <c r="W370" s="30">
        <v>15</v>
      </c>
      <c r="X370" s="9"/>
      <c r="Y370" s="30">
        <v>0</v>
      </c>
      <c r="Z370" s="9"/>
      <c r="AA370" s="30">
        <v>0</v>
      </c>
      <c r="AB370" s="9"/>
      <c r="AC370" s="30">
        <v>3</v>
      </c>
      <c r="AD370" s="9"/>
      <c r="AE370" s="80">
        <v>0</v>
      </c>
      <c r="AF370" s="46"/>
      <c r="AG370" s="88">
        <v>18</v>
      </c>
      <c r="AH370" s="47"/>
      <c r="AJ370" s="83">
        <v>16980</v>
      </c>
      <c r="AL370" s="83">
        <v>0</v>
      </c>
      <c r="AN370" s="83">
        <v>0</v>
      </c>
      <c r="AP370" s="83">
        <v>4847</v>
      </c>
      <c r="AR370" s="83">
        <v>0</v>
      </c>
      <c r="AT370" s="204">
        <v>21827</v>
      </c>
      <c r="AV370" s="46">
        <v>10</v>
      </c>
      <c r="AX370" s="46">
        <v>0</v>
      </c>
      <c r="AZ370" s="46">
        <v>0</v>
      </c>
      <c r="BB370" s="46">
        <v>3</v>
      </c>
      <c r="BD370" s="46">
        <v>0</v>
      </c>
      <c r="BF370" s="209">
        <v>18</v>
      </c>
      <c r="BI370" s="83">
        <v>1881</v>
      </c>
      <c r="BK370" s="83">
        <v>0</v>
      </c>
      <c r="BM370" s="83">
        <v>0</v>
      </c>
      <c r="BO370" s="83">
        <v>0</v>
      </c>
      <c r="BQ370" s="83">
        <v>0</v>
      </c>
      <c r="BS370" s="85">
        <v>1881</v>
      </c>
      <c r="BU370" s="46">
        <v>5</v>
      </c>
      <c r="BW370" s="46">
        <v>0</v>
      </c>
      <c r="BY370" s="46">
        <v>0</v>
      </c>
      <c r="CA370" s="46">
        <v>0</v>
      </c>
      <c r="CC370" s="46">
        <v>0</v>
      </c>
      <c r="CE370" s="209">
        <v>5</v>
      </c>
      <c r="CH370" s="41">
        <v>270534</v>
      </c>
      <c r="CJ370" s="41">
        <v>0</v>
      </c>
      <c r="CL370" s="41">
        <v>0</v>
      </c>
      <c r="CN370" s="41">
        <v>92700</v>
      </c>
      <c r="CP370" s="43">
        <v>363234</v>
      </c>
      <c r="CS370" s="39">
        <v>14.3436</v>
      </c>
      <c r="CW370" s="39">
        <v>0</v>
      </c>
      <c r="CY370" s="39">
        <v>19.1252</v>
      </c>
      <c r="DA370" s="44">
        <v>15.321199999999999</v>
      </c>
      <c r="DC370" s="1" t="str">
        <f t="shared" si="5"/>
        <v>No</v>
      </c>
    </row>
    <row r="371" spans="1:107">
      <c r="A371" s="7" t="s">
        <v>1151</v>
      </c>
      <c r="B371" s="7" t="s">
        <v>1152</v>
      </c>
      <c r="C371" s="37" t="s">
        <v>86</v>
      </c>
      <c r="D371" s="296">
        <v>3103</v>
      </c>
      <c r="E371" s="297">
        <v>30103</v>
      </c>
      <c r="F371" s="27" t="s">
        <v>173</v>
      </c>
      <c r="G371" s="27" t="s">
        <v>158</v>
      </c>
      <c r="H371" s="35">
        <v>4586770</v>
      </c>
      <c r="I371" s="35">
        <v>7</v>
      </c>
      <c r="J371" s="292"/>
      <c r="K371" s="8">
        <v>14659</v>
      </c>
      <c r="L371" s="8"/>
      <c r="M371" s="8">
        <v>283</v>
      </c>
      <c r="N371" s="9" t="s">
        <v>121</v>
      </c>
      <c r="O371" s="8">
        <v>1016</v>
      </c>
      <c r="P371" s="9"/>
      <c r="Q371" s="8">
        <v>1058</v>
      </c>
      <c r="R371" s="9"/>
      <c r="S371" s="8">
        <v>0</v>
      </c>
      <c r="T371" s="9"/>
      <c r="U371" s="33">
        <v>17016</v>
      </c>
      <c r="V371" s="9" t="s">
        <v>121</v>
      </c>
      <c r="W371" s="30">
        <v>6.8</v>
      </c>
      <c r="X371" s="9"/>
      <c r="Y371" s="30">
        <v>0.34</v>
      </c>
      <c r="Z371" s="9" t="s">
        <v>121</v>
      </c>
      <c r="AA371" s="30">
        <v>0.68</v>
      </c>
      <c r="AB371" s="9"/>
      <c r="AC371" s="30">
        <v>0.51</v>
      </c>
      <c r="AD371" s="9"/>
      <c r="AE371" s="80">
        <v>0</v>
      </c>
      <c r="AF371" s="46"/>
      <c r="AG371" s="88">
        <v>8.33</v>
      </c>
      <c r="AH371" s="47" t="s">
        <v>121</v>
      </c>
      <c r="AJ371" s="83">
        <v>12191</v>
      </c>
      <c r="AL371" s="83">
        <v>283</v>
      </c>
      <c r="AM371" s="46" t="s">
        <v>121</v>
      </c>
      <c r="AN371" s="83">
        <v>665</v>
      </c>
      <c r="AP371" s="83">
        <v>1058</v>
      </c>
      <c r="AR371" s="83">
        <v>0</v>
      </c>
      <c r="AT371" s="204">
        <v>14197</v>
      </c>
      <c r="AU371" s="46" t="s">
        <v>121</v>
      </c>
      <c r="AV371" s="46">
        <v>4.93</v>
      </c>
      <c r="AX371" s="46">
        <v>0.34</v>
      </c>
      <c r="AY371" s="46" t="s">
        <v>121</v>
      </c>
      <c r="AZ371" s="46">
        <v>0.34</v>
      </c>
      <c r="BB371" s="46">
        <v>0.51</v>
      </c>
      <c r="BD371" s="46">
        <v>0</v>
      </c>
      <c r="BF371" s="209">
        <v>8.33</v>
      </c>
      <c r="BG371" s="7" t="s">
        <v>121</v>
      </c>
      <c r="BI371" s="83">
        <v>2468</v>
      </c>
      <c r="BK371" s="83">
        <v>0</v>
      </c>
      <c r="BM371" s="83">
        <v>351</v>
      </c>
      <c r="BO371" s="83">
        <v>0</v>
      </c>
      <c r="BQ371" s="83">
        <v>0</v>
      </c>
      <c r="BS371" s="85">
        <v>2819</v>
      </c>
      <c r="BU371" s="46">
        <v>1.87</v>
      </c>
      <c r="BW371" s="46">
        <v>0</v>
      </c>
      <c r="BY371" s="46">
        <v>0.34</v>
      </c>
      <c r="CA371" s="46">
        <v>0</v>
      </c>
      <c r="CC371" s="46">
        <v>0</v>
      </c>
      <c r="CE371" s="209">
        <v>2.21</v>
      </c>
      <c r="CH371" s="41">
        <v>339223</v>
      </c>
      <c r="CJ371" s="41">
        <v>4520</v>
      </c>
      <c r="CL371" s="41">
        <v>16228</v>
      </c>
      <c r="CN371" s="41">
        <v>35949</v>
      </c>
      <c r="CP371" s="43">
        <v>395920</v>
      </c>
      <c r="CS371" s="39">
        <v>23.140899999999998</v>
      </c>
      <c r="CU371" s="39">
        <v>15.9717</v>
      </c>
      <c r="CV371" s="39" t="s">
        <v>121</v>
      </c>
      <c r="CW371" s="39">
        <v>1.107</v>
      </c>
      <c r="CY371" s="39">
        <v>33.978299999999997</v>
      </c>
      <c r="DA371" s="44">
        <v>23.267499999999998</v>
      </c>
      <c r="DC371" s="1" t="str">
        <f t="shared" si="5"/>
        <v>Yes</v>
      </c>
    </row>
    <row r="372" spans="1:107">
      <c r="A372" s="7" t="s">
        <v>332</v>
      </c>
      <c r="B372" s="7" t="s">
        <v>333</v>
      </c>
      <c r="C372" s="37" t="s">
        <v>38</v>
      </c>
      <c r="D372" s="296">
        <v>7030</v>
      </c>
      <c r="E372" s="297">
        <v>70030</v>
      </c>
      <c r="F372" s="27" t="s">
        <v>162</v>
      </c>
      <c r="G372" s="27" t="s">
        <v>158</v>
      </c>
      <c r="H372" s="35">
        <v>106621</v>
      </c>
      <c r="I372" s="35">
        <v>7</v>
      </c>
      <c r="J372" s="292"/>
      <c r="K372" s="8">
        <v>23268</v>
      </c>
      <c r="L372" s="8"/>
      <c r="M372" s="8">
        <v>4718</v>
      </c>
      <c r="N372" s="9"/>
      <c r="O372" s="8">
        <v>0</v>
      </c>
      <c r="P372" s="9"/>
      <c r="Q372" s="8">
        <v>1949</v>
      </c>
      <c r="R372" s="9"/>
      <c r="S372" s="8">
        <v>0</v>
      </c>
      <c r="T372" s="9"/>
      <c r="U372" s="33">
        <v>29935</v>
      </c>
      <c r="V372" s="9"/>
      <c r="W372" s="30">
        <v>18</v>
      </c>
      <c r="X372" s="9"/>
      <c r="Y372" s="30">
        <v>3</v>
      </c>
      <c r="Z372" s="9"/>
      <c r="AA372" s="30">
        <v>0</v>
      </c>
      <c r="AB372" s="9"/>
      <c r="AC372" s="30">
        <v>2</v>
      </c>
      <c r="AD372" s="9"/>
      <c r="AE372" s="80">
        <v>0</v>
      </c>
      <c r="AF372" s="46"/>
      <c r="AG372" s="88">
        <v>23</v>
      </c>
      <c r="AH372" s="47"/>
      <c r="AJ372" s="83">
        <v>13534</v>
      </c>
      <c r="AL372" s="83">
        <v>3518</v>
      </c>
      <c r="AN372" s="83">
        <v>0</v>
      </c>
      <c r="AP372" s="83">
        <v>1859</v>
      </c>
      <c r="AR372" s="83">
        <v>0</v>
      </c>
      <c r="AT372" s="204">
        <v>18911</v>
      </c>
      <c r="AV372" s="46">
        <v>8</v>
      </c>
      <c r="AX372" s="46">
        <v>2</v>
      </c>
      <c r="AZ372" s="46">
        <v>0</v>
      </c>
      <c r="BB372" s="46">
        <v>1</v>
      </c>
      <c r="BD372" s="46">
        <v>0</v>
      </c>
      <c r="BF372" s="209">
        <v>23</v>
      </c>
      <c r="BI372" s="83">
        <v>9734</v>
      </c>
      <c r="BK372" s="83">
        <v>1200</v>
      </c>
      <c r="BM372" s="83">
        <v>0</v>
      </c>
      <c r="BO372" s="83">
        <v>90</v>
      </c>
      <c r="BQ372" s="83">
        <v>0</v>
      </c>
      <c r="BS372" s="85">
        <v>11024</v>
      </c>
      <c r="BU372" s="46">
        <v>10</v>
      </c>
      <c r="BW372" s="46">
        <v>1</v>
      </c>
      <c r="BY372" s="46">
        <v>0</v>
      </c>
      <c r="CA372" s="46">
        <v>1</v>
      </c>
      <c r="CC372" s="46">
        <v>0</v>
      </c>
      <c r="CE372" s="209">
        <v>12</v>
      </c>
      <c r="CH372" s="41">
        <v>521143</v>
      </c>
      <c r="CJ372" s="41">
        <v>106024</v>
      </c>
      <c r="CL372" s="41">
        <v>0</v>
      </c>
      <c r="CN372" s="41">
        <v>72969</v>
      </c>
      <c r="CP372" s="43">
        <v>700136</v>
      </c>
      <c r="CS372" s="39">
        <v>22.397400000000001</v>
      </c>
      <c r="CU372" s="39">
        <v>22.472200000000001</v>
      </c>
      <c r="CW372" s="39">
        <v>0</v>
      </c>
      <c r="CY372" s="39">
        <v>37.4392</v>
      </c>
      <c r="DA372" s="44">
        <v>23.388500000000001</v>
      </c>
      <c r="DC372" s="1" t="str">
        <f t="shared" si="5"/>
        <v>No</v>
      </c>
    </row>
    <row r="373" spans="1:107">
      <c r="A373" s="7" t="s">
        <v>775</v>
      </c>
      <c r="B373" s="7" t="s">
        <v>776</v>
      </c>
      <c r="C373" s="37" t="s">
        <v>46</v>
      </c>
      <c r="D373" s="296">
        <v>6127</v>
      </c>
      <c r="E373" s="297">
        <v>60127</v>
      </c>
      <c r="F373" s="27" t="s">
        <v>162</v>
      </c>
      <c r="G373" s="27" t="s">
        <v>158</v>
      </c>
      <c r="H373" s="35">
        <v>899703</v>
      </c>
      <c r="I373" s="35">
        <v>6</v>
      </c>
      <c r="J373" s="292"/>
      <c r="K373" s="8">
        <v>70974</v>
      </c>
      <c r="L373" s="8"/>
      <c r="M373" s="8">
        <v>6387</v>
      </c>
      <c r="N373" s="9"/>
      <c r="O373" s="8">
        <v>836</v>
      </c>
      <c r="P373" s="9"/>
      <c r="Q373" s="8">
        <v>14179</v>
      </c>
      <c r="R373" s="9"/>
      <c r="S373" s="8">
        <v>0</v>
      </c>
      <c r="T373" s="9"/>
      <c r="U373" s="33">
        <v>92376</v>
      </c>
      <c r="V373" s="9"/>
      <c r="W373" s="30">
        <v>33</v>
      </c>
      <c r="X373" s="9"/>
      <c r="Y373" s="30">
        <v>2</v>
      </c>
      <c r="Z373" s="9"/>
      <c r="AA373" s="30">
        <v>0.4</v>
      </c>
      <c r="AB373" s="9"/>
      <c r="AC373" s="30">
        <v>6.8</v>
      </c>
      <c r="AD373" s="9"/>
      <c r="AE373" s="80">
        <v>0</v>
      </c>
      <c r="AF373" s="46"/>
      <c r="AG373" s="88">
        <v>42.2</v>
      </c>
      <c r="AH373" s="47"/>
      <c r="AJ373" s="83">
        <v>70974</v>
      </c>
      <c r="AL373" s="83">
        <v>6387</v>
      </c>
      <c r="AN373" s="83">
        <v>836</v>
      </c>
      <c r="AP373" s="83">
        <v>14179</v>
      </c>
      <c r="AR373" s="83">
        <v>0</v>
      </c>
      <c r="AT373" s="204">
        <v>92376</v>
      </c>
      <c r="AV373" s="46">
        <v>33</v>
      </c>
      <c r="AX373" s="46">
        <v>2</v>
      </c>
      <c r="AZ373" s="46">
        <v>0.4</v>
      </c>
      <c r="BB373" s="46">
        <v>6.8</v>
      </c>
      <c r="BD373" s="46">
        <v>0</v>
      </c>
      <c r="BF373" s="209">
        <v>42.2</v>
      </c>
      <c r="BI373" s="83">
        <v>0</v>
      </c>
      <c r="BK373" s="83">
        <v>0</v>
      </c>
      <c r="BM373" s="83">
        <v>0</v>
      </c>
      <c r="BO373" s="83">
        <v>0</v>
      </c>
      <c r="BQ373" s="83">
        <v>0</v>
      </c>
      <c r="BS373" s="85">
        <v>0</v>
      </c>
      <c r="BU373" s="46">
        <v>0</v>
      </c>
      <c r="BW373" s="46">
        <v>0</v>
      </c>
      <c r="BY373" s="46">
        <v>0</v>
      </c>
      <c r="CA373" s="46">
        <v>0</v>
      </c>
      <c r="CC373" s="46">
        <v>0</v>
      </c>
      <c r="CE373" s="209">
        <v>0</v>
      </c>
      <c r="CH373" s="41">
        <v>1843186</v>
      </c>
      <c r="CJ373" s="41">
        <v>101908</v>
      </c>
      <c r="CL373" s="41">
        <v>9762</v>
      </c>
      <c r="CN373" s="41">
        <v>293535</v>
      </c>
      <c r="CP373" s="43">
        <v>2248391</v>
      </c>
      <c r="CS373" s="39">
        <v>25.969899999999999</v>
      </c>
      <c r="CU373" s="39">
        <v>15.955500000000001</v>
      </c>
      <c r="CW373" s="39">
        <v>0.13750000000000001</v>
      </c>
      <c r="CY373" s="39">
        <v>20.702100000000002</v>
      </c>
      <c r="DA373" s="44">
        <v>24.339600000000001</v>
      </c>
      <c r="DC373" s="1" t="str">
        <f t="shared" si="5"/>
        <v>No</v>
      </c>
    </row>
    <row r="374" spans="1:107">
      <c r="A374" s="7" t="s">
        <v>124</v>
      </c>
      <c r="B374" s="7" t="s">
        <v>479</v>
      </c>
      <c r="C374" s="37" t="s">
        <v>70</v>
      </c>
      <c r="D374" s="296">
        <v>2189</v>
      </c>
      <c r="E374" s="297">
        <v>20189</v>
      </c>
      <c r="F374" s="27" t="s">
        <v>173</v>
      </c>
      <c r="G374" s="27" t="s">
        <v>158</v>
      </c>
      <c r="H374" s="35">
        <v>18351295</v>
      </c>
      <c r="I374" s="35">
        <v>6</v>
      </c>
      <c r="J374" s="292"/>
      <c r="K374" s="8">
        <v>45677</v>
      </c>
      <c r="L374" s="8"/>
      <c r="M374" s="8">
        <v>7488</v>
      </c>
      <c r="N374" s="9"/>
      <c r="O374" s="8">
        <v>3744</v>
      </c>
      <c r="P374" s="9"/>
      <c r="Q374" s="8">
        <v>25459</v>
      </c>
      <c r="R374" s="9"/>
      <c r="S374" s="8">
        <v>0</v>
      </c>
      <c r="T374" s="9"/>
      <c r="U374" s="33">
        <v>82368</v>
      </c>
      <c r="V374" s="9"/>
      <c r="W374" s="30">
        <v>23</v>
      </c>
      <c r="X374" s="9"/>
      <c r="Y374" s="30">
        <v>4</v>
      </c>
      <c r="Z374" s="9"/>
      <c r="AA374" s="30">
        <v>2</v>
      </c>
      <c r="AB374" s="9"/>
      <c r="AC374" s="30">
        <v>13</v>
      </c>
      <c r="AD374" s="9"/>
      <c r="AE374" s="80">
        <v>0</v>
      </c>
      <c r="AF374" s="46"/>
      <c r="AG374" s="88">
        <v>42</v>
      </c>
      <c r="AH374" s="47"/>
      <c r="AJ374" s="83">
        <v>43805</v>
      </c>
      <c r="AL374" s="83">
        <v>7488</v>
      </c>
      <c r="AN374" s="83">
        <v>3744</v>
      </c>
      <c r="AP374" s="83">
        <v>23213</v>
      </c>
      <c r="AR374" s="83">
        <v>0</v>
      </c>
      <c r="AT374" s="204">
        <v>78250</v>
      </c>
      <c r="AV374" s="46">
        <v>21</v>
      </c>
      <c r="AX374" s="46">
        <v>4</v>
      </c>
      <c r="AZ374" s="46">
        <v>2</v>
      </c>
      <c r="BB374" s="46">
        <v>11</v>
      </c>
      <c r="BD374" s="46">
        <v>0</v>
      </c>
      <c r="BF374" s="209">
        <v>42</v>
      </c>
      <c r="BI374" s="83">
        <v>1872</v>
      </c>
      <c r="BK374" s="83">
        <v>0</v>
      </c>
      <c r="BM374" s="83">
        <v>0</v>
      </c>
      <c r="BO374" s="83">
        <v>2246</v>
      </c>
      <c r="BQ374" s="83">
        <v>0</v>
      </c>
      <c r="BS374" s="85">
        <v>4118</v>
      </c>
      <c r="BU374" s="46">
        <v>2</v>
      </c>
      <c r="BW374" s="46">
        <v>0</v>
      </c>
      <c r="BY374" s="46">
        <v>0</v>
      </c>
      <c r="CA374" s="46">
        <v>2</v>
      </c>
      <c r="CC374" s="46">
        <v>0</v>
      </c>
      <c r="CE374" s="209">
        <v>4</v>
      </c>
      <c r="CH374" s="41">
        <v>1585539</v>
      </c>
      <c r="CJ374" s="41">
        <v>201630</v>
      </c>
      <c r="CL374" s="41">
        <v>46008</v>
      </c>
      <c r="CN374" s="41">
        <v>363511</v>
      </c>
      <c r="CP374" s="43">
        <v>2196688</v>
      </c>
      <c r="CS374" s="39">
        <v>34.712000000000003</v>
      </c>
      <c r="CU374" s="39">
        <v>26.927099999999999</v>
      </c>
      <c r="CW374" s="39">
        <v>1.0072000000000001</v>
      </c>
      <c r="CY374" s="39">
        <v>14.2783</v>
      </c>
      <c r="DA374" s="44">
        <v>26.6692</v>
      </c>
      <c r="DC374" s="1" t="str">
        <f t="shared" si="5"/>
        <v>No</v>
      </c>
    </row>
    <row r="375" spans="1:107">
      <c r="A375" s="7" t="s">
        <v>191</v>
      </c>
      <c r="B375" s="7" t="s">
        <v>192</v>
      </c>
      <c r="C375" s="37" t="s">
        <v>26</v>
      </c>
      <c r="D375" s="296">
        <v>8025</v>
      </c>
      <c r="E375" s="297">
        <v>80025</v>
      </c>
      <c r="F375" s="27" t="s">
        <v>162</v>
      </c>
      <c r="G375" s="27" t="s">
        <v>158</v>
      </c>
      <c r="H375" s="35">
        <v>264465</v>
      </c>
      <c r="I375" s="35">
        <v>5</v>
      </c>
      <c r="J375" s="292"/>
      <c r="K375" s="8">
        <v>34873</v>
      </c>
      <c r="L375" s="8"/>
      <c r="M375" s="8">
        <v>0</v>
      </c>
      <c r="N375" s="9"/>
      <c r="O375" s="8">
        <v>0</v>
      </c>
      <c r="P375" s="9"/>
      <c r="Q375" s="8">
        <v>6908</v>
      </c>
      <c r="R375" s="9"/>
      <c r="S375" s="8">
        <v>0</v>
      </c>
      <c r="T375" s="9"/>
      <c r="U375" s="33">
        <v>41781</v>
      </c>
      <c r="V375" s="9"/>
      <c r="W375" s="30">
        <v>25</v>
      </c>
      <c r="X375" s="9"/>
      <c r="Y375" s="30">
        <v>0</v>
      </c>
      <c r="Z375" s="9"/>
      <c r="AA375" s="30">
        <v>0</v>
      </c>
      <c r="AB375" s="9"/>
      <c r="AC375" s="30">
        <v>4</v>
      </c>
      <c r="AD375" s="9"/>
      <c r="AE375" s="80">
        <v>0</v>
      </c>
      <c r="AF375" s="46"/>
      <c r="AG375" s="88">
        <v>29</v>
      </c>
      <c r="AH375" s="47"/>
      <c r="AJ375" s="83">
        <v>0</v>
      </c>
      <c r="AL375" s="83">
        <v>0</v>
      </c>
      <c r="AN375" s="83">
        <v>0</v>
      </c>
      <c r="AP375" s="83">
        <v>3684</v>
      </c>
      <c r="AR375" s="83">
        <v>0</v>
      </c>
      <c r="AT375" s="204">
        <v>3684</v>
      </c>
      <c r="AV375" s="46">
        <v>0</v>
      </c>
      <c r="AX375" s="46">
        <v>0</v>
      </c>
      <c r="AZ375" s="46">
        <v>0</v>
      </c>
      <c r="BB375" s="46">
        <v>2</v>
      </c>
      <c r="BD375" s="46">
        <v>0</v>
      </c>
      <c r="BF375" s="209">
        <v>29</v>
      </c>
      <c r="BI375" s="83">
        <v>34873</v>
      </c>
      <c r="BK375" s="83">
        <v>0</v>
      </c>
      <c r="BM375" s="83">
        <v>0</v>
      </c>
      <c r="BO375" s="83">
        <v>3224</v>
      </c>
      <c r="BQ375" s="83">
        <v>0</v>
      </c>
      <c r="BS375" s="85">
        <v>38097</v>
      </c>
      <c r="BU375" s="46">
        <v>25</v>
      </c>
      <c r="BW375" s="46">
        <v>0</v>
      </c>
      <c r="BY375" s="46">
        <v>0</v>
      </c>
      <c r="CA375" s="46">
        <v>2</v>
      </c>
      <c r="CC375" s="46">
        <v>0</v>
      </c>
      <c r="CE375" s="209">
        <v>27</v>
      </c>
      <c r="CH375" s="41">
        <v>458699</v>
      </c>
      <c r="CJ375" s="41">
        <v>0</v>
      </c>
      <c r="CL375" s="41">
        <v>0</v>
      </c>
      <c r="CN375" s="41">
        <v>139671</v>
      </c>
      <c r="CP375" s="43">
        <v>598370</v>
      </c>
      <c r="CS375" s="39">
        <v>13.1534</v>
      </c>
      <c r="CW375" s="39">
        <v>0</v>
      </c>
      <c r="CY375" s="39">
        <v>20.218699999999998</v>
      </c>
      <c r="DA375" s="44">
        <v>14.3216</v>
      </c>
      <c r="DC375" s="1" t="str">
        <f t="shared" si="5"/>
        <v>No</v>
      </c>
    </row>
    <row r="376" spans="1:107">
      <c r="A376" s="7" t="s">
        <v>15</v>
      </c>
      <c r="B376" s="7" t="s">
        <v>397</v>
      </c>
      <c r="C376" s="37" t="s">
        <v>13</v>
      </c>
      <c r="D376" s="296">
        <v>9140</v>
      </c>
      <c r="E376" s="297">
        <v>90140</v>
      </c>
      <c r="F376" s="27" t="s">
        <v>162</v>
      </c>
      <c r="G376" s="27" t="s">
        <v>158</v>
      </c>
      <c r="H376" s="35">
        <v>3629114</v>
      </c>
      <c r="I376" s="35">
        <v>5</v>
      </c>
      <c r="J376" s="292"/>
      <c r="K376" s="8">
        <v>11465</v>
      </c>
      <c r="L376" s="8"/>
      <c r="M376" s="8">
        <v>649</v>
      </c>
      <c r="N376" s="9"/>
      <c r="O376" s="8">
        <v>468</v>
      </c>
      <c r="P376" s="9"/>
      <c r="Q376" s="8">
        <v>1710</v>
      </c>
      <c r="R376" s="9"/>
      <c r="S376" s="8">
        <v>0</v>
      </c>
      <c r="T376" s="9"/>
      <c r="U376" s="33">
        <v>14292</v>
      </c>
      <c r="V376" s="9"/>
      <c r="W376" s="30">
        <v>7</v>
      </c>
      <c r="X376" s="9"/>
      <c r="Y376" s="30">
        <v>0.4</v>
      </c>
      <c r="Z376" s="9"/>
      <c r="AA376" s="30">
        <v>0.3</v>
      </c>
      <c r="AB376" s="9"/>
      <c r="AC376" s="30">
        <v>1</v>
      </c>
      <c r="AD376" s="9"/>
      <c r="AE376" s="80">
        <v>0</v>
      </c>
      <c r="AF376" s="46"/>
      <c r="AG376" s="88">
        <v>8.6999999999999993</v>
      </c>
      <c r="AH376" s="47"/>
      <c r="AJ376" s="83">
        <v>8646</v>
      </c>
      <c r="AL376" s="83">
        <v>649</v>
      </c>
      <c r="AN376" s="83">
        <v>468</v>
      </c>
      <c r="AP376" s="83">
        <v>1710</v>
      </c>
      <c r="AR376" s="83">
        <v>0</v>
      </c>
      <c r="AT376" s="204">
        <v>11473</v>
      </c>
      <c r="AV376" s="46">
        <v>5</v>
      </c>
      <c r="AX376" s="46">
        <v>0.4</v>
      </c>
      <c r="AZ376" s="46">
        <v>0.3</v>
      </c>
      <c r="BB376" s="46">
        <v>1</v>
      </c>
      <c r="BD376" s="46">
        <v>0</v>
      </c>
      <c r="BF376" s="209">
        <v>8.6999999999999993</v>
      </c>
      <c r="BI376" s="83">
        <v>2819</v>
      </c>
      <c r="BK376" s="83">
        <v>0</v>
      </c>
      <c r="BM376" s="83">
        <v>0</v>
      </c>
      <c r="BO376" s="83">
        <v>0</v>
      </c>
      <c r="BQ376" s="83">
        <v>0</v>
      </c>
      <c r="BS376" s="85">
        <v>2819</v>
      </c>
      <c r="BU376" s="46">
        <v>2</v>
      </c>
      <c r="BW376" s="46">
        <v>0</v>
      </c>
      <c r="BY376" s="46">
        <v>0</v>
      </c>
      <c r="CA376" s="46">
        <v>0</v>
      </c>
      <c r="CC376" s="46">
        <v>0</v>
      </c>
      <c r="CE376" s="209">
        <v>2</v>
      </c>
      <c r="CH376" s="41">
        <v>289687</v>
      </c>
      <c r="CJ376" s="41">
        <v>13974</v>
      </c>
      <c r="CL376" s="41">
        <v>6401</v>
      </c>
      <c r="CN376" s="41">
        <v>76831</v>
      </c>
      <c r="CP376" s="43">
        <v>386893</v>
      </c>
      <c r="CS376" s="39">
        <v>25.267099999999999</v>
      </c>
      <c r="CU376" s="39">
        <v>21.531600000000001</v>
      </c>
      <c r="CW376" s="39">
        <v>0.55830000000000002</v>
      </c>
      <c r="CY376" s="39">
        <v>44.930399999999999</v>
      </c>
      <c r="DA376" s="44">
        <v>27.070599999999999</v>
      </c>
      <c r="DC376" s="1" t="str">
        <f t="shared" si="5"/>
        <v>No</v>
      </c>
    </row>
    <row r="377" spans="1:107">
      <c r="A377" s="7" t="s">
        <v>749</v>
      </c>
      <c r="B377" s="7" t="s">
        <v>504</v>
      </c>
      <c r="C377" s="37" t="s">
        <v>57</v>
      </c>
      <c r="D377" s="296">
        <v>8107</v>
      </c>
      <c r="E377" s="297">
        <v>80107</v>
      </c>
      <c r="F377" s="27" t="s">
        <v>114</v>
      </c>
      <c r="G377" s="27" t="s">
        <v>158</v>
      </c>
      <c r="H377" s="35">
        <v>82157</v>
      </c>
      <c r="I377" s="35">
        <v>5</v>
      </c>
      <c r="J377" s="292"/>
      <c r="K377" s="8">
        <v>17113</v>
      </c>
      <c r="L377" s="8"/>
      <c r="M377" s="8">
        <v>1212</v>
      </c>
      <c r="N377" s="9"/>
      <c r="O377" s="8">
        <v>158</v>
      </c>
      <c r="P377" s="9"/>
      <c r="Q377" s="8">
        <v>2308</v>
      </c>
      <c r="R377" s="9"/>
      <c r="S377" s="8">
        <v>880</v>
      </c>
      <c r="T377" s="9"/>
      <c r="U377" s="33">
        <v>21671</v>
      </c>
      <c r="V377" s="9"/>
      <c r="W377" s="30">
        <v>39.700000000000003</v>
      </c>
      <c r="X377" s="9"/>
      <c r="Y377" s="30">
        <v>2</v>
      </c>
      <c r="Z377" s="9"/>
      <c r="AA377" s="30">
        <v>0.1</v>
      </c>
      <c r="AB377" s="9"/>
      <c r="AC377" s="30">
        <v>1.1000000000000001</v>
      </c>
      <c r="AD377" s="9"/>
      <c r="AE377" s="80">
        <v>0.4</v>
      </c>
      <c r="AF377" s="46"/>
      <c r="AG377" s="88">
        <v>43.3</v>
      </c>
      <c r="AH377" s="47"/>
      <c r="AJ377" s="83">
        <v>2304</v>
      </c>
      <c r="AL377" s="83">
        <v>890</v>
      </c>
      <c r="AN377" s="83">
        <v>158</v>
      </c>
      <c r="AP377" s="83">
        <v>2308</v>
      </c>
      <c r="AR377" s="83">
        <v>880</v>
      </c>
      <c r="AT377" s="204">
        <v>6540</v>
      </c>
      <c r="AV377" s="46">
        <v>1.2</v>
      </c>
      <c r="AX377" s="46">
        <v>0.5</v>
      </c>
      <c r="AZ377" s="46">
        <v>0.1</v>
      </c>
      <c r="BB377" s="46">
        <v>1.1000000000000001</v>
      </c>
      <c r="BD377" s="46">
        <v>0.4</v>
      </c>
      <c r="BF377" s="209">
        <v>43.3</v>
      </c>
      <c r="BI377" s="83">
        <v>14809</v>
      </c>
      <c r="BK377" s="83">
        <v>322</v>
      </c>
      <c r="BM377" s="83">
        <v>0</v>
      </c>
      <c r="BO377" s="83">
        <v>0</v>
      </c>
      <c r="BQ377" s="83">
        <v>0</v>
      </c>
      <c r="BS377" s="85">
        <v>15131</v>
      </c>
      <c r="BU377" s="46">
        <v>38.5</v>
      </c>
      <c r="BW377" s="46">
        <v>1.5</v>
      </c>
      <c r="BY377" s="46">
        <v>0</v>
      </c>
      <c r="CA377" s="46">
        <v>0</v>
      </c>
      <c r="CC377" s="46">
        <v>0</v>
      </c>
      <c r="CE377" s="209">
        <v>40</v>
      </c>
      <c r="CH377" s="41">
        <v>206428</v>
      </c>
      <c r="CJ377" s="41">
        <v>20871</v>
      </c>
      <c r="CL377" s="41">
        <v>2764</v>
      </c>
      <c r="CN377" s="41">
        <v>52715</v>
      </c>
      <c r="CP377" s="43">
        <v>282778</v>
      </c>
      <c r="CS377" s="39">
        <v>12.0626</v>
      </c>
      <c r="CU377" s="39">
        <v>17.220300000000002</v>
      </c>
      <c r="CW377" s="39">
        <v>0.1615</v>
      </c>
      <c r="CY377" s="39">
        <v>22.8401</v>
      </c>
      <c r="DA377" s="44">
        <v>13.0487</v>
      </c>
      <c r="DC377" s="1" t="str">
        <f t="shared" si="5"/>
        <v>No</v>
      </c>
    </row>
    <row r="378" spans="1:107">
      <c r="A378" s="7" t="s">
        <v>253</v>
      </c>
      <c r="B378" s="7" t="s">
        <v>254</v>
      </c>
      <c r="C378" s="37" t="s">
        <v>51</v>
      </c>
      <c r="D378" s="296">
        <v>1088</v>
      </c>
      <c r="E378" s="297">
        <v>10088</v>
      </c>
      <c r="F378" s="27" t="s">
        <v>165</v>
      </c>
      <c r="G378" s="27" t="s">
        <v>158</v>
      </c>
      <c r="H378" s="35">
        <v>203914</v>
      </c>
      <c r="I378" s="35">
        <v>4</v>
      </c>
      <c r="J378" s="292"/>
      <c r="K378" s="8">
        <v>107402</v>
      </c>
      <c r="L378" s="8"/>
      <c r="M378" s="8">
        <v>6292</v>
      </c>
      <c r="N378" s="9"/>
      <c r="O378" s="8">
        <v>699</v>
      </c>
      <c r="P378" s="9"/>
      <c r="Q378" s="8">
        <v>11892</v>
      </c>
      <c r="R378" s="9"/>
      <c r="S378" s="8">
        <v>0</v>
      </c>
      <c r="T378" s="9"/>
      <c r="U378" s="33">
        <v>126285</v>
      </c>
      <c r="V378" s="9"/>
      <c r="W378" s="30">
        <v>76</v>
      </c>
      <c r="X378" s="9"/>
      <c r="Y378" s="30">
        <v>2.7</v>
      </c>
      <c r="Z378" s="9"/>
      <c r="AA378" s="30">
        <v>0.3</v>
      </c>
      <c r="AB378" s="9"/>
      <c r="AC378" s="30">
        <v>7</v>
      </c>
      <c r="AD378" s="9"/>
      <c r="AE378" s="80">
        <v>0</v>
      </c>
      <c r="AF378" s="46"/>
      <c r="AG378" s="88">
        <v>86</v>
      </c>
      <c r="AH378" s="47"/>
      <c r="AJ378" s="83">
        <v>84137</v>
      </c>
      <c r="AL378" s="83">
        <v>6292</v>
      </c>
      <c r="AN378" s="83">
        <v>699</v>
      </c>
      <c r="AP378" s="83">
        <v>11892</v>
      </c>
      <c r="AR378" s="83">
        <v>0</v>
      </c>
      <c r="AT378" s="204">
        <v>103020</v>
      </c>
      <c r="AV378" s="46">
        <v>34</v>
      </c>
      <c r="AX378" s="46">
        <v>2.7</v>
      </c>
      <c r="AZ378" s="46">
        <v>0.3</v>
      </c>
      <c r="BB378" s="46">
        <v>7</v>
      </c>
      <c r="BD378" s="46">
        <v>0</v>
      </c>
      <c r="BF378" s="209">
        <v>86</v>
      </c>
      <c r="BI378" s="83">
        <v>23265</v>
      </c>
      <c r="BK378" s="83">
        <v>0</v>
      </c>
      <c r="BM378" s="83">
        <v>0</v>
      </c>
      <c r="BO378" s="83">
        <v>0</v>
      </c>
      <c r="BQ378" s="83">
        <v>0</v>
      </c>
      <c r="BS378" s="85">
        <v>23265</v>
      </c>
      <c r="BU378" s="46">
        <v>42</v>
      </c>
      <c r="BW378" s="46">
        <v>0</v>
      </c>
      <c r="BY378" s="46">
        <v>0</v>
      </c>
      <c r="CA378" s="46">
        <v>0</v>
      </c>
      <c r="CC378" s="46">
        <v>0</v>
      </c>
      <c r="CE378" s="209">
        <v>42</v>
      </c>
      <c r="CH378" s="41">
        <v>2025589</v>
      </c>
      <c r="CJ378" s="41">
        <v>147618</v>
      </c>
      <c r="CL378" s="41">
        <v>16402</v>
      </c>
      <c r="CN378" s="41">
        <v>342768</v>
      </c>
      <c r="CP378" s="43">
        <v>2532377</v>
      </c>
      <c r="CS378" s="39">
        <v>18.8599</v>
      </c>
      <c r="CU378" s="39">
        <v>23.461200000000002</v>
      </c>
      <c r="CW378" s="39">
        <v>0.1527</v>
      </c>
      <c r="CY378" s="39">
        <v>28.823399999999999</v>
      </c>
      <c r="DA378" s="44">
        <v>20.052900000000001</v>
      </c>
      <c r="DC378" s="1" t="str">
        <f t="shared" si="5"/>
        <v>No</v>
      </c>
    </row>
    <row r="379" spans="1:107">
      <c r="A379" s="7" t="s">
        <v>360</v>
      </c>
      <c r="B379" s="7" t="s">
        <v>361</v>
      </c>
      <c r="C379" s="37" t="s">
        <v>42</v>
      </c>
      <c r="D379" s="296">
        <v>5042</v>
      </c>
      <c r="E379" s="297">
        <v>50042</v>
      </c>
      <c r="F379" s="27" t="s">
        <v>162</v>
      </c>
      <c r="G379" s="27" t="s">
        <v>158</v>
      </c>
      <c r="H379" s="35">
        <v>8608208</v>
      </c>
      <c r="I379" s="35">
        <v>4</v>
      </c>
      <c r="J379" s="292"/>
      <c r="K379" s="8">
        <v>19426</v>
      </c>
      <c r="L379" s="8"/>
      <c r="M379" s="8">
        <v>2003</v>
      </c>
      <c r="N379" s="9"/>
      <c r="O379" s="8">
        <v>3729</v>
      </c>
      <c r="P379" s="9"/>
      <c r="Q379" s="8">
        <v>5490</v>
      </c>
      <c r="R379" s="9"/>
      <c r="S379" s="8">
        <v>0</v>
      </c>
      <c r="T379" s="9"/>
      <c r="U379" s="33">
        <v>30648</v>
      </c>
      <c r="V379" s="9"/>
      <c r="W379" s="30">
        <v>10</v>
      </c>
      <c r="X379" s="9"/>
      <c r="Y379" s="30">
        <v>1.1000000000000001</v>
      </c>
      <c r="Z379" s="9"/>
      <c r="AA379" s="30">
        <v>2.2000000000000002</v>
      </c>
      <c r="AB379" s="9"/>
      <c r="AC379" s="30">
        <v>3</v>
      </c>
      <c r="AD379" s="9"/>
      <c r="AE379" s="80">
        <v>0</v>
      </c>
      <c r="AF379" s="46"/>
      <c r="AG379" s="88">
        <v>16.3</v>
      </c>
      <c r="AH379" s="47"/>
      <c r="AJ379" s="83">
        <v>19426</v>
      </c>
      <c r="AL379" s="83">
        <v>2003</v>
      </c>
      <c r="AN379" s="83">
        <v>3729</v>
      </c>
      <c r="AP379" s="83">
        <v>5490</v>
      </c>
      <c r="AR379" s="83">
        <v>0</v>
      </c>
      <c r="AT379" s="204">
        <v>30648</v>
      </c>
      <c r="AV379" s="46">
        <v>10</v>
      </c>
      <c r="AX379" s="46">
        <v>1.1000000000000001</v>
      </c>
      <c r="AZ379" s="46">
        <v>2.2000000000000002</v>
      </c>
      <c r="BB379" s="46">
        <v>3</v>
      </c>
      <c r="BD379" s="46">
        <v>0</v>
      </c>
      <c r="BF379" s="209">
        <v>16.3</v>
      </c>
      <c r="BI379" s="83">
        <v>0</v>
      </c>
      <c r="BK379" s="83">
        <v>0</v>
      </c>
      <c r="BM379" s="83">
        <v>0</v>
      </c>
      <c r="BO379" s="83">
        <v>0</v>
      </c>
      <c r="BQ379" s="83">
        <v>0</v>
      </c>
      <c r="BS379" s="85">
        <v>0</v>
      </c>
      <c r="BU379" s="46">
        <v>0</v>
      </c>
      <c r="BW379" s="46">
        <v>0</v>
      </c>
      <c r="BY379" s="46">
        <v>0</v>
      </c>
      <c r="CA379" s="46">
        <v>0</v>
      </c>
      <c r="CC379" s="46">
        <v>0</v>
      </c>
      <c r="CE379" s="209">
        <v>0</v>
      </c>
      <c r="CH379" s="41">
        <v>284910</v>
      </c>
      <c r="CJ379" s="41">
        <v>36572</v>
      </c>
      <c r="CL379" s="41">
        <v>82317</v>
      </c>
      <c r="CN379" s="41">
        <v>126147</v>
      </c>
      <c r="CP379" s="43">
        <v>529946</v>
      </c>
      <c r="CS379" s="39">
        <v>14.666399999999999</v>
      </c>
      <c r="CU379" s="39">
        <v>18.258600000000001</v>
      </c>
      <c r="CW379" s="39">
        <v>4.2374999999999998</v>
      </c>
      <c r="CY379" s="39">
        <v>22.977599999999999</v>
      </c>
      <c r="DA379" s="44">
        <v>17.291399999999999</v>
      </c>
      <c r="DC379" s="1" t="str">
        <f t="shared" si="5"/>
        <v>No</v>
      </c>
    </row>
    <row r="380" spans="1:107">
      <c r="A380" s="7" t="s">
        <v>1102</v>
      </c>
      <c r="B380" s="7" t="s">
        <v>481</v>
      </c>
      <c r="C380" s="37" t="s">
        <v>36</v>
      </c>
      <c r="D380" s="296">
        <v>4230</v>
      </c>
      <c r="E380" s="297">
        <v>40230</v>
      </c>
      <c r="F380" s="27" t="s">
        <v>162</v>
      </c>
      <c r="G380" s="27" t="s">
        <v>158</v>
      </c>
      <c r="H380" s="35">
        <v>4515419</v>
      </c>
      <c r="I380" s="35">
        <v>3</v>
      </c>
      <c r="J380" s="292"/>
      <c r="K380" s="8">
        <v>26082</v>
      </c>
      <c r="L380" s="8"/>
      <c r="M380" s="8">
        <v>8966</v>
      </c>
      <c r="N380" s="9"/>
      <c r="O380" s="8">
        <v>3984</v>
      </c>
      <c r="P380" s="9"/>
      <c r="Q380" s="8">
        <v>14286</v>
      </c>
      <c r="R380" s="9"/>
      <c r="S380" s="8">
        <v>0</v>
      </c>
      <c r="T380" s="9"/>
      <c r="U380" s="33">
        <v>53318</v>
      </c>
      <c r="V380" s="9"/>
      <c r="W380" s="30">
        <v>18</v>
      </c>
      <c r="X380" s="9"/>
      <c r="Y380" s="30">
        <v>7</v>
      </c>
      <c r="Z380" s="9"/>
      <c r="AA380" s="30">
        <v>2</v>
      </c>
      <c r="AB380" s="9"/>
      <c r="AC380" s="30">
        <v>9</v>
      </c>
      <c r="AD380" s="9"/>
      <c r="AE380" s="80">
        <v>0</v>
      </c>
      <c r="AF380" s="46"/>
      <c r="AG380" s="88">
        <v>36</v>
      </c>
      <c r="AH380" s="47"/>
      <c r="AJ380" s="83">
        <v>25143</v>
      </c>
      <c r="AL380" s="83">
        <v>8966</v>
      </c>
      <c r="AN380" s="83">
        <v>3984</v>
      </c>
      <c r="AP380" s="83">
        <v>14286</v>
      </c>
      <c r="AR380" s="83">
        <v>0</v>
      </c>
      <c r="AT380" s="204">
        <v>52379</v>
      </c>
      <c r="AV380" s="46">
        <v>17</v>
      </c>
      <c r="AX380" s="46">
        <v>7</v>
      </c>
      <c r="AZ380" s="46">
        <v>2</v>
      </c>
      <c r="BB380" s="46">
        <v>9</v>
      </c>
      <c r="BD380" s="46">
        <v>0</v>
      </c>
      <c r="BF380" s="209">
        <v>36</v>
      </c>
      <c r="BI380" s="83">
        <v>939</v>
      </c>
      <c r="BK380" s="83">
        <v>0</v>
      </c>
      <c r="BM380" s="83">
        <v>0</v>
      </c>
      <c r="BO380" s="83">
        <v>0</v>
      </c>
      <c r="BQ380" s="83">
        <v>0</v>
      </c>
      <c r="BS380" s="85">
        <v>939</v>
      </c>
      <c r="BU380" s="46">
        <v>1</v>
      </c>
      <c r="BW380" s="46">
        <v>0</v>
      </c>
      <c r="BY380" s="46">
        <v>0</v>
      </c>
      <c r="CA380" s="46">
        <v>0</v>
      </c>
      <c r="CC380" s="46">
        <v>0</v>
      </c>
      <c r="CE380" s="209">
        <v>1</v>
      </c>
      <c r="CH380" s="41">
        <v>743305</v>
      </c>
      <c r="CJ380" s="41">
        <v>290633</v>
      </c>
      <c r="CL380" s="41">
        <v>79112</v>
      </c>
      <c r="CN380" s="41">
        <v>603310</v>
      </c>
      <c r="CP380" s="43">
        <v>1716360</v>
      </c>
      <c r="CS380" s="39">
        <v>28.498799999999999</v>
      </c>
      <c r="CU380" s="39">
        <v>32.414999999999999</v>
      </c>
      <c r="CW380" s="39">
        <v>3.0331999999999999</v>
      </c>
      <c r="CY380" s="39">
        <v>42.230899999999998</v>
      </c>
      <c r="DA380" s="44">
        <v>32.191000000000003</v>
      </c>
      <c r="DC380" s="1" t="str">
        <f t="shared" si="5"/>
        <v>No</v>
      </c>
    </row>
    <row r="381" spans="1:107">
      <c r="A381" s="7" t="s">
        <v>780</v>
      </c>
      <c r="B381" s="7" t="s">
        <v>345</v>
      </c>
      <c r="C381" s="37" t="s">
        <v>84</v>
      </c>
      <c r="D381" s="296">
        <v>6133</v>
      </c>
      <c r="E381" s="297">
        <v>60133</v>
      </c>
      <c r="F381" s="27" t="s">
        <v>187</v>
      </c>
      <c r="G381" s="27" t="s">
        <v>158</v>
      </c>
      <c r="H381" s="35">
        <v>5121892</v>
      </c>
      <c r="I381" s="35">
        <v>3</v>
      </c>
      <c r="J381" s="292"/>
      <c r="K381" s="8">
        <v>23373</v>
      </c>
      <c r="L381" s="8"/>
      <c r="M381" s="8">
        <v>4477</v>
      </c>
      <c r="N381" s="9"/>
      <c r="O381" s="8">
        <v>236</v>
      </c>
      <c r="P381" s="9"/>
      <c r="Q381" s="8">
        <v>1349</v>
      </c>
      <c r="R381" s="9"/>
      <c r="S381" s="8">
        <v>3353</v>
      </c>
      <c r="T381" s="9"/>
      <c r="U381" s="33">
        <v>32788</v>
      </c>
      <c r="V381" s="9"/>
      <c r="W381" s="30">
        <v>19</v>
      </c>
      <c r="X381" s="9"/>
      <c r="Y381" s="30">
        <v>3.9</v>
      </c>
      <c r="Z381" s="9"/>
      <c r="AA381" s="30">
        <v>0.2</v>
      </c>
      <c r="AB381" s="9"/>
      <c r="AC381" s="30">
        <v>1</v>
      </c>
      <c r="AD381" s="9"/>
      <c r="AE381" s="80">
        <v>2.9</v>
      </c>
      <c r="AF381" s="46"/>
      <c r="AG381" s="88">
        <v>27</v>
      </c>
      <c r="AH381" s="47"/>
      <c r="AJ381" s="83">
        <v>17308</v>
      </c>
      <c r="AL381" s="83">
        <v>4477</v>
      </c>
      <c r="AN381" s="83">
        <v>236</v>
      </c>
      <c r="AP381" s="83">
        <v>173</v>
      </c>
      <c r="AR381" s="83">
        <v>3353</v>
      </c>
      <c r="AT381" s="204">
        <v>25547</v>
      </c>
      <c r="AV381" s="46">
        <v>8</v>
      </c>
      <c r="AX381" s="46">
        <v>3.9</v>
      </c>
      <c r="AZ381" s="46">
        <v>0.2</v>
      </c>
      <c r="BB381" s="46">
        <v>0</v>
      </c>
      <c r="BD381" s="46">
        <v>2.9</v>
      </c>
      <c r="BF381" s="209">
        <v>27</v>
      </c>
      <c r="BI381" s="83">
        <v>6065</v>
      </c>
      <c r="BK381" s="83">
        <v>0</v>
      </c>
      <c r="BM381" s="83">
        <v>0</v>
      </c>
      <c r="BO381" s="83">
        <v>1176</v>
      </c>
      <c r="BQ381" s="83">
        <v>0</v>
      </c>
      <c r="BS381" s="85">
        <v>7241</v>
      </c>
      <c r="BU381" s="46">
        <v>11</v>
      </c>
      <c r="BW381" s="46">
        <v>0</v>
      </c>
      <c r="BY381" s="46">
        <v>0</v>
      </c>
      <c r="CA381" s="46">
        <v>1</v>
      </c>
      <c r="CC381" s="46">
        <v>0</v>
      </c>
      <c r="CE381" s="209">
        <v>12</v>
      </c>
      <c r="CH381" s="41">
        <v>280275</v>
      </c>
      <c r="CJ381" s="41">
        <v>85301</v>
      </c>
      <c r="CL381" s="41">
        <v>4490</v>
      </c>
      <c r="CN381" s="41">
        <v>36861</v>
      </c>
      <c r="CP381" s="43">
        <v>406927</v>
      </c>
      <c r="CS381" s="39">
        <v>11.991400000000001</v>
      </c>
      <c r="CU381" s="39">
        <v>19.0532</v>
      </c>
      <c r="CW381" s="39">
        <v>0.19209999999999999</v>
      </c>
      <c r="CY381" s="39">
        <v>27.3247</v>
      </c>
      <c r="DA381" s="44">
        <v>12.4109</v>
      </c>
      <c r="DC381" s="1" t="str">
        <f t="shared" si="5"/>
        <v>No</v>
      </c>
    </row>
    <row r="382" spans="1:107">
      <c r="A382" s="7" t="s">
        <v>1153</v>
      </c>
      <c r="B382" s="7" t="s">
        <v>549</v>
      </c>
      <c r="C382" s="37" t="s">
        <v>32</v>
      </c>
      <c r="D382" s="296"/>
      <c r="E382" s="297">
        <v>40258</v>
      </c>
      <c r="F382" s="27" t="s">
        <v>187</v>
      </c>
      <c r="G382" s="27" t="s">
        <v>158</v>
      </c>
      <c r="H382" s="35">
        <v>2441770</v>
      </c>
      <c r="I382" s="35">
        <v>2</v>
      </c>
      <c r="J382" s="292"/>
      <c r="K382" s="8">
        <v>7239</v>
      </c>
      <c r="L382" s="8"/>
      <c r="M382" s="8">
        <v>0</v>
      </c>
      <c r="N382" s="9"/>
      <c r="O382" s="8">
        <v>804</v>
      </c>
      <c r="P382" s="9"/>
      <c r="Q382" s="8">
        <v>2822</v>
      </c>
      <c r="R382" s="9"/>
      <c r="S382" s="8">
        <v>0</v>
      </c>
      <c r="T382" s="9"/>
      <c r="U382" s="33">
        <v>10865</v>
      </c>
      <c r="V382" s="9"/>
      <c r="W382" s="30">
        <v>8.25</v>
      </c>
      <c r="X382" s="9"/>
      <c r="Y382" s="30">
        <v>0</v>
      </c>
      <c r="Z382" s="9"/>
      <c r="AA382" s="30">
        <v>2.25</v>
      </c>
      <c r="AB382" s="9"/>
      <c r="AC382" s="30">
        <v>1.5</v>
      </c>
      <c r="AD382" s="9"/>
      <c r="AE382" s="80">
        <v>0</v>
      </c>
      <c r="AF382" s="46"/>
      <c r="AG382" s="88">
        <v>12</v>
      </c>
      <c r="AH382" s="47"/>
      <c r="AJ382" s="83">
        <v>1945</v>
      </c>
      <c r="AL382" s="83">
        <v>0</v>
      </c>
      <c r="AN382" s="83">
        <v>0</v>
      </c>
      <c r="AP382" s="83">
        <v>2822</v>
      </c>
      <c r="AR382" s="83">
        <v>0</v>
      </c>
      <c r="AT382" s="204">
        <v>4767</v>
      </c>
      <c r="AV382" s="46">
        <v>1</v>
      </c>
      <c r="AX382" s="46">
        <v>0</v>
      </c>
      <c r="AZ382" s="46">
        <v>0</v>
      </c>
      <c r="BB382" s="46">
        <v>1.5</v>
      </c>
      <c r="BD382" s="46">
        <v>0</v>
      </c>
      <c r="BF382" s="209">
        <v>12</v>
      </c>
      <c r="BI382" s="83">
        <v>5294</v>
      </c>
      <c r="BK382" s="83">
        <v>0</v>
      </c>
      <c r="BM382" s="83">
        <v>804</v>
      </c>
      <c r="BO382" s="83">
        <v>0</v>
      </c>
      <c r="BQ382" s="83">
        <v>0</v>
      </c>
      <c r="BS382" s="85">
        <v>6098</v>
      </c>
      <c r="BU382" s="46">
        <v>7.25</v>
      </c>
      <c r="BW382" s="46">
        <v>0</v>
      </c>
      <c r="BY382" s="46">
        <v>2.25</v>
      </c>
      <c r="CA382" s="46">
        <v>0</v>
      </c>
      <c r="CC382" s="46">
        <v>0</v>
      </c>
      <c r="CE382" s="209">
        <v>9.5</v>
      </c>
      <c r="CH382" s="41">
        <v>166814</v>
      </c>
      <c r="CJ382" s="41">
        <v>0</v>
      </c>
      <c r="CL382" s="41">
        <v>16478</v>
      </c>
      <c r="CN382" s="41">
        <v>33823</v>
      </c>
      <c r="CP382" s="43">
        <v>217115</v>
      </c>
      <c r="CS382" s="39">
        <v>23.043800000000001</v>
      </c>
      <c r="CW382" s="39">
        <v>2.2763</v>
      </c>
      <c r="CY382" s="39">
        <v>11.9855</v>
      </c>
      <c r="DA382" s="44">
        <v>19.983000000000001</v>
      </c>
      <c r="DC382" s="1" t="str">
        <f t="shared" si="5"/>
        <v>No</v>
      </c>
    </row>
    <row r="383" spans="1:107">
      <c r="A383" s="7" t="s">
        <v>237</v>
      </c>
      <c r="B383" s="7" t="s">
        <v>238</v>
      </c>
      <c r="C383" s="37" t="s">
        <v>73</v>
      </c>
      <c r="D383" s="296">
        <v>5143</v>
      </c>
      <c r="E383" s="297">
        <v>50143</v>
      </c>
      <c r="F383" s="27" t="s">
        <v>162</v>
      </c>
      <c r="G383" s="27" t="s">
        <v>158</v>
      </c>
      <c r="H383" s="35">
        <v>1780673</v>
      </c>
      <c r="I383" s="35">
        <v>2</v>
      </c>
      <c r="J383" s="292"/>
      <c r="K383" s="8">
        <v>9037</v>
      </c>
      <c r="L383" s="8"/>
      <c r="M383" s="8">
        <v>0</v>
      </c>
      <c r="N383" s="9"/>
      <c r="O383" s="8">
        <v>0</v>
      </c>
      <c r="P383" s="9"/>
      <c r="Q383" s="8">
        <v>1138</v>
      </c>
      <c r="R383" s="9"/>
      <c r="S383" s="8">
        <v>0</v>
      </c>
      <c r="T383" s="9"/>
      <c r="U383" s="33">
        <v>10175</v>
      </c>
      <c r="V383" s="9"/>
      <c r="W383" s="30">
        <v>7.5</v>
      </c>
      <c r="X383" s="9"/>
      <c r="Y383" s="30">
        <v>0</v>
      </c>
      <c r="Z383" s="9"/>
      <c r="AA383" s="30">
        <v>0</v>
      </c>
      <c r="AB383" s="9"/>
      <c r="AC383" s="30">
        <v>2.2999999999999998</v>
      </c>
      <c r="AD383" s="9"/>
      <c r="AE383" s="80">
        <v>0</v>
      </c>
      <c r="AF383" s="46"/>
      <c r="AG383" s="88">
        <v>9.8000000000000007</v>
      </c>
      <c r="AH383" s="47"/>
      <c r="AJ383" s="83">
        <v>2667</v>
      </c>
      <c r="AL383" s="83">
        <v>0</v>
      </c>
      <c r="AN383" s="83">
        <v>0</v>
      </c>
      <c r="AP383" s="83">
        <v>1138</v>
      </c>
      <c r="AR383" s="83">
        <v>0</v>
      </c>
      <c r="AT383" s="204">
        <v>3805</v>
      </c>
      <c r="AV383" s="46">
        <v>1.5</v>
      </c>
      <c r="AX383" s="46">
        <v>0</v>
      </c>
      <c r="AZ383" s="46">
        <v>0</v>
      </c>
      <c r="BB383" s="46">
        <v>2.2999999999999998</v>
      </c>
      <c r="BD383" s="46">
        <v>0</v>
      </c>
      <c r="BF383" s="209">
        <v>9.8000000000000007</v>
      </c>
      <c r="BI383" s="83">
        <v>6370</v>
      </c>
      <c r="BK383" s="83">
        <v>0</v>
      </c>
      <c r="BM383" s="83">
        <v>0</v>
      </c>
      <c r="BO383" s="83">
        <v>0</v>
      </c>
      <c r="BQ383" s="83">
        <v>0</v>
      </c>
      <c r="BS383" s="85">
        <v>6370</v>
      </c>
      <c r="BU383" s="46">
        <v>6</v>
      </c>
      <c r="BW383" s="46">
        <v>0</v>
      </c>
      <c r="BY383" s="46">
        <v>0</v>
      </c>
      <c r="CA383" s="46">
        <v>0</v>
      </c>
      <c r="CC383" s="46">
        <v>0</v>
      </c>
      <c r="CE383" s="209">
        <v>6</v>
      </c>
      <c r="CH383" s="41">
        <v>129067</v>
      </c>
      <c r="CJ383" s="41">
        <v>0</v>
      </c>
      <c r="CL383" s="41">
        <v>0</v>
      </c>
      <c r="CN383" s="41">
        <v>37587</v>
      </c>
      <c r="CP383" s="43">
        <v>166654</v>
      </c>
      <c r="CS383" s="39">
        <v>14.2821</v>
      </c>
      <c r="CW383" s="39">
        <v>0</v>
      </c>
      <c r="CY383" s="39">
        <v>33.029000000000003</v>
      </c>
      <c r="DA383" s="44">
        <v>16.378799999999998</v>
      </c>
      <c r="DC383" s="1" t="str">
        <f t="shared" si="5"/>
        <v>No</v>
      </c>
    </row>
  </sheetData>
  <autoFilter ref="A1:DC531">
    <sortState ref="A2:DC531">
      <sortCondition descending="1" ref="I1:I531"/>
    </sortState>
  </autoFilter>
  <conditionalFormatting sqref="D3:DB383 A3:C258 A2:DB2 A260:C383 B259:C259">
    <cfRule type="expression" dxfId="140" priority="3">
      <formula>MOD(ROW(),2)=0</formula>
    </cfRule>
  </conditionalFormatting>
  <conditionalFormatting sqref="DC2:DC383">
    <cfRule type="expression" dxfId="139" priority="2">
      <formula>MOD(ROW(),2)=0</formula>
    </cfRule>
  </conditionalFormatting>
  <conditionalFormatting sqref="A259">
    <cfRule type="expression" dxfId="138" priority="1">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203" r:id="rId3" name="Drop Down 107">
              <controlPr defaultSize="0" autoLine="0" autoPict="0" macro="[0]!ComboBox" altText="This drop-down menu shows or hides columns indicating the presence of &quot;questionable&quot; data.">
                <anchor moveWithCells="1">
                  <from>
                    <xdr:col>107</xdr:col>
                    <xdr:colOff>47625</xdr:colOff>
                    <xdr:row>0</xdr:row>
                    <xdr:rowOff>228600</xdr:rowOff>
                  </from>
                  <to>
                    <xdr:col>111</xdr:col>
                    <xdr:colOff>66675</xdr:colOff>
                    <xdr:row>0</xdr:row>
                    <xdr:rowOff>466725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V135"/>
  <sheetViews>
    <sheetView workbookViewId="0"/>
  </sheetViews>
  <sheetFormatPr defaultColWidth="8.85546875" defaultRowHeight="12.75"/>
  <cols>
    <col min="1" max="1" width="9.85546875" style="100" customWidth="1"/>
    <col min="2" max="2" width="10.85546875" style="100" customWidth="1"/>
    <col min="3" max="3" width="11" style="100" customWidth="1"/>
    <col min="4" max="4" width="14.42578125" style="100" customWidth="1"/>
    <col min="5" max="5" width="10.42578125" style="100" customWidth="1"/>
    <col min="6" max="6" width="8.85546875" style="100"/>
    <col min="7" max="7" width="9.5703125" style="100" bestFit="1" customWidth="1"/>
    <col min="8" max="8" width="11" style="100" customWidth="1"/>
    <col min="9" max="9" width="10.85546875" style="100" customWidth="1"/>
    <col min="10" max="10" width="13.85546875" style="100" customWidth="1"/>
    <col min="11" max="11" width="8.85546875" style="100"/>
    <col min="12" max="12" width="10.85546875" style="100" customWidth="1"/>
    <col min="13" max="13" width="11" style="100" customWidth="1"/>
    <col min="14" max="14" width="11.140625" style="100" customWidth="1"/>
    <col min="15" max="15" width="11.42578125" style="100" customWidth="1"/>
    <col min="16" max="16" width="13.5703125" style="100" customWidth="1"/>
    <col min="17" max="17" width="8.85546875" style="100"/>
    <col min="18" max="18" width="10.85546875" style="100" customWidth="1"/>
    <col min="19" max="21" width="11.85546875" style="100" bestFit="1" customWidth="1"/>
    <col min="22" max="22" width="12.42578125" style="100" customWidth="1"/>
    <col min="23" max="23" width="12.5703125" style="100" bestFit="1" customWidth="1"/>
    <col min="24" max="24" width="9.5703125" style="100" customWidth="1"/>
    <col min="25" max="25" width="11.85546875" style="100" customWidth="1"/>
    <col min="26" max="26" width="11.42578125" style="100" customWidth="1"/>
    <col min="27" max="27" width="13.140625" style="100" customWidth="1"/>
    <col min="28" max="31" width="8.85546875" style="100"/>
    <col min="32" max="32" width="8.85546875" style="100" hidden="1" customWidth="1"/>
    <col min="33" max="34" width="0" style="100" hidden="1" customWidth="1"/>
    <col min="35" max="40" width="8.85546875" style="100" hidden="1" customWidth="1"/>
    <col min="41" max="46" width="8.85546875" style="307" hidden="1" customWidth="1"/>
    <col min="47" max="16384" width="8.85546875" style="100"/>
  </cols>
  <sheetData>
    <row r="1" spans="1:48" s="95" customFormat="1" ht="12" customHeight="1" thickBot="1">
      <c r="A1" s="285" t="s">
        <v>1095</v>
      </c>
      <c r="B1" s="229"/>
      <c r="C1" s="229"/>
      <c r="D1" s="230"/>
      <c r="E1" s="230"/>
      <c r="F1" s="90" t="s">
        <v>97</v>
      </c>
      <c r="G1" s="91"/>
      <c r="H1" s="91"/>
      <c r="I1" s="91"/>
      <c r="J1" s="91"/>
      <c r="K1" s="91"/>
      <c r="L1" s="91"/>
      <c r="M1" s="91"/>
      <c r="N1" s="91"/>
      <c r="O1" s="91"/>
      <c r="P1" s="91"/>
      <c r="Q1" s="91"/>
      <c r="R1" s="91"/>
      <c r="S1" s="92"/>
      <c r="T1" s="92"/>
      <c r="U1" s="92"/>
      <c r="V1" s="92"/>
      <c r="W1" s="92"/>
      <c r="X1" s="92"/>
      <c r="Y1" s="92"/>
      <c r="Z1" s="92"/>
      <c r="AA1" s="92"/>
      <c r="AB1" s="92"/>
      <c r="AC1" s="93"/>
      <c r="AD1" s="94"/>
      <c r="AE1" s="94"/>
      <c r="AF1" s="94">
        <f>IF(AF4=1,0,1)</f>
        <v>0</v>
      </c>
      <c r="AG1" s="94"/>
      <c r="AH1" s="94"/>
      <c r="AI1" s="94"/>
      <c r="AJ1" s="94"/>
      <c r="AK1" s="94"/>
      <c r="AL1" s="94"/>
      <c r="AM1" s="94"/>
      <c r="AN1" s="94"/>
      <c r="AO1" s="303"/>
      <c r="AP1" s="303"/>
      <c r="AQ1" s="303"/>
      <c r="AR1" s="303"/>
      <c r="AS1" s="303"/>
      <c r="AT1" s="303"/>
      <c r="AU1" s="94"/>
      <c r="AV1" s="94"/>
    </row>
    <row r="2" spans="1:48" s="95" customFormat="1" ht="12.95" customHeight="1" thickTop="1">
      <c r="A2" s="226"/>
      <c r="B2" s="227"/>
      <c r="C2" s="227"/>
      <c r="D2" s="227"/>
      <c r="E2" s="232"/>
      <c r="F2" s="247"/>
      <c r="G2" s="94"/>
      <c r="H2" s="211"/>
      <c r="I2" s="211"/>
      <c r="J2" s="213" t="s">
        <v>1065</v>
      </c>
      <c r="K2" s="211"/>
      <c r="L2" s="212"/>
      <c r="M2" s="211"/>
      <c r="N2" s="211"/>
      <c r="O2" s="211"/>
      <c r="P2" s="220" t="s">
        <v>1066</v>
      </c>
      <c r="Q2" s="211"/>
      <c r="R2" s="219"/>
      <c r="S2" s="214"/>
      <c r="T2" s="215"/>
      <c r="U2" s="215"/>
      <c r="V2" s="221" t="s">
        <v>1067</v>
      </c>
      <c r="W2" s="212"/>
      <c r="X2" s="214"/>
      <c r="Y2" s="215"/>
      <c r="Z2" s="215"/>
      <c r="AA2" s="221" t="s">
        <v>1068</v>
      </c>
      <c r="AB2" s="222"/>
      <c r="AC2" s="93"/>
      <c r="AD2" s="94"/>
      <c r="AE2" s="94"/>
      <c r="AF2" s="94" t="s">
        <v>947</v>
      </c>
      <c r="AG2" s="94"/>
      <c r="AH2" s="94"/>
      <c r="AI2" s="94"/>
      <c r="AJ2" s="94"/>
      <c r="AK2" s="94"/>
      <c r="AL2" s="94"/>
      <c r="AM2" s="94"/>
      <c r="AN2" s="94"/>
      <c r="AO2" s="303"/>
      <c r="AP2" s="303"/>
      <c r="AQ2" s="303"/>
      <c r="AR2" s="303"/>
      <c r="AS2" s="303"/>
      <c r="AT2" s="303"/>
      <c r="AU2" s="94"/>
      <c r="AV2" s="94"/>
    </row>
    <row r="3" spans="1:48" s="95" customFormat="1" ht="23.1" customHeight="1">
      <c r="A3" s="226"/>
      <c r="B3" s="227"/>
      <c r="C3" s="227"/>
      <c r="D3" s="227"/>
      <c r="E3" s="253"/>
      <c r="F3" s="311" t="s">
        <v>1092</v>
      </c>
      <c r="G3" s="255" t="s">
        <v>1072</v>
      </c>
      <c r="H3" s="255" t="s">
        <v>1073</v>
      </c>
      <c r="I3" s="255" t="s">
        <v>1074</v>
      </c>
      <c r="J3" s="256" t="s">
        <v>1075</v>
      </c>
      <c r="K3" s="255" t="s">
        <v>1076</v>
      </c>
      <c r="L3" s="255" t="s">
        <v>1091</v>
      </c>
      <c r="M3" s="257" t="s">
        <v>1077</v>
      </c>
      <c r="N3" s="255" t="s">
        <v>1078</v>
      </c>
      <c r="O3" s="255" t="s">
        <v>1079</v>
      </c>
      <c r="P3" s="256" t="s">
        <v>1080</v>
      </c>
      <c r="Q3" s="257" t="s">
        <v>1081</v>
      </c>
      <c r="R3" s="258" t="s">
        <v>1093</v>
      </c>
      <c r="S3" s="259" t="s">
        <v>1082</v>
      </c>
      <c r="T3" s="259" t="s">
        <v>1083</v>
      </c>
      <c r="U3" s="259" t="s">
        <v>1084</v>
      </c>
      <c r="V3" s="259" t="s">
        <v>1085</v>
      </c>
      <c r="W3" s="259" t="s">
        <v>1094</v>
      </c>
      <c r="X3" s="259" t="s">
        <v>1086</v>
      </c>
      <c r="Y3" s="259" t="s">
        <v>1087</v>
      </c>
      <c r="Z3" s="259" t="s">
        <v>1088</v>
      </c>
      <c r="AA3" s="259" t="s">
        <v>1089</v>
      </c>
      <c r="AB3" s="260" t="s">
        <v>1090</v>
      </c>
      <c r="AC3" s="93"/>
      <c r="AD3" s="94"/>
      <c r="AE3" s="94"/>
      <c r="AF3" s="94" t="s">
        <v>948</v>
      </c>
      <c r="AG3" s="94"/>
      <c r="AH3" s="94"/>
      <c r="AI3" s="94"/>
      <c r="AJ3" s="94"/>
      <c r="AK3" s="94"/>
      <c r="AL3" s="94"/>
      <c r="AM3" s="94"/>
      <c r="AN3" s="94"/>
      <c r="AO3" s="303"/>
      <c r="AP3" s="303"/>
      <c r="AQ3" s="303"/>
      <c r="AR3" s="303"/>
      <c r="AS3" s="303"/>
      <c r="AT3" s="303"/>
      <c r="AU3" s="94"/>
      <c r="AV3" s="94"/>
    </row>
    <row r="4" spans="1:48" s="99" customFormat="1">
      <c r="A4" s="228"/>
      <c r="B4" s="228"/>
      <c r="C4" s="228"/>
      <c r="D4" s="228"/>
      <c r="E4" s="228"/>
      <c r="F4" s="234">
        <f>IF($AF$1,SUMIFS('All Employees by Mode'!L:L,'All Employees by Mode'!$BE:$BE,"=No"),SUM('All Employees by Mode'!L:L))</f>
        <v>70835</v>
      </c>
      <c r="G4" s="235">
        <f>IF($AF$1,SUMIFS('All Employees by Mode'!M:M,'All Employees by Mode'!$BE:$BE,"=No"),SUM('All Employees by Mode'!M:M))</f>
        <v>289038502</v>
      </c>
      <c r="H4" s="235">
        <f>IF($AF$1,SUMIFS('All Employees by Mode'!O:O,'All Employees by Mode'!$BE:$BE,"=No"),SUM('All Employees by Mode'!O:O))</f>
        <v>89146977</v>
      </c>
      <c r="I4" s="235">
        <f>IF($AF$1,SUMIFS('All Employees by Mode'!Q:Q,'All Employees by Mode'!$BE:$BE,"=No"),SUM('All Employees by Mode'!Q:Q))</f>
        <v>59063461</v>
      </c>
      <c r="J4" s="235">
        <f>IF($AF$1,SUMIFS('All Employees by Mode'!S:S,'All Employees by Mode'!$BE:$BE,"=No"),SUM('All Employees by Mode'!S:S))</f>
        <v>46777723</v>
      </c>
      <c r="K4" s="235">
        <f>IF($AF$1,SUMIFS('All Employees by Mode'!U:U,'All Employees by Mode'!$BE:$BE,"=No"),SUM('All Employees by Mode'!U:U))</f>
        <v>21905168</v>
      </c>
      <c r="L4" s="235">
        <f>IF($AF$1,SUMIFS('All Employees by Mode'!W:W,'All Employees by Mode'!$BE:$BE,"=No"),SUM('All Employees by Mode'!W:W))</f>
        <v>505931831</v>
      </c>
      <c r="M4" s="235">
        <f>IF($AF$1,SUMIFS('All Employees by Mode'!Y:Y,'All Employees by Mode'!$BE:$BE,"=No"),SUM('All Employees by Mode'!Y:Y))</f>
        <v>153184.78999999998</v>
      </c>
      <c r="N4" s="235">
        <f>IF($AF$1,SUMIFS('All Employees by Mode'!AA:AA,'All Employees by Mode'!$BE:$BE,"=No"),SUM('All Employees by Mode'!AA:AA))</f>
        <v>47294.560000000027</v>
      </c>
      <c r="O4" s="235">
        <f>IF($AF$1,SUMIFS('All Employees by Mode'!AC:AC,'All Employees by Mode'!$BE:$BE,"=No"),SUM('All Employees by Mode'!AC:AC))</f>
        <v>32015.349999999988</v>
      </c>
      <c r="P4" s="235">
        <f>IF($AF$1,SUMIFS('All Employees by Mode'!AE:AE,'All Employees by Mode'!$BE:$BE,"=No"),SUM('All Employees by Mode'!AE:AE))</f>
        <v>26544.689999999995</v>
      </c>
      <c r="Q4" s="235">
        <f>IF($AF$1,SUMIFS('All Employees by Mode'!AG:AG,'All Employees by Mode'!$BE:$BE,"=No"),SUM('All Employees by Mode'!AG:AG))</f>
        <v>11133.850000000004</v>
      </c>
      <c r="R4" s="235">
        <f>IF($AF$1,SUMIFS('All Employees by Mode'!AI:AI,'All Employees by Mode'!$BE:$BE,"=No"),SUM('All Employees by Mode'!AI:AI))</f>
        <v>270173.24000000028</v>
      </c>
      <c r="S4" s="236">
        <f>IF($AF$1,SUMIFS('All Employees by Mode'!AK:AK,'All Employees by Mode'!$BE:$BE,"=No"),SUM('All Employees by Mode'!AK:AK))</f>
        <v>8607403874</v>
      </c>
      <c r="T4" s="236">
        <f>IF($AF$1,SUMIFS('All Employees by Mode'!AM:AM,'All Employees by Mode'!$BE:$BE,"=No"),SUM('All Employees by Mode'!AM:AM))</f>
        <v>2865107628</v>
      </c>
      <c r="U4" s="236">
        <f>IF($AF$1,SUMIFS('All Employees by Mode'!AO:AO,'All Employees by Mode'!$BE:$BE,"=No"),SUM('All Employees by Mode'!AO:AO))</f>
        <v>2052110021</v>
      </c>
      <c r="V4" s="236">
        <f>IF($AF$1,SUMIFS('All Employees by Mode'!AQ:AQ,'All Employees by Mode'!$BE:$BE,"=No"),SUM('All Employees by Mode'!AQ:AQ))</f>
        <v>1851403299</v>
      </c>
      <c r="W4" s="236">
        <f>IF($AF$1,SUMIFS('All Employees by Mode'!AS:AS,'All Employees by Mode'!$BE:$BE,"=No"),SUM('All Employees by Mode'!AS:AS))</f>
        <v>15376024822</v>
      </c>
      <c r="X4" s="237">
        <f>S4/G4</f>
        <v>29.779437045380202</v>
      </c>
      <c r="Y4" s="237">
        <f>T4/H4</f>
        <v>32.139145088453198</v>
      </c>
      <c r="Z4" s="237">
        <f>U4/I4</f>
        <v>34.744154613628211</v>
      </c>
      <c r="AA4" s="237">
        <f>V4/J4</f>
        <v>39.578739200281298</v>
      </c>
      <c r="AB4" s="254">
        <f>W4/SUM(G4:J4)</f>
        <v>31.766896324882829</v>
      </c>
      <c r="AC4" s="97"/>
      <c r="AD4" s="98"/>
      <c r="AE4" s="98"/>
      <c r="AF4" s="98">
        <v>1</v>
      </c>
      <c r="AG4" s="98"/>
      <c r="AH4" s="98"/>
      <c r="AI4" s="98"/>
      <c r="AJ4" s="98"/>
      <c r="AK4" s="98"/>
      <c r="AL4" s="98"/>
      <c r="AM4" s="98"/>
      <c r="AN4" s="98"/>
      <c r="AO4" s="304"/>
      <c r="AP4" s="304"/>
      <c r="AQ4" s="304"/>
      <c r="AR4" s="304"/>
      <c r="AS4" s="304"/>
      <c r="AT4" s="304"/>
      <c r="AU4" s="98"/>
      <c r="AV4" s="98"/>
    </row>
    <row r="5" spans="1:48">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33"/>
      <c r="AC5" s="97"/>
      <c r="AD5" s="98"/>
      <c r="AE5" s="98"/>
      <c r="AF5" s="98"/>
      <c r="AG5" s="98"/>
      <c r="AH5" s="98"/>
      <c r="AI5" s="98"/>
      <c r="AJ5" s="98"/>
      <c r="AK5" s="98"/>
      <c r="AL5" s="98"/>
      <c r="AM5" s="98"/>
      <c r="AN5" s="98"/>
      <c r="AO5" s="304"/>
      <c r="AP5" s="304"/>
      <c r="AQ5" s="304"/>
      <c r="AR5" s="304"/>
      <c r="AS5" s="304"/>
      <c r="AT5" s="304"/>
      <c r="AU5" s="98"/>
      <c r="AV5" s="98"/>
    </row>
    <row r="6" spans="1:48" ht="13.5" thickBot="1">
      <c r="A6" s="238" t="s">
        <v>1013</v>
      </c>
      <c r="B6" s="231"/>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9"/>
      <c r="AC6" s="97"/>
      <c r="AD6" s="98"/>
      <c r="AE6" s="98"/>
      <c r="AF6" s="98"/>
      <c r="AG6" s="98"/>
      <c r="AH6" s="98"/>
      <c r="AI6" s="98"/>
      <c r="AJ6" s="98"/>
      <c r="AK6" s="98"/>
      <c r="AL6" s="98"/>
      <c r="AM6" s="98"/>
      <c r="AN6" s="98"/>
      <c r="AO6" s="304"/>
      <c r="AP6" s="304"/>
      <c r="AQ6" s="304"/>
      <c r="AR6" s="304"/>
      <c r="AS6" s="304"/>
      <c r="AT6" s="304"/>
      <c r="AU6" s="98"/>
      <c r="AV6" s="98"/>
    </row>
    <row r="7" spans="1:48" ht="13.5" thickTop="1">
      <c r="A7" s="103"/>
      <c r="B7" s="96"/>
      <c r="C7" s="96"/>
      <c r="D7" s="99"/>
      <c r="E7" s="99"/>
      <c r="F7" s="248"/>
      <c r="G7" s="214"/>
      <c r="H7" s="215"/>
      <c r="I7" s="215"/>
      <c r="J7" s="213" t="s">
        <v>1065</v>
      </c>
      <c r="K7" s="215"/>
      <c r="L7" s="212"/>
      <c r="M7" s="211"/>
      <c r="N7" s="211"/>
      <c r="O7" s="211"/>
      <c r="P7" s="220" t="s">
        <v>1066</v>
      </c>
      <c r="Q7" s="211"/>
      <c r="R7" s="219"/>
      <c r="S7" s="214"/>
      <c r="T7" s="215"/>
      <c r="U7" s="215"/>
      <c r="V7" s="221" t="s">
        <v>1067</v>
      </c>
      <c r="W7" s="212"/>
      <c r="X7" s="214"/>
      <c r="Y7" s="215"/>
      <c r="Z7" s="215"/>
      <c r="AA7" s="221" t="s">
        <v>1068</v>
      </c>
      <c r="AB7" s="222"/>
      <c r="AC7" s="97"/>
      <c r="AD7" s="98"/>
      <c r="AE7" s="98"/>
      <c r="AF7" s="98"/>
      <c r="AG7" s="98"/>
      <c r="AH7" s="98"/>
      <c r="AI7" s="98"/>
      <c r="AJ7" s="98"/>
      <c r="AK7" s="98"/>
      <c r="AL7" s="98"/>
      <c r="AM7" s="98"/>
      <c r="AN7" s="98"/>
      <c r="AO7" s="304"/>
      <c r="AP7" s="304"/>
      <c r="AQ7" s="304"/>
      <c r="AR7" s="304"/>
      <c r="AS7" s="304"/>
      <c r="AT7" s="304"/>
      <c r="AU7" s="98"/>
      <c r="AV7" s="98"/>
    </row>
    <row r="8" spans="1:48" s="95" customFormat="1" ht="23.1" customHeight="1">
      <c r="A8" s="104"/>
      <c r="B8" s="105"/>
      <c r="C8" s="105"/>
      <c r="D8" s="106" t="s">
        <v>1014</v>
      </c>
      <c r="E8" s="273" t="s">
        <v>1069</v>
      </c>
      <c r="F8" s="265" t="s">
        <v>1092</v>
      </c>
      <c r="G8" s="265" t="s">
        <v>1072</v>
      </c>
      <c r="H8" s="265" t="s">
        <v>1073</v>
      </c>
      <c r="I8" s="265" t="s">
        <v>1074</v>
      </c>
      <c r="J8" s="308" t="s">
        <v>1075</v>
      </c>
      <c r="K8" s="265" t="s">
        <v>1076</v>
      </c>
      <c r="L8" s="265" t="s">
        <v>1091</v>
      </c>
      <c r="M8" s="309" t="s">
        <v>1077</v>
      </c>
      <c r="N8" s="265" t="s">
        <v>1078</v>
      </c>
      <c r="O8" s="265" t="s">
        <v>1079</v>
      </c>
      <c r="P8" s="308" t="s">
        <v>1080</v>
      </c>
      <c r="Q8" s="309" t="s">
        <v>1081</v>
      </c>
      <c r="R8" s="310" t="s">
        <v>1093</v>
      </c>
      <c r="S8" s="265" t="s">
        <v>1082</v>
      </c>
      <c r="T8" s="265" t="s">
        <v>1083</v>
      </c>
      <c r="U8" s="265" t="s">
        <v>1084</v>
      </c>
      <c r="V8" s="265" t="s">
        <v>1085</v>
      </c>
      <c r="W8" s="265" t="s">
        <v>1094</v>
      </c>
      <c r="X8" s="265" t="s">
        <v>1086</v>
      </c>
      <c r="Y8" s="265" t="s">
        <v>1087</v>
      </c>
      <c r="Z8" s="265" t="s">
        <v>1088</v>
      </c>
      <c r="AA8" s="265" t="s">
        <v>1089</v>
      </c>
      <c r="AB8" s="269" t="s">
        <v>1090</v>
      </c>
      <c r="AC8" s="93"/>
      <c r="AD8" s="94"/>
      <c r="AE8" s="94"/>
      <c r="AF8" s="98"/>
      <c r="AG8" s="94"/>
      <c r="AH8" s="94"/>
      <c r="AI8" s="94"/>
      <c r="AJ8" s="94"/>
      <c r="AK8" s="94"/>
      <c r="AL8" s="94"/>
      <c r="AM8" s="94"/>
      <c r="AN8" s="94"/>
      <c r="AO8" s="303"/>
      <c r="AP8" s="303"/>
      <c r="AQ8" s="303"/>
      <c r="AR8" s="303"/>
      <c r="AS8" s="303"/>
      <c r="AT8" s="303"/>
      <c r="AU8" s="94"/>
      <c r="AV8" s="94"/>
    </row>
    <row r="9" spans="1:48" s="95" customFormat="1" ht="11.25" customHeight="1">
      <c r="A9" s="167" t="s">
        <v>1155</v>
      </c>
      <c r="B9" s="168">
        <f>D9</f>
        <v>200000</v>
      </c>
      <c r="C9" s="169"/>
      <c r="D9" s="250">
        <v>200000</v>
      </c>
      <c r="E9" s="266" t="str">
        <f>A9&amp;" "&amp;FIXED(B9,0,0)</f>
        <v>Under 200,000</v>
      </c>
      <c r="F9" s="155">
        <f>IF($AF$1,SUMIFS('All Employees by Mode'!L:L,'All Employees by Mode'!$H:$H,"&lt;"&amp;$D9,'All Employees by Mode'!$BE:$BE,"=No"),SUMIFS('All Employees by Mode'!L:L,'All Employees by Mode'!$H:$H,"&lt;"&amp;$D9))</f>
        <v>5008</v>
      </c>
      <c r="G9" s="156">
        <f>IF($AF$1,SUMIFS('All Employees by Mode'!M:M,'All Employees by Mode'!$H:$H,"&lt;"&amp;$D9,'All Employees by Mode'!$BE:$BE,"=No"),SUMIFS('All Employees by Mode'!M:M,'All Employees by Mode'!$H:$H,"&lt;"&amp;$D9))</f>
        <v>13124182</v>
      </c>
      <c r="H9" s="156">
        <f>IF($AF$1,SUMIFS('All Employees by Mode'!O:O,'All Employees by Mode'!$H:$H,"&lt;"&amp;$D9,'All Employees by Mode'!$BE:$BE,"=No"),SUMIFS('All Employees by Mode'!O:O,'All Employees by Mode'!$H:$H,"&lt;"&amp;$D9))</f>
        <v>1974145</v>
      </c>
      <c r="I9" s="156">
        <f>IF($AF$1,SUMIFS('All Employees by Mode'!Q:Q,'All Employees by Mode'!$H:$H,"&lt;"&amp;$D9,'All Employees by Mode'!$BE:$BE,"=No"),SUMIFS('All Employees by Mode'!Q:Q,'All Employees by Mode'!$H:$H,"&lt;"&amp;$D9))</f>
        <v>438991</v>
      </c>
      <c r="J9" s="156">
        <f>IF($AF$1,SUMIFS('All Employees by Mode'!S:S,'All Employees by Mode'!$H:$H,"&lt;"&amp;$D9,'All Employees by Mode'!$BE:$BE,"=No"),SUMIFS('All Employees by Mode'!S:S,'All Employees by Mode'!$H:$H,"&lt;"&amp;$D9))</f>
        <v>1992252</v>
      </c>
      <c r="K9" s="156">
        <f>IF($AF$1,SUMIFS('All Employees by Mode'!U:U,'All Employees by Mode'!$H:$H,"&lt;"&amp;$D9,'All Employees by Mode'!$BE:$BE,"=No"),SUMIFS('All Employees by Mode'!U:U,'All Employees by Mode'!$H:$H,"&lt;"&amp;$D9))</f>
        <v>14786</v>
      </c>
      <c r="L9" s="156">
        <f>IF($AF$1,SUMIFS('All Employees by Mode'!W:W,'All Employees by Mode'!$H:$H,"&lt;"&amp;$D9,'All Employees by Mode'!$BE:$BE,"=No"),SUMIFS('All Employees by Mode'!W:W,'All Employees by Mode'!$H:$H,"&lt;"&amp;$D9))</f>
        <v>17544356</v>
      </c>
      <c r="M9" s="156">
        <f>IF($AF$1,SUMIFS('All Employees by Mode'!Y:Y,'All Employees by Mode'!$H:$H,"&lt;"&amp;$D9,'All Employees by Mode'!$BE:$BE,"=No"),SUMIFS('All Employees by Mode'!Y:Y,'All Employees by Mode'!$H:$H,"&lt;"&amp;$D9))</f>
        <v>8515.8999999999978</v>
      </c>
      <c r="N9" s="156">
        <f>IF($AF$1,SUMIFS('All Employees by Mode'!AA:AA,'All Employees by Mode'!$H:$H,"&lt;"&amp;$D9,'All Employees by Mode'!$BE:$BE,"=No"),SUMIFS('All Employees by Mode'!AA:AA,'All Employees by Mode'!$H:$H,"&lt;"&amp;$D9))</f>
        <v>1153.3899999999992</v>
      </c>
      <c r="O9" s="156">
        <f>IF($AF$1,SUMIFS('All Employees by Mode'!AC:AC,'All Employees by Mode'!$H:$H,"&lt;"&amp;$D9,'All Employees by Mode'!$BE:$BE,"=No"),SUMIFS('All Employees by Mode'!AC:AC,'All Employees by Mode'!$H:$H,"&lt;"&amp;$D9))</f>
        <v>274.70999999999998</v>
      </c>
      <c r="P9" s="156">
        <f>IF($AF$1,SUMIFS('All Employees by Mode'!AE:AE,'All Employees by Mode'!$H:$H,"&lt;"&amp;$D9,'All Employees by Mode'!$BE:$BE,"=No"),SUMIFS('All Employees by Mode'!AE:AE,'All Employees by Mode'!$H:$H,"&lt;"&amp;$D9))</f>
        <v>1235.3499999999997</v>
      </c>
      <c r="Q9" s="156">
        <f>IF($AF$1,SUMIFS('All Employees by Mode'!AG:AG,'All Employees by Mode'!$H:$H,"&lt;"&amp;$D9,'All Employees by Mode'!$BE:$BE,"=No"),SUMIFS('All Employees by Mode'!AG:AG,'All Employees by Mode'!$H:$H,"&lt;"&amp;$D9))</f>
        <v>9.24</v>
      </c>
      <c r="R9" s="156">
        <f>IF($AF$1,SUMIFS('All Employees by Mode'!AI:AI,'All Employees by Mode'!$H:$H,"&lt;"&amp;$D9,'All Employees by Mode'!$BE:$BE,"=No"),SUMIFS('All Employees by Mode'!AI:AI,'All Employees by Mode'!$H:$H,"&lt;"&amp;$D9))</f>
        <v>11188.590000000004</v>
      </c>
      <c r="S9" s="157">
        <f>IF($AF$1,SUMIFS('All Employees by Mode'!AK:AK,'All Employees by Mode'!$H:$H,"&lt;"&amp;$D9,'All Employees by Mode'!$BE:$BE,"=No"),SUMIFS('All Employees by Mode'!AK:AK,'All Employees by Mode'!$H:$H,"&lt;"&amp;$D9))</f>
        <v>268961564</v>
      </c>
      <c r="T9" s="157">
        <f>IF($AF$1,SUMIFS('All Employees by Mode'!AM:AM,'All Employees by Mode'!$H:$H,"&lt;"&amp;$D9,'All Employees by Mode'!$BE:$BE,"=No"),SUMIFS('All Employees by Mode'!AM:AM,'All Employees by Mode'!$H:$H,"&lt;"&amp;$D9))</f>
        <v>47055085</v>
      </c>
      <c r="U9" s="157">
        <f>IF($AF$1,SUMIFS('All Employees by Mode'!AO:AO,'All Employees by Mode'!$H:$H,"&lt;"&amp;$D9,'All Employees by Mode'!$BE:$BE,"=No"),SUMIFS('All Employees by Mode'!AO:AO,'All Employees by Mode'!$H:$H,"&lt;"&amp;$D9))</f>
        <v>9257999</v>
      </c>
      <c r="V9" s="157">
        <f>IF($AF$1,SUMIFS('All Employees by Mode'!AQ:AQ,'All Employees by Mode'!$H:$H,"&lt;"&amp;$D9,'All Employees by Mode'!$BE:$BE,"=No"),SUMIFS('All Employees by Mode'!AQ:AQ,'All Employees by Mode'!$H:$H,"&lt;"&amp;$D9))</f>
        <v>54888351</v>
      </c>
      <c r="W9" s="157">
        <f>IF($AF$1,SUMIFS('All Employees by Mode'!AS:AS,'All Employees by Mode'!$H:$H,"&lt;"&amp;$D9,'All Employees by Mode'!$BE:$BE,"=No"),SUMIFS('All Employees by Mode'!AS:AS,'All Employees by Mode'!$H:$H,"&lt;"&amp;$D9))</f>
        <v>380162999</v>
      </c>
      <c r="X9" s="158">
        <f t="shared" ref="X9:AA10" si="0">IFERROR(S9/G9,"-")</f>
        <v>20.493586876500189</v>
      </c>
      <c r="Y9" s="158">
        <f t="shared" si="0"/>
        <v>23.835678230322493</v>
      </c>
      <c r="Z9" s="158">
        <f t="shared" si="0"/>
        <v>21.089268344909122</v>
      </c>
      <c r="AA9" s="158">
        <f t="shared" si="0"/>
        <v>27.550907716493697</v>
      </c>
      <c r="AB9" s="270">
        <f>IFERROR(W9/SUM(G9:J9),"-")</f>
        <v>21.686955184867628</v>
      </c>
      <c r="AC9" s="93"/>
      <c r="AD9" s="94"/>
      <c r="AE9" s="94"/>
      <c r="AF9" s="94"/>
      <c r="AG9" s="94"/>
      <c r="AH9" s="94" t="str">
        <f>IFERROR(AN9&amp;":"&amp;CHAR(10)&amp;"Vehicle Operations: $"&amp;FIXED(AI9,2,0)&amp;CHAR(10)&amp;"Vehicle Maintenance: $"&amp;FIXED(AJ9,2,0)&amp;CHAR(10)&amp;"Facility Maintenance: $"&amp;FIXED(AK9,2,0)&amp;CHAR(10)&amp;"General Administration: $"&amp;FIXED(AL9,2,0)&amp;CHAR(10)&amp;"Total: $"&amp;FIXED(AM9,2,0),"")</f>
        <v>Under 200,000:
Vehicle Operations: $20.49
Vehicle Maintenance: $23.84
Facility Maintenance: $21.09
General Administration: $27.55
Total: $21.69</v>
      </c>
      <c r="AI9" s="107">
        <f>X9</f>
        <v>20.493586876500189</v>
      </c>
      <c r="AJ9" s="107">
        <f t="shared" ref="AJ9:AM17" si="1">Y9</f>
        <v>23.835678230322493</v>
      </c>
      <c r="AK9" s="107">
        <f t="shared" si="1"/>
        <v>21.089268344909122</v>
      </c>
      <c r="AL9" s="107">
        <f t="shared" si="1"/>
        <v>27.550907716493697</v>
      </c>
      <c r="AM9" s="107">
        <f t="shared" si="1"/>
        <v>21.686955184867628</v>
      </c>
      <c r="AN9" s="108" t="str">
        <f>"Under "&amp;FIXED($B9,0,0)</f>
        <v>Under 200,000</v>
      </c>
      <c r="AO9" s="303"/>
      <c r="AP9" s="303"/>
      <c r="AQ9" s="303"/>
      <c r="AR9" s="303"/>
      <c r="AS9" s="303"/>
      <c r="AT9" s="303"/>
      <c r="AU9" s="94"/>
      <c r="AV9" s="94"/>
    </row>
    <row r="10" spans="1:48" s="95" customFormat="1" ht="11.25" customHeight="1">
      <c r="A10" s="167" t="str">
        <f>IF(D10&lt;&gt;"","Between","Over")</f>
        <v>Between</v>
      </c>
      <c r="B10" s="168">
        <f>D9</f>
        <v>200000</v>
      </c>
      <c r="C10" s="169" t="str">
        <f>IF(D10&lt;&gt;"","and","")</f>
        <v>and</v>
      </c>
      <c r="D10" s="250">
        <v>1000000</v>
      </c>
      <c r="E10" s="266" t="str">
        <f t="shared" ref="E10:E17" si="2">IFERROR(IF(A10="Between",A10&amp;" "&amp;FIXED(B10,0,0)&amp;" "&amp;C10&amp;" "&amp;FIXED(D10,0,0),A10&amp;" "&amp;FIXED(B10,0,0)),"invalid bin")</f>
        <v>Between 200,000 and 1,000,000</v>
      </c>
      <c r="F10" s="159">
        <f>IF($AF$1,IF($A10="Between",SUMIFS('All Employees by Mode'!L:L,'All Employees by Mode'!$H:$H,"&gt;="&amp;$B10,'All Employees by Mode'!$H:$H,"&lt;"&amp;$D10,'All Employees by Mode'!$BE:$BE,"=No"),SUMIFS('All Employees by Mode'!L:L,'All Employees by Mode'!$H:$H,"&gt;="&amp;$B10,'All Employees by Mode'!$BE:$BE,"=No")),IF($A10="Between",SUMIFS('All Employees by Mode'!L:L,'All Employees by Mode'!$H:$H,"&gt;="&amp;$B10,'All Employees by Mode'!$H:$H,"&lt;"&amp;$D10),SUMIFS('All Employees by Mode'!L:L,'All Employees by Mode'!$H:$H,"&gt;="&amp;$B10)))</f>
        <v>10256</v>
      </c>
      <c r="G10" s="160">
        <f>IF($AF$1,IF($A10="Between",SUMIFS('All Employees by Mode'!M:M,'All Employees by Mode'!$H:$H,"&gt;="&amp;$B10,'All Employees by Mode'!$H:$H,"&lt;"&amp;$D10,'All Employees by Mode'!$BE:$BE,"=No"),SUMIFS('All Employees by Mode'!M:M,'All Employees by Mode'!$H:$H,"&gt;="&amp;$B10,'All Employees by Mode'!$BE:$BE,"=No")),IF($A10="Between",SUMIFS('All Employees by Mode'!M:M,'All Employees by Mode'!$H:$H,"&gt;="&amp;$B10,'All Employees by Mode'!$H:$H,"&lt;"&amp;$D10),SUMIFS('All Employees by Mode'!M:M,'All Employees by Mode'!$H:$H,"&gt;="&amp;$B10)))</f>
        <v>37888594</v>
      </c>
      <c r="H10" s="160">
        <f>IF($AF$1,IF($A10="Between",SUMIFS('All Employees by Mode'!O:O,'All Employees by Mode'!$H:$H,"&gt;="&amp;$B10,'All Employees by Mode'!$H:$H,"&lt;"&amp;$D10,'All Employees by Mode'!$BE:$BE,"=No"),SUMIFS('All Employees by Mode'!O:O,'All Employees by Mode'!$H:$H,"&gt;="&amp;$B10,'All Employees by Mode'!$BE:$BE,"=No")),IF($A10="Between",SUMIFS('All Employees by Mode'!O:O,'All Employees by Mode'!$H:$H,"&gt;="&amp;$B10,'All Employees by Mode'!$H:$H,"&lt;"&amp;$D10),SUMIFS('All Employees by Mode'!O:O,'All Employees by Mode'!$H:$H,"&gt;="&amp;$B10)))</f>
        <v>7312823</v>
      </c>
      <c r="I10" s="160">
        <f>IF($AF$1,IF($A10="Between",SUMIFS('All Employees by Mode'!Q:Q,'All Employees by Mode'!$H:$H,"&gt;="&amp;$B10,'All Employees by Mode'!$H:$H,"&lt;"&amp;$D10,'All Employees by Mode'!$BE:$BE,"=No"),SUMIFS('All Employees by Mode'!Q:Q,'All Employees by Mode'!$H:$H,"&gt;="&amp;$B10,'All Employees by Mode'!$BE:$BE,"=No")),IF($A10="Between",SUMIFS('All Employees by Mode'!Q:Q,'All Employees by Mode'!$H:$H,"&gt;="&amp;$B10,'All Employees by Mode'!$H:$H,"&lt;"&amp;$D10),SUMIFS('All Employees by Mode'!Q:Q,'All Employees by Mode'!$H:$H,"&gt;="&amp;$B10)))</f>
        <v>1658942</v>
      </c>
      <c r="J10" s="160">
        <f>IF($AF$1,IF($A10="Between",SUMIFS('All Employees by Mode'!S:S,'All Employees by Mode'!$H:$H,"&gt;="&amp;$B10,'All Employees by Mode'!$H:$H,"&lt;"&amp;$D10,'All Employees by Mode'!$BE:$BE,"=No"),SUMIFS('All Employees by Mode'!S:S,'All Employees by Mode'!$H:$H,"&gt;="&amp;$B10,'All Employees by Mode'!$BE:$BE,"=No")),IF($A10="Between",SUMIFS('All Employees by Mode'!S:S,'All Employees by Mode'!$H:$H,"&gt;="&amp;$B10,'All Employees by Mode'!$H:$H,"&lt;"&amp;$D10),SUMIFS('All Employees by Mode'!S:S,'All Employees by Mode'!$H:$H,"&gt;="&amp;$B10)))</f>
        <v>5195179</v>
      </c>
      <c r="K10" s="160">
        <f>IF($AF$1,IF($A10="Between",SUMIFS('All Employees by Mode'!U:U,'All Employees by Mode'!$H:$H,"&gt;="&amp;$B10,'All Employees by Mode'!$H:$H,"&lt;"&amp;$D10,'All Employees by Mode'!$BE:$BE,"=No"),SUMIFS('All Employees by Mode'!U:U,'All Employees by Mode'!$H:$H,"&gt;="&amp;$B10,'All Employees by Mode'!$BE:$BE,"=No")),IF($A10="Between",SUMIFS('All Employees by Mode'!U:U,'All Employees by Mode'!$H:$H,"&gt;="&amp;$B10,'All Employees by Mode'!$H:$H,"&lt;"&amp;$D10),SUMIFS('All Employees by Mode'!U:U,'All Employees by Mode'!$H:$H,"&gt;="&amp;$B10)))</f>
        <v>177207</v>
      </c>
      <c r="L10" s="160">
        <f>IF($AF$1,IF($A10="Between",SUMIFS('All Employees by Mode'!W:W,'All Employees by Mode'!$H:$H,"&gt;="&amp;$B10,'All Employees by Mode'!$H:$H,"&lt;"&amp;$D10,'All Employees by Mode'!$BE:$BE,"=No"),SUMIFS('All Employees by Mode'!W:W,'All Employees by Mode'!$H:$H,"&gt;="&amp;$B10,'All Employees by Mode'!$BE:$BE,"=No")),IF($A10="Between",SUMIFS('All Employees by Mode'!W:W,'All Employees by Mode'!$H:$H,"&gt;="&amp;$B10,'All Employees by Mode'!$H:$H,"&lt;"&amp;$D10),SUMIFS('All Employees by Mode'!W:W,'All Employees by Mode'!$H:$H,"&gt;="&amp;$B10)))</f>
        <v>52232745</v>
      </c>
      <c r="M10" s="160">
        <f>IF($AF$1,IF($A10="Between",SUMIFS('All Employees by Mode'!Y:Y,'All Employees by Mode'!$H:$H,"&gt;="&amp;$B10,'All Employees by Mode'!$H:$H,"&lt;"&amp;$D10,'All Employees by Mode'!$BE:$BE,"=No"),SUMIFS('All Employees by Mode'!Y:Y,'All Employees by Mode'!$H:$H,"&gt;="&amp;$B10,'All Employees by Mode'!$BE:$BE,"=No")),IF($A10="Between",SUMIFS('All Employees by Mode'!Y:Y,'All Employees by Mode'!$H:$H,"&gt;="&amp;$B10,'All Employees by Mode'!$H:$H,"&lt;"&amp;$D10),SUMIFS('All Employees by Mode'!Y:Y,'All Employees by Mode'!$H:$H,"&gt;="&amp;$B10)))</f>
        <v>20747.259999999995</v>
      </c>
      <c r="N10" s="160">
        <f>IF($AF$1,IF($A10="Between",SUMIFS('All Employees by Mode'!AA:AA,'All Employees by Mode'!$H:$H,"&gt;="&amp;$B10,'All Employees by Mode'!$H:$H,"&lt;"&amp;$D10,'All Employees by Mode'!$BE:$BE,"=No"),SUMIFS('All Employees by Mode'!AA:AA,'All Employees by Mode'!$H:$H,"&gt;="&amp;$B10,'All Employees by Mode'!$BE:$BE,"=No")),IF($A10="Between",SUMIFS('All Employees by Mode'!AA:AA,'All Employees by Mode'!$H:$H,"&gt;="&amp;$B10,'All Employees by Mode'!$H:$H,"&lt;"&amp;$D10),SUMIFS('All Employees by Mode'!AA:AA,'All Employees by Mode'!$H:$H,"&gt;="&amp;$B10)))</f>
        <v>3861.92</v>
      </c>
      <c r="O10" s="160">
        <f>IF($AF$1,IF($A10="Between",SUMIFS('All Employees by Mode'!AC:AC,'All Employees by Mode'!$H:$H,"&gt;="&amp;$B10,'All Employees by Mode'!$H:$H,"&lt;"&amp;$D10,'All Employees by Mode'!$BE:$BE,"=No"),SUMIFS('All Employees by Mode'!AC:AC,'All Employees by Mode'!$H:$H,"&gt;="&amp;$B10,'All Employees by Mode'!$BE:$BE,"=No")),IF($A10="Between",SUMIFS('All Employees by Mode'!AC:AC,'All Employees by Mode'!$H:$H,"&gt;="&amp;$B10,'All Employees by Mode'!$H:$H,"&lt;"&amp;$D10),SUMIFS('All Employees by Mode'!AC:AC,'All Employees by Mode'!$H:$H,"&gt;="&amp;$B10)))</f>
        <v>956.10000000000014</v>
      </c>
      <c r="P10" s="160">
        <f>IF($AF$1,IF($A10="Between",SUMIFS('All Employees by Mode'!AE:AE,'All Employees by Mode'!$H:$H,"&gt;="&amp;$B10,'All Employees by Mode'!$H:$H,"&lt;"&amp;$D10,'All Employees by Mode'!$BE:$BE,"=No"),SUMIFS('All Employees by Mode'!AE:AE,'All Employees by Mode'!$H:$H,"&gt;="&amp;$B10,'All Employees by Mode'!$BE:$BE,"=No")),IF($A10="Between",SUMIFS('All Employees by Mode'!AE:AE,'All Employees by Mode'!$H:$H,"&gt;="&amp;$B10,'All Employees by Mode'!$H:$H,"&lt;"&amp;$D10),SUMIFS('All Employees by Mode'!AE:AE,'All Employees by Mode'!$H:$H,"&gt;="&amp;$B10)))</f>
        <v>3081.8500000000017</v>
      </c>
      <c r="Q10" s="160">
        <f>IF($AF$1,IF($A10="Between",SUMIFS('All Employees by Mode'!AG:AG,'All Employees by Mode'!$H:$H,"&gt;="&amp;$B10,'All Employees by Mode'!$H:$H,"&lt;"&amp;$D10,'All Employees by Mode'!$BE:$BE,"=No"),SUMIFS('All Employees by Mode'!AG:AG,'All Employees by Mode'!$H:$H,"&gt;="&amp;$B10,'All Employees by Mode'!$BE:$BE,"=No")),IF($A10="Between",SUMIFS('All Employees by Mode'!AG:AG,'All Employees by Mode'!$H:$H,"&gt;="&amp;$B10,'All Employees by Mode'!$H:$H,"&lt;"&amp;$D10),SUMIFS('All Employees by Mode'!AG:AG,'All Employees by Mode'!$H:$H,"&gt;="&amp;$B10)))</f>
        <v>83.579999999999984</v>
      </c>
      <c r="R10" s="160">
        <f>IF($AF$1,IF($A10="Between",SUMIFS('All Employees by Mode'!AI:AI,'All Employees by Mode'!$H:$H,"&gt;="&amp;$B10,'All Employees by Mode'!$H:$H,"&lt;"&amp;$D10,'All Employees by Mode'!$BE:$BE,"=No"),SUMIFS('All Employees by Mode'!AI:AI,'All Employees by Mode'!$H:$H,"&gt;="&amp;$B10,'All Employees by Mode'!$BE:$BE,"=No")),IF($A10="Between",SUMIFS('All Employees by Mode'!AI:AI,'All Employees by Mode'!$H:$H,"&gt;="&amp;$B10,'All Employees by Mode'!$H:$H,"&lt;"&amp;$D10),SUMIFS('All Employees by Mode'!AI:AI,'All Employees by Mode'!$H:$H,"&gt;="&amp;$B10)))</f>
        <v>28730.71</v>
      </c>
      <c r="S10" s="161">
        <f>IF($AF$1,IF($A10="Between",SUMIFS('All Employees by Mode'!AK:AK,'All Employees by Mode'!$H:$H,"&gt;="&amp;$B10,'All Employees by Mode'!$H:$H,"&lt;"&amp;$D10,'All Employees by Mode'!$BE:$BE,"=No"),SUMIFS('All Employees by Mode'!AK:AK,'All Employees by Mode'!$H:$H,"&gt;="&amp;$B10,'All Employees by Mode'!$BE:$BE,"=No")),IF($A10="Between",SUMIFS('All Employees by Mode'!AK:AK,'All Employees by Mode'!$H:$H,"&gt;="&amp;$B10,'All Employees by Mode'!$H:$H,"&lt;"&amp;$D10),SUMIFS('All Employees by Mode'!AK:AK,'All Employees by Mode'!$H:$H,"&gt;="&amp;$B10)))</f>
        <v>810580295</v>
      </c>
      <c r="T10" s="161">
        <f>IF($AF$1,IF($A10="Between",SUMIFS('All Employees by Mode'!AM:AM,'All Employees by Mode'!$H:$H,"&gt;="&amp;$B10,'All Employees by Mode'!$H:$H,"&lt;"&amp;$D10,'All Employees by Mode'!$BE:$BE,"=No"),SUMIFS('All Employees by Mode'!AM:AM,'All Employees by Mode'!$H:$H,"&gt;="&amp;$B10,'All Employees by Mode'!$BE:$BE,"=No")),IF($A10="Between",SUMIFS('All Employees by Mode'!AM:AM,'All Employees by Mode'!$H:$H,"&gt;="&amp;$B10,'All Employees by Mode'!$H:$H,"&lt;"&amp;$D10),SUMIFS('All Employees by Mode'!AM:AM,'All Employees by Mode'!$H:$H,"&gt;="&amp;$B10)))</f>
        <v>178119352</v>
      </c>
      <c r="U10" s="161">
        <f>IF($AF$1,IF($A10="Between",SUMIFS('All Employees by Mode'!AO:AO,'All Employees by Mode'!$H:$H,"&gt;="&amp;$B10,'All Employees by Mode'!$H:$H,"&lt;"&amp;$D10,'All Employees by Mode'!$BE:$BE,"=No"),SUMIFS('All Employees by Mode'!AO:AO,'All Employees by Mode'!$H:$H,"&gt;="&amp;$B10,'All Employees by Mode'!$BE:$BE,"=No")),IF($A10="Between",SUMIFS('All Employees by Mode'!AO:AO,'All Employees by Mode'!$H:$H,"&gt;="&amp;$B10,'All Employees by Mode'!$H:$H,"&lt;"&amp;$D10),SUMIFS('All Employees by Mode'!AO:AO,'All Employees by Mode'!$H:$H,"&gt;="&amp;$B10)))</f>
        <v>35855872</v>
      </c>
      <c r="V10" s="161">
        <f>IF($AF$1,IF($A10="Between",SUMIFS('All Employees by Mode'!AQ:AQ,'All Employees by Mode'!$H:$H,"&gt;="&amp;$B10,'All Employees by Mode'!$H:$H,"&lt;"&amp;$D10,'All Employees by Mode'!$BE:$BE,"=No"),SUMIFS('All Employees by Mode'!AQ:AQ,'All Employees by Mode'!$H:$H,"&gt;="&amp;$B10,'All Employees by Mode'!$BE:$BE,"=No")),IF($A10="Between",SUMIFS('All Employees by Mode'!AQ:AQ,'All Employees by Mode'!$H:$H,"&gt;="&amp;$B10,'All Employees by Mode'!$H:$H,"&lt;"&amp;$D10),SUMIFS('All Employees by Mode'!AQ:AQ,'All Employees by Mode'!$H:$H,"&gt;="&amp;$B10)))</f>
        <v>147376682</v>
      </c>
      <c r="W10" s="161">
        <f>IF($AF$1,IF($A10="Between",SUMIFS('All Employees by Mode'!AS:AS,'All Employees by Mode'!$H:$H,"&gt;="&amp;$B10,'All Employees by Mode'!$H:$H,"&lt;"&amp;$D10,'All Employees by Mode'!$BE:$BE,"=No"),SUMIFS('All Employees by Mode'!AS:AS,'All Employees by Mode'!$H:$H,"&gt;="&amp;$B10,'All Employees by Mode'!$BE:$BE,"=No")),IF($A10="Between",SUMIFS('All Employees by Mode'!AS:AS,'All Employees by Mode'!$H:$H,"&gt;="&amp;$B10,'All Employees by Mode'!$H:$H,"&lt;"&amp;$D10),SUMIFS('All Employees by Mode'!AS:AS,'All Employees by Mode'!$H:$H,"&gt;="&amp;$B10)))</f>
        <v>1171932201</v>
      </c>
      <c r="X10" s="162">
        <f t="shared" si="0"/>
        <v>21.393781331658811</v>
      </c>
      <c r="Y10" s="162">
        <f t="shared" si="0"/>
        <v>24.35712610574603</v>
      </c>
      <c r="Z10" s="162">
        <f t="shared" si="0"/>
        <v>21.613698369201575</v>
      </c>
      <c r="AA10" s="162">
        <f t="shared" si="0"/>
        <v>28.367969996798955</v>
      </c>
      <c r="AB10" s="271">
        <f>IFERROR(W10/SUM(G10:J10),"-")</f>
        <v>22.513112841135175</v>
      </c>
      <c r="AC10" s="93"/>
      <c r="AD10" s="94"/>
      <c r="AE10" s="94"/>
      <c r="AF10" s="94"/>
      <c r="AG10" s="94"/>
      <c r="AH10" s="94" t="str">
        <f t="shared" ref="AH10:AH17" si="3">IFERROR(AN10&amp;":"&amp;CHAR(10)&amp;"Vehicle Operations: $"&amp;FIXED(AI10,2,0)&amp;CHAR(10)&amp;"Vehicle Maintenance: $"&amp;FIXED(AJ10,2,0)&amp;CHAR(10)&amp;"Facility Maintenance: $"&amp;FIXED(AK10,2,0)&amp;CHAR(10)&amp;"General Administration: $"&amp;FIXED(AL10,2,0)&amp;CHAR(10)&amp;"Total: $"&amp;FIXED(AM10,2,0),"")</f>
        <v>200,000 to 1,000,000:
Vehicle Operations: $21.39
Vehicle Maintenance: $24.36
Facility Maintenance: $21.61
General Administration: $28.37
Total: $22.51</v>
      </c>
      <c r="AI10" s="107">
        <f t="shared" ref="AI10:AI17" si="4">X10</f>
        <v>21.393781331658811</v>
      </c>
      <c r="AJ10" s="107">
        <f t="shared" si="1"/>
        <v>24.35712610574603</v>
      </c>
      <c r="AK10" s="107">
        <f t="shared" si="1"/>
        <v>21.613698369201575</v>
      </c>
      <c r="AL10" s="107">
        <f t="shared" si="1"/>
        <v>28.367969996798955</v>
      </c>
      <c r="AM10" s="107">
        <f t="shared" si="1"/>
        <v>22.513112841135175</v>
      </c>
      <c r="AN10" s="108" t="str">
        <f t="shared" ref="AN10:AN17" si="5">IFERROR(IF($A10="Over","Over "&amp;FIXED($B10,0,0),FIXED($B10,0,0)&amp;" to "&amp;FIXED($D10,0,0)),"")</f>
        <v>200,000 to 1,000,000</v>
      </c>
      <c r="AO10" s="303"/>
      <c r="AP10" s="303"/>
      <c r="AQ10" s="303"/>
      <c r="AR10" s="303"/>
      <c r="AS10" s="303"/>
      <c r="AT10" s="303"/>
      <c r="AU10" s="94"/>
      <c r="AV10" s="94"/>
    </row>
    <row r="11" spans="1:48" s="95" customFormat="1" ht="11.25" customHeight="1">
      <c r="A11" s="167" t="str">
        <f t="shared" ref="A11:A17" si="6">IF(OR(A10="Over",A10=""),"",IF(D11="","Over","Between"))</f>
        <v>Over</v>
      </c>
      <c r="B11" s="168">
        <f>IF(D10="","",D10)</f>
        <v>1000000</v>
      </c>
      <c r="C11" s="169" t="str">
        <f t="shared" ref="C11:C17" si="7">IF(D11&lt;&gt;"","and","")</f>
        <v/>
      </c>
      <c r="D11" s="250"/>
      <c r="E11" s="266" t="str">
        <f t="shared" si="2"/>
        <v>Over 1,000,000</v>
      </c>
      <c r="F11" s="159">
        <f>IF($AF$1,IF($A11="","",IF($A11="Between",SUMIFS('All Employees by Mode'!L:L,'All Employees by Mode'!$H:$H,"&gt;="&amp;$B11,'All Employees by Mode'!$H:$H,"&lt;"&amp;$D11,'All Employees by Mode'!$BE:$BE,"=No"),SUMIFS('All Employees by Mode'!L:L,'All Employees by Mode'!$H:$H,"&gt;="&amp;$B11,'All Employees by Mode'!$BE:$BE,"=No"))),IF($A11="","",IF($A11="Between",SUMIFS('All Employees by Mode'!L:L,'All Employees by Mode'!$H:$H,"&gt;="&amp;$B11,'All Employees by Mode'!$H:$H,"&lt;"&amp;$D11),SUMIFS('All Employees by Mode'!L:L,'All Employees by Mode'!$H:$H,"&gt;="&amp;$B11))))</f>
        <v>55571</v>
      </c>
      <c r="G11" s="160">
        <f>IF($AF$1,IF($A11="","",IF($A11="Between",SUMIFS('All Employees by Mode'!M:M,'All Employees by Mode'!$H:$H,"&gt;="&amp;$B11,'All Employees by Mode'!$H:$H,"&lt;"&amp;$D11,'All Employees by Mode'!$BE:$BE,"=No"),SUMIFS('All Employees by Mode'!M:M,'All Employees by Mode'!$H:$H,"&gt;="&amp;$B11,'All Employees by Mode'!$BE:$BE,"=No"))),IF($A11="","",IF($A11="Between",SUMIFS('All Employees by Mode'!M:M,'All Employees by Mode'!$H:$H,"&gt;="&amp;$B11,'All Employees by Mode'!$H:$H,"&lt;"&amp;$D11),SUMIFS('All Employees by Mode'!M:M,'All Employees by Mode'!$H:$H,"&gt;="&amp;$B11))))</f>
        <v>238025726</v>
      </c>
      <c r="H11" s="160">
        <f>IF($AF$1,IF($A11="","",IF($A11="Between",SUMIFS('All Employees by Mode'!O:O,'All Employees by Mode'!$H:$H,"&gt;="&amp;$B11,'All Employees by Mode'!$H:$H,"&lt;"&amp;$D11,'All Employees by Mode'!$BE:$BE,"=No"),SUMIFS('All Employees by Mode'!O:O,'All Employees by Mode'!$H:$H,"&gt;="&amp;$B11,'All Employees by Mode'!$BE:$BE,"=No"))),IF($A11="","",IF($A11="Between",SUMIFS('All Employees by Mode'!O:O,'All Employees by Mode'!$H:$H,"&gt;="&amp;$B11,'All Employees by Mode'!$H:$H,"&lt;"&amp;$D11),SUMIFS('All Employees by Mode'!O:O,'All Employees by Mode'!$H:$H,"&gt;="&amp;$B11))))</f>
        <v>79860009</v>
      </c>
      <c r="I11" s="160">
        <f>IF($AF$1,IF($A11="","",IF($A11="Between",SUMIFS('All Employees by Mode'!Q:Q,'All Employees by Mode'!$H:$H,"&gt;="&amp;$B11,'All Employees by Mode'!$H:$H,"&lt;"&amp;$D11,'All Employees by Mode'!$BE:$BE,"=No"),SUMIFS('All Employees by Mode'!Q:Q,'All Employees by Mode'!$H:$H,"&gt;="&amp;$B11,'All Employees by Mode'!$BE:$BE,"=No"))),IF($A11="","",IF($A11="Between",SUMIFS('All Employees by Mode'!Q:Q,'All Employees by Mode'!$H:$H,"&gt;="&amp;$B11,'All Employees by Mode'!$H:$H,"&lt;"&amp;$D11),SUMIFS('All Employees by Mode'!Q:Q,'All Employees by Mode'!$H:$H,"&gt;="&amp;$B11))))</f>
        <v>56965528</v>
      </c>
      <c r="J11" s="160">
        <f>IF($AF$1,IF($A11="","",IF($A11="Between",SUMIFS('All Employees by Mode'!S:S,'All Employees by Mode'!$H:$H,"&gt;="&amp;$B11,'All Employees by Mode'!$H:$H,"&lt;"&amp;$D11,'All Employees by Mode'!$BE:$BE,"=No"),SUMIFS('All Employees by Mode'!S:S,'All Employees by Mode'!$H:$H,"&gt;="&amp;$B11,'All Employees by Mode'!$BE:$BE,"=No"))),IF($A11="","",IF($A11="Between",SUMIFS('All Employees by Mode'!S:S,'All Employees by Mode'!$H:$H,"&gt;="&amp;$B11,'All Employees by Mode'!$H:$H,"&lt;"&amp;$D11),SUMIFS('All Employees by Mode'!S:S,'All Employees by Mode'!$H:$H,"&gt;="&amp;$B11))))</f>
        <v>39590292</v>
      </c>
      <c r="K11" s="160">
        <f>IF($AF$1,IF($A11="","",IF($A11="Between",SUMIFS('All Employees by Mode'!U:U,'All Employees by Mode'!$H:$H,"&gt;="&amp;$B11,'All Employees by Mode'!$H:$H,"&lt;"&amp;$D11,'All Employees by Mode'!$BE:$BE,"=No"),SUMIFS('All Employees by Mode'!U:U,'All Employees by Mode'!$H:$H,"&gt;="&amp;$B11,'All Employees by Mode'!$BE:$BE,"=No"))),IF($A11="","",IF($A11="Between",SUMIFS('All Employees by Mode'!U:U,'All Employees by Mode'!$H:$H,"&gt;="&amp;$B11,'All Employees by Mode'!$H:$H,"&lt;"&amp;$D11),SUMIFS('All Employees by Mode'!U:U,'All Employees by Mode'!$H:$H,"&gt;="&amp;$B11))))</f>
        <v>21713175</v>
      </c>
      <c r="L11" s="160">
        <f>IF($AF$1,IF($A11="","",IF($A11="Between",SUMIFS('All Employees by Mode'!W:W,'All Employees by Mode'!$H:$H,"&gt;="&amp;$B11,'All Employees by Mode'!$H:$H,"&lt;"&amp;$D11,'All Employees by Mode'!$BE:$BE,"=No"),SUMIFS('All Employees by Mode'!W:W,'All Employees by Mode'!$H:$H,"&gt;="&amp;$B11,'All Employees by Mode'!$BE:$BE,"=No"))),IF($A11="","",IF($A11="Between",SUMIFS('All Employees by Mode'!W:W,'All Employees by Mode'!$H:$H,"&gt;="&amp;$B11,'All Employees by Mode'!$H:$H,"&lt;"&amp;$D11),SUMIFS('All Employees by Mode'!W:W,'All Employees by Mode'!$H:$H,"&gt;="&amp;$B11))))</f>
        <v>436154730</v>
      </c>
      <c r="M11" s="160">
        <f>IF($AF$1,IF($A11="","",IF($A11="Between",SUMIFS('All Employees by Mode'!Y:Y,'All Employees by Mode'!$H:$H,"&gt;="&amp;$B11,'All Employees by Mode'!$H:$H,"&lt;"&amp;$D11,'All Employees by Mode'!$BE:$BE,"=No"),SUMIFS('All Employees by Mode'!Y:Y,'All Employees by Mode'!$H:$H,"&gt;="&amp;$B11,'All Employees by Mode'!$BE:$BE,"=No"))),IF($A11="","",IF($A11="Between",SUMIFS('All Employees by Mode'!Y:Y,'All Employees by Mode'!$H:$H,"&gt;="&amp;$B11,'All Employees by Mode'!$H:$H,"&lt;"&amp;$D11),SUMIFS('All Employees by Mode'!Y:Y,'All Employees by Mode'!$H:$H,"&gt;="&amp;$B11))))</f>
        <v>123921.63000000005</v>
      </c>
      <c r="N11" s="160">
        <f>IF($AF$1,IF($A11="","",IF($A11="Between",SUMIFS('All Employees by Mode'!AA:AA,'All Employees by Mode'!$H:$H,"&gt;="&amp;$B11,'All Employees by Mode'!$H:$H,"&lt;"&amp;$D11,'All Employees by Mode'!$BE:$BE,"=No"),SUMIFS('All Employees by Mode'!AA:AA,'All Employees by Mode'!$H:$H,"&gt;="&amp;$B11,'All Employees by Mode'!$BE:$BE,"=No"))),IF($A11="","",IF($A11="Between",SUMIFS('All Employees by Mode'!AA:AA,'All Employees by Mode'!$H:$H,"&gt;="&amp;$B11,'All Employees by Mode'!$H:$H,"&lt;"&amp;$D11),SUMIFS('All Employees by Mode'!AA:AA,'All Employees by Mode'!$H:$H,"&gt;="&amp;$B11))))</f>
        <v>42279.250000000007</v>
      </c>
      <c r="O11" s="160">
        <f>IF($AF$1,IF($A11="","",IF($A11="Between",SUMIFS('All Employees by Mode'!AC:AC,'All Employees by Mode'!$H:$H,"&gt;="&amp;$B11,'All Employees by Mode'!$H:$H,"&lt;"&amp;$D11,'All Employees by Mode'!$BE:$BE,"=No"),SUMIFS('All Employees by Mode'!AC:AC,'All Employees by Mode'!$H:$H,"&gt;="&amp;$B11,'All Employees by Mode'!$BE:$BE,"=No"))),IF($A11="","",IF($A11="Between",SUMIFS('All Employees by Mode'!AC:AC,'All Employees by Mode'!$H:$H,"&gt;="&amp;$B11,'All Employees by Mode'!$H:$H,"&lt;"&amp;$D11),SUMIFS('All Employees by Mode'!AC:AC,'All Employees by Mode'!$H:$H,"&gt;="&amp;$B11))))</f>
        <v>30784.54</v>
      </c>
      <c r="P11" s="160">
        <f>IF($AF$1,IF($A11="","",IF($A11="Between",SUMIFS('All Employees by Mode'!AE:AE,'All Employees by Mode'!$H:$H,"&gt;="&amp;$B11,'All Employees by Mode'!$H:$H,"&lt;"&amp;$D11,'All Employees by Mode'!$BE:$BE,"=No"),SUMIFS('All Employees by Mode'!AE:AE,'All Employees by Mode'!$H:$H,"&gt;="&amp;$B11,'All Employees by Mode'!$BE:$BE,"=No"))),IF($A11="","",IF($A11="Between",SUMIFS('All Employees by Mode'!AE:AE,'All Employees by Mode'!$H:$H,"&gt;="&amp;$B11,'All Employees by Mode'!$H:$H,"&lt;"&amp;$D11),SUMIFS('All Employees by Mode'!AE:AE,'All Employees by Mode'!$H:$H,"&gt;="&amp;$B11))))</f>
        <v>22227.49</v>
      </c>
      <c r="Q11" s="160">
        <f>IF($AF$1,IF($A11="","",IF($A11="Between",SUMIFS('All Employees by Mode'!AG:AG,'All Employees by Mode'!$H:$H,"&gt;="&amp;$B11,'All Employees by Mode'!$H:$H,"&lt;"&amp;$D11,'All Employees by Mode'!$BE:$BE,"=No"),SUMIFS('All Employees by Mode'!AG:AG,'All Employees by Mode'!$H:$H,"&gt;="&amp;$B11,'All Employees by Mode'!$BE:$BE,"=No"))),IF($A11="","",IF($A11="Between",SUMIFS('All Employees by Mode'!AG:AG,'All Employees by Mode'!$H:$H,"&gt;="&amp;$B11,'All Employees by Mode'!$H:$H,"&lt;"&amp;$D11),SUMIFS('All Employees by Mode'!AG:AG,'All Employees by Mode'!$H:$H,"&gt;="&amp;$B11))))</f>
        <v>11041.030000000004</v>
      </c>
      <c r="R11" s="160">
        <f>IF($AF$1,IF($A11="","",IF($A11="Between",SUMIFS('All Employees by Mode'!AI:AI,'All Employees by Mode'!$H:$H,"&gt;="&amp;$B11,'All Employees by Mode'!$H:$H,"&lt;"&amp;$D11,'All Employees by Mode'!$BE:$BE,"=No"),SUMIFS('All Employees by Mode'!AI:AI,'All Employees by Mode'!$H:$H,"&gt;="&amp;$B11,'All Employees by Mode'!$BE:$BE,"=No"))),IF($A11="","",IF($A11="Between",SUMIFS('All Employees by Mode'!AI:AI,'All Employees by Mode'!$H:$H,"&gt;="&amp;$B11,'All Employees by Mode'!$H:$H,"&lt;"&amp;$D11),SUMIFS('All Employees by Mode'!AI:AI,'All Employees by Mode'!$H:$H,"&gt;="&amp;$B11))))</f>
        <v>230253.93999999997</v>
      </c>
      <c r="S11" s="161">
        <f>IF($AF$1,IF($A11="","",IF($A11="Between",SUMIFS('All Employees by Mode'!AK:AK,'All Employees by Mode'!$H:$H,"&gt;="&amp;$B11,'All Employees by Mode'!$H:$H,"&lt;"&amp;$D11,'All Employees by Mode'!$BE:$BE,"=No"),SUMIFS('All Employees by Mode'!AK:AK,'All Employees by Mode'!$H:$H,"&gt;="&amp;$B11,'All Employees by Mode'!$BE:$BE,"=No"))),IF($A11="","",IF($A11="Between",SUMIFS('All Employees by Mode'!AK:AK,'All Employees by Mode'!$H:$H,"&gt;="&amp;$B11,'All Employees by Mode'!$H:$H,"&lt;"&amp;$D11),SUMIFS('All Employees by Mode'!AK:AK,'All Employees by Mode'!$H:$H,"&gt;="&amp;$B11))))</f>
        <v>7527862015</v>
      </c>
      <c r="T11" s="161">
        <f>IF($AF$1,IF($A11="","",IF($A11="Between",SUMIFS('All Employees by Mode'!AM:AM,'All Employees by Mode'!$H:$H,"&gt;="&amp;$B11,'All Employees by Mode'!$H:$H,"&lt;"&amp;$D11,'All Employees by Mode'!$BE:$BE,"=No"),SUMIFS('All Employees by Mode'!AM:AM,'All Employees by Mode'!$H:$H,"&gt;="&amp;$B11,'All Employees by Mode'!$BE:$BE,"=No"))),IF($A11="","",IF($A11="Between",SUMIFS('All Employees by Mode'!AM:AM,'All Employees by Mode'!$H:$H,"&gt;="&amp;$B11,'All Employees by Mode'!$H:$H,"&lt;"&amp;$D11),SUMIFS('All Employees by Mode'!AM:AM,'All Employees by Mode'!$H:$H,"&gt;="&amp;$B11))))</f>
        <v>2639933191</v>
      </c>
      <c r="U11" s="161">
        <f>IF($AF$1,IF($A11="","",IF($A11="Between",SUMIFS('All Employees by Mode'!AO:AO,'All Employees by Mode'!$H:$H,"&gt;="&amp;$B11,'All Employees by Mode'!$H:$H,"&lt;"&amp;$D11,'All Employees by Mode'!$BE:$BE,"=No"),SUMIFS('All Employees by Mode'!AO:AO,'All Employees by Mode'!$H:$H,"&gt;="&amp;$B11,'All Employees by Mode'!$BE:$BE,"=No"))),IF($A11="","",IF($A11="Between",SUMIFS('All Employees by Mode'!AO:AO,'All Employees by Mode'!$H:$H,"&gt;="&amp;$B11,'All Employees by Mode'!$H:$H,"&lt;"&amp;$D11),SUMIFS('All Employees by Mode'!AO:AO,'All Employees by Mode'!$H:$H,"&gt;="&amp;$B11))))</f>
        <v>2006996150</v>
      </c>
      <c r="V11" s="161">
        <f>IF($AF$1,IF($A11="","",IF($A11="Between",SUMIFS('All Employees by Mode'!AQ:AQ,'All Employees by Mode'!$H:$H,"&gt;="&amp;$B11,'All Employees by Mode'!$H:$H,"&lt;"&amp;$D11,'All Employees by Mode'!$BE:$BE,"=No"),SUMIFS('All Employees by Mode'!AQ:AQ,'All Employees by Mode'!$H:$H,"&gt;="&amp;$B11,'All Employees by Mode'!$BE:$BE,"=No"))),IF($A11="","",IF($A11="Between",SUMIFS('All Employees by Mode'!AQ:AQ,'All Employees by Mode'!$H:$H,"&gt;="&amp;$B11,'All Employees by Mode'!$H:$H,"&lt;"&amp;$D11),SUMIFS('All Employees by Mode'!AQ:AQ,'All Employees by Mode'!$H:$H,"&gt;="&amp;$B11))))</f>
        <v>1649138266</v>
      </c>
      <c r="W11" s="161">
        <f>IF($AF$1,IF($A11="","",IF($A11="Between",SUMIFS('All Employees by Mode'!AS:AS,'All Employees by Mode'!$H:$H,"&gt;="&amp;$B11,'All Employees by Mode'!$H:$H,"&lt;"&amp;$D11,'All Employees by Mode'!$BE:$BE,"=No"),SUMIFS('All Employees by Mode'!AS:AS,'All Employees by Mode'!$H:$H,"&gt;="&amp;$B11,'All Employees by Mode'!$BE:$BE,"=No"))),IF($A11="","",IF($A11="Between",SUMIFS('All Employees by Mode'!AS:AS,'All Employees by Mode'!$H:$H,"&gt;="&amp;$B11,'All Employees by Mode'!$H:$H,"&lt;"&amp;$D11),SUMIFS('All Employees by Mode'!AS:AS,'All Employees by Mode'!$H:$H,"&gt;="&amp;$B11))))</f>
        <v>13823929622</v>
      </c>
      <c r="X11" s="162">
        <f>IFERROR(IF($A11="","",S11/G11),"-")</f>
        <v>31.626253773090056</v>
      </c>
      <c r="Y11" s="162">
        <f>IFERROR(IF($A11="","",T11/H11),"-")</f>
        <v>33.057010937727291</v>
      </c>
      <c r="Z11" s="162">
        <f>IFERROR(IF($A11="","",U11/I11),"-")</f>
        <v>35.231765955017565</v>
      </c>
      <c r="AA11" s="162">
        <f>IFERROR(IF($A11="","",V11/J11),"-")</f>
        <v>41.655117522245099</v>
      </c>
      <c r="AB11" s="271">
        <f>IFERROR(IF($A11="","",W11/SUM(G11:J11)),"-")</f>
        <v>33.355558715631204</v>
      </c>
      <c r="AC11" s="93"/>
      <c r="AD11" s="94"/>
      <c r="AE11" s="94"/>
      <c r="AF11" s="94"/>
      <c r="AG11" s="94"/>
      <c r="AH11" s="94" t="str">
        <f t="shared" si="3"/>
        <v>Over 1,000,000:
Vehicle Operations: $31.63
Vehicle Maintenance: $33.06
Facility Maintenance: $35.23
General Administration: $41.66
Total: $33.36</v>
      </c>
      <c r="AI11" s="107">
        <f t="shared" si="4"/>
        <v>31.626253773090056</v>
      </c>
      <c r="AJ11" s="107">
        <f t="shared" si="1"/>
        <v>33.057010937727291</v>
      </c>
      <c r="AK11" s="107">
        <f t="shared" si="1"/>
        <v>35.231765955017565</v>
      </c>
      <c r="AL11" s="107">
        <f t="shared" si="1"/>
        <v>41.655117522245099</v>
      </c>
      <c r="AM11" s="107">
        <f t="shared" si="1"/>
        <v>33.355558715631204</v>
      </c>
      <c r="AN11" s="108" t="str">
        <f t="shared" si="5"/>
        <v>Over 1,000,000</v>
      </c>
      <c r="AO11" s="303"/>
      <c r="AP11" s="303"/>
      <c r="AQ11" s="303"/>
      <c r="AR11" s="303"/>
      <c r="AS11" s="303"/>
      <c r="AT11" s="303"/>
      <c r="AU11" s="94"/>
      <c r="AV11" s="94"/>
    </row>
    <row r="12" spans="1:48" s="95" customFormat="1" ht="11.25" customHeight="1">
      <c r="A12" s="167" t="str">
        <f t="shared" si="6"/>
        <v/>
      </c>
      <c r="B12" s="168" t="str">
        <f t="shared" ref="B12:B17" si="8">IF(D11="","",D11)</f>
        <v/>
      </c>
      <c r="C12" s="169" t="str">
        <f t="shared" si="7"/>
        <v/>
      </c>
      <c r="D12" s="250"/>
      <c r="E12" s="266" t="str">
        <f t="shared" si="2"/>
        <v>invalid bin</v>
      </c>
      <c r="F12" s="159" t="str">
        <f>IF($AF$1,IF($A12="","",IF($A12="Between",SUMIFS('All Employees by Mode'!L:L,'All Employees by Mode'!$H:$H,"&gt;="&amp;$B12,'All Employees by Mode'!$H:$H,"&lt;"&amp;$D12,'All Employees by Mode'!$BE:$BE,"=No"),SUMIFS('All Employees by Mode'!L:L,'All Employees by Mode'!$H:$H,"&gt;="&amp;$B12,'All Employees by Mode'!$BE:$BE,"=No"))),IF($A12="","",IF($A12="Between",SUMIFS('All Employees by Mode'!L:L,'All Employees by Mode'!$H:$H,"&gt;="&amp;$B12,'All Employees by Mode'!$H:$H,"&lt;"&amp;$D12),SUMIFS('All Employees by Mode'!L:L,'All Employees by Mode'!$H:$H,"&gt;="&amp;$B12))))</f>
        <v/>
      </c>
      <c r="G12" s="160" t="str">
        <f>IF($AF$1,IF($A12="","",IF($A12="Between",SUMIFS('All Employees by Mode'!M:M,'All Employees by Mode'!$H:$H,"&gt;="&amp;$B12,'All Employees by Mode'!$H:$H,"&lt;"&amp;$D12,'All Employees by Mode'!$BE:$BE,"=No"),SUMIFS('All Employees by Mode'!M:M,'All Employees by Mode'!$H:$H,"&gt;="&amp;$B12,'All Employees by Mode'!$BE:$BE,"=No"))),IF($A12="","",IF($A12="Between",SUMIFS('All Employees by Mode'!M:M,'All Employees by Mode'!$H:$H,"&gt;="&amp;$B12,'All Employees by Mode'!$H:$H,"&lt;"&amp;$D12),SUMIFS('All Employees by Mode'!M:M,'All Employees by Mode'!$H:$H,"&gt;="&amp;$B12))))</f>
        <v/>
      </c>
      <c r="H12" s="160" t="str">
        <f>IF($AF$1,IF($A12="","",IF($A12="Between",SUMIFS('All Employees by Mode'!O:O,'All Employees by Mode'!$H:$H,"&gt;="&amp;$B12,'All Employees by Mode'!$H:$H,"&lt;"&amp;$D12,'All Employees by Mode'!$BE:$BE,"=No"),SUMIFS('All Employees by Mode'!O:O,'All Employees by Mode'!$H:$H,"&gt;="&amp;$B12,'All Employees by Mode'!$BE:$BE,"=No"))),IF($A12="","",IF($A12="Between",SUMIFS('All Employees by Mode'!O:O,'All Employees by Mode'!$H:$H,"&gt;="&amp;$B12,'All Employees by Mode'!$H:$H,"&lt;"&amp;$D12),SUMIFS('All Employees by Mode'!O:O,'All Employees by Mode'!$H:$H,"&gt;="&amp;$B12))))</f>
        <v/>
      </c>
      <c r="I12" s="160" t="str">
        <f>IF($AF$1,IF($A12="","",IF($A12="Between",SUMIFS('All Employees by Mode'!Q:Q,'All Employees by Mode'!$H:$H,"&gt;="&amp;$B12,'All Employees by Mode'!$H:$H,"&lt;"&amp;$D12,'All Employees by Mode'!$BE:$BE,"=No"),SUMIFS('All Employees by Mode'!Q:Q,'All Employees by Mode'!$H:$H,"&gt;="&amp;$B12,'All Employees by Mode'!$BE:$BE,"=No"))),IF($A12="","",IF($A12="Between",SUMIFS('All Employees by Mode'!Q:Q,'All Employees by Mode'!$H:$H,"&gt;="&amp;$B12,'All Employees by Mode'!$H:$H,"&lt;"&amp;$D12),SUMIFS('All Employees by Mode'!Q:Q,'All Employees by Mode'!$H:$H,"&gt;="&amp;$B12))))</f>
        <v/>
      </c>
      <c r="J12" s="160" t="str">
        <f>IF($AF$1,IF($A12="","",IF($A12="Between",SUMIFS('All Employees by Mode'!S:S,'All Employees by Mode'!$H:$H,"&gt;="&amp;$B12,'All Employees by Mode'!$H:$H,"&lt;"&amp;$D12,'All Employees by Mode'!$BE:$BE,"=No"),SUMIFS('All Employees by Mode'!S:S,'All Employees by Mode'!$H:$H,"&gt;="&amp;$B12,'All Employees by Mode'!$BE:$BE,"=No"))),IF($A12="","",IF($A12="Between",SUMIFS('All Employees by Mode'!S:S,'All Employees by Mode'!$H:$H,"&gt;="&amp;$B12,'All Employees by Mode'!$H:$H,"&lt;"&amp;$D12),SUMIFS('All Employees by Mode'!S:S,'All Employees by Mode'!$H:$H,"&gt;="&amp;$B12))))</f>
        <v/>
      </c>
      <c r="K12" s="160" t="str">
        <f>IF($AF$1,IF($A12="","",IF($A12="Between",SUMIFS('All Employees by Mode'!U:U,'All Employees by Mode'!$H:$H,"&gt;="&amp;$B12,'All Employees by Mode'!$H:$H,"&lt;"&amp;$D12,'All Employees by Mode'!$BE:$BE,"=No"),SUMIFS('All Employees by Mode'!U:U,'All Employees by Mode'!$H:$H,"&gt;="&amp;$B12,'All Employees by Mode'!$BE:$BE,"=No"))),IF($A12="","",IF($A12="Between",SUMIFS('All Employees by Mode'!U:U,'All Employees by Mode'!$H:$H,"&gt;="&amp;$B12,'All Employees by Mode'!$H:$H,"&lt;"&amp;$D12),SUMIFS('All Employees by Mode'!U:U,'All Employees by Mode'!$H:$H,"&gt;="&amp;$B12))))</f>
        <v/>
      </c>
      <c r="L12" s="160" t="str">
        <f>IF($AF$1,IF($A12="","",IF($A12="Between",SUMIFS('All Employees by Mode'!W:W,'All Employees by Mode'!$H:$H,"&gt;="&amp;$B12,'All Employees by Mode'!$H:$H,"&lt;"&amp;$D12,'All Employees by Mode'!$BE:$BE,"=No"),SUMIFS('All Employees by Mode'!W:W,'All Employees by Mode'!$H:$H,"&gt;="&amp;$B12,'All Employees by Mode'!$BE:$BE,"=No"))),IF($A12="","",IF($A12="Between",SUMIFS('All Employees by Mode'!W:W,'All Employees by Mode'!$H:$H,"&gt;="&amp;$B12,'All Employees by Mode'!$H:$H,"&lt;"&amp;$D12),SUMIFS('All Employees by Mode'!W:W,'All Employees by Mode'!$H:$H,"&gt;="&amp;$B12))))</f>
        <v/>
      </c>
      <c r="M12" s="160" t="str">
        <f>IF($AF$1,IF($A12="","",IF($A12="Between",SUMIFS('All Employees by Mode'!Y:Y,'All Employees by Mode'!$H:$H,"&gt;="&amp;$B12,'All Employees by Mode'!$H:$H,"&lt;"&amp;$D12,'All Employees by Mode'!$BE:$BE,"=No"),SUMIFS('All Employees by Mode'!Y:Y,'All Employees by Mode'!$H:$H,"&gt;="&amp;$B12,'All Employees by Mode'!$BE:$BE,"=No"))),IF($A12="","",IF($A12="Between",SUMIFS('All Employees by Mode'!Y:Y,'All Employees by Mode'!$H:$H,"&gt;="&amp;$B12,'All Employees by Mode'!$H:$H,"&lt;"&amp;$D12),SUMIFS('All Employees by Mode'!Y:Y,'All Employees by Mode'!$H:$H,"&gt;="&amp;$B12))))</f>
        <v/>
      </c>
      <c r="N12" s="160" t="str">
        <f>IF($AF$1,IF($A12="","",IF($A12="Between",SUMIFS('All Employees by Mode'!AA:AA,'All Employees by Mode'!$H:$H,"&gt;="&amp;$B12,'All Employees by Mode'!$H:$H,"&lt;"&amp;$D12,'All Employees by Mode'!$BE:$BE,"=No"),SUMIFS('All Employees by Mode'!AA:AA,'All Employees by Mode'!$H:$H,"&gt;="&amp;$B12,'All Employees by Mode'!$BE:$BE,"=No"))),IF($A12="","",IF($A12="Between",SUMIFS('All Employees by Mode'!AA:AA,'All Employees by Mode'!$H:$H,"&gt;="&amp;$B12,'All Employees by Mode'!$H:$H,"&lt;"&amp;$D12),SUMIFS('All Employees by Mode'!AA:AA,'All Employees by Mode'!$H:$H,"&gt;="&amp;$B12))))</f>
        <v/>
      </c>
      <c r="O12" s="160" t="str">
        <f>IF($AF$1,IF($A12="","",IF($A12="Between",SUMIFS('All Employees by Mode'!AC:AC,'All Employees by Mode'!$H:$H,"&gt;="&amp;$B12,'All Employees by Mode'!$H:$H,"&lt;"&amp;$D12,'All Employees by Mode'!$BE:$BE,"=No"),SUMIFS('All Employees by Mode'!AC:AC,'All Employees by Mode'!$H:$H,"&gt;="&amp;$B12,'All Employees by Mode'!$BE:$BE,"=No"))),IF($A12="","",IF($A12="Between",SUMIFS('All Employees by Mode'!AC:AC,'All Employees by Mode'!$H:$H,"&gt;="&amp;$B12,'All Employees by Mode'!$H:$H,"&lt;"&amp;$D12),SUMIFS('All Employees by Mode'!AC:AC,'All Employees by Mode'!$H:$H,"&gt;="&amp;$B12))))</f>
        <v/>
      </c>
      <c r="P12" s="160" t="str">
        <f>IF($AF$1,IF($A12="","",IF($A12="Between",SUMIFS('All Employees by Mode'!AE:AE,'All Employees by Mode'!$H:$H,"&gt;="&amp;$B12,'All Employees by Mode'!$H:$H,"&lt;"&amp;$D12,'All Employees by Mode'!$BE:$BE,"=No"),SUMIFS('All Employees by Mode'!AE:AE,'All Employees by Mode'!$H:$H,"&gt;="&amp;$B12,'All Employees by Mode'!$BE:$BE,"=No"))),IF($A12="","",IF($A12="Between",SUMIFS('All Employees by Mode'!AE:AE,'All Employees by Mode'!$H:$H,"&gt;="&amp;$B12,'All Employees by Mode'!$H:$H,"&lt;"&amp;$D12),SUMIFS('All Employees by Mode'!AE:AE,'All Employees by Mode'!$H:$H,"&gt;="&amp;$B12))))</f>
        <v/>
      </c>
      <c r="Q12" s="160" t="str">
        <f>IF($AF$1,IF($A12="","",IF($A12="Between",SUMIFS('All Employees by Mode'!AG:AG,'All Employees by Mode'!$H:$H,"&gt;="&amp;$B12,'All Employees by Mode'!$H:$H,"&lt;"&amp;$D12,'All Employees by Mode'!$BE:$BE,"=No"),SUMIFS('All Employees by Mode'!AG:AG,'All Employees by Mode'!$H:$H,"&gt;="&amp;$B12,'All Employees by Mode'!$BE:$BE,"=No"))),IF($A12="","",IF($A12="Between",SUMIFS('All Employees by Mode'!AG:AG,'All Employees by Mode'!$H:$H,"&gt;="&amp;$B12,'All Employees by Mode'!$H:$H,"&lt;"&amp;$D12),SUMIFS('All Employees by Mode'!AG:AG,'All Employees by Mode'!$H:$H,"&gt;="&amp;$B12))))</f>
        <v/>
      </c>
      <c r="R12" s="160" t="str">
        <f>IF($AF$1,IF($A12="","",IF($A12="Between",SUMIFS('All Employees by Mode'!AI:AI,'All Employees by Mode'!$H:$H,"&gt;="&amp;$B12,'All Employees by Mode'!$H:$H,"&lt;"&amp;$D12,'All Employees by Mode'!$BE:$BE,"=No"),SUMIFS('All Employees by Mode'!AI:AI,'All Employees by Mode'!$H:$H,"&gt;="&amp;$B12,'All Employees by Mode'!$BE:$BE,"=No"))),IF($A12="","",IF($A12="Between",SUMIFS('All Employees by Mode'!AI:AI,'All Employees by Mode'!$H:$H,"&gt;="&amp;$B12,'All Employees by Mode'!$H:$H,"&lt;"&amp;$D12),SUMIFS('All Employees by Mode'!AI:AI,'All Employees by Mode'!$H:$H,"&gt;="&amp;$B12))))</f>
        <v/>
      </c>
      <c r="S12" s="161" t="str">
        <f>IF($AF$1,IF($A12="","",IF($A12="Between",SUMIFS('All Employees by Mode'!AK:AK,'All Employees by Mode'!$H:$H,"&gt;="&amp;$B12,'All Employees by Mode'!$H:$H,"&lt;"&amp;$D12,'All Employees by Mode'!$BE:$BE,"=No"),SUMIFS('All Employees by Mode'!AK:AK,'All Employees by Mode'!$H:$H,"&gt;="&amp;$B12,'All Employees by Mode'!$BE:$BE,"=No"))),IF($A12="","",IF($A12="Between",SUMIFS('All Employees by Mode'!AK:AK,'All Employees by Mode'!$H:$H,"&gt;="&amp;$B12,'All Employees by Mode'!$H:$H,"&lt;"&amp;$D12),SUMIFS('All Employees by Mode'!AK:AK,'All Employees by Mode'!$H:$H,"&gt;="&amp;$B12))))</f>
        <v/>
      </c>
      <c r="T12" s="161" t="str">
        <f>IF($AF$1,IF($A12="","",IF($A12="Between",SUMIFS('All Employees by Mode'!AM:AM,'All Employees by Mode'!$H:$H,"&gt;="&amp;$B12,'All Employees by Mode'!$H:$H,"&lt;"&amp;$D12,'All Employees by Mode'!$BE:$BE,"=No"),SUMIFS('All Employees by Mode'!AM:AM,'All Employees by Mode'!$H:$H,"&gt;="&amp;$B12,'All Employees by Mode'!$BE:$BE,"=No"))),IF($A12="","",IF($A12="Between",SUMIFS('All Employees by Mode'!AM:AM,'All Employees by Mode'!$H:$H,"&gt;="&amp;$B12,'All Employees by Mode'!$H:$H,"&lt;"&amp;$D12),SUMIFS('All Employees by Mode'!AM:AM,'All Employees by Mode'!$H:$H,"&gt;="&amp;$B12))))</f>
        <v/>
      </c>
      <c r="U12" s="161" t="str">
        <f>IF($AF$1,IF($A12="","",IF($A12="Between",SUMIFS('All Employees by Mode'!AO:AO,'All Employees by Mode'!$H:$H,"&gt;="&amp;$B12,'All Employees by Mode'!$H:$H,"&lt;"&amp;$D12,'All Employees by Mode'!$BE:$BE,"=No"),SUMIFS('All Employees by Mode'!AO:AO,'All Employees by Mode'!$H:$H,"&gt;="&amp;$B12,'All Employees by Mode'!$BE:$BE,"=No"))),IF($A12="","",IF($A12="Between",SUMIFS('All Employees by Mode'!AO:AO,'All Employees by Mode'!$H:$H,"&gt;="&amp;$B12,'All Employees by Mode'!$H:$H,"&lt;"&amp;$D12),SUMIFS('All Employees by Mode'!AO:AO,'All Employees by Mode'!$H:$H,"&gt;="&amp;$B12))))</f>
        <v/>
      </c>
      <c r="V12" s="161" t="str">
        <f>IF($AF$1,IF($A12="","",IF($A12="Between",SUMIFS('All Employees by Mode'!AQ:AQ,'All Employees by Mode'!$H:$H,"&gt;="&amp;$B12,'All Employees by Mode'!$H:$H,"&lt;"&amp;$D12,'All Employees by Mode'!$BE:$BE,"=No"),SUMIFS('All Employees by Mode'!AQ:AQ,'All Employees by Mode'!$H:$H,"&gt;="&amp;$B12,'All Employees by Mode'!$BE:$BE,"=No"))),IF($A12="","",IF($A12="Between",SUMIFS('All Employees by Mode'!AQ:AQ,'All Employees by Mode'!$H:$H,"&gt;="&amp;$B12,'All Employees by Mode'!$H:$H,"&lt;"&amp;$D12),SUMIFS('All Employees by Mode'!AQ:AQ,'All Employees by Mode'!$H:$H,"&gt;="&amp;$B12))))</f>
        <v/>
      </c>
      <c r="W12" s="161" t="str">
        <f>IF($AF$1,IF($A12="","",IF($A12="Between",SUMIFS('All Employees by Mode'!AS:AS,'All Employees by Mode'!$H:$H,"&gt;="&amp;$B12,'All Employees by Mode'!$H:$H,"&lt;"&amp;$D12,'All Employees by Mode'!$BE:$BE,"=No"),SUMIFS('All Employees by Mode'!AS:AS,'All Employees by Mode'!$H:$H,"&gt;="&amp;$B12,'All Employees by Mode'!$BE:$BE,"=No"))),IF($A12="","",IF($A12="Between",SUMIFS('All Employees by Mode'!AS:AS,'All Employees by Mode'!$H:$H,"&gt;="&amp;$B12,'All Employees by Mode'!$H:$H,"&lt;"&amp;$D12),SUMIFS('All Employees by Mode'!AS:AS,'All Employees by Mode'!$H:$H,"&gt;="&amp;$B12))))</f>
        <v/>
      </c>
      <c r="X12" s="162" t="str">
        <f t="shared" ref="X12:X17" si="9">IFERROR(IF($A12="","",S12/G12),"-")</f>
        <v/>
      </c>
      <c r="Y12" s="162" t="str">
        <f t="shared" ref="Y12:Y17" si="10">IFERROR(IF($A12="","",T12/H12),"-")</f>
        <v/>
      </c>
      <c r="Z12" s="162" t="str">
        <f t="shared" ref="Z12:Z17" si="11">IFERROR(IF($A12="","",U12/I12),"-")</f>
        <v/>
      </c>
      <c r="AA12" s="162" t="str">
        <f t="shared" ref="AA12:AA17" si="12">IFERROR(IF($A12="","",V12/J12),"-")</f>
        <v/>
      </c>
      <c r="AB12" s="271" t="str">
        <f t="shared" ref="AB12:AB17" si="13">IFERROR(IF($A12="","",W12/SUM(G12:J12)),"-")</f>
        <v/>
      </c>
      <c r="AC12" s="93"/>
      <c r="AD12" s="94"/>
      <c r="AE12" s="94"/>
      <c r="AF12" s="94"/>
      <c r="AG12" s="94"/>
      <c r="AH12" s="94" t="str">
        <f t="shared" si="3"/>
        <v/>
      </c>
      <c r="AI12" s="107" t="str">
        <f t="shared" si="4"/>
        <v/>
      </c>
      <c r="AJ12" s="107" t="str">
        <f t="shared" si="1"/>
        <v/>
      </c>
      <c r="AK12" s="107" t="str">
        <f t="shared" si="1"/>
        <v/>
      </c>
      <c r="AL12" s="107" t="str">
        <f t="shared" si="1"/>
        <v/>
      </c>
      <c r="AM12" s="107" t="str">
        <f t="shared" si="1"/>
        <v/>
      </c>
      <c r="AN12" s="108" t="str">
        <f t="shared" si="5"/>
        <v/>
      </c>
      <c r="AO12" s="303"/>
      <c r="AP12" s="303"/>
      <c r="AQ12" s="303"/>
      <c r="AR12" s="303"/>
      <c r="AS12" s="303"/>
      <c r="AT12" s="303"/>
      <c r="AU12" s="94"/>
      <c r="AV12" s="94"/>
    </row>
    <row r="13" spans="1:48" s="95" customFormat="1" ht="11.25" customHeight="1">
      <c r="A13" s="167" t="str">
        <f t="shared" si="6"/>
        <v/>
      </c>
      <c r="B13" s="168" t="str">
        <f t="shared" si="8"/>
        <v/>
      </c>
      <c r="C13" s="169" t="str">
        <f t="shared" si="7"/>
        <v/>
      </c>
      <c r="D13" s="250"/>
      <c r="E13" s="266" t="str">
        <f t="shared" si="2"/>
        <v>invalid bin</v>
      </c>
      <c r="F13" s="159" t="str">
        <f>IF($AF$1,IF($A13="","",IF($A13="Between",SUMIFS('All Employees by Mode'!L:L,'All Employees by Mode'!$H:$H,"&gt;="&amp;$B13,'All Employees by Mode'!$H:$H,"&lt;"&amp;$D13,'All Employees by Mode'!$BE:$BE,"=No"),SUMIFS('All Employees by Mode'!L:L,'All Employees by Mode'!$H:$H,"&gt;="&amp;$B13,'All Employees by Mode'!$BE:$BE,"=No"))),IF($A13="","",IF($A13="Between",SUMIFS('All Employees by Mode'!L:L,'All Employees by Mode'!$H:$H,"&gt;="&amp;$B13,'All Employees by Mode'!$H:$H,"&lt;"&amp;$D13),SUMIFS('All Employees by Mode'!L:L,'All Employees by Mode'!$H:$H,"&gt;="&amp;$B13))))</f>
        <v/>
      </c>
      <c r="G13" s="160" t="str">
        <f>IF($AF$1,IF($A13="","",IF($A13="Between",SUMIFS('All Employees by Mode'!M:M,'All Employees by Mode'!$H:$H,"&gt;="&amp;$B13,'All Employees by Mode'!$H:$H,"&lt;"&amp;$D13,'All Employees by Mode'!$BE:$BE,"=No"),SUMIFS('All Employees by Mode'!M:M,'All Employees by Mode'!$H:$H,"&gt;="&amp;$B13,'All Employees by Mode'!$BE:$BE,"=No"))),IF($A13="","",IF($A13="Between",SUMIFS('All Employees by Mode'!M:M,'All Employees by Mode'!$H:$H,"&gt;="&amp;$B13,'All Employees by Mode'!$H:$H,"&lt;"&amp;$D13),SUMIFS('All Employees by Mode'!M:M,'All Employees by Mode'!$H:$H,"&gt;="&amp;$B13))))</f>
        <v/>
      </c>
      <c r="H13" s="160" t="str">
        <f>IF($AF$1,IF($A13="","",IF($A13="Between",SUMIFS('All Employees by Mode'!O:O,'All Employees by Mode'!$H:$H,"&gt;="&amp;$B13,'All Employees by Mode'!$H:$H,"&lt;"&amp;$D13,'All Employees by Mode'!$BE:$BE,"=No"),SUMIFS('All Employees by Mode'!O:O,'All Employees by Mode'!$H:$H,"&gt;="&amp;$B13,'All Employees by Mode'!$BE:$BE,"=No"))),IF($A13="","",IF($A13="Between",SUMIFS('All Employees by Mode'!O:O,'All Employees by Mode'!$H:$H,"&gt;="&amp;$B13,'All Employees by Mode'!$H:$H,"&lt;"&amp;$D13),SUMIFS('All Employees by Mode'!O:O,'All Employees by Mode'!$H:$H,"&gt;="&amp;$B13))))</f>
        <v/>
      </c>
      <c r="I13" s="160" t="str">
        <f>IF($AF$1,IF($A13="","",IF($A13="Between",SUMIFS('All Employees by Mode'!Q:Q,'All Employees by Mode'!$H:$H,"&gt;="&amp;$B13,'All Employees by Mode'!$H:$H,"&lt;"&amp;$D13,'All Employees by Mode'!$BE:$BE,"=No"),SUMIFS('All Employees by Mode'!Q:Q,'All Employees by Mode'!$H:$H,"&gt;="&amp;$B13,'All Employees by Mode'!$BE:$BE,"=No"))),IF($A13="","",IF($A13="Between",SUMIFS('All Employees by Mode'!Q:Q,'All Employees by Mode'!$H:$H,"&gt;="&amp;$B13,'All Employees by Mode'!$H:$H,"&lt;"&amp;$D13),SUMIFS('All Employees by Mode'!Q:Q,'All Employees by Mode'!$H:$H,"&gt;="&amp;$B13))))</f>
        <v/>
      </c>
      <c r="J13" s="160" t="str">
        <f>IF($AF$1,IF($A13="","",IF($A13="Between",SUMIFS('All Employees by Mode'!S:S,'All Employees by Mode'!$H:$H,"&gt;="&amp;$B13,'All Employees by Mode'!$H:$H,"&lt;"&amp;$D13,'All Employees by Mode'!$BE:$BE,"=No"),SUMIFS('All Employees by Mode'!S:S,'All Employees by Mode'!$H:$H,"&gt;="&amp;$B13,'All Employees by Mode'!$BE:$BE,"=No"))),IF($A13="","",IF($A13="Between",SUMIFS('All Employees by Mode'!S:S,'All Employees by Mode'!$H:$H,"&gt;="&amp;$B13,'All Employees by Mode'!$H:$H,"&lt;"&amp;$D13),SUMIFS('All Employees by Mode'!S:S,'All Employees by Mode'!$H:$H,"&gt;="&amp;$B13))))</f>
        <v/>
      </c>
      <c r="K13" s="160" t="str">
        <f>IF($AF$1,IF($A13="","",IF($A13="Between",SUMIFS('All Employees by Mode'!U:U,'All Employees by Mode'!$H:$H,"&gt;="&amp;$B13,'All Employees by Mode'!$H:$H,"&lt;"&amp;$D13,'All Employees by Mode'!$BE:$BE,"=No"),SUMIFS('All Employees by Mode'!U:U,'All Employees by Mode'!$H:$H,"&gt;="&amp;$B13,'All Employees by Mode'!$BE:$BE,"=No"))),IF($A13="","",IF($A13="Between",SUMIFS('All Employees by Mode'!U:U,'All Employees by Mode'!$H:$H,"&gt;="&amp;$B13,'All Employees by Mode'!$H:$H,"&lt;"&amp;$D13),SUMIFS('All Employees by Mode'!U:U,'All Employees by Mode'!$H:$H,"&gt;="&amp;$B13))))</f>
        <v/>
      </c>
      <c r="L13" s="160" t="str">
        <f>IF($AF$1,IF($A13="","",IF($A13="Between",SUMIFS('All Employees by Mode'!W:W,'All Employees by Mode'!$H:$H,"&gt;="&amp;$B13,'All Employees by Mode'!$H:$H,"&lt;"&amp;$D13,'All Employees by Mode'!$BE:$BE,"=No"),SUMIFS('All Employees by Mode'!W:W,'All Employees by Mode'!$H:$H,"&gt;="&amp;$B13,'All Employees by Mode'!$BE:$BE,"=No"))),IF($A13="","",IF($A13="Between",SUMIFS('All Employees by Mode'!W:W,'All Employees by Mode'!$H:$H,"&gt;="&amp;$B13,'All Employees by Mode'!$H:$H,"&lt;"&amp;$D13),SUMIFS('All Employees by Mode'!W:W,'All Employees by Mode'!$H:$H,"&gt;="&amp;$B13))))</f>
        <v/>
      </c>
      <c r="M13" s="160" t="str">
        <f>IF($AF$1,IF($A13="","",IF($A13="Between",SUMIFS('All Employees by Mode'!Y:Y,'All Employees by Mode'!$H:$H,"&gt;="&amp;$B13,'All Employees by Mode'!$H:$H,"&lt;"&amp;$D13,'All Employees by Mode'!$BE:$BE,"=No"),SUMIFS('All Employees by Mode'!Y:Y,'All Employees by Mode'!$H:$H,"&gt;="&amp;$B13,'All Employees by Mode'!$BE:$BE,"=No"))),IF($A13="","",IF($A13="Between",SUMIFS('All Employees by Mode'!Y:Y,'All Employees by Mode'!$H:$H,"&gt;="&amp;$B13,'All Employees by Mode'!$H:$H,"&lt;"&amp;$D13),SUMIFS('All Employees by Mode'!Y:Y,'All Employees by Mode'!$H:$H,"&gt;="&amp;$B13))))</f>
        <v/>
      </c>
      <c r="N13" s="160" t="str">
        <f>IF($AF$1,IF($A13="","",IF($A13="Between",SUMIFS('All Employees by Mode'!AA:AA,'All Employees by Mode'!$H:$H,"&gt;="&amp;$B13,'All Employees by Mode'!$H:$H,"&lt;"&amp;$D13,'All Employees by Mode'!$BE:$BE,"=No"),SUMIFS('All Employees by Mode'!AA:AA,'All Employees by Mode'!$H:$H,"&gt;="&amp;$B13,'All Employees by Mode'!$BE:$BE,"=No"))),IF($A13="","",IF($A13="Between",SUMIFS('All Employees by Mode'!AA:AA,'All Employees by Mode'!$H:$H,"&gt;="&amp;$B13,'All Employees by Mode'!$H:$H,"&lt;"&amp;$D13),SUMIFS('All Employees by Mode'!AA:AA,'All Employees by Mode'!$H:$H,"&gt;="&amp;$B13))))</f>
        <v/>
      </c>
      <c r="O13" s="160" t="str">
        <f>IF($AF$1,IF($A13="","",IF($A13="Between",SUMIFS('All Employees by Mode'!AC:AC,'All Employees by Mode'!$H:$H,"&gt;="&amp;$B13,'All Employees by Mode'!$H:$H,"&lt;"&amp;$D13,'All Employees by Mode'!$BE:$BE,"=No"),SUMIFS('All Employees by Mode'!AC:AC,'All Employees by Mode'!$H:$H,"&gt;="&amp;$B13,'All Employees by Mode'!$BE:$BE,"=No"))),IF($A13="","",IF($A13="Between",SUMIFS('All Employees by Mode'!AC:AC,'All Employees by Mode'!$H:$H,"&gt;="&amp;$B13,'All Employees by Mode'!$H:$H,"&lt;"&amp;$D13),SUMIFS('All Employees by Mode'!AC:AC,'All Employees by Mode'!$H:$H,"&gt;="&amp;$B13))))</f>
        <v/>
      </c>
      <c r="P13" s="160" t="str">
        <f>IF($AF$1,IF($A13="","",IF($A13="Between",SUMIFS('All Employees by Mode'!AE:AE,'All Employees by Mode'!$H:$H,"&gt;="&amp;$B13,'All Employees by Mode'!$H:$H,"&lt;"&amp;$D13,'All Employees by Mode'!$BE:$BE,"=No"),SUMIFS('All Employees by Mode'!AE:AE,'All Employees by Mode'!$H:$H,"&gt;="&amp;$B13,'All Employees by Mode'!$BE:$BE,"=No"))),IF($A13="","",IF($A13="Between",SUMIFS('All Employees by Mode'!AE:AE,'All Employees by Mode'!$H:$H,"&gt;="&amp;$B13,'All Employees by Mode'!$H:$H,"&lt;"&amp;$D13),SUMIFS('All Employees by Mode'!AE:AE,'All Employees by Mode'!$H:$H,"&gt;="&amp;$B13))))</f>
        <v/>
      </c>
      <c r="Q13" s="160" t="str">
        <f>IF($AF$1,IF($A13="","",IF($A13="Between",SUMIFS('All Employees by Mode'!AG:AG,'All Employees by Mode'!$H:$H,"&gt;="&amp;$B13,'All Employees by Mode'!$H:$H,"&lt;"&amp;$D13,'All Employees by Mode'!$BE:$BE,"=No"),SUMIFS('All Employees by Mode'!AG:AG,'All Employees by Mode'!$H:$H,"&gt;="&amp;$B13,'All Employees by Mode'!$BE:$BE,"=No"))),IF($A13="","",IF($A13="Between",SUMIFS('All Employees by Mode'!AG:AG,'All Employees by Mode'!$H:$H,"&gt;="&amp;$B13,'All Employees by Mode'!$H:$H,"&lt;"&amp;$D13),SUMIFS('All Employees by Mode'!AG:AG,'All Employees by Mode'!$H:$H,"&gt;="&amp;$B13))))</f>
        <v/>
      </c>
      <c r="R13" s="160" t="str">
        <f>IF($AF$1,IF($A13="","",IF($A13="Between",SUMIFS('All Employees by Mode'!AI:AI,'All Employees by Mode'!$H:$H,"&gt;="&amp;$B13,'All Employees by Mode'!$H:$H,"&lt;"&amp;$D13,'All Employees by Mode'!$BE:$BE,"=No"),SUMIFS('All Employees by Mode'!AI:AI,'All Employees by Mode'!$H:$H,"&gt;="&amp;$B13,'All Employees by Mode'!$BE:$BE,"=No"))),IF($A13="","",IF($A13="Between",SUMIFS('All Employees by Mode'!AI:AI,'All Employees by Mode'!$H:$H,"&gt;="&amp;$B13,'All Employees by Mode'!$H:$H,"&lt;"&amp;$D13),SUMIFS('All Employees by Mode'!AI:AI,'All Employees by Mode'!$H:$H,"&gt;="&amp;$B13))))</f>
        <v/>
      </c>
      <c r="S13" s="161" t="str">
        <f>IF($AF$1,IF($A13="","",IF($A13="Between",SUMIFS('All Employees by Mode'!AK:AK,'All Employees by Mode'!$H:$H,"&gt;="&amp;$B13,'All Employees by Mode'!$H:$H,"&lt;"&amp;$D13,'All Employees by Mode'!$BE:$BE,"=No"),SUMIFS('All Employees by Mode'!AK:AK,'All Employees by Mode'!$H:$H,"&gt;="&amp;$B13,'All Employees by Mode'!$BE:$BE,"=No"))),IF($A13="","",IF($A13="Between",SUMIFS('All Employees by Mode'!AK:AK,'All Employees by Mode'!$H:$H,"&gt;="&amp;$B13,'All Employees by Mode'!$H:$H,"&lt;"&amp;$D13),SUMIFS('All Employees by Mode'!AK:AK,'All Employees by Mode'!$H:$H,"&gt;="&amp;$B13))))</f>
        <v/>
      </c>
      <c r="T13" s="161" t="str">
        <f>IF($AF$1,IF($A13="","",IF($A13="Between",SUMIFS('All Employees by Mode'!AM:AM,'All Employees by Mode'!$H:$H,"&gt;="&amp;$B13,'All Employees by Mode'!$H:$H,"&lt;"&amp;$D13,'All Employees by Mode'!$BE:$BE,"=No"),SUMIFS('All Employees by Mode'!AM:AM,'All Employees by Mode'!$H:$H,"&gt;="&amp;$B13,'All Employees by Mode'!$BE:$BE,"=No"))),IF($A13="","",IF($A13="Between",SUMIFS('All Employees by Mode'!AM:AM,'All Employees by Mode'!$H:$H,"&gt;="&amp;$B13,'All Employees by Mode'!$H:$H,"&lt;"&amp;$D13),SUMIFS('All Employees by Mode'!AM:AM,'All Employees by Mode'!$H:$H,"&gt;="&amp;$B13))))</f>
        <v/>
      </c>
      <c r="U13" s="161" t="str">
        <f>IF($AF$1,IF($A13="","",IF($A13="Between",SUMIFS('All Employees by Mode'!AO:AO,'All Employees by Mode'!$H:$H,"&gt;="&amp;$B13,'All Employees by Mode'!$H:$H,"&lt;"&amp;$D13,'All Employees by Mode'!$BE:$BE,"=No"),SUMIFS('All Employees by Mode'!AO:AO,'All Employees by Mode'!$H:$H,"&gt;="&amp;$B13,'All Employees by Mode'!$BE:$BE,"=No"))),IF($A13="","",IF($A13="Between",SUMIFS('All Employees by Mode'!AO:AO,'All Employees by Mode'!$H:$H,"&gt;="&amp;$B13,'All Employees by Mode'!$H:$H,"&lt;"&amp;$D13),SUMIFS('All Employees by Mode'!AO:AO,'All Employees by Mode'!$H:$H,"&gt;="&amp;$B13))))</f>
        <v/>
      </c>
      <c r="V13" s="161" t="str">
        <f>IF($AF$1,IF($A13="","",IF($A13="Between",SUMIFS('All Employees by Mode'!AQ:AQ,'All Employees by Mode'!$H:$H,"&gt;="&amp;$B13,'All Employees by Mode'!$H:$H,"&lt;"&amp;$D13,'All Employees by Mode'!$BE:$BE,"=No"),SUMIFS('All Employees by Mode'!AQ:AQ,'All Employees by Mode'!$H:$H,"&gt;="&amp;$B13,'All Employees by Mode'!$BE:$BE,"=No"))),IF($A13="","",IF($A13="Between",SUMIFS('All Employees by Mode'!AQ:AQ,'All Employees by Mode'!$H:$H,"&gt;="&amp;$B13,'All Employees by Mode'!$H:$H,"&lt;"&amp;$D13),SUMIFS('All Employees by Mode'!AQ:AQ,'All Employees by Mode'!$H:$H,"&gt;="&amp;$B13))))</f>
        <v/>
      </c>
      <c r="W13" s="161" t="str">
        <f>IF($AF$1,IF($A13="","",IF($A13="Between",SUMIFS('All Employees by Mode'!AS:AS,'All Employees by Mode'!$H:$H,"&gt;="&amp;$B13,'All Employees by Mode'!$H:$H,"&lt;"&amp;$D13,'All Employees by Mode'!$BE:$BE,"=No"),SUMIFS('All Employees by Mode'!AS:AS,'All Employees by Mode'!$H:$H,"&gt;="&amp;$B13,'All Employees by Mode'!$BE:$BE,"=No"))),IF($A13="","",IF($A13="Between",SUMIFS('All Employees by Mode'!AS:AS,'All Employees by Mode'!$H:$H,"&gt;="&amp;$B13,'All Employees by Mode'!$H:$H,"&lt;"&amp;$D13),SUMIFS('All Employees by Mode'!AS:AS,'All Employees by Mode'!$H:$H,"&gt;="&amp;$B13))))</f>
        <v/>
      </c>
      <c r="X13" s="162" t="str">
        <f t="shared" si="9"/>
        <v/>
      </c>
      <c r="Y13" s="162" t="str">
        <f t="shared" si="10"/>
        <v/>
      </c>
      <c r="Z13" s="162" t="str">
        <f t="shared" si="11"/>
        <v/>
      </c>
      <c r="AA13" s="162" t="str">
        <f t="shared" si="12"/>
        <v/>
      </c>
      <c r="AB13" s="271" t="str">
        <f t="shared" si="13"/>
        <v/>
      </c>
      <c r="AC13" s="93"/>
      <c r="AD13" s="94"/>
      <c r="AE13" s="94"/>
      <c r="AF13" s="94"/>
      <c r="AG13" s="94"/>
      <c r="AH13" s="94" t="str">
        <f t="shared" si="3"/>
        <v/>
      </c>
      <c r="AI13" s="107" t="str">
        <f t="shared" si="4"/>
        <v/>
      </c>
      <c r="AJ13" s="107" t="str">
        <f t="shared" si="1"/>
        <v/>
      </c>
      <c r="AK13" s="107" t="str">
        <f t="shared" si="1"/>
        <v/>
      </c>
      <c r="AL13" s="107" t="str">
        <f t="shared" si="1"/>
        <v/>
      </c>
      <c r="AM13" s="107" t="str">
        <f t="shared" si="1"/>
        <v/>
      </c>
      <c r="AN13" s="108" t="str">
        <f t="shared" si="5"/>
        <v/>
      </c>
      <c r="AO13" s="303"/>
      <c r="AP13" s="303"/>
      <c r="AQ13" s="303"/>
      <c r="AR13" s="303"/>
      <c r="AS13" s="303"/>
      <c r="AT13" s="303"/>
      <c r="AU13" s="94"/>
      <c r="AV13" s="94"/>
    </row>
    <row r="14" spans="1:48" s="95" customFormat="1" ht="11.25" customHeight="1">
      <c r="A14" s="167" t="str">
        <f t="shared" si="6"/>
        <v/>
      </c>
      <c r="B14" s="168" t="str">
        <f t="shared" si="8"/>
        <v/>
      </c>
      <c r="C14" s="169" t="str">
        <f t="shared" si="7"/>
        <v/>
      </c>
      <c r="D14" s="250"/>
      <c r="E14" s="266" t="str">
        <f t="shared" si="2"/>
        <v>invalid bin</v>
      </c>
      <c r="F14" s="159" t="str">
        <f>IF($AF$1,IF($A14="","",IF($A14="Between",SUMIFS('All Employees by Mode'!L:L,'All Employees by Mode'!$H:$H,"&gt;="&amp;$B14,'All Employees by Mode'!$H:$H,"&lt;"&amp;$D14,'All Employees by Mode'!$BE:$BE,"=No"),SUMIFS('All Employees by Mode'!L:L,'All Employees by Mode'!$H:$H,"&gt;="&amp;$B14,'All Employees by Mode'!$BE:$BE,"=No"))),IF($A14="","",IF($A14="Between",SUMIFS('All Employees by Mode'!L:L,'All Employees by Mode'!$H:$H,"&gt;="&amp;$B14,'All Employees by Mode'!$H:$H,"&lt;"&amp;$D14),SUMIFS('All Employees by Mode'!L:L,'All Employees by Mode'!$H:$H,"&gt;="&amp;$B14))))</f>
        <v/>
      </c>
      <c r="G14" s="160" t="str">
        <f>IF($AF$1,IF($A14="","",IF($A14="Between",SUMIFS('All Employees by Mode'!M:M,'All Employees by Mode'!$H:$H,"&gt;="&amp;$B14,'All Employees by Mode'!$H:$H,"&lt;"&amp;$D14,'All Employees by Mode'!$BE:$BE,"=No"),SUMIFS('All Employees by Mode'!M:M,'All Employees by Mode'!$H:$H,"&gt;="&amp;$B14,'All Employees by Mode'!$BE:$BE,"=No"))),IF($A14="","",IF($A14="Between",SUMIFS('All Employees by Mode'!M:M,'All Employees by Mode'!$H:$H,"&gt;="&amp;$B14,'All Employees by Mode'!$H:$H,"&lt;"&amp;$D14),SUMIFS('All Employees by Mode'!M:M,'All Employees by Mode'!$H:$H,"&gt;="&amp;$B14))))</f>
        <v/>
      </c>
      <c r="H14" s="160" t="str">
        <f>IF($AF$1,IF($A14="","",IF($A14="Between",SUMIFS('All Employees by Mode'!O:O,'All Employees by Mode'!$H:$H,"&gt;="&amp;$B14,'All Employees by Mode'!$H:$H,"&lt;"&amp;$D14,'All Employees by Mode'!$BE:$BE,"=No"),SUMIFS('All Employees by Mode'!O:O,'All Employees by Mode'!$H:$H,"&gt;="&amp;$B14,'All Employees by Mode'!$BE:$BE,"=No"))),IF($A14="","",IF($A14="Between",SUMIFS('All Employees by Mode'!O:O,'All Employees by Mode'!$H:$H,"&gt;="&amp;$B14,'All Employees by Mode'!$H:$H,"&lt;"&amp;$D14),SUMIFS('All Employees by Mode'!O:O,'All Employees by Mode'!$H:$H,"&gt;="&amp;$B14))))</f>
        <v/>
      </c>
      <c r="I14" s="160" t="str">
        <f>IF($AF$1,IF($A14="","",IF($A14="Between",SUMIFS('All Employees by Mode'!Q:Q,'All Employees by Mode'!$H:$H,"&gt;="&amp;$B14,'All Employees by Mode'!$H:$H,"&lt;"&amp;$D14,'All Employees by Mode'!$BE:$BE,"=No"),SUMIFS('All Employees by Mode'!Q:Q,'All Employees by Mode'!$H:$H,"&gt;="&amp;$B14,'All Employees by Mode'!$BE:$BE,"=No"))),IF($A14="","",IF($A14="Between",SUMIFS('All Employees by Mode'!Q:Q,'All Employees by Mode'!$H:$H,"&gt;="&amp;$B14,'All Employees by Mode'!$H:$H,"&lt;"&amp;$D14),SUMIFS('All Employees by Mode'!Q:Q,'All Employees by Mode'!$H:$H,"&gt;="&amp;$B14))))</f>
        <v/>
      </c>
      <c r="J14" s="160" t="str">
        <f>IF($AF$1,IF($A14="","",IF($A14="Between",SUMIFS('All Employees by Mode'!S:S,'All Employees by Mode'!$H:$H,"&gt;="&amp;$B14,'All Employees by Mode'!$H:$H,"&lt;"&amp;$D14,'All Employees by Mode'!$BE:$BE,"=No"),SUMIFS('All Employees by Mode'!S:S,'All Employees by Mode'!$H:$H,"&gt;="&amp;$B14,'All Employees by Mode'!$BE:$BE,"=No"))),IF($A14="","",IF($A14="Between",SUMIFS('All Employees by Mode'!S:S,'All Employees by Mode'!$H:$H,"&gt;="&amp;$B14,'All Employees by Mode'!$H:$H,"&lt;"&amp;$D14),SUMIFS('All Employees by Mode'!S:S,'All Employees by Mode'!$H:$H,"&gt;="&amp;$B14))))</f>
        <v/>
      </c>
      <c r="K14" s="160" t="str">
        <f>IF($AF$1,IF($A14="","",IF($A14="Between",SUMIFS('All Employees by Mode'!U:U,'All Employees by Mode'!$H:$H,"&gt;="&amp;$B14,'All Employees by Mode'!$H:$H,"&lt;"&amp;$D14,'All Employees by Mode'!$BE:$BE,"=No"),SUMIFS('All Employees by Mode'!U:U,'All Employees by Mode'!$H:$H,"&gt;="&amp;$B14,'All Employees by Mode'!$BE:$BE,"=No"))),IF($A14="","",IF($A14="Between",SUMIFS('All Employees by Mode'!U:U,'All Employees by Mode'!$H:$H,"&gt;="&amp;$B14,'All Employees by Mode'!$H:$H,"&lt;"&amp;$D14),SUMIFS('All Employees by Mode'!U:U,'All Employees by Mode'!$H:$H,"&gt;="&amp;$B14))))</f>
        <v/>
      </c>
      <c r="L14" s="160" t="str">
        <f>IF($AF$1,IF($A14="","",IF($A14="Between",SUMIFS('All Employees by Mode'!W:W,'All Employees by Mode'!$H:$H,"&gt;="&amp;$B14,'All Employees by Mode'!$H:$H,"&lt;"&amp;$D14,'All Employees by Mode'!$BE:$BE,"=No"),SUMIFS('All Employees by Mode'!W:W,'All Employees by Mode'!$H:$H,"&gt;="&amp;$B14,'All Employees by Mode'!$BE:$BE,"=No"))),IF($A14="","",IF($A14="Between",SUMIFS('All Employees by Mode'!W:W,'All Employees by Mode'!$H:$H,"&gt;="&amp;$B14,'All Employees by Mode'!$H:$H,"&lt;"&amp;$D14),SUMIFS('All Employees by Mode'!W:W,'All Employees by Mode'!$H:$H,"&gt;="&amp;$B14))))</f>
        <v/>
      </c>
      <c r="M14" s="160" t="str">
        <f>IF($AF$1,IF($A14="","",IF($A14="Between",SUMIFS('All Employees by Mode'!Y:Y,'All Employees by Mode'!$H:$H,"&gt;="&amp;$B14,'All Employees by Mode'!$H:$H,"&lt;"&amp;$D14,'All Employees by Mode'!$BE:$BE,"=No"),SUMIFS('All Employees by Mode'!Y:Y,'All Employees by Mode'!$H:$H,"&gt;="&amp;$B14,'All Employees by Mode'!$BE:$BE,"=No"))),IF($A14="","",IF($A14="Between",SUMIFS('All Employees by Mode'!Y:Y,'All Employees by Mode'!$H:$H,"&gt;="&amp;$B14,'All Employees by Mode'!$H:$H,"&lt;"&amp;$D14),SUMIFS('All Employees by Mode'!Y:Y,'All Employees by Mode'!$H:$H,"&gt;="&amp;$B14))))</f>
        <v/>
      </c>
      <c r="N14" s="160" t="str">
        <f>IF($AF$1,IF($A14="","",IF($A14="Between",SUMIFS('All Employees by Mode'!AA:AA,'All Employees by Mode'!$H:$H,"&gt;="&amp;$B14,'All Employees by Mode'!$H:$H,"&lt;"&amp;$D14,'All Employees by Mode'!$BE:$BE,"=No"),SUMIFS('All Employees by Mode'!AA:AA,'All Employees by Mode'!$H:$H,"&gt;="&amp;$B14,'All Employees by Mode'!$BE:$BE,"=No"))),IF($A14="","",IF($A14="Between",SUMIFS('All Employees by Mode'!AA:AA,'All Employees by Mode'!$H:$H,"&gt;="&amp;$B14,'All Employees by Mode'!$H:$H,"&lt;"&amp;$D14),SUMIFS('All Employees by Mode'!AA:AA,'All Employees by Mode'!$H:$H,"&gt;="&amp;$B14))))</f>
        <v/>
      </c>
      <c r="O14" s="160" t="str">
        <f>IF($AF$1,IF($A14="","",IF($A14="Between",SUMIFS('All Employees by Mode'!AC:AC,'All Employees by Mode'!$H:$H,"&gt;="&amp;$B14,'All Employees by Mode'!$H:$H,"&lt;"&amp;$D14,'All Employees by Mode'!$BE:$BE,"=No"),SUMIFS('All Employees by Mode'!AC:AC,'All Employees by Mode'!$H:$H,"&gt;="&amp;$B14,'All Employees by Mode'!$BE:$BE,"=No"))),IF($A14="","",IF($A14="Between",SUMIFS('All Employees by Mode'!AC:AC,'All Employees by Mode'!$H:$H,"&gt;="&amp;$B14,'All Employees by Mode'!$H:$H,"&lt;"&amp;$D14),SUMIFS('All Employees by Mode'!AC:AC,'All Employees by Mode'!$H:$H,"&gt;="&amp;$B14))))</f>
        <v/>
      </c>
      <c r="P14" s="160" t="str">
        <f>IF($AF$1,IF($A14="","",IF($A14="Between",SUMIFS('All Employees by Mode'!AE:AE,'All Employees by Mode'!$H:$H,"&gt;="&amp;$B14,'All Employees by Mode'!$H:$H,"&lt;"&amp;$D14,'All Employees by Mode'!$BE:$BE,"=No"),SUMIFS('All Employees by Mode'!AE:AE,'All Employees by Mode'!$H:$H,"&gt;="&amp;$B14,'All Employees by Mode'!$BE:$BE,"=No"))),IF($A14="","",IF($A14="Between",SUMIFS('All Employees by Mode'!AE:AE,'All Employees by Mode'!$H:$H,"&gt;="&amp;$B14,'All Employees by Mode'!$H:$H,"&lt;"&amp;$D14),SUMIFS('All Employees by Mode'!AE:AE,'All Employees by Mode'!$H:$H,"&gt;="&amp;$B14))))</f>
        <v/>
      </c>
      <c r="Q14" s="160" t="str">
        <f>IF($AF$1,IF($A14="","",IF($A14="Between",SUMIFS('All Employees by Mode'!AG:AG,'All Employees by Mode'!$H:$H,"&gt;="&amp;$B14,'All Employees by Mode'!$H:$H,"&lt;"&amp;$D14,'All Employees by Mode'!$BE:$BE,"=No"),SUMIFS('All Employees by Mode'!AG:AG,'All Employees by Mode'!$H:$H,"&gt;="&amp;$B14,'All Employees by Mode'!$BE:$BE,"=No"))),IF($A14="","",IF($A14="Between",SUMIFS('All Employees by Mode'!AG:AG,'All Employees by Mode'!$H:$H,"&gt;="&amp;$B14,'All Employees by Mode'!$H:$H,"&lt;"&amp;$D14),SUMIFS('All Employees by Mode'!AG:AG,'All Employees by Mode'!$H:$H,"&gt;="&amp;$B14))))</f>
        <v/>
      </c>
      <c r="R14" s="160" t="str">
        <f>IF($AF$1,IF($A14="","",IF($A14="Between",SUMIFS('All Employees by Mode'!AI:AI,'All Employees by Mode'!$H:$H,"&gt;="&amp;$B14,'All Employees by Mode'!$H:$H,"&lt;"&amp;$D14,'All Employees by Mode'!$BE:$BE,"=No"),SUMIFS('All Employees by Mode'!AI:AI,'All Employees by Mode'!$H:$H,"&gt;="&amp;$B14,'All Employees by Mode'!$BE:$BE,"=No"))),IF($A14="","",IF($A14="Between",SUMIFS('All Employees by Mode'!AI:AI,'All Employees by Mode'!$H:$H,"&gt;="&amp;$B14,'All Employees by Mode'!$H:$H,"&lt;"&amp;$D14),SUMIFS('All Employees by Mode'!AI:AI,'All Employees by Mode'!$H:$H,"&gt;="&amp;$B14))))</f>
        <v/>
      </c>
      <c r="S14" s="161" t="str">
        <f>IF($AF$1,IF($A14="","",IF($A14="Between",SUMIFS('All Employees by Mode'!AK:AK,'All Employees by Mode'!$H:$H,"&gt;="&amp;$B14,'All Employees by Mode'!$H:$H,"&lt;"&amp;$D14,'All Employees by Mode'!$BE:$BE,"=No"),SUMIFS('All Employees by Mode'!AK:AK,'All Employees by Mode'!$H:$H,"&gt;="&amp;$B14,'All Employees by Mode'!$BE:$BE,"=No"))),IF($A14="","",IF($A14="Between",SUMIFS('All Employees by Mode'!AK:AK,'All Employees by Mode'!$H:$H,"&gt;="&amp;$B14,'All Employees by Mode'!$H:$H,"&lt;"&amp;$D14),SUMIFS('All Employees by Mode'!AK:AK,'All Employees by Mode'!$H:$H,"&gt;="&amp;$B14))))</f>
        <v/>
      </c>
      <c r="T14" s="161" t="str">
        <f>IF($AF$1,IF($A14="","",IF($A14="Between",SUMIFS('All Employees by Mode'!AM:AM,'All Employees by Mode'!$H:$H,"&gt;="&amp;$B14,'All Employees by Mode'!$H:$H,"&lt;"&amp;$D14,'All Employees by Mode'!$BE:$BE,"=No"),SUMIFS('All Employees by Mode'!AM:AM,'All Employees by Mode'!$H:$H,"&gt;="&amp;$B14,'All Employees by Mode'!$BE:$BE,"=No"))),IF($A14="","",IF($A14="Between",SUMIFS('All Employees by Mode'!AM:AM,'All Employees by Mode'!$H:$H,"&gt;="&amp;$B14,'All Employees by Mode'!$H:$H,"&lt;"&amp;$D14),SUMIFS('All Employees by Mode'!AM:AM,'All Employees by Mode'!$H:$H,"&gt;="&amp;$B14))))</f>
        <v/>
      </c>
      <c r="U14" s="161" t="str">
        <f>IF($AF$1,IF($A14="","",IF($A14="Between",SUMIFS('All Employees by Mode'!AO:AO,'All Employees by Mode'!$H:$H,"&gt;="&amp;$B14,'All Employees by Mode'!$H:$H,"&lt;"&amp;$D14,'All Employees by Mode'!$BE:$BE,"=No"),SUMIFS('All Employees by Mode'!AO:AO,'All Employees by Mode'!$H:$H,"&gt;="&amp;$B14,'All Employees by Mode'!$BE:$BE,"=No"))),IF($A14="","",IF($A14="Between",SUMIFS('All Employees by Mode'!AO:AO,'All Employees by Mode'!$H:$H,"&gt;="&amp;$B14,'All Employees by Mode'!$H:$H,"&lt;"&amp;$D14),SUMIFS('All Employees by Mode'!AO:AO,'All Employees by Mode'!$H:$H,"&gt;="&amp;$B14))))</f>
        <v/>
      </c>
      <c r="V14" s="161" t="str">
        <f>IF($AF$1,IF($A14="","",IF($A14="Between",SUMIFS('All Employees by Mode'!AQ:AQ,'All Employees by Mode'!$H:$H,"&gt;="&amp;$B14,'All Employees by Mode'!$H:$H,"&lt;"&amp;$D14,'All Employees by Mode'!$BE:$BE,"=No"),SUMIFS('All Employees by Mode'!AQ:AQ,'All Employees by Mode'!$H:$H,"&gt;="&amp;$B14,'All Employees by Mode'!$BE:$BE,"=No"))),IF($A14="","",IF($A14="Between",SUMIFS('All Employees by Mode'!AQ:AQ,'All Employees by Mode'!$H:$H,"&gt;="&amp;$B14,'All Employees by Mode'!$H:$H,"&lt;"&amp;$D14),SUMIFS('All Employees by Mode'!AQ:AQ,'All Employees by Mode'!$H:$H,"&gt;="&amp;$B14))))</f>
        <v/>
      </c>
      <c r="W14" s="161" t="str">
        <f>IF($AF$1,IF($A14="","",IF($A14="Between",SUMIFS('All Employees by Mode'!AS:AS,'All Employees by Mode'!$H:$H,"&gt;="&amp;$B14,'All Employees by Mode'!$H:$H,"&lt;"&amp;$D14,'All Employees by Mode'!$BE:$BE,"=No"),SUMIFS('All Employees by Mode'!AS:AS,'All Employees by Mode'!$H:$H,"&gt;="&amp;$B14,'All Employees by Mode'!$BE:$BE,"=No"))),IF($A14="","",IF($A14="Between",SUMIFS('All Employees by Mode'!AS:AS,'All Employees by Mode'!$H:$H,"&gt;="&amp;$B14,'All Employees by Mode'!$H:$H,"&lt;"&amp;$D14),SUMIFS('All Employees by Mode'!AS:AS,'All Employees by Mode'!$H:$H,"&gt;="&amp;$B14))))</f>
        <v/>
      </c>
      <c r="X14" s="162" t="str">
        <f t="shared" si="9"/>
        <v/>
      </c>
      <c r="Y14" s="162" t="str">
        <f t="shared" si="10"/>
        <v/>
      </c>
      <c r="Z14" s="162" t="str">
        <f t="shared" si="11"/>
        <v/>
      </c>
      <c r="AA14" s="162" t="str">
        <f t="shared" si="12"/>
        <v/>
      </c>
      <c r="AB14" s="271" t="str">
        <f t="shared" si="13"/>
        <v/>
      </c>
      <c r="AC14" s="93"/>
      <c r="AD14" s="94"/>
      <c r="AE14" s="94"/>
      <c r="AF14" s="94"/>
      <c r="AG14" s="94"/>
      <c r="AH14" s="94" t="str">
        <f t="shared" si="3"/>
        <v/>
      </c>
      <c r="AI14" s="107" t="str">
        <f t="shared" si="4"/>
        <v/>
      </c>
      <c r="AJ14" s="107" t="str">
        <f t="shared" si="1"/>
        <v/>
      </c>
      <c r="AK14" s="107" t="str">
        <f t="shared" si="1"/>
        <v/>
      </c>
      <c r="AL14" s="107" t="str">
        <f t="shared" si="1"/>
        <v/>
      </c>
      <c r="AM14" s="107" t="str">
        <f t="shared" si="1"/>
        <v/>
      </c>
      <c r="AN14" s="108" t="str">
        <f t="shared" si="5"/>
        <v/>
      </c>
      <c r="AO14" s="303"/>
      <c r="AP14" s="303"/>
      <c r="AQ14" s="303"/>
      <c r="AR14" s="303"/>
      <c r="AS14" s="303"/>
      <c r="AT14" s="303"/>
      <c r="AU14" s="94"/>
      <c r="AV14" s="94"/>
    </row>
    <row r="15" spans="1:48" s="95" customFormat="1" ht="11.25" customHeight="1">
      <c r="A15" s="167" t="str">
        <f t="shared" si="6"/>
        <v/>
      </c>
      <c r="B15" s="168" t="str">
        <f t="shared" si="8"/>
        <v/>
      </c>
      <c r="C15" s="169" t="str">
        <f t="shared" si="7"/>
        <v/>
      </c>
      <c r="D15" s="250"/>
      <c r="E15" s="266" t="str">
        <f t="shared" si="2"/>
        <v>invalid bin</v>
      </c>
      <c r="F15" s="159" t="str">
        <f>IF($AF$1,IF($A15="","",IF($A15="Between",SUMIFS('All Employees by Mode'!L:L,'All Employees by Mode'!$H:$H,"&gt;="&amp;$B15,'All Employees by Mode'!$H:$H,"&lt;"&amp;$D15,'All Employees by Mode'!$BE:$BE,"=No"),SUMIFS('All Employees by Mode'!L:L,'All Employees by Mode'!$H:$H,"&gt;="&amp;$B15,'All Employees by Mode'!$BE:$BE,"=No"))),IF($A15="","",IF($A15="Between",SUMIFS('All Employees by Mode'!L:L,'All Employees by Mode'!$H:$H,"&gt;="&amp;$B15,'All Employees by Mode'!$H:$H,"&lt;"&amp;$D15),SUMIFS('All Employees by Mode'!L:L,'All Employees by Mode'!$H:$H,"&gt;="&amp;$B15))))</f>
        <v/>
      </c>
      <c r="G15" s="160" t="str">
        <f>IF($AF$1,IF($A15="","",IF($A15="Between",SUMIFS('All Employees by Mode'!M:M,'All Employees by Mode'!$H:$H,"&gt;="&amp;$B15,'All Employees by Mode'!$H:$H,"&lt;"&amp;$D15,'All Employees by Mode'!$BE:$BE,"=No"),SUMIFS('All Employees by Mode'!M:M,'All Employees by Mode'!$H:$H,"&gt;="&amp;$B15,'All Employees by Mode'!$BE:$BE,"=No"))),IF($A15="","",IF($A15="Between",SUMIFS('All Employees by Mode'!M:M,'All Employees by Mode'!$H:$H,"&gt;="&amp;$B15,'All Employees by Mode'!$H:$H,"&lt;"&amp;$D15),SUMIFS('All Employees by Mode'!M:M,'All Employees by Mode'!$H:$H,"&gt;="&amp;$B15))))</f>
        <v/>
      </c>
      <c r="H15" s="160" t="str">
        <f>IF($AF$1,IF($A15="","",IF($A15="Between",SUMIFS('All Employees by Mode'!O:O,'All Employees by Mode'!$H:$H,"&gt;="&amp;$B15,'All Employees by Mode'!$H:$H,"&lt;"&amp;$D15,'All Employees by Mode'!$BE:$BE,"=No"),SUMIFS('All Employees by Mode'!O:O,'All Employees by Mode'!$H:$H,"&gt;="&amp;$B15,'All Employees by Mode'!$BE:$BE,"=No"))),IF($A15="","",IF($A15="Between",SUMIFS('All Employees by Mode'!O:O,'All Employees by Mode'!$H:$H,"&gt;="&amp;$B15,'All Employees by Mode'!$H:$H,"&lt;"&amp;$D15),SUMIFS('All Employees by Mode'!O:O,'All Employees by Mode'!$H:$H,"&gt;="&amp;$B15))))</f>
        <v/>
      </c>
      <c r="I15" s="160" t="str">
        <f>IF($AF$1,IF($A15="","",IF($A15="Between",SUMIFS('All Employees by Mode'!Q:Q,'All Employees by Mode'!$H:$H,"&gt;="&amp;$B15,'All Employees by Mode'!$H:$H,"&lt;"&amp;$D15,'All Employees by Mode'!$BE:$BE,"=No"),SUMIFS('All Employees by Mode'!Q:Q,'All Employees by Mode'!$H:$H,"&gt;="&amp;$B15,'All Employees by Mode'!$BE:$BE,"=No"))),IF($A15="","",IF($A15="Between",SUMIFS('All Employees by Mode'!Q:Q,'All Employees by Mode'!$H:$H,"&gt;="&amp;$B15,'All Employees by Mode'!$H:$H,"&lt;"&amp;$D15),SUMIFS('All Employees by Mode'!Q:Q,'All Employees by Mode'!$H:$H,"&gt;="&amp;$B15))))</f>
        <v/>
      </c>
      <c r="J15" s="160" t="str">
        <f>IF($AF$1,IF($A15="","",IF($A15="Between",SUMIFS('All Employees by Mode'!S:S,'All Employees by Mode'!$H:$H,"&gt;="&amp;$B15,'All Employees by Mode'!$H:$H,"&lt;"&amp;$D15,'All Employees by Mode'!$BE:$BE,"=No"),SUMIFS('All Employees by Mode'!S:S,'All Employees by Mode'!$H:$H,"&gt;="&amp;$B15,'All Employees by Mode'!$BE:$BE,"=No"))),IF($A15="","",IF($A15="Between",SUMIFS('All Employees by Mode'!S:S,'All Employees by Mode'!$H:$H,"&gt;="&amp;$B15,'All Employees by Mode'!$H:$H,"&lt;"&amp;$D15),SUMIFS('All Employees by Mode'!S:S,'All Employees by Mode'!$H:$H,"&gt;="&amp;$B15))))</f>
        <v/>
      </c>
      <c r="K15" s="160" t="str">
        <f>IF($AF$1,IF($A15="","",IF($A15="Between",SUMIFS('All Employees by Mode'!U:U,'All Employees by Mode'!$H:$H,"&gt;="&amp;$B15,'All Employees by Mode'!$H:$H,"&lt;"&amp;$D15,'All Employees by Mode'!$BE:$BE,"=No"),SUMIFS('All Employees by Mode'!U:U,'All Employees by Mode'!$H:$H,"&gt;="&amp;$B15,'All Employees by Mode'!$BE:$BE,"=No"))),IF($A15="","",IF($A15="Between",SUMIFS('All Employees by Mode'!U:U,'All Employees by Mode'!$H:$H,"&gt;="&amp;$B15,'All Employees by Mode'!$H:$H,"&lt;"&amp;$D15),SUMIFS('All Employees by Mode'!U:U,'All Employees by Mode'!$H:$H,"&gt;="&amp;$B15))))</f>
        <v/>
      </c>
      <c r="L15" s="160" t="str">
        <f>IF($AF$1,IF($A15="","",IF($A15="Between",SUMIFS('All Employees by Mode'!W:W,'All Employees by Mode'!$H:$H,"&gt;="&amp;$B15,'All Employees by Mode'!$H:$H,"&lt;"&amp;$D15,'All Employees by Mode'!$BE:$BE,"=No"),SUMIFS('All Employees by Mode'!W:W,'All Employees by Mode'!$H:$H,"&gt;="&amp;$B15,'All Employees by Mode'!$BE:$BE,"=No"))),IF($A15="","",IF($A15="Between",SUMIFS('All Employees by Mode'!W:W,'All Employees by Mode'!$H:$H,"&gt;="&amp;$B15,'All Employees by Mode'!$H:$H,"&lt;"&amp;$D15),SUMIFS('All Employees by Mode'!W:W,'All Employees by Mode'!$H:$H,"&gt;="&amp;$B15))))</f>
        <v/>
      </c>
      <c r="M15" s="160" t="str">
        <f>IF($AF$1,IF($A15="","",IF($A15="Between",SUMIFS('All Employees by Mode'!Y:Y,'All Employees by Mode'!$H:$H,"&gt;="&amp;$B15,'All Employees by Mode'!$H:$H,"&lt;"&amp;$D15,'All Employees by Mode'!$BE:$BE,"=No"),SUMIFS('All Employees by Mode'!Y:Y,'All Employees by Mode'!$H:$H,"&gt;="&amp;$B15,'All Employees by Mode'!$BE:$BE,"=No"))),IF($A15="","",IF($A15="Between",SUMIFS('All Employees by Mode'!Y:Y,'All Employees by Mode'!$H:$H,"&gt;="&amp;$B15,'All Employees by Mode'!$H:$H,"&lt;"&amp;$D15),SUMIFS('All Employees by Mode'!Y:Y,'All Employees by Mode'!$H:$H,"&gt;="&amp;$B15))))</f>
        <v/>
      </c>
      <c r="N15" s="160" t="str">
        <f>IF($AF$1,IF($A15="","",IF($A15="Between",SUMIFS('All Employees by Mode'!AA:AA,'All Employees by Mode'!$H:$H,"&gt;="&amp;$B15,'All Employees by Mode'!$H:$H,"&lt;"&amp;$D15,'All Employees by Mode'!$BE:$BE,"=No"),SUMIFS('All Employees by Mode'!AA:AA,'All Employees by Mode'!$H:$H,"&gt;="&amp;$B15,'All Employees by Mode'!$BE:$BE,"=No"))),IF($A15="","",IF($A15="Between",SUMIFS('All Employees by Mode'!AA:AA,'All Employees by Mode'!$H:$H,"&gt;="&amp;$B15,'All Employees by Mode'!$H:$H,"&lt;"&amp;$D15),SUMIFS('All Employees by Mode'!AA:AA,'All Employees by Mode'!$H:$H,"&gt;="&amp;$B15))))</f>
        <v/>
      </c>
      <c r="O15" s="160" t="str">
        <f>IF($AF$1,IF($A15="","",IF($A15="Between",SUMIFS('All Employees by Mode'!AC:AC,'All Employees by Mode'!$H:$H,"&gt;="&amp;$B15,'All Employees by Mode'!$H:$H,"&lt;"&amp;$D15,'All Employees by Mode'!$BE:$BE,"=No"),SUMIFS('All Employees by Mode'!AC:AC,'All Employees by Mode'!$H:$H,"&gt;="&amp;$B15,'All Employees by Mode'!$BE:$BE,"=No"))),IF($A15="","",IF($A15="Between",SUMIFS('All Employees by Mode'!AC:AC,'All Employees by Mode'!$H:$H,"&gt;="&amp;$B15,'All Employees by Mode'!$H:$H,"&lt;"&amp;$D15),SUMIFS('All Employees by Mode'!AC:AC,'All Employees by Mode'!$H:$H,"&gt;="&amp;$B15))))</f>
        <v/>
      </c>
      <c r="P15" s="160" t="str">
        <f>IF($AF$1,IF($A15="","",IF($A15="Between",SUMIFS('All Employees by Mode'!AE:AE,'All Employees by Mode'!$H:$H,"&gt;="&amp;$B15,'All Employees by Mode'!$H:$H,"&lt;"&amp;$D15,'All Employees by Mode'!$BE:$BE,"=No"),SUMIFS('All Employees by Mode'!AE:AE,'All Employees by Mode'!$H:$H,"&gt;="&amp;$B15,'All Employees by Mode'!$BE:$BE,"=No"))),IF($A15="","",IF($A15="Between",SUMIFS('All Employees by Mode'!AE:AE,'All Employees by Mode'!$H:$H,"&gt;="&amp;$B15,'All Employees by Mode'!$H:$H,"&lt;"&amp;$D15),SUMIFS('All Employees by Mode'!AE:AE,'All Employees by Mode'!$H:$H,"&gt;="&amp;$B15))))</f>
        <v/>
      </c>
      <c r="Q15" s="160" t="str">
        <f>IF($AF$1,IF($A15="","",IF($A15="Between",SUMIFS('All Employees by Mode'!AG:AG,'All Employees by Mode'!$H:$H,"&gt;="&amp;$B15,'All Employees by Mode'!$H:$H,"&lt;"&amp;$D15,'All Employees by Mode'!$BE:$BE,"=No"),SUMIFS('All Employees by Mode'!AG:AG,'All Employees by Mode'!$H:$H,"&gt;="&amp;$B15,'All Employees by Mode'!$BE:$BE,"=No"))),IF($A15="","",IF($A15="Between",SUMIFS('All Employees by Mode'!AG:AG,'All Employees by Mode'!$H:$H,"&gt;="&amp;$B15,'All Employees by Mode'!$H:$H,"&lt;"&amp;$D15),SUMIFS('All Employees by Mode'!AG:AG,'All Employees by Mode'!$H:$H,"&gt;="&amp;$B15))))</f>
        <v/>
      </c>
      <c r="R15" s="160" t="str">
        <f>IF($AF$1,IF($A15="","",IF($A15="Between",SUMIFS('All Employees by Mode'!AI:AI,'All Employees by Mode'!$H:$H,"&gt;="&amp;$B15,'All Employees by Mode'!$H:$H,"&lt;"&amp;$D15,'All Employees by Mode'!$BE:$BE,"=No"),SUMIFS('All Employees by Mode'!AI:AI,'All Employees by Mode'!$H:$H,"&gt;="&amp;$B15,'All Employees by Mode'!$BE:$BE,"=No"))),IF($A15="","",IF($A15="Between",SUMIFS('All Employees by Mode'!AI:AI,'All Employees by Mode'!$H:$H,"&gt;="&amp;$B15,'All Employees by Mode'!$H:$H,"&lt;"&amp;$D15),SUMIFS('All Employees by Mode'!AI:AI,'All Employees by Mode'!$H:$H,"&gt;="&amp;$B15))))</f>
        <v/>
      </c>
      <c r="S15" s="161" t="str">
        <f>IF($AF$1,IF($A15="","",IF($A15="Between",SUMIFS('All Employees by Mode'!AK:AK,'All Employees by Mode'!$H:$H,"&gt;="&amp;$B15,'All Employees by Mode'!$H:$H,"&lt;"&amp;$D15,'All Employees by Mode'!$BE:$BE,"=No"),SUMIFS('All Employees by Mode'!AK:AK,'All Employees by Mode'!$H:$H,"&gt;="&amp;$B15,'All Employees by Mode'!$BE:$BE,"=No"))),IF($A15="","",IF($A15="Between",SUMIFS('All Employees by Mode'!AK:AK,'All Employees by Mode'!$H:$H,"&gt;="&amp;$B15,'All Employees by Mode'!$H:$H,"&lt;"&amp;$D15),SUMIFS('All Employees by Mode'!AK:AK,'All Employees by Mode'!$H:$H,"&gt;="&amp;$B15))))</f>
        <v/>
      </c>
      <c r="T15" s="161" t="str">
        <f>IF($AF$1,IF($A15="","",IF($A15="Between",SUMIFS('All Employees by Mode'!AM:AM,'All Employees by Mode'!$H:$H,"&gt;="&amp;$B15,'All Employees by Mode'!$H:$H,"&lt;"&amp;$D15,'All Employees by Mode'!$BE:$BE,"=No"),SUMIFS('All Employees by Mode'!AM:AM,'All Employees by Mode'!$H:$H,"&gt;="&amp;$B15,'All Employees by Mode'!$BE:$BE,"=No"))),IF($A15="","",IF($A15="Between",SUMIFS('All Employees by Mode'!AM:AM,'All Employees by Mode'!$H:$H,"&gt;="&amp;$B15,'All Employees by Mode'!$H:$H,"&lt;"&amp;$D15),SUMIFS('All Employees by Mode'!AM:AM,'All Employees by Mode'!$H:$H,"&gt;="&amp;$B15))))</f>
        <v/>
      </c>
      <c r="U15" s="161" t="str">
        <f>IF($AF$1,IF($A15="","",IF($A15="Between",SUMIFS('All Employees by Mode'!AO:AO,'All Employees by Mode'!$H:$H,"&gt;="&amp;$B15,'All Employees by Mode'!$H:$H,"&lt;"&amp;$D15,'All Employees by Mode'!$BE:$BE,"=No"),SUMIFS('All Employees by Mode'!AO:AO,'All Employees by Mode'!$H:$H,"&gt;="&amp;$B15,'All Employees by Mode'!$BE:$BE,"=No"))),IF($A15="","",IF($A15="Between",SUMIFS('All Employees by Mode'!AO:AO,'All Employees by Mode'!$H:$H,"&gt;="&amp;$B15,'All Employees by Mode'!$H:$H,"&lt;"&amp;$D15),SUMIFS('All Employees by Mode'!AO:AO,'All Employees by Mode'!$H:$H,"&gt;="&amp;$B15))))</f>
        <v/>
      </c>
      <c r="V15" s="161" t="str">
        <f>IF($AF$1,IF($A15="","",IF($A15="Between",SUMIFS('All Employees by Mode'!AQ:AQ,'All Employees by Mode'!$H:$H,"&gt;="&amp;$B15,'All Employees by Mode'!$H:$H,"&lt;"&amp;$D15,'All Employees by Mode'!$BE:$BE,"=No"),SUMIFS('All Employees by Mode'!AQ:AQ,'All Employees by Mode'!$H:$H,"&gt;="&amp;$B15,'All Employees by Mode'!$BE:$BE,"=No"))),IF($A15="","",IF($A15="Between",SUMIFS('All Employees by Mode'!AQ:AQ,'All Employees by Mode'!$H:$H,"&gt;="&amp;$B15,'All Employees by Mode'!$H:$H,"&lt;"&amp;$D15),SUMIFS('All Employees by Mode'!AQ:AQ,'All Employees by Mode'!$H:$H,"&gt;="&amp;$B15))))</f>
        <v/>
      </c>
      <c r="W15" s="161" t="str">
        <f>IF($AF$1,IF($A15="","",IF($A15="Between",SUMIFS('All Employees by Mode'!AS:AS,'All Employees by Mode'!$H:$H,"&gt;="&amp;$B15,'All Employees by Mode'!$H:$H,"&lt;"&amp;$D15,'All Employees by Mode'!$BE:$BE,"=No"),SUMIFS('All Employees by Mode'!AS:AS,'All Employees by Mode'!$H:$H,"&gt;="&amp;$B15,'All Employees by Mode'!$BE:$BE,"=No"))),IF($A15="","",IF($A15="Between",SUMIFS('All Employees by Mode'!AS:AS,'All Employees by Mode'!$H:$H,"&gt;="&amp;$B15,'All Employees by Mode'!$H:$H,"&lt;"&amp;$D15),SUMIFS('All Employees by Mode'!AS:AS,'All Employees by Mode'!$H:$H,"&gt;="&amp;$B15))))</f>
        <v/>
      </c>
      <c r="X15" s="162" t="str">
        <f t="shared" si="9"/>
        <v/>
      </c>
      <c r="Y15" s="162" t="str">
        <f t="shared" si="10"/>
        <v/>
      </c>
      <c r="Z15" s="162" t="str">
        <f t="shared" si="11"/>
        <v/>
      </c>
      <c r="AA15" s="162" t="str">
        <f t="shared" si="12"/>
        <v/>
      </c>
      <c r="AB15" s="271" t="str">
        <f t="shared" si="13"/>
        <v/>
      </c>
      <c r="AC15" s="93"/>
      <c r="AD15" s="94"/>
      <c r="AE15" s="94"/>
      <c r="AF15" s="94"/>
      <c r="AG15" s="94"/>
      <c r="AH15" s="94" t="str">
        <f t="shared" si="3"/>
        <v/>
      </c>
      <c r="AI15" s="107" t="str">
        <f t="shared" si="4"/>
        <v/>
      </c>
      <c r="AJ15" s="107" t="str">
        <f t="shared" si="1"/>
        <v/>
      </c>
      <c r="AK15" s="107" t="str">
        <f t="shared" si="1"/>
        <v/>
      </c>
      <c r="AL15" s="107" t="str">
        <f t="shared" si="1"/>
        <v/>
      </c>
      <c r="AM15" s="107" t="str">
        <f t="shared" si="1"/>
        <v/>
      </c>
      <c r="AN15" s="108" t="str">
        <f t="shared" si="5"/>
        <v/>
      </c>
      <c r="AO15" s="303"/>
      <c r="AP15" s="303"/>
      <c r="AQ15" s="303"/>
      <c r="AR15" s="303"/>
      <c r="AS15" s="303"/>
      <c r="AT15" s="303"/>
      <c r="AU15" s="94"/>
      <c r="AV15" s="94"/>
    </row>
    <row r="16" spans="1:48" s="95" customFormat="1" ht="11.25" customHeight="1">
      <c r="A16" s="167" t="str">
        <f t="shared" si="6"/>
        <v/>
      </c>
      <c r="B16" s="168" t="str">
        <f t="shared" si="8"/>
        <v/>
      </c>
      <c r="C16" s="169" t="str">
        <f t="shared" si="7"/>
        <v/>
      </c>
      <c r="D16" s="250"/>
      <c r="E16" s="266" t="str">
        <f t="shared" si="2"/>
        <v>invalid bin</v>
      </c>
      <c r="F16" s="159" t="str">
        <f>IF($AF$1,IF($A16="","",IF($A16="Between",SUMIFS('All Employees by Mode'!L:L,'All Employees by Mode'!$H:$H,"&gt;="&amp;$B16,'All Employees by Mode'!$H:$H,"&lt;"&amp;$D16,'All Employees by Mode'!$BE:$BE,"=No"),SUMIFS('All Employees by Mode'!L:L,'All Employees by Mode'!$H:$H,"&gt;="&amp;$B16,'All Employees by Mode'!$BE:$BE,"=No"))),IF($A16="","",IF($A16="Between",SUMIFS('All Employees by Mode'!L:L,'All Employees by Mode'!$H:$H,"&gt;="&amp;$B16,'All Employees by Mode'!$H:$H,"&lt;"&amp;$D16),SUMIFS('All Employees by Mode'!L:L,'All Employees by Mode'!$H:$H,"&gt;="&amp;$B16))))</f>
        <v/>
      </c>
      <c r="G16" s="160" t="str">
        <f>IF($AF$1,IF($A16="","",IF($A16="Between",SUMIFS('All Employees by Mode'!M:M,'All Employees by Mode'!$H:$H,"&gt;="&amp;$B16,'All Employees by Mode'!$H:$H,"&lt;"&amp;$D16,'All Employees by Mode'!$BE:$BE,"=No"),SUMIFS('All Employees by Mode'!M:M,'All Employees by Mode'!$H:$H,"&gt;="&amp;$B16,'All Employees by Mode'!$BE:$BE,"=No"))),IF($A16="","",IF($A16="Between",SUMIFS('All Employees by Mode'!M:M,'All Employees by Mode'!$H:$H,"&gt;="&amp;$B16,'All Employees by Mode'!$H:$H,"&lt;"&amp;$D16),SUMIFS('All Employees by Mode'!M:M,'All Employees by Mode'!$H:$H,"&gt;="&amp;$B16))))</f>
        <v/>
      </c>
      <c r="H16" s="160" t="str">
        <f>IF($AF$1,IF($A16="","",IF($A16="Between",SUMIFS('All Employees by Mode'!O:O,'All Employees by Mode'!$H:$H,"&gt;="&amp;$B16,'All Employees by Mode'!$H:$H,"&lt;"&amp;$D16,'All Employees by Mode'!$BE:$BE,"=No"),SUMIFS('All Employees by Mode'!O:O,'All Employees by Mode'!$H:$H,"&gt;="&amp;$B16,'All Employees by Mode'!$BE:$BE,"=No"))),IF($A16="","",IF($A16="Between",SUMIFS('All Employees by Mode'!O:O,'All Employees by Mode'!$H:$H,"&gt;="&amp;$B16,'All Employees by Mode'!$H:$H,"&lt;"&amp;$D16),SUMIFS('All Employees by Mode'!O:O,'All Employees by Mode'!$H:$H,"&gt;="&amp;$B16))))</f>
        <v/>
      </c>
      <c r="I16" s="160" t="str">
        <f>IF($AF$1,IF($A16="","",IF($A16="Between",SUMIFS('All Employees by Mode'!Q:Q,'All Employees by Mode'!$H:$H,"&gt;="&amp;$B16,'All Employees by Mode'!$H:$H,"&lt;"&amp;$D16,'All Employees by Mode'!$BE:$BE,"=No"),SUMIFS('All Employees by Mode'!Q:Q,'All Employees by Mode'!$H:$H,"&gt;="&amp;$B16,'All Employees by Mode'!$BE:$BE,"=No"))),IF($A16="","",IF($A16="Between",SUMIFS('All Employees by Mode'!Q:Q,'All Employees by Mode'!$H:$H,"&gt;="&amp;$B16,'All Employees by Mode'!$H:$H,"&lt;"&amp;$D16),SUMIFS('All Employees by Mode'!Q:Q,'All Employees by Mode'!$H:$H,"&gt;="&amp;$B16))))</f>
        <v/>
      </c>
      <c r="J16" s="160" t="str">
        <f>IF($AF$1,IF($A16="","",IF($A16="Between",SUMIFS('All Employees by Mode'!S:S,'All Employees by Mode'!$H:$H,"&gt;="&amp;$B16,'All Employees by Mode'!$H:$H,"&lt;"&amp;$D16,'All Employees by Mode'!$BE:$BE,"=No"),SUMIFS('All Employees by Mode'!S:S,'All Employees by Mode'!$H:$H,"&gt;="&amp;$B16,'All Employees by Mode'!$BE:$BE,"=No"))),IF($A16="","",IF($A16="Between",SUMIFS('All Employees by Mode'!S:S,'All Employees by Mode'!$H:$H,"&gt;="&amp;$B16,'All Employees by Mode'!$H:$H,"&lt;"&amp;$D16),SUMIFS('All Employees by Mode'!S:S,'All Employees by Mode'!$H:$H,"&gt;="&amp;$B16))))</f>
        <v/>
      </c>
      <c r="K16" s="160" t="str">
        <f>IF($AF$1,IF($A16="","",IF($A16="Between",SUMIFS('All Employees by Mode'!U:U,'All Employees by Mode'!$H:$H,"&gt;="&amp;$B16,'All Employees by Mode'!$H:$H,"&lt;"&amp;$D16,'All Employees by Mode'!$BE:$BE,"=No"),SUMIFS('All Employees by Mode'!U:U,'All Employees by Mode'!$H:$H,"&gt;="&amp;$B16,'All Employees by Mode'!$BE:$BE,"=No"))),IF($A16="","",IF($A16="Between",SUMIFS('All Employees by Mode'!U:U,'All Employees by Mode'!$H:$H,"&gt;="&amp;$B16,'All Employees by Mode'!$H:$H,"&lt;"&amp;$D16),SUMIFS('All Employees by Mode'!U:U,'All Employees by Mode'!$H:$H,"&gt;="&amp;$B16))))</f>
        <v/>
      </c>
      <c r="L16" s="160" t="str">
        <f>IF($AF$1,IF($A16="","",IF($A16="Between",SUMIFS('All Employees by Mode'!W:W,'All Employees by Mode'!$H:$H,"&gt;="&amp;$B16,'All Employees by Mode'!$H:$H,"&lt;"&amp;$D16,'All Employees by Mode'!$BE:$BE,"=No"),SUMIFS('All Employees by Mode'!W:W,'All Employees by Mode'!$H:$H,"&gt;="&amp;$B16,'All Employees by Mode'!$BE:$BE,"=No"))),IF($A16="","",IF($A16="Between",SUMIFS('All Employees by Mode'!W:W,'All Employees by Mode'!$H:$H,"&gt;="&amp;$B16,'All Employees by Mode'!$H:$H,"&lt;"&amp;$D16),SUMIFS('All Employees by Mode'!W:W,'All Employees by Mode'!$H:$H,"&gt;="&amp;$B16))))</f>
        <v/>
      </c>
      <c r="M16" s="160" t="str">
        <f>IF($AF$1,IF($A16="","",IF($A16="Between",SUMIFS('All Employees by Mode'!Y:Y,'All Employees by Mode'!$H:$H,"&gt;="&amp;$B16,'All Employees by Mode'!$H:$H,"&lt;"&amp;$D16,'All Employees by Mode'!$BE:$BE,"=No"),SUMIFS('All Employees by Mode'!Y:Y,'All Employees by Mode'!$H:$H,"&gt;="&amp;$B16,'All Employees by Mode'!$BE:$BE,"=No"))),IF($A16="","",IF($A16="Between",SUMIFS('All Employees by Mode'!Y:Y,'All Employees by Mode'!$H:$H,"&gt;="&amp;$B16,'All Employees by Mode'!$H:$H,"&lt;"&amp;$D16),SUMIFS('All Employees by Mode'!Y:Y,'All Employees by Mode'!$H:$H,"&gt;="&amp;$B16))))</f>
        <v/>
      </c>
      <c r="N16" s="160" t="str">
        <f>IF($AF$1,IF($A16="","",IF($A16="Between",SUMIFS('All Employees by Mode'!AA:AA,'All Employees by Mode'!$H:$H,"&gt;="&amp;$B16,'All Employees by Mode'!$H:$H,"&lt;"&amp;$D16,'All Employees by Mode'!$BE:$BE,"=No"),SUMIFS('All Employees by Mode'!AA:AA,'All Employees by Mode'!$H:$H,"&gt;="&amp;$B16,'All Employees by Mode'!$BE:$BE,"=No"))),IF($A16="","",IF($A16="Between",SUMIFS('All Employees by Mode'!AA:AA,'All Employees by Mode'!$H:$H,"&gt;="&amp;$B16,'All Employees by Mode'!$H:$H,"&lt;"&amp;$D16),SUMIFS('All Employees by Mode'!AA:AA,'All Employees by Mode'!$H:$H,"&gt;="&amp;$B16))))</f>
        <v/>
      </c>
      <c r="O16" s="160" t="str">
        <f>IF($AF$1,IF($A16="","",IF($A16="Between",SUMIFS('All Employees by Mode'!AC:AC,'All Employees by Mode'!$H:$H,"&gt;="&amp;$B16,'All Employees by Mode'!$H:$H,"&lt;"&amp;$D16,'All Employees by Mode'!$BE:$BE,"=No"),SUMIFS('All Employees by Mode'!AC:AC,'All Employees by Mode'!$H:$H,"&gt;="&amp;$B16,'All Employees by Mode'!$BE:$BE,"=No"))),IF($A16="","",IF($A16="Between",SUMIFS('All Employees by Mode'!AC:AC,'All Employees by Mode'!$H:$H,"&gt;="&amp;$B16,'All Employees by Mode'!$H:$H,"&lt;"&amp;$D16),SUMIFS('All Employees by Mode'!AC:AC,'All Employees by Mode'!$H:$H,"&gt;="&amp;$B16))))</f>
        <v/>
      </c>
      <c r="P16" s="160" t="str">
        <f>IF($AF$1,IF($A16="","",IF($A16="Between",SUMIFS('All Employees by Mode'!AE:AE,'All Employees by Mode'!$H:$H,"&gt;="&amp;$B16,'All Employees by Mode'!$H:$H,"&lt;"&amp;$D16,'All Employees by Mode'!$BE:$BE,"=No"),SUMIFS('All Employees by Mode'!AE:AE,'All Employees by Mode'!$H:$H,"&gt;="&amp;$B16,'All Employees by Mode'!$BE:$BE,"=No"))),IF($A16="","",IF($A16="Between",SUMIFS('All Employees by Mode'!AE:AE,'All Employees by Mode'!$H:$H,"&gt;="&amp;$B16,'All Employees by Mode'!$H:$H,"&lt;"&amp;$D16),SUMIFS('All Employees by Mode'!AE:AE,'All Employees by Mode'!$H:$H,"&gt;="&amp;$B16))))</f>
        <v/>
      </c>
      <c r="Q16" s="160" t="str">
        <f>IF($AF$1,IF($A16="","",IF($A16="Between",SUMIFS('All Employees by Mode'!AG:AG,'All Employees by Mode'!$H:$H,"&gt;="&amp;$B16,'All Employees by Mode'!$H:$H,"&lt;"&amp;$D16,'All Employees by Mode'!$BE:$BE,"=No"),SUMIFS('All Employees by Mode'!AG:AG,'All Employees by Mode'!$H:$H,"&gt;="&amp;$B16,'All Employees by Mode'!$BE:$BE,"=No"))),IF($A16="","",IF($A16="Between",SUMIFS('All Employees by Mode'!AG:AG,'All Employees by Mode'!$H:$H,"&gt;="&amp;$B16,'All Employees by Mode'!$H:$H,"&lt;"&amp;$D16),SUMIFS('All Employees by Mode'!AG:AG,'All Employees by Mode'!$H:$H,"&gt;="&amp;$B16))))</f>
        <v/>
      </c>
      <c r="R16" s="160" t="str">
        <f>IF($AF$1,IF($A16="","",IF($A16="Between",SUMIFS('All Employees by Mode'!AI:AI,'All Employees by Mode'!$H:$H,"&gt;="&amp;$B16,'All Employees by Mode'!$H:$H,"&lt;"&amp;$D16,'All Employees by Mode'!$BE:$BE,"=No"),SUMIFS('All Employees by Mode'!AI:AI,'All Employees by Mode'!$H:$H,"&gt;="&amp;$B16,'All Employees by Mode'!$BE:$BE,"=No"))),IF($A16="","",IF($A16="Between",SUMIFS('All Employees by Mode'!AI:AI,'All Employees by Mode'!$H:$H,"&gt;="&amp;$B16,'All Employees by Mode'!$H:$H,"&lt;"&amp;$D16),SUMIFS('All Employees by Mode'!AI:AI,'All Employees by Mode'!$H:$H,"&gt;="&amp;$B16))))</f>
        <v/>
      </c>
      <c r="S16" s="161" t="str">
        <f>IF($AF$1,IF($A16="","",IF($A16="Between",SUMIFS('All Employees by Mode'!AK:AK,'All Employees by Mode'!$H:$H,"&gt;="&amp;$B16,'All Employees by Mode'!$H:$H,"&lt;"&amp;$D16,'All Employees by Mode'!$BE:$BE,"=No"),SUMIFS('All Employees by Mode'!AK:AK,'All Employees by Mode'!$H:$H,"&gt;="&amp;$B16,'All Employees by Mode'!$BE:$BE,"=No"))),IF($A16="","",IF($A16="Between",SUMIFS('All Employees by Mode'!AK:AK,'All Employees by Mode'!$H:$H,"&gt;="&amp;$B16,'All Employees by Mode'!$H:$H,"&lt;"&amp;$D16),SUMIFS('All Employees by Mode'!AK:AK,'All Employees by Mode'!$H:$H,"&gt;="&amp;$B16))))</f>
        <v/>
      </c>
      <c r="T16" s="161" t="str">
        <f>IF($AF$1,IF($A16="","",IF($A16="Between",SUMIFS('All Employees by Mode'!AM:AM,'All Employees by Mode'!$H:$H,"&gt;="&amp;$B16,'All Employees by Mode'!$H:$H,"&lt;"&amp;$D16,'All Employees by Mode'!$BE:$BE,"=No"),SUMIFS('All Employees by Mode'!AM:AM,'All Employees by Mode'!$H:$H,"&gt;="&amp;$B16,'All Employees by Mode'!$BE:$BE,"=No"))),IF($A16="","",IF($A16="Between",SUMIFS('All Employees by Mode'!AM:AM,'All Employees by Mode'!$H:$H,"&gt;="&amp;$B16,'All Employees by Mode'!$H:$H,"&lt;"&amp;$D16),SUMIFS('All Employees by Mode'!AM:AM,'All Employees by Mode'!$H:$H,"&gt;="&amp;$B16))))</f>
        <v/>
      </c>
      <c r="U16" s="161" t="str">
        <f>IF($AF$1,IF($A16="","",IF($A16="Between",SUMIFS('All Employees by Mode'!AO:AO,'All Employees by Mode'!$H:$H,"&gt;="&amp;$B16,'All Employees by Mode'!$H:$H,"&lt;"&amp;$D16,'All Employees by Mode'!$BE:$BE,"=No"),SUMIFS('All Employees by Mode'!AO:AO,'All Employees by Mode'!$H:$H,"&gt;="&amp;$B16,'All Employees by Mode'!$BE:$BE,"=No"))),IF($A16="","",IF($A16="Between",SUMIFS('All Employees by Mode'!AO:AO,'All Employees by Mode'!$H:$H,"&gt;="&amp;$B16,'All Employees by Mode'!$H:$H,"&lt;"&amp;$D16),SUMIFS('All Employees by Mode'!AO:AO,'All Employees by Mode'!$H:$H,"&gt;="&amp;$B16))))</f>
        <v/>
      </c>
      <c r="V16" s="161" t="str">
        <f>IF($AF$1,IF($A16="","",IF($A16="Between",SUMIFS('All Employees by Mode'!AQ:AQ,'All Employees by Mode'!$H:$H,"&gt;="&amp;$B16,'All Employees by Mode'!$H:$H,"&lt;"&amp;$D16,'All Employees by Mode'!$BE:$BE,"=No"),SUMIFS('All Employees by Mode'!AQ:AQ,'All Employees by Mode'!$H:$H,"&gt;="&amp;$B16,'All Employees by Mode'!$BE:$BE,"=No"))),IF($A16="","",IF($A16="Between",SUMIFS('All Employees by Mode'!AQ:AQ,'All Employees by Mode'!$H:$H,"&gt;="&amp;$B16,'All Employees by Mode'!$H:$H,"&lt;"&amp;$D16),SUMIFS('All Employees by Mode'!AQ:AQ,'All Employees by Mode'!$H:$H,"&gt;="&amp;$B16))))</f>
        <v/>
      </c>
      <c r="W16" s="161" t="str">
        <f>IF($AF$1,IF($A16="","",IF($A16="Between",SUMIFS('All Employees by Mode'!AS:AS,'All Employees by Mode'!$H:$H,"&gt;="&amp;$B16,'All Employees by Mode'!$H:$H,"&lt;"&amp;$D16,'All Employees by Mode'!$BE:$BE,"=No"),SUMIFS('All Employees by Mode'!AS:AS,'All Employees by Mode'!$H:$H,"&gt;="&amp;$B16,'All Employees by Mode'!$BE:$BE,"=No"))),IF($A16="","",IF($A16="Between",SUMIFS('All Employees by Mode'!AS:AS,'All Employees by Mode'!$H:$H,"&gt;="&amp;$B16,'All Employees by Mode'!$H:$H,"&lt;"&amp;$D16),SUMIFS('All Employees by Mode'!AS:AS,'All Employees by Mode'!$H:$H,"&gt;="&amp;$B16))))</f>
        <v/>
      </c>
      <c r="X16" s="162" t="str">
        <f t="shared" si="9"/>
        <v/>
      </c>
      <c r="Y16" s="162" t="str">
        <f t="shared" si="10"/>
        <v/>
      </c>
      <c r="Z16" s="162" t="str">
        <f t="shared" si="11"/>
        <v/>
      </c>
      <c r="AA16" s="162" t="str">
        <f t="shared" si="12"/>
        <v/>
      </c>
      <c r="AB16" s="271" t="str">
        <f t="shared" si="13"/>
        <v/>
      </c>
      <c r="AC16" s="93"/>
      <c r="AD16" s="94"/>
      <c r="AE16" s="94"/>
      <c r="AF16" s="94"/>
      <c r="AG16" s="94"/>
      <c r="AH16" s="94" t="str">
        <f t="shared" si="3"/>
        <v/>
      </c>
      <c r="AI16" s="107" t="str">
        <f t="shared" si="4"/>
        <v/>
      </c>
      <c r="AJ16" s="107" t="str">
        <f t="shared" si="1"/>
        <v/>
      </c>
      <c r="AK16" s="107" t="str">
        <f t="shared" si="1"/>
        <v/>
      </c>
      <c r="AL16" s="107" t="str">
        <f t="shared" si="1"/>
        <v/>
      </c>
      <c r="AM16" s="107" t="str">
        <f t="shared" si="1"/>
        <v/>
      </c>
      <c r="AN16" s="108" t="str">
        <f t="shared" si="5"/>
        <v/>
      </c>
      <c r="AO16" s="303"/>
      <c r="AP16" s="303"/>
      <c r="AQ16" s="303"/>
      <c r="AR16" s="303"/>
      <c r="AS16" s="303"/>
      <c r="AT16" s="303"/>
      <c r="AU16" s="94"/>
      <c r="AV16" s="94"/>
    </row>
    <row r="17" spans="1:48" s="95" customFormat="1" ht="11.25" customHeight="1">
      <c r="A17" s="170" t="str">
        <f t="shared" si="6"/>
        <v/>
      </c>
      <c r="B17" s="171" t="str">
        <f t="shared" si="8"/>
        <v/>
      </c>
      <c r="C17" s="172" t="str">
        <f t="shared" si="7"/>
        <v/>
      </c>
      <c r="D17" s="252"/>
      <c r="E17" s="267" t="str">
        <f t="shared" si="2"/>
        <v>invalid bin</v>
      </c>
      <c r="F17" s="159" t="str">
        <f>IF($AF$1,IF($A17="","",IF($A17="Between",SUMIFS('All Employees by Mode'!L:L,'All Employees by Mode'!$H:$H,"&gt;="&amp;$B17,'All Employees by Mode'!$H:$H,"&lt;"&amp;$D17,'All Employees by Mode'!$BE:$BE,"=No"),SUMIFS('All Employees by Mode'!L:L,'All Employees by Mode'!$H:$H,"&gt;="&amp;$B17,'All Employees by Mode'!$BE:$BE,"=No"))),IF($A17="","",IF($A17="Between",SUMIFS('All Employees by Mode'!L:L,'All Employees by Mode'!$H:$H,"&gt;="&amp;$B17,'All Employees by Mode'!$H:$H,"&lt;"&amp;$D17),SUMIFS('All Employees by Mode'!L:L,'All Employees by Mode'!$H:$H,"&gt;="&amp;$B17))))</f>
        <v/>
      </c>
      <c r="G17" s="160" t="str">
        <f>IF($AF$1,IF($A17="","",IF($A17="Between",SUMIFS('All Employees by Mode'!M:M,'All Employees by Mode'!$H:$H,"&gt;="&amp;$B17,'All Employees by Mode'!$H:$H,"&lt;"&amp;$D17,'All Employees by Mode'!$BE:$BE,"=No"),SUMIFS('All Employees by Mode'!M:M,'All Employees by Mode'!$H:$H,"&gt;="&amp;$B17,'All Employees by Mode'!$BE:$BE,"=No"))),IF($A17="","",IF($A17="Between",SUMIFS('All Employees by Mode'!M:M,'All Employees by Mode'!$H:$H,"&gt;="&amp;$B17,'All Employees by Mode'!$H:$H,"&lt;"&amp;$D17),SUMIFS('All Employees by Mode'!M:M,'All Employees by Mode'!$H:$H,"&gt;="&amp;$B17))))</f>
        <v/>
      </c>
      <c r="H17" s="160" t="str">
        <f>IF($AF$1,IF($A17="","",IF($A17="Between",SUMIFS('All Employees by Mode'!O:O,'All Employees by Mode'!$H:$H,"&gt;="&amp;$B17,'All Employees by Mode'!$H:$H,"&lt;"&amp;$D17,'All Employees by Mode'!$BE:$BE,"=No"),SUMIFS('All Employees by Mode'!O:O,'All Employees by Mode'!$H:$H,"&gt;="&amp;$B17,'All Employees by Mode'!$BE:$BE,"=No"))),IF($A17="","",IF($A17="Between",SUMIFS('All Employees by Mode'!O:O,'All Employees by Mode'!$H:$H,"&gt;="&amp;$B17,'All Employees by Mode'!$H:$H,"&lt;"&amp;$D17),SUMIFS('All Employees by Mode'!O:O,'All Employees by Mode'!$H:$H,"&gt;="&amp;$B17))))</f>
        <v/>
      </c>
      <c r="I17" s="160" t="str">
        <f>IF($AF$1,IF($A17="","",IF($A17="Between",SUMIFS('All Employees by Mode'!Q:Q,'All Employees by Mode'!$H:$H,"&gt;="&amp;$B17,'All Employees by Mode'!$H:$H,"&lt;"&amp;$D17,'All Employees by Mode'!$BE:$BE,"=No"),SUMIFS('All Employees by Mode'!Q:Q,'All Employees by Mode'!$H:$H,"&gt;="&amp;$B17,'All Employees by Mode'!$BE:$BE,"=No"))),IF($A17="","",IF($A17="Between",SUMIFS('All Employees by Mode'!Q:Q,'All Employees by Mode'!$H:$H,"&gt;="&amp;$B17,'All Employees by Mode'!$H:$H,"&lt;"&amp;$D17),SUMIFS('All Employees by Mode'!Q:Q,'All Employees by Mode'!$H:$H,"&gt;="&amp;$B17))))</f>
        <v/>
      </c>
      <c r="J17" s="160" t="str">
        <f>IF($AF$1,IF($A17="","",IF($A17="Between",SUMIFS('All Employees by Mode'!S:S,'All Employees by Mode'!$H:$H,"&gt;="&amp;$B17,'All Employees by Mode'!$H:$H,"&lt;"&amp;$D17,'All Employees by Mode'!$BE:$BE,"=No"),SUMIFS('All Employees by Mode'!S:S,'All Employees by Mode'!$H:$H,"&gt;="&amp;$B17,'All Employees by Mode'!$BE:$BE,"=No"))),IF($A17="","",IF($A17="Between",SUMIFS('All Employees by Mode'!S:S,'All Employees by Mode'!$H:$H,"&gt;="&amp;$B17,'All Employees by Mode'!$H:$H,"&lt;"&amp;$D17),SUMIFS('All Employees by Mode'!S:S,'All Employees by Mode'!$H:$H,"&gt;="&amp;$B17))))</f>
        <v/>
      </c>
      <c r="K17" s="160" t="str">
        <f>IF($AF$1,IF($A17="","",IF($A17="Between",SUMIFS('All Employees by Mode'!U:U,'All Employees by Mode'!$H:$H,"&gt;="&amp;$B17,'All Employees by Mode'!$H:$H,"&lt;"&amp;$D17,'All Employees by Mode'!$BE:$BE,"=No"),SUMIFS('All Employees by Mode'!U:U,'All Employees by Mode'!$H:$H,"&gt;="&amp;$B17,'All Employees by Mode'!$BE:$BE,"=No"))),IF($A17="","",IF($A17="Between",SUMIFS('All Employees by Mode'!U:U,'All Employees by Mode'!$H:$H,"&gt;="&amp;$B17,'All Employees by Mode'!$H:$H,"&lt;"&amp;$D17),SUMIFS('All Employees by Mode'!U:U,'All Employees by Mode'!$H:$H,"&gt;="&amp;$B17))))</f>
        <v/>
      </c>
      <c r="L17" s="160" t="str">
        <f>IF($AF$1,IF($A17="","",IF($A17="Between",SUMIFS('All Employees by Mode'!W:W,'All Employees by Mode'!$H:$H,"&gt;="&amp;$B17,'All Employees by Mode'!$H:$H,"&lt;"&amp;$D17,'All Employees by Mode'!$BE:$BE,"=No"),SUMIFS('All Employees by Mode'!W:W,'All Employees by Mode'!$H:$H,"&gt;="&amp;$B17,'All Employees by Mode'!$BE:$BE,"=No"))),IF($A17="","",IF($A17="Between",SUMIFS('All Employees by Mode'!W:W,'All Employees by Mode'!$H:$H,"&gt;="&amp;$B17,'All Employees by Mode'!$H:$H,"&lt;"&amp;$D17),SUMIFS('All Employees by Mode'!W:W,'All Employees by Mode'!$H:$H,"&gt;="&amp;$B17))))</f>
        <v/>
      </c>
      <c r="M17" s="160" t="str">
        <f>IF($AF$1,IF($A17="","",IF($A17="Between",SUMIFS('All Employees by Mode'!Y:Y,'All Employees by Mode'!$H:$H,"&gt;="&amp;$B17,'All Employees by Mode'!$H:$H,"&lt;"&amp;$D17,'All Employees by Mode'!$BE:$BE,"=No"),SUMIFS('All Employees by Mode'!Y:Y,'All Employees by Mode'!$H:$H,"&gt;="&amp;$B17,'All Employees by Mode'!$BE:$BE,"=No"))),IF($A17="","",IF($A17="Between",SUMIFS('All Employees by Mode'!Y:Y,'All Employees by Mode'!$H:$H,"&gt;="&amp;$B17,'All Employees by Mode'!$H:$H,"&lt;"&amp;$D17),SUMIFS('All Employees by Mode'!Y:Y,'All Employees by Mode'!$H:$H,"&gt;="&amp;$B17))))</f>
        <v/>
      </c>
      <c r="N17" s="160" t="str">
        <f>IF($AF$1,IF($A17="","",IF($A17="Between",SUMIFS('All Employees by Mode'!AA:AA,'All Employees by Mode'!$H:$H,"&gt;="&amp;$B17,'All Employees by Mode'!$H:$H,"&lt;"&amp;$D17,'All Employees by Mode'!$BE:$BE,"=No"),SUMIFS('All Employees by Mode'!AA:AA,'All Employees by Mode'!$H:$H,"&gt;="&amp;$B17,'All Employees by Mode'!$BE:$BE,"=No"))),IF($A17="","",IF($A17="Between",SUMIFS('All Employees by Mode'!AA:AA,'All Employees by Mode'!$H:$H,"&gt;="&amp;$B17,'All Employees by Mode'!$H:$H,"&lt;"&amp;$D17),SUMIFS('All Employees by Mode'!AA:AA,'All Employees by Mode'!$H:$H,"&gt;="&amp;$B17))))</f>
        <v/>
      </c>
      <c r="O17" s="160" t="str">
        <f>IF($AF$1,IF($A17="","",IF($A17="Between",SUMIFS('All Employees by Mode'!AC:AC,'All Employees by Mode'!$H:$H,"&gt;="&amp;$B17,'All Employees by Mode'!$H:$H,"&lt;"&amp;$D17,'All Employees by Mode'!$BE:$BE,"=No"),SUMIFS('All Employees by Mode'!AC:AC,'All Employees by Mode'!$H:$H,"&gt;="&amp;$B17,'All Employees by Mode'!$BE:$BE,"=No"))),IF($A17="","",IF($A17="Between",SUMIFS('All Employees by Mode'!AC:AC,'All Employees by Mode'!$H:$H,"&gt;="&amp;$B17,'All Employees by Mode'!$H:$H,"&lt;"&amp;$D17),SUMIFS('All Employees by Mode'!AC:AC,'All Employees by Mode'!$H:$H,"&gt;="&amp;$B17))))</f>
        <v/>
      </c>
      <c r="P17" s="160" t="str">
        <f>IF($AF$1,IF($A17="","",IF($A17="Between",SUMIFS('All Employees by Mode'!AE:AE,'All Employees by Mode'!$H:$H,"&gt;="&amp;$B17,'All Employees by Mode'!$H:$H,"&lt;"&amp;$D17,'All Employees by Mode'!$BE:$BE,"=No"),SUMIFS('All Employees by Mode'!AE:AE,'All Employees by Mode'!$H:$H,"&gt;="&amp;$B17,'All Employees by Mode'!$BE:$BE,"=No"))),IF($A17="","",IF($A17="Between",SUMIFS('All Employees by Mode'!AE:AE,'All Employees by Mode'!$H:$H,"&gt;="&amp;$B17,'All Employees by Mode'!$H:$H,"&lt;"&amp;$D17),SUMIFS('All Employees by Mode'!AE:AE,'All Employees by Mode'!$H:$H,"&gt;="&amp;$B17))))</f>
        <v/>
      </c>
      <c r="Q17" s="160" t="str">
        <f>IF($AF$1,IF($A17="","",IF($A17="Between",SUMIFS('All Employees by Mode'!AG:AG,'All Employees by Mode'!$H:$H,"&gt;="&amp;$B17,'All Employees by Mode'!$H:$H,"&lt;"&amp;$D17,'All Employees by Mode'!$BE:$BE,"=No"),SUMIFS('All Employees by Mode'!AG:AG,'All Employees by Mode'!$H:$H,"&gt;="&amp;$B17,'All Employees by Mode'!$BE:$BE,"=No"))),IF($A17="","",IF($A17="Between",SUMIFS('All Employees by Mode'!AG:AG,'All Employees by Mode'!$H:$H,"&gt;="&amp;$B17,'All Employees by Mode'!$H:$H,"&lt;"&amp;$D17),SUMIFS('All Employees by Mode'!AG:AG,'All Employees by Mode'!$H:$H,"&gt;="&amp;$B17))))</f>
        <v/>
      </c>
      <c r="R17" s="160" t="str">
        <f>IF($AF$1,IF($A17="","",IF($A17="Between",SUMIFS('All Employees by Mode'!AI:AI,'All Employees by Mode'!$H:$H,"&gt;="&amp;$B17,'All Employees by Mode'!$H:$H,"&lt;"&amp;$D17,'All Employees by Mode'!$BE:$BE,"=No"),SUMIFS('All Employees by Mode'!AI:AI,'All Employees by Mode'!$H:$H,"&gt;="&amp;$B17,'All Employees by Mode'!$BE:$BE,"=No"))),IF($A17="","",IF($A17="Between",SUMIFS('All Employees by Mode'!AI:AI,'All Employees by Mode'!$H:$H,"&gt;="&amp;$B17,'All Employees by Mode'!$H:$H,"&lt;"&amp;$D17),SUMIFS('All Employees by Mode'!AI:AI,'All Employees by Mode'!$H:$H,"&gt;="&amp;$B17))))</f>
        <v/>
      </c>
      <c r="S17" s="161" t="str">
        <f>IF($AF$1,IF($A17="","",IF($A17="Between",SUMIFS('All Employees by Mode'!AK:AK,'All Employees by Mode'!$H:$H,"&gt;="&amp;$B17,'All Employees by Mode'!$H:$H,"&lt;"&amp;$D17,'All Employees by Mode'!$BE:$BE,"=No"),SUMIFS('All Employees by Mode'!AK:AK,'All Employees by Mode'!$H:$H,"&gt;="&amp;$B17,'All Employees by Mode'!$BE:$BE,"=No"))),IF($A17="","",IF($A17="Between",SUMIFS('All Employees by Mode'!AK:AK,'All Employees by Mode'!$H:$H,"&gt;="&amp;$B17,'All Employees by Mode'!$H:$H,"&lt;"&amp;$D17),SUMIFS('All Employees by Mode'!AK:AK,'All Employees by Mode'!$H:$H,"&gt;="&amp;$B17))))</f>
        <v/>
      </c>
      <c r="T17" s="161" t="str">
        <f>IF($AF$1,IF($A17="","",IF($A17="Between",SUMIFS('All Employees by Mode'!AM:AM,'All Employees by Mode'!$H:$H,"&gt;="&amp;$B17,'All Employees by Mode'!$H:$H,"&lt;"&amp;$D17,'All Employees by Mode'!$BE:$BE,"=No"),SUMIFS('All Employees by Mode'!AM:AM,'All Employees by Mode'!$H:$H,"&gt;="&amp;$B17,'All Employees by Mode'!$BE:$BE,"=No"))),IF($A17="","",IF($A17="Between",SUMIFS('All Employees by Mode'!AM:AM,'All Employees by Mode'!$H:$H,"&gt;="&amp;$B17,'All Employees by Mode'!$H:$H,"&lt;"&amp;$D17),SUMIFS('All Employees by Mode'!AM:AM,'All Employees by Mode'!$H:$H,"&gt;="&amp;$B17))))</f>
        <v/>
      </c>
      <c r="U17" s="161" t="str">
        <f>IF($AF$1,IF($A17="","",IF($A17="Between",SUMIFS('All Employees by Mode'!AO:AO,'All Employees by Mode'!$H:$H,"&gt;="&amp;$B17,'All Employees by Mode'!$H:$H,"&lt;"&amp;$D17,'All Employees by Mode'!$BE:$BE,"=No"),SUMIFS('All Employees by Mode'!AO:AO,'All Employees by Mode'!$H:$H,"&gt;="&amp;$B17,'All Employees by Mode'!$BE:$BE,"=No"))),IF($A17="","",IF($A17="Between",SUMIFS('All Employees by Mode'!AO:AO,'All Employees by Mode'!$H:$H,"&gt;="&amp;$B17,'All Employees by Mode'!$H:$H,"&lt;"&amp;$D17),SUMIFS('All Employees by Mode'!AO:AO,'All Employees by Mode'!$H:$H,"&gt;="&amp;$B17))))</f>
        <v/>
      </c>
      <c r="V17" s="161" t="str">
        <f>IF($AF$1,IF($A17="","",IF($A17="Between",SUMIFS('All Employees by Mode'!AQ:AQ,'All Employees by Mode'!$H:$H,"&gt;="&amp;$B17,'All Employees by Mode'!$H:$H,"&lt;"&amp;$D17,'All Employees by Mode'!$BE:$BE,"=No"),SUMIFS('All Employees by Mode'!AQ:AQ,'All Employees by Mode'!$H:$H,"&gt;="&amp;$B17,'All Employees by Mode'!$BE:$BE,"=No"))),IF($A17="","",IF($A17="Between",SUMIFS('All Employees by Mode'!AQ:AQ,'All Employees by Mode'!$H:$H,"&gt;="&amp;$B17,'All Employees by Mode'!$H:$H,"&lt;"&amp;$D17),SUMIFS('All Employees by Mode'!AQ:AQ,'All Employees by Mode'!$H:$H,"&gt;="&amp;$B17))))</f>
        <v/>
      </c>
      <c r="W17" s="161" t="str">
        <f>IF($AF$1,IF($A17="","",IF($A17="Between",SUMIFS('All Employees by Mode'!AS:AS,'All Employees by Mode'!$H:$H,"&gt;="&amp;$B17,'All Employees by Mode'!$H:$H,"&lt;"&amp;$D17,'All Employees by Mode'!$BE:$BE,"=No"),SUMIFS('All Employees by Mode'!AS:AS,'All Employees by Mode'!$H:$H,"&gt;="&amp;$B17,'All Employees by Mode'!$BE:$BE,"=No"))),IF($A17="","",IF($A17="Between",SUMIFS('All Employees by Mode'!AS:AS,'All Employees by Mode'!$H:$H,"&gt;="&amp;$B17,'All Employees by Mode'!$H:$H,"&lt;"&amp;$D17),SUMIFS('All Employees by Mode'!AS:AS,'All Employees by Mode'!$H:$H,"&gt;="&amp;$B17))))</f>
        <v/>
      </c>
      <c r="X17" s="166" t="str">
        <f t="shared" si="9"/>
        <v/>
      </c>
      <c r="Y17" s="166" t="str">
        <f t="shared" si="10"/>
        <v/>
      </c>
      <c r="Z17" s="166" t="str">
        <f t="shared" si="11"/>
        <v/>
      </c>
      <c r="AA17" s="166" t="str">
        <f t="shared" si="12"/>
        <v/>
      </c>
      <c r="AB17" s="272" t="str">
        <f t="shared" si="13"/>
        <v/>
      </c>
      <c r="AC17" s="93"/>
      <c r="AD17" s="94"/>
      <c r="AE17" s="94"/>
      <c r="AF17" s="94"/>
      <c r="AG17" s="94"/>
      <c r="AH17" s="94" t="str">
        <f t="shared" si="3"/>
        <v/>
      </c>
      <c r="AI17" s="107" t="str">
        <f t="shared" si="4"/>
        <v/>
      </c>
      <c r="AJ17" s="107" t="str">
        <f t="shared" si="1"/>
        <v/>
      </c>
      <c r="AK17" s="107" t="str">
        <f t="shared" si="1"/>
        <v/>
      </c>
      <c r="AL17" s="107" t="str">
        <f t="shared" si="1"/>
        <v/>
      </c>
      <c r="AM17" s="107" t="str">
        <f t="shared" si="1"/>
        <v/>
      </c>
      <c r="AN17" s="108" t="str">
        <f t="shared" si="5"/>
        <v/>
      </c>
      <c r="AO17" s="303"/>
      <c r="AP17" s="303"/>
      <c r="AQ17" s="303"/>
      <c r="AR17" s="303"/>
      <c r="AS17" s="303"/>
      <c r="AT17" s="303"/>
      <c r="AU17" s="94"/>
      <c r="AV17" s="94"/>
    </row>
    <row r="18" spans="1:48" s="95" customFormat="1" ht="20.100000000000001" customHeight="1">
      <c r="A18" s="109"/>
      <c r="B18" s="110"/>
      <c r="C18" s="110"/>
      <c r="D18" s="111"/>
      <c r="E18" s="145"/>
      <c r="F18" s="146"/>
      <c r="G18" s="147"/>
      <c r="H18" s="147"/>
      <c r="I18" s="147"/>
      <c r="J18" s="147"/>
      <c r="K18" s="147"/>
      <c r="L18" s="148"/>
      <c r="M18" s="147"/>
      <c r="N18" s="147"/>
      <c r="O18" s="147"/>
      <c r="P18" s="147"/>
      <c r="Q18" s="147"/>
      <c r="R18" s="148"/>
      <c r="S18" s="149"/>
      <c r="T18" s="149"/>
      <c r="U18" s="149"/>
      <c r="V18" s="149"/>
      <c r="W18" s="149"/>
      <c r="X18" s="149"/>
      <c r="Y18" s="149"/>
      <c r="Z18" s="149"/>
      <c r="AA18" s="149"/>
      <c r="AB18" s="150"/>
      <c r="AC18" s="93"/>
      <c r="AD18" s="94"/>
      <c r="AE18" s="94"/>
      <c r="AF18" s="94"/>
      <c r="AG18" s="94"/>
      <c r="AH18" s="94"/>
      <c r="AI18" s="94"/>
      <c r="AJ18" s="94"/>
      <c r="AK18" s="94"/>
      <c r="AL18" s="94"/>
      <c r="AM18" s="94"/>
      <c r="AN18" s="108"/>
      <c r="AO18" s="303"/>
      <c r="AP18" s="303"/>
      <c r="AQ18" s="303"/>
      <c r="AR18" s="303"/>
      <c r="AS18" s="303"/>
      <c r="AT18" s="303"/>
      <c r="AU18" s="94"/>
      <c r="AV18" s="94"/>
    </row>
    <row r="19" spans="1:48" s="95" customFormat="1" ht="224.45" customHeight="1" thickBot="1">
      <c r="A19" s="112"/>
      <c r="B19" s="113"/>
      <c r="C19" s="113"/>
      <c r="D19" s="114"/>
      <c r="E19" s="115"/>
      <c r="F19" s="116"/>
      <c r="G19" s="117"/>
      <c r="H19" s="117"/>
      <c r="I19" s="117"/>
      <c r="J19" s="117"/>
      <c r="K19" s="117"/>
      <c r="L19" s="118"/>
      <c r="M19" s="117"/>
      <c r="N19" s="117"/>
      <c r="O19" s="117"/>
      <c r="P19" s="117"/>
      <c r="Q19" s="117"/>
      <c r="R19" s="118"/>
      <c r="S19" s="94"/>
      <c r="T19" s="94"/>
      <c r="U19" s="94"/>
      <c r="V19" s="94"/>
      <c r="W19" s="94"/>
      <c r="X19" s="94"/>
      <c r="Y19" s="94"/>
      <c r="Z19" s="94"/>
      <c r="AA19" s="94"/>
      <c r="AB19" s="94"/>
      <c r="AC19" s="93"/>
      <c r="AD19" s="94"/>
      <c r="AE19" s="94"/>
      <c r="AF19" s="94"/>
      <c r="AG19" s="94"/>
      <c r="AH19" s="94" t="str">
        <f>AH9&amp;CHAR(10)&amp;AH10&amp;CHAR(10)&amp;AH11&amp;CHAR(10)&amp;AH12&amp;CHAR(10)&amp;AH13&amp;CHAR(10)&amp;AH14&amp;CHAR(10)&amp;AH15&amp;CHAR(10)&amp;AH16&amp;CHAR(10)&amp;AH17</f>
        <v xml:space="preserve">Under 200,000:
Vehicle Operations: $20.49
Vehicle Maintenance: $23.84
Facility Maintenance: $21.09
General Administration: $27.55
Total: $21.69
200,000 to 1,000,000:
Vehicle Operations: $21.39
Vehicle Maintenance: $24.36
Facility Maintenance: $21.61
General Administration: $28.37
Total: $22.51
Over 1,000,000:
Vehicle Operations: $31.63
Vehicle Maintenance: $33.06
Facility Maintenance: $35.23
General Administration: $41.66
Total: $33.36
</v>
      </c>
      <c r="AI19" s="94"/>
      <c r="AJ19" s="94"/>
      <c r="AK19" s="94"/>
      <c r="AL19" s="94"/>
      <c r="AM19" s="94"/>
      <c r="AN19" s="108"/>
      <c r="AO19" s="303"/>
      <c r="AP19" s="303"/>
      <c r="AQ19" s="303"/>
      <c r="AR19" s="303"/>
      <c r="AS19" s="303"/>
      <c r="AT19" s="303"/>
      <c r="AU19" s="94"/>
      <c r="AV19" s="94"/>
    </row>
    <row r="20" spans="1:48" s="122" customFormat="1" ht="11.25" customHeight="1" thickBot="1">
      <c r="A20" s="119"/>
      <c r="B20" s="119"/>
      <c r="C20" s="119"/>
      <c r="D20" s="120"/>
      <c r="E20" s="120"/>
      <c r="F20" s="120"/>
      <c r="G20" s="120"/>
      <c r="H20" s="120"/>
      <c r="I20" s="120"/>
      <c r="J20" s="120"/>
      <c r="K20" s="120"/>
      <c r="L20" s="120"/>
      <c r="M20" s="120"/>
      <c r="N20" s="120"/>
      <c r="O20" s="120"/>
      <c r="P20" s="120"/>
      <c r="Q20" s="120"/>
      <c r="R20" s="120"/>
      <c r="S20" s="121"/>
      <c r="T20" s="121"/>
      <c r="U20" s="121"/>
      <c r="V20" s="121"/>
      <c r="W20" s="121"/>
      <c r="X20" s="121"/>
      <c r="Y20" s="121"/>
      <c r="Z20" s="121"/>
      <c r="AA20" s="121"/>
      <c r="AB20" s="121"/>
      <c r="AC20" s="93"/>
      <c r="AD20" s="121"/>
      <c r="AE20" s="121"/>
      <c r="AF20" s="94"/>
      <c r="AG20" s="121"/>
      <c r="AH20" s="121"/>
      <c r="AI20" s="121"/>
      <c r="AJ20" s="121"/>
      <c r="AK20" s="121"/>
      <c r="AL20" s="121"/>
      <c r="AM20" s="121"/>
      <c r="AN20" s="121"/>
      <c r="AO20" s="305"/>
      <c r="AP20" s="305"/>
      <c r="AQ20" s="305"/>
      <c r="AR20" s="305"/>
      <c r="AS20" s="305"/>
      <c r="AT20" s="305"/>
      <c r="AU20" s="121"/>
      <c r="AV20" s="121"/>
    </row>
    <row r="21" spans="1:48" s="122" customFormat="1" ht="11.25" customHeight="1" thickTop="1" thickBot="1">
      <c r="A21" s="123" t="s">
        <v>949</v>
      </c>
      <c r="B21" s="124"/>
      <c r="C21" s="124"/>
      <c r="D21" s="125"/>
      <c r="E21" s="125"/>
      <c r="F21" s="125"/>
      <c r="G21" s="125"/>
      <c r="H21" s="125"/>
      <c r="I21" s="125"/>
      <c r="J21" s="125"/>
      <c r="K21" s="125"/>
      <c r="L21" s="125"/>
      <c r="M21" s="125"/>
      <c r="N21" s="125"/>
      <c r="O21" s="125"/>
      <c r="P21" s="125"/>
      <c r="Q21" s="125"/>
      <c r="R21" s="125"/>
      <c r="S21" s="126"/>
      <c r="T21" s="126"/>
      <c r="U21" s="126"/>
      <c r="V21" s="224"/>
      <c r="W21" s="126"/>
      <c r="X21" s="126"/>
      <c r="Y21" s="126"/>
      <c r="Z21" s="126"/>
      <c r="AA21" s="224"/>
      <c r="AB21" s="127"/>
      <c r="AC21" s="93"/>
      <c r="AD21" s="121"/>
      <c r="AE21" s="121"/>
      <c r="AF21" s="94"/>
      <c r="AG21" s="121"/>
      <c r="AH21" s="121"/>
      <c r="AI21" s="121"/>
      <c r="AJ21" s="121"/>
      <c r="AK21" s="121"/>
      <c r="AL21" s="121"/>
      <c r="AM21" s="121"/>
      <c r="AN21" s="121"/>
      <c r="AO21" s="305"/>
      <c r="AP21" s="305"/>
      <c r="AQ21" s="305"/>
      <c r="AR21" s="305"/>
      <c r="AS21" s="305"/>
      <c r="AT21" s="305"/>
      <c r="AU21" s="121"/>
      <c r="AV21" s="121"/>
    </row>
    <row r="22" spans="1:48" s="122" customFormat="1" ht="11.25" customHeight="1">
      <c r="A22" s="128"/>
      <c r="B22" s="129"/>
      <c r="C22" s="129"/>
      <c r="D22" s="130"/>
      <c r="E22" s="131"/>
      <c r="F22" s="249"/>
      <c r="G22" s="216"/>
      <c r="H22" s="217"/>
      <c r="I22" s="217"/>
      <c r="J22" s="213" t="s">
        <v>1065</v>
      </c>
      <c r="K22" s="217"/>
      <c r="L22" s="218"/>
      <c r="M22" s="211"/>
      <c r="N22" s="211"/>
      <c r="O22" s="211"/>
      <c r="P22" s="220" t="s">
        <v>1066</v>
      </c>
      <c r="Q22" s="211"/>
      <c r="R22" s="219"/>
      <c r="S22" s="216"/>
      <c r="T22" s="217"/>
      <c r="U22" s="217"/>
      <c r="V22" s="225" t="s">
        <v>1067</v>
      </c>
      <c r="W22" s="218"/>
      <c r="X22" s="216"/>
      <c r="Y22" s="217"/>
      <c r="Z22" s="217"/>
      <c r="AA22" s="225" t="s">
        <v>1068</v>
      </c>
      <c r="AB22" s="223"/>
      <c r="AC22" s="93"/>
      <c r="AD22" s="121"/>
      <c r="AE22" s="121"/>
      <c r="AF22" s="94"/>
      <c r="AG22" s="121"/>
      <c r="AH22" s="121"/>
      <c r="AI22" s="121"/>
      <c r="AJ22" s="121"/>
      <c r="AK22" s="121"/>
      <c r="AL22" s="121"/>
      <c r="AM22" s="121"/>
      <c r="AN22" s="121"/>
      <c r="AO22" s="305"/>
      <c r="AP22" s="305"/>
      <c r="AQ22" s="305"/>
      <c r="AR22" s="305"/>
      <c r="AS22" s="305"/>
      <c r="AT22" s="305"/>
      <c r="AU22" s="121"/>
      <c r="AV22" s="121"/>
    </row>
    <row r="23" spans="1:48" s="95" customFormat="1" ht="22.5" customHeight="1">
      <c r="A23" s="132" t="s">
        <v>3</v>
      </c>
      <c r="B23" s="275" t="s">
        <v>1015</v>
      </c>
      <c r="C23" s="133" t="s">
        <v>1069</v>
      </c>
      <c r="D23" s="133" t="s">
        <v>1070</v>
      </c>
      <c r="E23" s="134" t="s">
        <v>1071</v>
      </c>
      <c r="F23" s="265" t="s">
        <v>1092</v>
      </c>
      <c r="G23" s="265" t="s">
        <v>1072</v>
      </c>
      <c r="H23" s="265" t="s">
        <v>1073</v>
      </c>
      <c r="I23" s="265" t="s">
        <v>1074</v>
      </c>
      <c r="J23" s="308" t="s">
        <v>1075</v>
      </c>
      <c r="K23" s="265" t="s">
        <v>1076</v>
      </c>
      <c r="L23" s="265" t="s">
        <v>1091</v>
      </c>
      <c r="M23" s="309" t="s">
        <v>1077</v>
      </c>
      <c r="N23" s="265" t="s">
        <v>1078</v>
      </c>
      <c r="O23" s="265" t="s">
        <v>1079</v>
      </c>
      <c r="P23" s="308" t="s">
        <v>1080</v>
      </c>
      <c r="Q23" s="309" t="s">
        <v>1081</v>
      </c>
      <c r="R23" s="310" t="s">
        <v>1093</v>
      </c>
      <c r="S23" s="265" t="s">
        <v>1082</v>
      </c>
      <c r="T23" s="265" t="s">
        <v>1083</v>
      </c>
      <c r="U23" s="265" t="s">
        <v>1084</v>
      </c>
      <c r="V23" s="265" t="s">
        <v>1085</v>
      </c>
      <c r="W23" s="265" t="s">
        <v>1094</v>
      </c>
      <c r="X23" s="265" t="s">
        <v>1086</v>
      </c>
      <c r="Y23" s="265" t="s">
        <v>1087</v>
      </c>
      <c r="Z23" s="265" t="s">
        <v>1088</v>
      </c>
      <c r="AA23" s="265" t="s">
        <v>1089</v>
      </c>
      <c r="AB23" s="269" t="s">
        <v>1090</v>
      </c>
      <c r="AC23" s="93"/>
      <c r="AD23" s="94"/>
      <c r="AE23" s="94"/>
      <c r="AF23" s="121"/>
      <c r="AG23" s="94"/>
      <c r="AH23" s="94"/>
      <c r="AI23" s="94"/>
      <c r="AJ23" s="94"/>
      <c r="AK23" s="94"/>
      <c r="AL23" s="94"/>
      <c r="AM23" s="94"/>
      <c r="AN23" s="94"/>
      <c r="AO23" s="303"/>
      <c r="AP23" s="303"/>
      <c r="AQ23" s="303"/>
      <c r="AR23" s="303"/>
      <c r="AS23" s="303"/>
      <c r="AT23" s="303"/>
      <c r="AU23" s="94"/>
      <c r="AV23" s="94"/>
    </row>
    <row r="24" spans="1:48" s="95" customFormat="1" ht="11.25" customHeight="1">
      <c r="A24" s="173" t="s">
        <v>6</v>
      </c>
      <c r="B24" s="174" t="s">
        <v>98</v>
      </c>
      <c r="C24" s="175"/>
      <c r="D24" s="173"/>
      <c r="E24" s="176"/>
      <c r="F24" s="156">
        <f>IF($AF$1,SUMIFS('All Employees by Mode'!L:L,'All Employees by Mode'!$J:$J,"="&amp;$A24,'All Employees by Mode'!$BE:$BE,"=No"),SUMIFS('All Employees by Mode'!L:L,'All Employees by Mode'!$J:$J,"="&amp;$A24))</f>
        <v>39</v>
      </c>
      <c r="G24" s="156">
        <f>IF($AF$1,SUMIFS('All Employees by Mode'!M:M,'All Employees by Mode'!$J:$J,"="&amp;$A24,'All Employees by Mode'!$BE:$BE,"=No"),SUMIFS('All Employees by Mode'!M:M,'All Employees by Mode'!$J:$J,"="&amp;$A24))</f>
        <v>172302</v>
      </c>
      <c r="H24" s="156">
        <f>IF($AF$1,SUMIFS('All Employees by Mode'!O:O,'All Employees by Mode'!$J:$J,"="&amp;$A24,'All Employees by Mode'!$BE:$BE,"=No"),SUMIFS('All Employees by Mode'!O:O,'All Employees by Mode'!$J:$J,"="&amp;$A24))</f>
        <v>76619</v>
      </c>
      <c r="I24" s="156">
        <f>IF($AF$1,SUMIFS('All Employees by Mode'!Q:Q,'All Employees by Mode'!$J:$J,"="&amp;$A24,'All Employees by Mode'!$BE:$BE,"=No"),SUMIFS('All Employees by Mode'!Q:Q,'All Employees by Mode'!$J:$J,"="&amp;$A24))</f>
        <v>110745</v>
      </c>
      <c r="J24" s="156">
        <f>IF($AF$1,SUMIFS('All Employees by Mode'!S:S,'All Employees by Mode'!$J:$J,"="&amp;$A24,'All Employees by Mode'!$BE:$BE,"=No"),SUMIFS('All Employees by Mode'!S:S,'All Employees by Mode'!$J:$J,"="&amp;$A24))</f>
        <v>85993</v>
      </c>
      <c r="K24" s="156">
        <f>IF($AF$1,SUMIFS('All Employees by Mode'!U:U,'All Employees by Mode'!$J:$J,"="&amp;$A24,'All Employees by Mode'!$BE:$BE,"=No"),SUMIFS('All Employees by Mode'!U:U,'All Employees by Mode'!$J:$J,"="&amp;$A24))</f>
        <v>127281</v>
      </c>
      <c r="L24" s="156">
        <f>IF($AF$1,SUMIFS('All Employees by Mode'!W:W,'All Employees by Mode'!$J:$J,"="&amp;$A24,'All Employees by Mode'!$BE:$BE,"=No"),SUMIFS('All Employees by Mode'!W:W,'All Employees by Mode'!$J:$J,"="&amp;$A24))</f>
        <v>572940</v>
      </c>
      <c r="M24" s="156">
        <f>IF($AF$1,SUMIFS('All Employees by Mode'!Y:Y,'All Employees by Mode'!$J:$J,"="&amp;$A24,'All Employees by Mode'!$BE:$BE,"=No"),SUMIFS('All Employees by Mode'!Y:Y,'All Employees by Mode'!$J:$J,"="&amp;$A24))</f>
        <v>67.8</v>
      </c>
      <c r="N24" s="156">
        <f>IF($AF$1,SUMIFS('All Employees by Mode'!AA:AA,'All Employees by Mode'!$J:$J,"="&amp;$A24,'All Employees by Mode'!$BE:$BE,"=No"),SUMIFS('All Employees by Mode'!AA:AA,'All Employees by Mode'!$J:$J,"="&amp;$A24))</f>
        <v>43.6</v>
      </c>
      <c r="O24" s="156">
        <f>IF($AF$1,SUMIFS('All Employees by Mode'!AC:AC,'All Employees by Mode'!$J:$J,"="&amp;$A24,'All Employees by Mode'!$BE:$BE,"=No"),SUMIFS('All Employees by Mode'!AC:AC,'All Employees by Mode'!$J:$J,"="&amp;$A24))</f>
        <v>82.6</v>
      </c>
      <c r="P24" s="156">
        <f>IF($AF$1,SUMIFS('All Employees by Mode'!AE:AE,'All Employees by Mode'!$J:$J,"="&amp;$A24,'All Employees by Mode'!$BE:$BE,"=No"),SUMIFS('All Employees by Mode'!AE:AE,'All Employees by Mode'!$J:$J,"="&amp;$A24))</f>
        <v>55.3</v>
      </c>
      <c r="Q24" s="156">
        <f>IF($AF$1,SUMIFS('All Employees by Mode'!AG:AG,'All Employees by Mode'!$J:$J,"="&amp;$A24,'All Employees by Mode'!$BE:$BE,"=No"),SUMIFS('All Employees by Mode'!AG:AG,'All Employees by Mode'!$J:$J,"="&amp;$A24))</f>
        <v>54.6</v>
      </c>
      <c r="R24" s="156">
        <f>IF($AF$1,SUMIFS('All Employees by Mode'!AI:AI,'All Employees by Mode'!$J:$J,"="&amp;$A24,'All Employees by Mode'!$BE:$BE,"=No"),SUMIFS('All Employees by Mode'!AI:AI,'All Employees by Mode'!$J:$J,"="&amp;$A24))</f>
        <v>303.89999999999998</v>
      </c>
      <c r="S24" s="157">
        <f>IF($AF$1,SUMIFS('All Employees by Mode'!AK:AK,'All Employees by Mode'!$J:$J,"="&amp;$A24,'All Employees by Mode'!$BE:$BE,"=No"),SUMIFS('All Employees by Mode'!AK:AK,'All Employees by Mode'!$J:$J,"="&amp;$A24))</f>
        <v>7623843</v>
      </c>
      <c r="T24" s="157">
        <f>IF($AF$1,SUMIFS('All Employees by Mode'!AM:AM,'All Employees by Mode'!$J:$J,"="&amp;$A24,'All Employees by Mode'!$BE:$BE,"=No"),SUMIFS('All Employees by Mode'!AM:AM,'All Employees by Mode'!$J:$J,"="&amp;$A24))</f>
        <v>3540191</v>
      </c>
      <c r="U24" s="157">
        <f>IF($AF$1,SUMIFS('All Employees by Mode'!AO:AO,'All Employees by Mode'!$J:$J,"="&amp;$A24,'All Employees by Mode'!$BE:$BE,"=No"),SUMIFS('All Employees by Mode'!AO:AO,'All Employees by Mode'!$J:$J,"="&amp;$A24))</f>
        <v>4140110</v>
      </c>
      <c r="V24" s="157">
        <f>IF($AF$1,SUMIFS('All Employees by Mode'!AQ:AQ,'All Employees by Mode'!$J:$J,"="&amp;$A24,'All Employees by Mode'!$BE:$BE,"=No"),SUMIFS('All Employees by Mode'!AQ:AQ,'All Employees by Mode'!$J:$J,"="&amp;$A24))</f>
        <v>4097842</v>
      </c>
      <c r="W24" s="157">
        <f>IF($AF$1,SUMIFS('All Employees by Mode'!AS:AS,'All Employees by Mode'!$J:$J,"="&amp;$A24,'All Employees by Mode'!$BE:$BE,"=No"),SUMIFS('All Employees by Mode'!AS:AS,'All Employees by Mode'!$J:$J,"="&amp;$A24))</f>
        <v>19401986</v>
      </c>
      <c r="X24" s="158">
        <f>IFERROR(S24/G24,"-")</f>
        <v>44.246979141275204</v>
      </c>
      <c r="Y24" s="158">
        <f>IFERROR(T24/H24,"-")</f>
        <v>46.205131886346727</v>
      </c>
      <c r="Z24" s="158">
        <f>IFERROR(U24/I24,"-")</f>
        <v>37.384170842927446</v>
      </c>
      <c r="AA24" s="158">
        <f>IFERROR(V24/J24,"-")</f>
        <v>47.653204330585048</v>
      </c>
      <c r="AB24" s="270">
        <f>IFERROR(W24/SUM(G24:J24),"-")</f>
        <v>43.535496870925975</v>
      </c>
      <c r="AC24" s="93"/>
      <c r="AD24" s="94"/>
      <c r="AE24" s="94"/>
      <c r="AF24" s="94"/>
      <c r="AG24" s="94"/>
      <c r="AH24" s="94"/>
      <c r="AI24" s="94"/>
      <c r="AJ24" s="94"/>
      <c r="AK24" s="94"/>
      <c r="AL24" s="94"/>
      <c r="AM24" s="94"/>
      <c r="AN24" s="94"/>
      <c r="AO24" s="303"/>
      <c r="AP24" s="303"/>
      <c r="AQ24" s="303"/>
      <c r="AR24" s="303"/>
      <c r="AS24" s="303"/>
      <c r="AT24" s="303"/>
      <c r="AU24" s="94"/>
      <c r="AV24" s="94"/>
    </row>
    <row r="25" spans="1:48" s="95" customFormat="1" ht="11.25" customHeight="1">
      <c r="A25" s="177" t="s">
        <v>7</v>
      </c>
      <c r="B25" s="178" t="s">
        <v>107</v>
      </c>
      <c r="C25" s="179"/>
      <c r="D25" s="177"/>
      <c r="E25" s="180"/>
      <c r="F25" s="160">
        <f>IF($AF$1,SUMIFS('All Employees by Mode'!L:L,'All Employees by Mode'!$J:$J,"="&amp;$A25,'All Employees by Mode'!$BE:$BE,"=No"),SUMIFS('All Employees by Mode'!L:L,'All Employees by Mode'!$J:$J,"="&amp;$A25))</f>
        <v>38366</v>
      </c>
      <c r="G25" s="160">
        <f>IF($AF$1,SUMIFS('All Employees by Mode'!M:M,'All Employees by Mode'!$J:$J,"="&amp;$A25,'All Employees by Mode'!$BE:$BE,"=No"),SUMIFS('All Employees by Mode'!M:M,'All Employees by Mode'!$J:$J,"="&amp;$A25))</f>
        <v>186015297</v>
      </c>
      <c r="H25" s="160">
        <f>IF($AF$1,SUMIFS('All Employees by Mode'!O:O,'All Employees by Mode'!$J:$J,"="&amp;$A25,'All Employees by Mode'!$BE:$BE,"=No"),SUMIFS('All Employees by Mode'!O:O,'All Employees by Mode'!$J:$J,"="&amp;$A25))</f>
        <v>48138579</v>
      </c>
      <c r="I25" s="160">
        <f>IF($AF$1,SUMIFS('All Employees by Mode'!Q:Q,'All Employees by Mode'!$J:$J,"="&amp;$A25,'All Employees by Mode'!$BE:$BE,"=No"),SUMIFS('All Employees by Mode'!Q:Q,'All Employees by Mode'!$J:$J,"="&amp;$A25))</f>
        <v>10019350</v>
      </c>
      <c r="J25" s="160">
        <f>IF($AF$1,SUMIFS('All Employees by Mode'!S:S,'All Employees by Mode'!$J:$J,"="&amp;$A25,'All Employees by Mode'!$BE:$BE,"=No"),SUMIFS('All Employees by Mode'!S:S,'All Employees by Mode'!$J:$J,"="&amp;$A25))</f>
        <v>24885741</v>
      </c>
      <c r="K25" s="160">
        <f>IF($AF$1,SUMIFS('All Employees by Mode'!U:U,'All Employees by Mode'!$J:$J,"="&amp;$A25,'All Employees by Mode'!$BE:$BE,"=No"),SUMIFS('All Employees by Mode'!U:U,'All Employees by Mode'!$J:$J,"="&amp;$A25))</f>
        <v>3701863</v>
      </c>
      <c r="L25" s="160">
        <f>IF($AF$1,SUMIFS('All Employees by Mode'!W:W,'All Employees by Mode'!$J:$J,"="&amp;$A25,'All Employees by Mode'!$BE:$BE,"=No"),SUMIFS('All Employees by Mode'!W:W,'All Employees by Mode'!$J:$J,"="&amp;$A25))</f>
        <v>272760830</v>
      </c>
      <c r="M25" s="160">
        <f>IF($AF$1,SUMIFS('All Employees by Mode'!Y:Y,'All Employees by Mode'!$J:$J,"="&amp;$A25,'All Employees by Mode'!$BE:$BE,"=No"),SUMIFS('All Employees by Mode'!Y:Y,'All Employees by Mode'!$J:$J,"="&amp;$A25))</f>
        <v>99536.16999999994</v>
      </c>
      <c r="N25" s="160">
        <f>IF($AF$1,SUMIFS('All Employees by Mode'!AA:AA,'All Employees by Mode'!$J:$J,"="&amp;$A25,'All Employees by Mode'!$BE:$BE,"=No"),SUMIFS('All Employees by Mode'!AA:AA,'All Employees by Mode'!$J:$J,"="&amp;$A25))</f>
        <v>25108.76</v>
      </c>
      <c r="O25" s="160">
        <f>IF($AF$1,SUMIFS('All Employees by Mode'!AC:AC,'All Employees by Mode'!$J:$J,"="&amp;$A25,'All Employees by Mode'!$BE:$BE,"=No"),SUMIFS('All Employees by Mode'!AC:AC,'All Employees by Mode'!$J:$J,"="&amp;$A25))</f>
        <v>5274.6100000000024</v>
      </c>
      <c r="P25" s="160">
        <f>IF($AF$1,SUMIFS('All Employees by Mode'!AE:AE,'All Employees by Mode'!$J:$J,"="&amp;$A25,'All Employees by Mode'!$BE:$BE,"=No"),SUMIFS('All Employees by Mode'!AE:AE,'All Employees by Mode'!$J:$J,"="&amp;$A25))</f>
        <v>14131.450000000004</v>
      </c>
      <c r="Q25" s="160">
        <f>IF($AF$1,SUMIFS('All Employees by Mode'!AG:AG,'All Employees by Mode'!$J:$J,"="&amp;$A25,'All Employees by Mode'!$BE:$BE,"=No"),SUMIFS('All Employees by Mode'!AG:AG,'All Employees by Mode'!$J:$J,"="&amp;$A25))</f>
        <v>2082.1</v>
      </c>
      <c r="R25" s="160">
        <f>IF($AF$1,SUMIFS('All Employees by Mode'!AI:AI,'All Employees by Mode'!$J:$J,"="&amp;$A25,'All Employees by Mode'!$BE:$BE,"=No"),SUMIFS('All Employees by Mode'!AI:AI,'All Employees by Mode'!$J:$J,"="&amp;$A25))</f>
        <v>146133.09000000011</v>
      </c>
      <c r="S25" s="161">
        <f>IF($AF$1,SUMIFS('All Employees by Mode'!AK:AK,'All Employees by Mode'!$J:$J,"="&amp;$A25,'All Employees by Mode'!$BE:$BE,"=No"),SUMIFS('All Employees by Mode'!AK:AK,'All Employees by Mode'!$J:$J,"="&amp;$A25))</f>
        <v>5183874574</v>
      </c>
      <c r="T25" s="161">
        <f>IF($AF$1,SUMIFS('All Employees by Mode'!AM:AM,'All Employees by Mode'!$J:$J,"="&amp;$A25,'All Employees by Mode'!$BE:$BE,"=No"),SUMIFS('All Employees by Mode'!AM:AM,'All Employees by Mode'!$J:$J,"="&amp;$A25))</f>
        <v>1427397398</v>
      </c>
      <c r="U25" s="161">
        <f>IF($AF$1,SUMIFS('All Employees by Mode'!AO:AO,'All Employees by Mode'!$J:$J,"="&amp;$A25,'All Employees by Mode'!$BE:$BE,"=No"),SUMIFS('All Employees by Mode'!AO:AO,'All Employees by Mode'!$J:$J,"="&amp;$A25))</f>
        <v>281422717</v>
      </c>
      <c r="V25" s="161">
        <f>IF($AF$1,SUMIFS('All Employees by Mode'!AQ:AQ,'All Employees by Mode'!$J:$J,"="&amp;$A25,'All Employees by Mode'!$BE:$BE,"=No"),SUMIFS('All Employees by Mode'!AQ:AQ,'All Employees by Mode'!$J:$J,"="&amp;$A25))</f>
        <v>851308178</v>
      </c>
      <c r="W25" s="161">
        <f>IF($AF$1,SUMIFS('All Employees by Mode'!AS:AS,'All Employees by Mode'!$J:$J,"="&amp;$A25,'All Employees by Mode'!$BE:$BE,"=No"),SUMIFS('All Employees by Mode'!AS:AS,'All Employees by Mode'!$J:$J,"="&amp;$A25))</f>
        <v>7744002867</v>
      </c>
      <c r="X25" s="162">
        <f t="shared" ref="X25:X38" si="14">IFERROR(S25/G25,"-")</f>
        <v>27.868001490221527</v>
      </c>
      <c r="Y25" s="162">
        <f t="shared" ref="Y25:Y38" si="15">IFERROR(T25/H25,"-")</f>
        <v>29.651839079005637</v>
      </c>
      <c r="Z25" s="162">
        <f t="shared" ref="Z25:Z38" si="16">IFERROR(U25/I25,"-")</f>
        <v>28.087921571758645</v>
      </c>
      <c r="AA25" s="162">
        <f t="shared" ref="AA25:AA38" si="17">IFERROR(V25/J25,"-")</f>
        <v>34.208673071057035</v>
      </c>
      <c r="AB25" s="271">
        <f t="shared" ref="AB25:AB38" si="18">IFERROR(W25/SUM(G25:J25),"-")</f>
        <v>28.781805540047287</v>
      </c>
      <c r="AC25" s="93"/>
      <c r="AD25" s="94"/>
      <c r="AE25" s="94"/>
      <c r="AF25" s="94"/>
      <c r="AG25" s="94"/>
      <c r="AH25" s="94"/>
      <c r="AI25" s="94"/>
      <c r="AJ25" s="94"/>
      <c r="AK25" s="94"/>
      <c r="AL25" s="94"/>
      <c r="AM25" s="94"/>
      <c r="AN25" s="94"/>
      <c r="AO25" s="303"/>
      <c r="AP25" s="303"/>
      <c r="AQ25" s="303"/>
      <c r="AR25" s="303"/>
      <c r="AS25" s="303"/>
      <c r="AT25" s="303"/>
      <c r="AU25" s="94"/>
      <c r="AV25" s="94"/>
    </row>
    <row r="26" spans="1:48" s="95" customFormat="1" ht="11.25" customHeight="1">
      <c r="A26" s="177" t="s">
        <v>22</v>
      </c>
      <c r="B26" s="178" t="s">
        <v>109</v>
      </c>
      <c r="C26" s="179"/>
      <c r="D26" s="177"/>
      <c r="E26" s="180"/>
      <c r="F26" s="160">
        <f>IF($AF$1,SUMIFS('All Employees by Mode'!L:L,'All Employees by Mode'!$J:$J,"="&amp;$A26,'All Employees by Mode'!$BE:$BE,"=No"),SUMIFS('All Employees by Mode'!L:L,'All Employees by Mode'!$J:$J,"="&amp;$A26))</f>
        <v>277</v>
      </c>
      <c r="G26" s="160">
        <f>IF($AF$1,SUMIFS('All Employees by Mode'!M:M,'All Employees by Mode'!$J:$J,"="&amp;$A26,'All Employees by Mode'!$BE:$BE,"=No"),SUMIFS('All Employees by Mode'!M:M,'All Employees by Mode'!$J:$J,"="&amp;$A26))</f>
        <v>1305361</v>
      </c>
      <c r="H26" s="160">
        <f>IF($AF$1,SUMIFS('All Employees by Mode'!O:O,'All Employees by Mode'!$J:$J,"="&amp;$A26,'All Employees by Mode'!$BE:$BE,"=No"),SUMIFS('All Employees by Mode'!O:O,'All Employees by Mode'!$J:$J,"="&amp;$A26))</f>
        <v>337467</v>
      </c>
      <c r="I26" s="160">
        <f>IF($AF$1,SUMIFS('All Employees by Mode'!Q:Q,'All Employees by Mode'!$J:$J,"="&amp;$A26,'All Employees by Mode'!$BE:$BE,"=No"),SUMIFS('All Employees by Mode'!Q:Q,'All Employees by Mode'!$J:$J,"="&amp;$A26))</f>
        <v>89073</v>
      </c>
      <c r="J26" s="160">
        <f>IF($AF$1,SUMIFS('All Employees by Mode'!S:S,'All Employees by Mode'!$J:$J,"="&amp;$A26,'All Employees by Mode'!$BE:$BE,"=No"),SUMIFS('All Employees by Mode'!S:S,'All Employees by Mode'!$J:$J,"="&amp;$A26))</f>
        <v>183430</v>
      </c>
      <c r="K26" s="160">
        <f>IF($AF$1,SUMIFS('All Employees by Mode'!U:U,'All Employees by Mode'!$J:$J,"="&amp;$A26,'All Employees by Mode'!$BE:$BE,"=No"),SUMIFS('All Employees by Mode'!U:U,'All Employees by Mode'!$J:$J,"="&amp;$A26))</f>
        <v>22082</v>
      </c>
      <c r="L26" s="160">
        <f>IF($AF$1,SUMIFS('All Employees by Mode'!W:W,'All Employees by Mode'!$J:$J,"="&amp;$A26,'All Employees by Mode'!$BE:$BE,"=No"),SUMIFS('All Employees by Mode'!W:W,'All Employees by Mode'!$J:$J,"="&amp;$A26))</f>
        <v>1937413</v>
      </c>
      <c r="M26" s="160">
        <f>IF($AF$1,SUMIFS('All Employees by Mode'!Y:Y,'All Employees by Mode'!$J:$J,"="&amp;$A26,'All Employees by Mode'!$BE:$BE,"=No"),SUMIFS('All Employees by Mode'!Y:Y,'All Employees by Mode'!$J:$J,"="&amp;$A26))</f>
        <v>662.37</v>
      </c>
      <c r="N26" s="160">
        <f>IF($AF$1,SUMIFS('All Employees by Mode'!AA:AA,'All Employees by Mode'!$J:$J,"="&amp;$A26,'All Employees by Mode'!$BE:$BE,"=No"),SUMIFS('All Employees by Mode'!AA:AA,'All Employees by Mode'!$J:$J,"="&amp;$A26))</f>
        <v>171.05999999999997</v>
      </c>
      <c r="O26" s="160">
        <f>IF($AF$1,SUMIFS('All Employees by Mode'!AC:AC,'All Employees by Mode'!$J:$J,"="&amp;$A26,'All Employees by Mode'!$BE:$BE,"=No"),SUMIFS('All Employees by Mode'!AC:AC,'All Employees by Mode'!$J:$J,"="&amp;$A26))</f>
        <v>46.400000000000006</v>
      </c>
      <c r="P26" s="160">
        <f>IF($AF$1,SUMIFS('All Employees by Mode'!AE:AE,'All Employees by Mode'!$J:$J,"="&amp;$A26,'All Employees by Mode'!$BE:$BE,"=No"),SUMIFS('All Employees by Mode'!AE:AE,'All Employees by Mode'!$J:$J,"="&amp;$A26))</f>
        <v>101.56</v>
      </c>
      <c r="Q26" s="160">
        <f>IF($AF$1,SUMIFS('All Employees by Mode'!AG:AG,'All Employees by Mode'!$J:$J,"="&amp;$A26,'All Employees by Mode'!$BE:$BE,"=No"),SUMIFS('All Employees by Mode'!AG:AG,'All Employees by Mode'!$J:$J,"="&amp;$A26))</f>
        <v>13.4</v>
      </c>
      <c r="R26" s="160">
        <f>IF($AF$1,SUMIFS('All Employees by Mode'!AI:AI,'All Employees by Mode'!$J:$J,"="&amp;$A26,'All Employees by Mode'!$BE:$BE,"=No"),SUMIFS('All Employees by Mode'!AI:AI,'All Employees by Mode'!$J:$J,"="&amp;$A26))</f>
        <v>994.79</v>
      </c>
      <c r="S26" s="161">
        <f>IF($AF$1,SUMIFS('All Employees by Mode'!AK:AK,'All Employees by Mode'!$J:$J,"="&amp;$A26,'All Employees by Mode'!$BE:$BE,"=No"),SUMIFS('All Employees by Mode'!AK:AK,'All Employees by Mode'!$J:$J,"="&amp;$A26))</f>
        <v>47376986</v>
      </c>
      <c r="T26" s="161">
        <f>IF($AF$1,SUMIFS('All Employees by Mode'!AM:AM,'All Employees by Mode'!$J:$J,"="&amp;$A26,'All Employees by Mode'!$BE:$BE,"=No"),SUMIFS('All Employees by Mode'!AM:AM,'All Employees by Mode'!$J:$J,"="&amp;$A26))</f>
        <v>11442298</v>
      </c>
      <c r="U26" s="161">
        <f>IF($AF$1,SUMIFS('All Employees by Mode'!AO:AO,'All Employees by Mode'!$J:$J,"="&amp;$A26,'All Employees by Mode'!$BE:$BE,"=No"),SUMIFS('All Employees by Mode'!AO:AO,'All Employees by Mode'!$J:$J,"="&amp;$A26))</f>
        <v>3147437</v>
      </c>
      <c r="V26" s="161">
        <f>IF($AF$1,SUMIFS('All Employees by Mode'!AQ:AQ,'All Employees by Mode'!$J:$J,"="&amp;$A26,'All Employees by Mode'!$BE:$BE,"=No"),SUMIFS('All Employees by Mode'!AQ:AQ,'All Employees by Mode'!$J:$J,"="&amp;$A26))</f>
        <v>7153293</v>
      </c>
      <c r="W26" s="161">
        <f>IF($AF$1,SUMIFS('All Employees by Mode'!AS:AS,'All Employees by Mode'!$J:$J,"="&amp;$A26,'All Employees by Mode'!$BE:$BE,"=No"),SUMIFS('All Employees by Mode'!AS:AS,'All Employees by Mode'!$J:$J,"="&amp;$A26))</f>
        <v>69120014</v>
      </c>
      <c r="X26" s="162">
        <f t="shared" si="14"/>
        <v>36.294163836670471</v>
      </c>
      <c r="Y26" s="162">
        <f t="shared" si="15"/>
        <v>33.906420479632082</v>
      </c>
      <c r="Z26" s="162">
        <f t="shared" si="16"/>
        <v>35.335477641934141</v>
      </c>
      <c r="AA26" s="162">
        <f t="shared" si="17"/>
        <v>38.997399552962982</v>
      </c>
      <c r="AB26" s="271">
        <f t="shared" si="18"/>
        <v>36.087764464732203</v>
      </c>
      <c r="AC26" s="93"/>
      <c r="AD26" s="94"/>
      <c r="AE26" s="94"/>
      <c r="AF26" s="94"/>
      <c r="AG26" s="94"/>
      <c r="AH26" s="94"/>
      <c r="AI26" s="94"/>
      <c r="AJ26" s="94"/>
      <c r="AK26" s="94"/>
      <c r="AL26" s="94"/>
      <c r="AM26" s="94"/>
      <c r="AN26" s="94"/>
      <c r="AO26" s="303"/>
      <c r="AP26" s="303"/>
      <c r="AQ26" s="303"/>
      <c r="AR26" s="303"/>
      <c r="AS26" s="303"/>
      <c r="AT26" s="303"/>
      <c r="AU26" s="94"/>
      <c r="AV26" s="94"/>
    </row>
    <row r="27" spans="1:48" s="95" customFormat="1" ht="11.25" customHeight="1">
      <c r="A27" s="177" t="s">
        <v>24</v>
      </c>
      <c r="B27" s="178" t="s">
        <v>100</v>
      </c>
      <c r="C27" s="179"/>
      <c r="D27" s="177"/>
      <c r="E27" s="180"/>
      <c r="F27" s="160">
        <f>IF($AF$1,SUMIFS('All Employees by Mode'!L:L,'All Employees by Mode'!$J:$J,"="&amp;$A27,'All Employees by Mode'!$BE:$BE,"=No"),SUMIFS('All Employees by Mode'!L:L,'All Employees by Mode'!$J:$J,"="&amp;$A27))</f>
        <v>27</v>
      </c>
      <c r="G27" s="160">
        <f>IF($AF$1,SUMIFS('All Employees by Mode'!M:M,'All Employees by Mode'!$J:$J,"="&amp;$A27,'All Employees by Mode'!$BE:$BE,"=No"),SUMIFS('All Employees by Mode'!M:M,'All Employees by Mode'!$J:$J,"="&amp;$A27))</f>
        <v>502251</v>
      </c>
      <c r="H27" s="160">
        <f>IF($AF$1,SUMIFS('All Employees by Mode'!O:O,'All Employees by Mode'!$J:$J,"="&amp;$A27,'All Employees by Mode'!$BE:$BE,"=No"),SUMIFS('All Employees by Mode'!O:O,'All Employees by Mode'!$J:$J,"="&amp;$A27))</f>
        <v>103821</v>
      </c>
      <c r="I27" s="160">
        <f>IF($AF$1,SUMIFS('All Employees by Mode'!Q:Q,'All Employees by Mode'!$J:$J,"="&amp;$A27,'All Employees by Mode'!$BE:$BE,"=No"),SUMIFS('All Employees by Mode'!Q:Q,'All Employees by Mode'!$J:$J,"="&amp;$A27))</f>
        <v>138325</v>
      </c>
      <c r="J27" s="160">
        <f>IF($AF$1,SUMIFS('All Employees by Mode'!S:S,'All Employees by Mode'!$J:$J,"="&amp;$A27,'All Employees by Mode'!$BE:$BE,"=No"),SUMIFS('All Employees by Mode'!S:S,'All Employees by Mode'!$J:$J,"="&amp;$A27))</f>
        <v>69762</v>
      </c>
      <c r="K27" s="160">
        <f>IF($AF$1,SUMIFS('All Employees by Mode'!U:U,'All Employees by Mode'!$J:$J,"="&amp;$A27,'All Employees by Mode'!$BE:$BE,"=No"),SUMIFS('All Employees by Mode'!U:U,'All Employees by Mode'!$J:$J,"="&amp;$A27))</f>
        <v>0</v>
      </c>
      <c r="L27" s="160">
        <f>IF($AF$1,SUMIFS('All Employees by Mode'!W:W,'All Employees by Mode'!$J:$J,"="&amp;$A27,'All Employees by Mode'!$BE:$BE,"=No"),SUMIFS('All Employees by Mode'!W:W,'All Employees by Mode'!$J:$J,"="&amp;$A27))</f>
        <v>814159</v>
      </c>
      <c r="M27" s="160">
        <f>IF($AF$1,SUMIFS('All Employees by Mode'!Y:Y,'All Employees by Mode'!$J:$J,"="&amp;$A27,'All Employees by Mode'!$BE:$BE,"=No"),SUMIFS('All Employees by Mode'!Y:Y,'All Employees by Mode'!$J:$J,"="&amp;$A27))</f>
        <v>225</v>
      </c>
      <c r="N27" s="160">
        <f>IF($AF$1,SUMIFS('All Employees by Mode'!AA:AA,'All Employees by Mode'!$J:$J,"="&amp;$A27,'All Employees by Mode'!$BE:$BE,"=No"),SUMIFS('All Employees by Mode'!AA:AA,'All Employees by Mode'!$J:$J,"="&amp;$A27))</f>
        <v>52</v>
      </c>
      <c r="O27" s="160">
        <f>IF($AF$1,SUMIFS('All Employees by Mode'!AC:AC,'All Employees by Mode'!$J:$J,"="&amp;$A27,'All Employees by Mode'!$BE:$BE,"=No"),SUMIFS('All Employees by Mode'!AC:AC,'All Employees by Mode'!$J:$J,"="&amp;$A27))</f>
        <v>64</v>
      </c>
      <c r="P27" s="160">
        <f>IF($AF$1,SUMIFS('All Employees by Mode'!AE:AE,'All Employees by Mode'!$J:$J,"="&amp;$A27,'All Employees by Mode'!$BE:$BE,"=No"),SUMIFS('All Employees by Mode'!AE:AE,'All Employees by Mode'!$J:$J,"="&amp;$A27))</f>
        <v>44</v>
      </c>
      <c r="Q27" s="160">
        <f>IF($AF$1,SUMIFS('All Employees by Mode'!AG:AG,'All Employees by Mode'!$J:$J,"="&amp;$A27,'All Employees by Mode'!$BE:$BE,"=No"),SUMIFS('All Employees by Mode'!AG:AG,'All Employees by Mode'!$J:$J,"="&amp;$A27))</f>
        <v>0</v>
      </c>
      <c r="R27" s="160">
        <f>IF($AF$1,SUMIFS('All Employees by Mode'!AI:AI,'All Employees by Mode'!$J:$J,"="&amp;$A27,'All Employees by Mode'!$BE:$BE,"=No"),SUMIFS('All Employees by Mode'!AI:AI,'All Employees by Mode'!$J:$J,"="&amp;$A27))</f>
        <v>385</v>
      </c>
      <c r="S27" s="161">
        <f>IF($AF$1,SUMIFS('All Employees by Mode'!AK:AK,'All Employees by Mode'!$J:$J,"="&amp;$A27,'All Employees by Mode'!$BE:$BE,"=No"),SUMIFS('All Employees by Mode'!AK:AK,'All Employees by Mode'!$J:$J,"="&amp;$A27))</f>
        <v>17644124</v>
      </c>
      <c r="T27" s="161">
        <f>IF($AF$1,SUMIFS('All Employees by Mode'!AM:AM,'All Employees by Mode'!$J:$J,"="&amp;$A27,'All Employees by Mode'!$BE:$BE,"=No"),SUMIFS('All Employees by Mode'!AM:AM,'All Employees by Mode'!$J:$J,"="&amp;$A27))</f>
        <v>4420241</v>
      </c>
      <c r="U27" s="161">
        <f>IF($AF$1,SUMIFS('All Employees by Mode'!AO:AO,'All Employees by Mode'!$J:$J,"="&amp;$A27,'All Employees by Mode'!$BE:$BE,"=No"),SUMIFS('All Employees by Mode'!AO:AO,'All Employees by Mode'!$J:$J,"="&amp;$A27))</f>
        <v>5170272</v>
      </c>
      <c r="V27" s="161">
        <f>IF($AF$1,SUMIFS('All Employees by Mode'!AQ:AQ,'All Employees by Mode'!$J:$J,"="&amp;$A27,'All Employees by Mode'!$BE:$BE,"=No"),SUMIFS('All Employees by Mode'!AQ:AQ,'All Employees by Mode'!$J:$J,"="&amp;$A27))</f>
        <v>2968052</v>
      </c>
      <c r="W27" s="161">
        <f>IF($AF$1,SUMIFS('All Employees by Mode'!AS:AS,'All Employees by Mode'!$J:$J,"="&amp;$A27,'All Employees by Mode'!$BE:$BE,"=No"),SUMIFS('All Employees by Mode'!AS:AS,'All Employees by Mode'!$J:$J,"="&amp;$A27))</f>
        <v>30202689</v>
      </c>
      <c r="X27" s="162">
        <f t="shared" si="14"/>
        <v>35.130092324355751</v>
      </c>
      <c r="Y27" s="162">
        <f t="shared" si="15"/>
        <v>42.575596459290509</v>
      </c>
      <c r="Z27" s="162">
        <f t="shared" si="16"/>
        <v>37.377711910356048</v>
      </c>
      <c r="AA27" s="162">
        <f t="shared" si="17"/>
        <v>42.545397207648861</v>
      </c>
      <c r="AB27" s="271">
        <f t="shared" si="18"/>
        <v>37.096794360806676</v>
      </c>
      <c r="AC27" s="93"/>
      <c r="AD27" s="94"/>
      <c r="AE27" s="94"/>
      <c r="AF27" s="94"/>
      <c r="AG27" s="94"/>
      <c r="AH27" s="94"/>
      <c r="AI27" s="94"/>
      <c r="AJ27" s="94"/>
      <c r="AK27" s="94"/>
      <c r="AL27" s="94"/>
      <c r="AM27" s="94"/>
      <c r="AN27" s="94"/>
      <c r="AO27" s="303"/>
      <c r="AP27" s="303"/>
      <c r="AQ27" s="303"/>
      <c r="AR27" s="303"/>
      <c r="AS27" s="303"/>
      <c r="AT27" s="303"/>
      <c r="AU27" s="94"/>
      <c r="AV27" s="94"/>
    </row>
    <row r="28" spans="1:48" s="95" customFormat="1" ht="11.25" customHeight="1">
      <c r="A28" s="177" t="s">
        <v>18</v>
      </c>
      <c r="B28" s="178" t="s">
        <v>99</v>
      </c>
      <c r="C28" s="179"/>
      <c r="D28" s="177"/>
      <c r="E28" s="180"/>
      <c r="F28" s="160">
        <f>IF($AF$1,SUMIFS('All Employees by Mode'!L:L,'All Employees by Mode'!$J:$J,"="&amp;$A28,'All Employees by Mode'!$BE:$BE,"=No"),SUMIFS('All Employees by Mode'!L:L,'All Employees by Mode'!$J:$J,"="&amp;$A28))</f>
        <v>2344</v>
      </c>
      <c r="G28" s="160">
        <f>IF($AF$1,SUMIFS('All Employees by Mode'!M:M,'All Employees by Mode'!$J:$J,"="&amp;$A28,'All Employees by Mode'!$BE:$BE,"=No"),SUMIFS('All Employees by Mode'!M:M,'All Employees by Mode'!$J:$J,"="&amp;$A28))</f>
        <v>6677092</v>
      </c>
      <c r="H28" s="160">
        <f>IF($AF$1,SUMIFS('All Employees by Mode'!O:O,'All Employees by Mode'!$J:$J,"="&amp;$A28,'All Employees by Mode'!$BE:$BE,"=No"),SUMIFS('All Employees by Mode'!O:O,'All Employees by Mode'!$J:$J,"="&amp;$A28))</f>
        <v>1920684</v>
      </c>
      <c r="I28" s="160">
        <f>IF($AF$1,SUMIFS('All Employees by Mode'!Q:Q,'All Employees by Mode'!$J:$J,"="&amp;$A28,'All Employees by Mode'!$BE:$BE,"=No"),SUMIFS('All Employees by Mode'!Q:Q,'All Employees by Mode'!$J:$J,"="&amp;$A28))</f>
        <v>314768</v>
      </c>
      <c r="J28" s="160">
        <f>IF($AF$1,SUMIFS('All Employees by Mode'!S:S,'All Employees by Mode'!$J:$J,"="&amp;$A28,'All Employees by Mode'!$BE:$BE,"=No"),SUMIFS('All Employees by Mode'!S:S,'All Employees by Mode'!$J:$J,"="&amp;$A28))</f>
        <v>1041849</v>
      </c>
      <c r="K28" s="160">
        <f>IF($AF$1,SUMIFS('All Employees by Mode'!U:U,'All Employees by Mode'!$J:$J,"="&amp;$A28,'All Employees by Mode'!$BE:$BE,"=No"),SUMIFS('All Employees by Mode'!U:U,'All Employees by Mode'!$J:$J,"="&amp;$A28))</f>
        <v>89497</v>
      </c>
      <c r="L28" s="160">
        <f>IF($AF$1,SUMIFS('All Employees by Mode'!W:W,'All Employees by Mode'!$J:$J,"="&amp;$A28,'All Employees by Mode'!$BE:$BE,"=No"),SUMIFS('All Employees by Mode'!W:W,'All Employees by Mode'!$J:$J,"="&amp;$A28))</f>
        <v>10043890</v>
      </c>
      <c r="M28" s="160">
        <f>IF($AF$1,SUMIFS('All Employees by Mode'!Y:Y,'All Employees by Mode'!$J:$J,"="&amp;$A28,'All Employees by Mode'!$BE:$BE,"=No"),SUMIFS('All Employees by Mode'!Y:Y,'All Employees by Mode'!$J:$J,"="&amp;$A28))</f>
        <v>3767.94</v>
      </c>
      <c r="N28" s="160">
        <f>IF($AF$1,SUMIFS('All Employees by Mode'!AA:AA,'All Employees by Mode'!$J:$J,"="&amp;$A28,'All Employees by Mode'!$BE:$BE,"=No"),SUMIFS('All Employees by Mode'!AA:AA,'All Employees by Mode'!$J:$J,"="&amp;$A28))</f>
        <v>997.98999999999978</v>
      </c>
      <c r="O28" s="160">
        <f>IF($AF$1,SUMIFS('All Employees by Mode'!AC:AC,'All Employees by Mode'!$J:$J,"="&amp;$A28,'All Employees by Mode'!$BE:$BE,"=No"),SUMIFS('All Employees by Mode'!AC:AC,'All Employees by Mode'!$J:$J,"="&amp;$A28))</f>
        <v>186.06000000000006</v>
      </c>
      <c r="P28" s="160">
        <f>IF($AF$1,SUMIFS('All Employees by Mode'!AE:AE,'All Employees by Mode'!$J:$J,"="&amp;$A28,'All Employees by Mode'!$BE:$BE,"=No"),SUMIFS('All Employees by Mode'!AE:AE,'All Employees by Mode'!$J:$J,"="&amp;$A28))</f>
        <v>613.63000000000011</v>
      </c>
      <c r="Q28" s="160">
        <f>IF($AF$1,SUMIFS('All Employees by Mode'!AG:AG,'All Employees by Mode'!$J:$J,"="&amp;$A28,'All Employees by Mode'!$BE:$BE,"=No"),SUMIFS('All Employees by Mode'!AG:AG,'All Employees by Mode'!$J:$J,"="&amp;$A28))</f>
        <v>59.37</v>
      </c>
      <c r="R28" s="160">
        <f>IF($AF$1,SUMIFS('All Employees by Mode'!AI:AI,'All Employees by Mode'!$J:$J,"="&amp;$A28,'All Employees by Mode'!$BE:$BE,"=No"),SUMIFS('All Employees by Mode'!AI:AI,'All Employees by Mode'!$J:$J,"="&amp;$A28))</f>
        <v>5624.99</v>
      </c>
      <c r="S28" s="161">
        <f>IF($AF$1,SUMIFS('All Employees by Mode'!AK:AK,'All Employees by Mode'!$J:$J,"="&amp;$A28,'All Employees by Mode'!$BE:$BE,"=No"),SUMIFS('All Employees by Mode'!AK:AK,'All Employees by Mode'!$J:$J,"="&amp;$A28))</f>
        <v>202669820</v>
      </c>
      <c r="T28" s="161">
        <f>IF($AF$1,SUMIFS('All Employees by Mode'!AM:AM,'All Employees by Mode'!$J:$J,"="&amp;$A28,'All Employees by Mode'!$BE:$BE,"=No"),SUMIFS('All Employees by Mode'!AM:AM,'All Employees by Mode'!$J:$J,"="&amp;$A28))</f>
        <v>58774416</v>
      </c>
      <c r="U28" s="161">
        <f>IF($AF$1,SUMIFS('All Employees by Mode'!AO:AO,'All Employees by Mode'!$J:$J,"="&amp;$A28,'All Employees by Mode'!$BE:$BE,"=No"),SUMIFS('All Employees by Mode'!AO:AO,'All Employees by Mode'!$J:$J,"="&amp;$A28))</f>
        <v>10274680</v>
      </c>
      <c r="V28" s="161">
        <f>IF($AF$1,SUMIFS('All Employees by Mode'!AQ:AQ,'All Employees by Mode'!$J:$J,"="&amp;$A28,'All Employees by Mode'!$BE:$BE,"=No"),SUMIFS('All Employees by Mode'!AQ:AQ,'All Employees by Mode'!$J:$J,"="&amp;$A28))</f>
        <v>32819405</v>
      </c>
      <c r="W28" s="161">
        <f>IF($AF$1,SUMIFS('All Employees by Mode'!AS:AS,'All Employees by Mode'!$J:$J,"="&amp;$A28,'All Employees by Mode'!$BE:$BE,"=No"),SUMIFS('All Employees by Mode'!AS:AS,'All Employees by Mode'!$J:$J,"="&amp;$A28))</f>
        <v>304538321</v>
      </c>
      <c r="X28" s="162">
        <f t="shared" si="14"/>
        <v>30.353006967703905</v>
      </c>
      <c r="Y28" s="162">
        <f t="shared" si="15"/>
        <v>30.600773474449728</v>
      </c>
      <c r="Z28" s="162">
        <f t="shared" si="16"/>
        <v>32.642072891780614</v>
      </c>
      <c r="AA28" s="162">
        <f t="shared" si="17"/>
        <v>31.501114844857558</v>
      </c>
      <c r="AB28" s="271">
        <f t="shared" si="18"/>
        <v>30.593359233456024</v>
      </c>
      <c r="AC28" s="93"/>
      <c r="AD28" s="94"/>
      <c r="AE28" s="94"/>
      <c r="AF28" s="94"/>
      <c r="AG28" s="94"/>
      <c r="AH28" s="94"/>
      <c r="AI28" s="94"/>
      <c r="AJ28" s="94"/>
      <c r="AK28" s="94"/>
      <c r="AL28" s="94"/>
      <c r="AM28" s="94"/>
      <c r="AN28" s="94"/>
      <c r="AO28" s="303"/>
      <c r="AP28" s="303"/>
      <c r="AQ28" s="303"/>
      <c r="AR28" s="303"/>
      <c r="AS28" s="303"/>
      <c r="AT28" s="303"/>
      <c r="AU28" s="94"/>
      <c r="AV28" s="94"/>
    </row>
    <row r="29" spans="1:48" s="95" customFormat="1" ht="11.25" customHeight="1">
      <c r="A29" s="177" t="s">
        <v>41</v>
      </c>
      <c r="B29" s="178" t="s">
        <v>101</v>
      </c>
      <c r="C29" s="179"/>
      <c r="D29" s="177"/>
      <c r="E29" s="180"/>
      <c r="F29" s="160">
        <f>IF($AF$1,SUMIFS('All Employees by Mode'!L:L,'All Employees by Mode'!$J:$J,"="&amp;$A29,'All Employees by Mode'!$BE:$BE,"=No"),SUMIFS('All Employees by Mode'!L:L,'All Employees by Mode'!$J:$J,"="&amp;$A29))</f>
        <v>4966</v>
      </c>
      <c r="G29" s="160">
        <f>IF($AF$1,SUMIFS('All Employees by Mode'!M:M,'All Employees by Mode'!$J:$J,"="&amp;$A29,'All Employees by Mode'!$BE:$BE,"=No"),SUMIFS('All Employees by Mode'!M:M,'All Employees by Mode'!$J:$J,"="&amp;$A29))</f>
        <v>18335120</v>
      </c>
      <c r="H29" s="160">
        <f>IF($AF$1,SUMIFS('All Employees by Mode'!O:O,'All Employees by Mode'!$J:$J,"="&amp;$A29,'All Employees by Mode'!$BE:$BE,"=No"),SUMIFS('All Employees by Mode'!O:O,'All Employees by Mode'!$J:$J,"="&amp;$A29))</f>
        <v>12960533</v>
      </c>
      <c r="I29" s="160">
        <f>IF($AF$1,SUMIFS('All Employees by Mode'!Q:Q,'All Employees by Mode'!$J:$J,"="&amp;$A29,'All Employees by Mode'!$BE:$BE,"=No"),SUMIFS('All Employees by Mode'!Q:Q,'All Employees by Mode'!$J:$J,"="&amp;$A29))</f>
        <v>10317029</v>
      </c>
      <c r="J29" s="160">
        <f>IF($AF$1,SUMIFS('All Employees by Mode'!S:S,'All Employees by Mode'!$J:$J,"="&amp;$A29,'All Employees by Mode'!$BE:$BE,"=No"),SUMIFS('All Employees by Mode'!S:S,'All Employees by Mode'!$J:$J,"="&amp;$A29))</f>
        <v>3949570</v>
      </c>
      <c r="K29" s="160">
        <f>IF($AF$1,SUMIFS('All Employees by Mode'!U:U,'All Employees by Mode'!$J:$J,"="&amp;$A29,'All Employees by Mode'!$BE:$BE,"=No"),SUMIFS('All Employees by Mode'!U:U,'All Employees by Mode'!$J:$J,"="&amp;$A29))</f>
        <v>5362774</v>
      </c>
      <c r="L29" s="160">
        <f>IF($AF$1,SUMIFS('All Employees by Mode'!W:W,'All Employees by Mode'!$J:$J,"="&amp;$A29,'All Employees by Mode'!$BE:$BE,"=No"),SUMIFS('All Employees by Mode'!W:W,'All Employees by Mode'!$J:$J,"="&amp;$A29))</f>
        <v>50925026</v>
      </c>
      <c r="M29" s="160">
        <f>IF($AF$1,SUMIFS('All Employees by Mode'!Y:Y,'All Employees by Mode'!$J:$J,"="&amp;$A29,'All Employees by Mode'!$BE:$BE,"=No"),SUMIFS('All Employees by Mode'!Y:Y,'All Employees by Mode'!$J:$J,"="&amp;$A29))</f>
        <v>8541.1</v>
      </c>
      <c r="N29" s="160">
        <f>IF($AF$1,SUMIFS('All Employees by Mode'!AA:AA,'All Employees by Mode'!$J:$J,"="&amp;$A29,'All Employees by Mode'!$BE:$BE,"=No"),SUMIFS('All Employees by Mode'!AA:AA,'All Employees by Mode'!$J:$J,"="&amp;$A29))</f>
        <v>6913</v>
      </c>
      <c r="O29" s="160">
        <f>IF($AF$1,SUMIFS('All Employees by Mode'!AC:AC,'All Employees by Mode'!$J:$J,"="&amp;$A29,'All Employees by Mode'!$BE:$BE,"=No"),SUMIFS('All Employees by Mode'!AC:AC,'All Employees by Mode'!$J:$J,"="&amp;$A29))</f>
        <v>5540</v>
      </c>
      <c r="P29" s="160">
        <f>IF($AF$1,SUMIFS('All Employees by Mode'!AE:AE,'All Employees by Mode'!$J:$J,"="&amp;$A29,'All Employees by Mode'!$BE:$BE,"=No"),SUMIFS('All Employees by Mode'!AE:AE,'All Employees by Mode'!$J:$J,"="&amp;$A29))</f>
        <v>2137.3000000000002</v>
      </c>
      <c r="Q29" s="160">
        <f>IF($AF$1,SUMIFS('All Employees by Mode'!AG:AG,'All Employees by Mode'!$J:$J,"="&amp;$A29,'All Employees by Mode'!$BE:$BE,"=No"),SUMIFS('All Employees by Mode'!AG:AG,'All Employees by Mode'!$J:$J,"="&amp;$A29))</f>
        <v>2540.6999999999998</v>
      </c>
      <c r="R29" s="160">
        <f>IF($AF$1,SUMIFS('All Employees by Mode'!AI:AI,'All Employees by Mode'!$J:$J,"="&amp;$A29,'All Employees by Mode'!$BE:$BE,"=No"),SUMIFS('All Employees by Mode'!AI:AI,'All Employees by Mode'!$J:$J,"="&amp;$A29))</f>
        <v>25672.1</v>
      </c>
      <c r="S29" s="161">
        <f>IF($AF$1,SUMIFS('All Employees by Mode'!AK:AK,'All Employees by Mode'!$J:$J,"="&amp;$A29,'All Employees by Mode'!$BE:$BE,"=No"),SUMIFS('All Employees by Mode'!AK:AK,'All Employees by Mode'!$J:$J,"="&amp;$A29))</f>
        <v>708517129</v>
      </c>
      <c r="T29" s="161">
        <f>IF($AF$1,SUMIFS('All Employees by Mode'!AM:AM,'All Employees by Mode'!$J:$J,"="&amp;$A29,'All Employees by Mode'!$BE:$BE,"=No"),SUMIFS('All Employees by Mode'!AM:AM,'All Employees by Mode'!$J:$J,"="&amp;$A29))</f>
        <v>469132920</v>
      </c>
      <c r="U29" s="161">
        <f>IF($AF$1,SUMIFS('All Employees by Mode'!AO:AO,'All Employees by Mode'!$J:$J,"="&amp;$A29,'All Employees by Mode'!$BE:$BE,"=No"),SUMIFS('All Employees by Mode'!AO:AO,'All Employees by Mode'!$J:$J,"="&amp;$A29))</f>
        <v>387733343</v>
      </c>
      <c r="V29" s="161">
        <f>IF($AF$1,SUMIFS('All Employees by Mode'!AQ:AQ,'All Employees by Mode'!$J:$J,"="&amp;$A29,'All Employees by Mode'!$BE:$BE,"=No"),SUMIFS('All Employees by Mode'!AQ:AQ,'All Employees by Mode'!$J:$J,"="&amp;$A29))</f>
        <v>190240274</v>
      </c>
      <c r="W29" s="161">
        <f>IF($AF$1,SUMIFS('All Employees by Mode'!AS:AS,'All Employees by Mode'!$J:$J,"="&amp;$A29,'All Employees by Mode'!$BE:$BE,"=No"),SUMIFS('All Employees by Mode'!AS:AS,'All Employees by Mode'!$J:$J,"="&amp;$A29))</f>
        <v>1755623666</v>
      </c>
      <c r="X29" s="162">
        <f t="shared" si="14"/>
        <v>38.642622955290179</v>
      </c>
      <c r="Y29" s="162">
        <f t="shared" si="15"/>
        <v>36.197039118684394</v>
      </c>
      <c r="Z29" s="162">
        <f t="shared" si="16"/>
        <v>37.581879725258112</v>
      </c>
      <c r="AA29" s="162">
        <f t="shared" si="17"/>
        <v>48.167338216565348</v>
      </c>
      <c r="AB29" s="271">
        <f t="shared" si="18"/>
        <v>38.532416395923541</v>
      </c>
      <c r="AC29" s="93"/>
      <c r="AD29" s="94"/>
      <c r="AE29" s="94"/>
      <c r="AF29" s="94"/>
      <c r="AG29" s="94"/>
      <c r="AH29" s="94"/>
      <c r="AI29" s="94"/>
      <c r="AJ29" s="94"/>
      <c r="AK29" s="94"/>
      <c r="AL29" s="94"/>
      <c r="AM29" s="94"/>
      <c r="AN29" s="94"/>
      <c r="AO29" s="303"/>
      <c r="AP29" s="303"/>
      <c r="AQ29" s="303"/>
      <c r="AR29" s="303"/>
      <c r="AS29" s="303"/>
      <c r="AT29" s="303"/>
      <c r="AU29" s="94"/>
      <c r="AV29" s="94"/>
    </row>
    <row r="30" spans="1:48" s="95" customFormat="1" ht="11.25" customHeight="1">
      <c r="A30" s="177" t="s">
        <v>10</v>
      </c>
      <c r="B30" s="178" t="s">
        <v>102</v>
      </c>
      <c r="C30" s="179"/>
      <c r="D30" s="177"/>
      <c r="E30" s="180"/>
      <c r="F30" s="160">
        <f>IF($AF$1,SUMIFS('All Employees by Mode'!L:L,'All Employees by Mode'!$J:$J,"="&amp;$A30,'All Employees by Mode'!$BE:$BE,"=No"),SUMIFS('All Employees by Mode'!L:L,'All Employees by Mode'!$J:$J,"="&amp;$A30))</f>
        <v>6087</v>
      </c>
      <c r="G30" s="160">
        <f>IF($AF$1,SUMIFS('All Employees by Mode'!M:M,'All Employees by Mode'!$J:$J,"="&amp;$A30,'All Employees by Mode'!$BE:$BE,"=No"),SUMIFS('All Employees by Mode'!M:M,'All Employees by Mode'!$J:$J,"="&amp;$A30))</f>
        <v>16770998</v>
      </c>
      <c r="H30" s="160">
        <f>IF($AF$1,SUMIFS('All Employees by Mode'!O:O,'All Employees by Mode'!$J:$J,"="&amp;$A30,'All Employees by Mode'!$BE:$BE,"=No"),SUMIFS('All Employees by Mode'!O:O,'All Employees by Mode'!$J:$J,"="&amp;$A30))</f>
        <v>1672296</v>
      </c>
      <c r="I30" s="160">
        <f>IF($AF$1,SUMIFS('All Employees by Mode'!Q:Q,'All Employees by Mode'!$J:$J,"="&amp;$A30,'All Employees by Mode'!$BE:$BE,"=No"),SUMIFS('All Employees by Mode'!Q:Q,'All Employees by Mode'!$J:$J,"="&amp;$A30))</f>
        <v>454664</v>
      </c>
      <c r="J30" s="160">
        <f>IF($AF$1,SUMIFS('All Employees by Mode'!S:S,'All Employees by Mode'!$J:$J,"="&amp;$A30,'All Employees by Mode'!$BE:$BE,"=No"),SUMIFS('All Employees by Mode'!S:S,'All Employees by Mode'!$J:$J,"="&amp;$A30))</f>
        <v>2152296</v>
      </c>
      <c r="K30" s="160">
        <f>IF($AF$1,SUMIFS('All Employees by Mode'!U:U,'All Employees by Mode'!$J:$J,"="&amp;$A30,'All Employees by Mode'!$BE:$BE,"=No"),SUMIFS('All Employees by Mode'!U:U,'All Employees by Mode'!$J:$J,"="&amp;$A30))</f>
        <v>13583</v>
      </c>
      <c r="L30" s="160">
        <f>IF($AF$1,SUMIFS('All Employees by Mode'!W:W,'All Employees by Mode'!$J:$J,"="&amp;$A30,'All Employees by Mode'!$BE:$BE,"=No"),SUMIFS('All Employees by Mode'!W:W,'All Employees by Mode'!$J:$J,"="&amp;$A30))</f>
        <v>21063837</v>
      </c>
      <c r="M30" s="160">
        <f>IF($AF$1,SUMIFS('All Employees by Mode'!Y:Y,'All Employees by Mode'!$J:$J,"="&amp;$A30,'All Employees by Mode'!$BE:$BE,"=No"),SUMIFS('All Employees by Mode'!Y:Y,'All Employees by Mode'!$J:$J,"="&amp;$A30))</f>
        <v>9772.6799999999948</v>
      </c>
      <c r="N30" s="160">
        <f>IF($AF$1,SUMIFS('All Employees by Mode'!AA:AA,'All Employees by Mode'!$J:$J,"="&amp;$A30,'All Employees by Mode'!$BE:$BE,"=No"),SUMIFS('All Employees by Mode'!AA:AA,'All Employees by Mode'!$J:$J,"="&amp;$A30))</f>
        <v>902.0999999999998</v>
      </c>
      <c r="O30" s="160">
        <f>IF($AF$1,SUMIFS('All Employees by Mode'!AC:AC,'All Employees by Mode'!$J:$J,"="&amp;$A30,'All Employees by Mode'!$BE:$BE,"=No"),SUMIFS('All Employees by Mode'!AC:AC,'All Employees by Mode'!$J:$J,"="&amp;$A30))</f>
        <v>262.8399999999998</v>
      </c>
      <c r="P30" s="160">
        <f>IF($AF$1,SUMIFS('All Employees by Mode'!AE:AE,'All Employees by Mode'!$J:$J,"="&amp;$A30,'All Employees by Mode'!$BE:$BE,"=No"),SUMIFS('All Employees by Mode'!AE:AE,'All Employees by Mode'!$J:$J,"="&amp;$A30))</f>
        <v>1289.8100000000004</v>
      </c>
      <c r="Q30" s="160">
        <f>IF($AF$1,SUMIFS('All Employees by Mode'!AG:AG,'All Employees by Mode'!$J:$J,"="&amp;$A30,'All Employees by Mode'!$BE:$BE,"=No"),SUMIFS('All Employees by Mode'!AG:AG,'All Employees by Mode'!$J:$J,"="&amp;$A30))</f>
        <v>8.51</v>
      </c>
      <c r="R30" s="160">
        <f>IF($AF$1,SUMIFS('All Employees by Mode'!AI:AI,'All Employees by Mode'!$J:$J,"="&amp;$A30,'All Employees by Mode'!$BE:$BE,"=No"),SUMIFS('All Employees by Mode'!AI:AI,'All Employees by Mode'!$J:$J,"="&amp;$A30))</f>
        <v>12235.939999999995</v>
      </c>
      <c r="S30" s="161">
        <f>IF($AF$1,SUMIFS('All Employees by Mode'!AK:AK,'All Employees by Mode'!$J:$J,"="&amp;$A30,'All Employees by Mode'!$BE:$BE,"=No"),SUMIFS('All Employees by Mode'!AK:AK,'All Employees by Mode'!$J:$J,"="&amp;$A30))</f>
        <v>295697715</v>
      </c>
      <c r="T30" s="161">
        <f>IF($AF$1,SUMIFS('All Employees by Mode'!AM:AM,'All Employees by Mode'!$J:$J,"="&amp;$A30,'All Employees by Mode'!$BE:$BE,"=No"),SUMIFS('All Employees by Mode'!AM:AM,'All Employees by Mode'!$J:$J,"="&amp;$A30))</f>
        <v>38597263</v>
      </c>
      <c r="U30" s="161">
        <f>IF($AF$1,SUMIFS('All Employees by Mode'!AO:AO,'All Employees by Mode'!$J:$J,"="&amp;$A30,'All Employees by Mode'!$BE:$BE,"=No"),SUMIFS('All Employees by Mode'!AO:AO,'All Employees by Mode'!$J:$J,"="&amp;$A30))</f>
        <v>7993971</v>
      </c>
      <c r="V30" s="161">
        <f>IF($AF$1,SUMIFS('All Employees by Mode'!AQ:AQ,'All Employees by Mode'!$J:$J,"="&amp;$A30,'All Employees by Mode'!$BE:$BE,"=No"),SUMIFS('All Employees by Mode'!AQ:AQ,'All Employees by Mode'!$J:$J,"="&amp;$A30))</f>
        <v>55268931</v>
      </c>
      <c r="W30" s="161">
        <f>IF($AF$1,SUMIFS('All Employees by Mode'!AS:AS,'All Employees by Mode'!$J:$J,"="&amp;$A30,'All Employees by Mode'!$BE:$BE,"=No"),SUMIFS('All Employees by Mode'!AS:AS,'All Employees by Mode'!$J:$J,"="&amp;$A30))</f>
        <v>397557880</v>
      </c>
      <c r="X30" s="162">
        <f t="shared" si="14"/>
        <v>17.631491876631312</v>
      </c>
      <c r="Y30" s="162">
        <f t="shared" si="15"/>
        <v>23.080401436109398</v>
      </c>
      <c r="Z30" s="162">
        <f t="shared" si="16"/>
        <v>17.58215077507786</v>
      </c>
      <c r="AA30" s="162">
        <f t="shared" si="17"/>
        <v>25.679056691087098</v>
      </c>
      <c r="AB30" s="271">
        <f t="shared" si="18"/>
        <v>18.886132205340608</v>
      </c>
      <c r="AC30" s="93"/>
      <c r="AD30" s="94"/>
      <c r="AE30" s="94"/>
      <c r="AF30" s="94"/>
      <c r="AG30" s="94"/>
      <c r="AH30" s="94"/>
      <c r="AI30" s="94"/>
      <c r="AJ30" s="94"/>
      <c r="AK30" s="94"/>
      <c r="AL30" s="94"/>
      <c r="AM30" s="94"/>
      <c r="AN30" s="94"/>
      <c r="AO30" s="303"/>
      <c r="AP30" s="303"/>
      <c r="AQ30" s="303"/>
      <c r="AR30" s="303"/>
      <c r="AS30" s="303"/>
      <c r="AT30" s="303"/>
      <c r="AU30" s="94"/>
      <c r="AV30" s="94"/>
    </row>
    <row r="31" spans="1:48" s="95" customFormat="1" ht="11.25" customHeight="1">
      <c r="A31" s="177" t="s">
        <v>19</v>
      </c>
      <c r="B31" s="178" t="s">
        <v>103</v>
      </c>
      <c r="C31" s="179"/>
      <c r="D31" s="177"/>
      <c r="E31" s="180"/>
      <c r="F31" s="160">
        <f>IF($AF$1,SUMIFS('All Employees by Mode'!L:L,'All Employees by Mode'!$J:$J,"="&amp;$A31,'All Employees by Mode'!$BE:$BE,"=No"),SUMIFS('All Employees by Mode'!L:L,'All Employees by Mode'!$J:$J,"="&amp;$A31))</f>
        <v>77</v>
      </c>
      <c r="G31" s="160">
        <f>IF($AF$1,SUMIFS('All Employees by Mode'!M:M,'All Employees by Mode'!$J:$J,"="&amp;$A31,'All Employees by Mode'!$BE:$BE,"=No"),SUMIFS('All Employees by Mode'!M:M,'All Employees by Mode'!$J:$J,"="&amp;$A31))</f>
        <v>5413139</v>
      </c>
      <c r="H31" s="160">
        <f>IF($AF$1,SUMIFS('All Employees by Mode'!O:O,'All Employees by Mode'!$J:$J,"="&amp;$A31,'All Employees by Mode'!$BE:$BE,"=No"),SUMIFS('All Employees by Mode'!O:O,'All Employees by Mode'!$J:$J,"="&amp;$A31))</f>
        <v>715761</v>
      </c>
      <c r="I31" s="160">
        <f>IF($AF$1,SUMIFS('All Employees by Mode'!Q:Q,'All Employees by Mode'!$J:$J,"="&amp;$A31,'All Employees by Mode'!$BE:$BE,"=No"),SUMIFS('All Employees by Mode'!Q:Q,'All Employees by Mode'!$J:$J,"="&amp;$A31))</f>
        <v>387535</v>
      </c>
      <c r="J31" s="160">
        <f>IF($AF$1,SUMIFS('All Employees by Mode'!S:S,'All Employees by Mode'!$J:$J,"="&amp;$A31,'All Employees by Mode'!$BE:$BE,"=No"),SUMIFS('All Employees by Mode'!S:S,'All Employees by Mode'!$J:$J,"="&amp;$A31))</f>
        <v>595274</v>
      </c>
      <c r="K31" s="160">
        <f>IF($AF$1,SUMIFS('All Employees by Mode'!U:U,'All Employees by Mode'!$J:$J,"="&amp;$A31,'All Employees by Mode'!$BE:$BE,"=No"),SUMIFS('All Employees by Mode'!U:U,'All Employees by Mode'!$J:$J,"="&amp;$A31))</f>
        <v>236358</v>
      </c>
      <c r="L31" s="160">
        <f>IF($AF$1,SUMIFS('All Employees by Mode'!W:W,'All Employees by Mode'!$J:$J,"="&amp;$A31,'All Employees by Mode'!$BE:$BE,"=No"),SUMIFS('All Employees by Mode'!W:W,'All Employees by Mode'!$J:$J,"="&amp;$A31))</f>
        <v>7348067</v>
      </c>
      <c r="M31" s="160">
        <f>IF($AF$1,SUMIFS('All Employees by Mode'!Y:Y,'All Employees by Mode'!$J:$J,"="&amp;$A31,'All Employees by Mode'!$BE:$BE,"=No"),SUMIFS('All Employees by Mode'!Y:Y,'All Employees by Mode'!$J:$J,"="&amp;$A31))</f>
        <v>2948.7</v>
      </c>
      <c r="N31" s="160">
        <f>IF($AF$1,SUMIFS('All Employees by Mode'!AA:AA,'All Employees by Mode'!$J:$J,"="&amp;$A31,'All Employees by Mode'!$BE:$BE,"=No"),SUMIFS('All Employees by Mode'!AA:AA,'All Employees by Mode'!$J:$J,"="&amp;$A31))</f>
        <v>343.45</v>
      </c>
      <c r="O31" s="160">
        <f>IF($AF$1,SUMIFS('All Employees by Mode'!AC:AC,'All Employees by Mode'!$J:$J,"="&amp;$A31,'All Employees by Mode'!$BE:$BE,"=No"),SUMIFS('All Employees by Mode'!AC:AC,'All Employees by Mode'!$J:$J,"="&amp;$A31))</f>
        <v>159.19</v>
      </c>
      <c r="P31" s="160">
        <f>IF($AF$1,SUMIFS('All Employees by Mode'!AE:AE,'All Employees by Mode'!$J:$J,"="&amp;$A31,'All Employees by Mode'!$BE:$BE,"=No"),SUMIFS('All Employees by Mode'!AE:AE,'All Employees by Mode'!$J:$J,"="&amp;$A31))</f>
        <v>348.28000000000003</v>
      </c>
      <c r="Q31" s="160">
        <f>IF($AF$1,SUMIFS('All Employees by Mode'!AG:AG,'All Employees by Mode'!$J:$J,"="&amp;$A31,'All Employees by Mode'!$BE:$BE,"=No"),SUMIFS('All Employees by Mode'!AG:AG,'All Employees by Mode'!$J:$J,"="&amp;$A31))</f>
        <v>119.75</v>
      </c>
      <c r="R31" s="160">
        <f>IF($AF$1,SUMIFS('All Employees by Mode'!AI:AI,'All Employees by Mode'!$J:$J,"="&amp;$A31,'All Employees by Mode'!$BE:$BE,"=No"),SUMIFS('All Employees by Mode'!AI:AI,'All Employees by Mode'!$J:$J,"="&amp;$A31))</f>
        <v>3919.37</v>
      </c>
      <c r="S31" s="161">
        <f>IF($AF$1,SUMIFS('All Employees by Mode'!AK:AK,'All Employees by Mode'!$J:$J,"="&amp;$A31,'All Employees by Mode'!$BE:$BE,"=No"),SUMIFS('All Employees by Mode'!AK:AK,'All Employees by Mode'!$J:$J,"="&amp;$A31))</f>
        <v>186004713</v>
      </c>
      <c r="T31" s="161">
        <f>IF($AF$1,SUMIFS('All Employees by Mode'!AM:AM,'All Employees by Mode'!$J:$J,"="&amp;$A31,'All Employees by Mode'!$BE:$BE,"=No"),SUMIFS('All Employees by Mode'!AM:AM,'All Employees by Mode'!$J:$J,"="&amp;$A31))</f>
        <v>28971775</v>
      </c>
      <c r="U31" s="161">
        <f>IF($AF$1,SUMIFS('All Employees by Mode'!AO:AO,'All Employees by Mode'!$J:$J,"="&amp;$A31,'All Employees by Mode'!$BE:$BE,"=No"),SUMIFS('All Employees by Mode'!AO:AO,'All Employees by Mode'!$J:$J,"="&amp;$A31))</f>
        <v>11883730</v>
      </c>
      <c r="V31" s="161">
        <f>IF($AF$1,SUMIFS('All Employees by Mode'!AQ:AQ,'All Employees by Mode'!$J:$J,"="&amp;$A31,'All Employees by Mode'!$BE:$BE,"=No"),SUMIFS('All Employees by Mode'!AQ:AQ,'All Employees by Mode'!$J:$J,"="&amp;$A31))</f>
        <v>26716531</v>
      </c>
      <c r="W31" s="161">
        <f>IF($AF$1,SUMIFS('All Employees by Mode'!AS:AS,'All Employees by Mode'!$J:$J,"="&amp;$A31,'All Employees by Mode'!$BE:$BE,"=No"),SUMIFS('All Employees by Mode'!AS:AS,'All Employees by Mode'!$J:$J,"="&amp;$A31))</f>
        <v>253576749</v>
      </c>
      <c r="X31" s="162">
        <f t="shared" si="14"/>
        <v>34.361710090947227</v>
      </c>
      <c r="Y31" s="162">
        <f t="shared" si="15"/>
        <v>40.476884043696153</v>
      </c>
      <c r="Z31" s="162">
        <f t="shared" si="16"/>
        <v>30.664920587817875</v>
      </c>
      <c r="AA31" s="162">
        <f t="shared" si="17"/>
        <v>44.881064854167995</v>
      </c>
      <c r="AB31" s="271">
        <f t="shared" si="18"/>
        <v>35.656232418958652</v>
      </c>
      <c r="AC31" s="93"/>
      <c r="AD31" s="94"/>
      <c r="AE31" s="94"/>
      <c r="AF31" s="94"/>
      <c r="AG31" s="94"/>
      <c r="AH31" s="94"/>
      <c r="AI31" s="94"/>
      <c r="AJ31" s="94"/>
      <c r="AK31" s="94"/>
      <c r="AL31" s="94"/>
      <c r="AM31" s="94"/>
      <c r="AN31" s="94"/>
      <c r="AO31" s="303"/>
      <c r="AP31" s="303"/>
      <c r="AQ31" s="303"/>
      <c r="AR31" s="303"/>
      <c r="AS31" s="303"/>
      <c r="AT31" s="303"/>
      <c r="AU31" s="94"/>
      <c r="AV31" s="94"/>
    </row>
    <row r="32" spans="1:48" s="95" customFormat="1" ht="11.25" customHeight="1">
      <c r="A32" s="177" t="s">
        <v>20</v>
      </c>
      <c r="B32" s="178" t="s">
        <v>104</v>
      </c>
      <c r="C32" s="179"/>
      <c r="D32" s="177"/>
      <c r="E32" s="180"/>
      <c r="F32" s="160">
        <f>IF($AF$1,SUMIFS('All Employees by Mode'!L:L,'All Employees by Mode'!$J:$J,"="&amp;$A32,'All Employees by Mode'!$BE:$BE,"=No"),SUMIFS('All Employees by Mode'!L:L,'All Employees by Mode'!$J:$J,"="&amp;$A32))</f>
        <v>9435</v>
      </c>
      <c r="G32" s="160">
        <f>IF($AF$1,SUMIFS('All Employees by Mode'!M:M,'All Employees by Mode'!$J:$J,"="&amp;$A32,'All Employees by Mode'!$BE:$BE,"=No"),SUMIFS('All Employees by Mode'!M:M,'All Employees by Mode'!$J:$J,"="&amp;$A32))</f>
        <v>40398474</v>
      </c>
      <c r="H32" s="160">
        <f>IF($AF$1,SUMIFS('All Employees by Mode'!O:O,'All Employees by Mode'!$J:$J,"="&amp;$A32,'All Employees by Mode'!$BE:$BE,"=No"),SUMIFS('All Employees by Mode'!O:O,'All Employees by Mode'!$J:$J,"="&amp;$A32))</f>
        <v>17123861</v>
      </c>
      <c r="I32" s="160">
        <f>IF($AF$1,SUMIFS('All Employees by Mode'!Q:Q,'All Employees by Mode'!$J:$J,"="&amp;$A32,'All Employees by Mode'!$BE:$BE,"=No"),SUMIFS('All Employees by Mode'!Q:Q,'All Employees by Mode'!$J:$J,"="&amp;$A32))</f>
        <v>31863666</v>
      </c>
      <c r="J32" s="160">
        <f>IF($AF$1,SUMIFS('All Employees by Mode'!S:S,'All Employees by Mode'!$J:$J,"="&amp;$A32,'All Employees by Mode'!$BE:$BE,"=No"),SUMIFS('All Employees by Mode'!S:S,'All Employees by Mode'!$J:$J,"="&amp;$A32))</f>
        <v>10073395</v>
      </c>
      <c r="K32" s="160">
        <f>IF($AF$1,SUMIFS('All Employees by Mode'!U:U,'All Employees by Mode'!$J:$J,"="&amp;$A32,'All Employees by Mode'!$BE:$BE,"=No"),SUMIFS('All Employees by Mode'!U:U,'All Employees by Mode'!$J:$J,"="&amp;$A32))</f>
        <v>10614655</v>
      </c>
      <c r="L32" s="160">
        <f>IF($AF$1,SUMIFS('All Employees by Mode'!W:W,'All Employees by Mode'!$J:$J,"="&amp;$A32,'All Employees by Mode'!$BE:$BE,"=No"),SUMIFS('All Employees by Mode'!W:W,'All Employees by Mode'!$J:$J,"="&amp;$A32))</f>
        <v>110074051</v>
      </c>
      <c r="M32" s="160">
        <f>IF($AF$1,SUMIFS('All Employees by Mode'!Y:Y,'All Employees by Mode'!$J:$J,"="&amp;$A32,'All Employees by Mode'!$BE:$BE,"=No"),SUMIFS('All Employees by Mode'!Y:Y,'All Employees by Mode'!$J:$J,"="&amp;$A32))</f>
        <v>20468.89</v>
      </c>
      <c r="N32" s="160">
        <f>IF($AF$1,SUMIFS('All Employees by Mode'!AA:AA,'All Employees by Mode'!$J:$J,"="&amp;$A32,'All Employees by Mode'!$BE:$BE,"=No"),SUMIFS('All Employees by Mode'!AA:AA,'All Employees by Mode'!$J:$J,"="&amp;$A32))</f>
        <v>9690.2199999999993</v>
      </c>
      <c r="O32" s="160">
        <f>IF($AF$1,SUMIFS('All Employees by Mode'!AC:AC,'All Employees by Mode'!$J:$J,"="&amp;$A32,'All Employees by Mode'!$BE:$BE,"=No"),SUMIFS('All Employees by Mode'!AC:AC,'All Employees by Mode'!$J:$J,"="&amp;$A32))</f>
        <v>17617.57</v>
      </c>
      <c r="P32" s="160">
        <f>IF($AF$1,SUMIFS('All Employees by Mode'!AE:AE,'All Employees by Mode'!$J:$J,"="&amp;$A32,'All Employees by Mode'!$BE:$BE,"=No"),SUMIFS('All Employees by Mode'!AE:AE,'All Employees by Mode'!$J:$J,"="&amp;$A32))</f>
        <v>5717.18</v>
      </c>
      <c r="Q32" s="160">
        <f>IF($AF$1,SUMIFS('All Employees by Mode'!AG:AG,'All Employees by Mode'!$J:$J,"="&amp;$A32,'All Employees by Mode'!$BE:$BE,"=No"),SUMIFS('All Employees by Mode'!AG:AG,'All Employees by Mode'!$J:$J,"="&amp;$A32))</f>
        <v>5276.98</v>
      </c>
      <c r="R32" s="160">
        <f>IF($AF$1,SUMIFS('All Employees by Mode'!AI:AI,'All Employees by Mode'!$J:$J,"="&amp;$A32,'All Employees by Mode'!$BE:$BE,"=No"),SUMIFS('All Employees by Mode'!AI:AI,'All Employees by Mode'!$J:$J,"="&amp;$A32))</f>
        <v>58770.84</v>
      </c>
      <c r="S32" s="161">
        <f>IF($AF$1,SUMIFS('All Employees by Mode'!AK:AK,'All Employees by Mode'!$J:$J,"="&amp;$A32,'All Employees by Mode'!$BE:$BE,"=No"),SUMIFS('All Employees by Mode'!AK:AK,'All Employees by Mode'!$J:$J,"="&amp;$A32))</f>
        <v>1545232228</v>
      </c>
      <c r="T32" s="161">
        <f>IF($AF$1,SUMIFS('All Employees by Mode'!AM:AM,'All Employees by Mode'!$J:$J,"="&amp;$A32,'All Employees by Mode'!$BE:$BE,"=No"),SUMIFS('All Employees by Mode'!AM:AM,'All Employees by Mode'!$J:$J,"="&amp;$A32))</f>
        <v>614865090</v>
      </c>
      <c r="U32" s="161">
        <f>IF($AF$1,SUMIFS('All Employees by Mode'!AO:AO,'All Employees by Mode'!$J:$J,"="&amp;$A32,'All Employees by Mode'!$BE:$BE,"=No"),SUMIFS('All Employees by Mode'!AO:AO,'All Employees by Mode'!$J:$J,"="&amp;$A32))</f>
        <v>1157223892</v>
      </c>
      <c r="V32" s="161">
        <f>IF($AF$1,SUMIFS('All Employees by Mode'!AQ:AQ,'All Employees by Mode'!$J:$J,"="&amp;$A32,'All Employees by Mode'!$BE:$BE,"=No"),SUMIFS('All Employees by Mode'!AQ:AQ,'All Employees by Mode'!$J:$J,"="&amp;$A32))</f>
        <v>542180436</v>
      </c>
      <c r="W32" s="161">
        <f>IF($AF$1,SUMIFS('All Employees by Mode'!AS:AS,'All Employees by Mode'!$J:$J,"="&amp;$A32,'All Employees by Mode'!$BE:$BE,"=No"),SUMIFS('All Employees by Mode'!AS:AS,'All Employees by Mode'!$J:$J,"="&amp;$A32))</f>
        <v>3859501646</v>
      </c>
      <c r="X32" s="162">
        <f t="shared" si="14"/>
        <v>38.249767256060217</v>
      </c>
      <c r="Y32" s="162">
        <f t="shared" si="15"/>
        <v>35.906919006175066</v>
      </c>
      <c r="Z32" s="162">
        <f t="shared" si="16"/>
        <v>36.317977096546265</v>
      </c>
      <c r="AA32" s="162">
        <f t="shared" si="17"/>
        <v>53.823009620887497</v>
      </c>
      <c r="AB32" s="271">
        <f t="shared" si="18"/>
        <v>38.804796743386618</v>
      </c>
      <c r="AC32" s="93"/>
      <c r="AD32" s="94"/>
      <c r="AE32" s="94"/>
      <c r="AF32" s="94"/>
      <c r="AG32" s="94"/>
      <c r="AH32" s="94"/>
      <c r="AI32" s="94"/>
      <c r="AJ32" s="94"/>
      <c r="AK32" s="94"/>
      <c r="AL32" s="94"/>
      <c r="AM32" s="94"/>
      <c r="AN32" s="94"/>
      <c r="AO32" s="303"/>
      <c r="AP32" s="303"/>
      <c r="AQ32" s="303"/>
      <c r="AR32" s="303"/>
      <c r="AS32" s="303"/>
      <c r="AT32" s="303"/>
      <c r="AU32" s="94"/>
      <c r="AV32" s="94"/>
    </row>
    <row r="33" spans="1:48" s="95" customFormat="1" ht="11.25" customHeight="1">
      <c r="A33" s="177" t="s">
        <v>78</v>
      </c>
      <c r="B33" s="178" t="s">
        <v>105</v>
      </c>
      <c r="C33" s="179"/>
      <c r="D33" s="177"/>
      <c r="E33" s="180"/>
      <c r="F33" s="160">
        <f>IF($AF$1,SUMIFS('All Employees by Mode'!L:L,'All Employees by Mode'!$J:$J,"="&amp;$A33,'All Employees by Mode'!$BE:$BE,"=No"),SUMIFS('All Employees by Mode'!L:L,'All Employees by Mode'!$J:$J,"="&amp;$A33))</f>
        <v>6</v>
      </c>
      <c r="G33" s="160">
        <f>IF($AF$1,SUMIFS('All Employees by Mode'!M:M,'All Employees by Mode'!$J:$J,"="&amp;$A33,'All Employees by Mode'!$BE:$BE,"=No"),SUMIFS('All Employees by Mode'!M:M,'All Employees by Mode'!$J:$J,"="&amp;$A33))</f>
        <v>25301</v>
      </c>
      <c r="H33" s="160">
        <f>IF($AF$1,SUMIFS('All Employees by Mode'!O:O,'All Employees by Mode'!$J:$J,"="&amp;$A33,'All Employees by Mode'!$BE:$BE,"=No"),SUMIFS('All Employees by Mode'!O:O,'All Employees by Mode'!$J:$J,"="&amp;$A33))</f>
        <v>3573</v>
      </c>
      <c r="I33" s="160">
        <f>IF($AF$1,SUMIFS('All Employees by Mode'!Q:Q,'All Employees by Mode'!$J:$J,"="&amp;$A33,'All Employees by Mode'!$BE:$BE,"=No"),SUMIFS('All Employees by Mode'!Q:Q,'All Employees by Mode'!$J:$J,"="&amp;$A33))</f>
        <v>11732</v>
      </c>
      <c r="J33" s="160">
        <f>IF($AF$1,SUMIFS('All Employees by Mode'!S:S,'All Employees by Mode'!$J:$J,"="&amp;$A33,'All Employees by Mode'!$BE:$BE,"=No"),SUMIFS('All Employees by Mode'!S:S,'All Employees by Mode'!$J:$J,"="&amp;$A33))</f>
        <v>18569</v>
      </c>
      <c r="K33" s="160">
        <f>IF($AF$1,SUMIFS('All Employees by Mode'!U:U,'All Employees by Mode'!$J:$J,"="&amp;$A33,'All Employees by Mode'!$BE:$BE,"=No"),SUMIFS('All Employees by Mode'!U:U,'All Employees by Mode'!$J:$J,"="&amp;$A33))</f>
        <v>572</v>
      </c>
      <c r="L33" s="160">
        <f>IF($AF$1,SUMIFS('All Employees by Mode'!W:W,'All Employees by Mode'!$J:$J,"="&amp;$A33,'All Employees by Mode'!$BE:$BE,"=No"),SUMIFS('All Employees by Mode'!W:W,'All Employees by Mode'!$J:$J,"="&amp;$A33))</f>
        <v>59747</v>
      </c>
      <c r="M33" s="160">
        <f>IF($AF$1,SUMIFS('All Employees by Mode'!Y:Y,'All Employees by Mode'!$J:$J,"="&amp;$A33,'All Employees by Mode'!$BE:$BE,"=No"),SUMIFS('All Employees by Mode'!Y:Y,'All Employees by Mode'!$J:$J,"="&amp;$A33))</f>
        <v>14.3</v>
      </c>
      <c r="N33" s="160">
        <f>IF($AF$1,SUMIFS('All Employees by Mode'!AA:AA,'All Employees by Mode'!$J:$J,"="&amp;$A33,'All Employees by Mode'!$BE:$BE,"=No"),SUMIFS('All Employees by Mode'!AA:AA,'All Employees by Mode'!$J:$J,"="&amp;$A33))</f>
        <v>1.5</v>
      </c>
      <c r="O33" s="160">
        <f>IF($AF$1,SUMIFS('All Employees by Mode'!AC:AC,'All Employees by Mode'!$J:$J,"="&amp;$A33,'All Employees by Mode'!$BE:$BE,"=No"),SUMIFS('All Employees by Mode'!AC:AC,'All Employees by Mode'!$J:$J,"="&amp;$A33))</f>
        <v>5.6999999999999993</v>
      </c>
      <c r="P33" s="160">
        <f>IF($AF$1,SUMIFS('All Employees by Mode'!AE:AE,'All Employees by Mode'!$J:$J,"="&amp;$A33,'All Employees by Mode'!$BE:$BE,"=No"),SUMIFS('All Employees by Mode'!AE:AE,'All Employees by Mode'!$J:$J,"="&amp;$A33))</f>
        <v>20.43</v>
      </c>
      <c r="Q33" s="160">
        <f>IF($AF$1,SUMIFS('All Employees by Mode'!AG:AG,'All Employees by Mode'!$J:$J,"="&amp;$A33,'All Employees by Mode'!$BE:$BE,"=No"),SUMIFS('All Employees by Mode'!AG:AG,'All Employees by Mode'!$J:$J,"="&amp;$A33))</f>
        <v>0.33</v>
      </c>
      <c r="R33" s="160">
        <f>IF($AF$1,SUMIFS('All Employees by Mode'!AI:AI,'All Employees by Mode'!$J:$J,"="&amp;$A33,'All Employees by Mode'!$BE:$BE,"=No"),SUMIFS('All Employees by Mode'!AI:AI,'All Employees by Mode'!$J:$J,"="&amp;$A33))</f>
        <v>42.26</v>
      </c>
      <c r="S33" s="161">
        <f>IF($AF$1,SUMIFS('All Employees by Mode'!AK:AK,'All Employees by Mode'!$J:$J,"="&amp;$A33,'All Employees by Mode'!$BE:$BE,"=No"),SUMIFS('All Employees by Mode'!AK:AK,'All Employees by Mode'!$J:$J,"="&amp;$A33))</f>
        <v>637595</v>
      </c>
      <c r="T33" s="161">
        <f>IF($AF$1,SUMIFS('All Employees by Mode'!AM:AM,'All Employees by Mode'!$J:$J,"="&amp;$A33,'All Employees by Mode'!$BE:$BE,"=No"),SUMIFS('All Employees by Mode'!AM:AM,'All Employees by Mode'!$J:$J,"="&amp;$A33))</f>
        <v>86109</v>
      </c>
      <c r="U33" s="161">
        <f>IF($AF$1,SUMIFS('All Employees by Mode'!AO:AO,'All Employees by Mode'!$J:$J,"="&amp;$A33,'All Employees by Mode'!$BE:$BE,"=No"),SUMIFS('All Employees by Mode'!AO:AO,'All Employees by Mode'!$J:$J,"="&amp;$A33))</f>
        <v>306954</v>
      </c>
      <c r="V33" s="161">
        <f>IF($AF$1,SUMIFS('All Employees by Mode'!AQ:AQ,'All Employees by Mode'!$J:$J,"="&amp;$A33,'All Employees by Mode'!$BE:$BE,"=No"),SUMIFS('All Employees by Mode'!AQ:AQ,'All Employees by Mode'!$J:$J,"="&amp;$A33))</f>
        <v>377332</v>
      </c>
      <c r="W33" s="161">
        <f>IF($AF$1,SUMIFS('All Employees by Mode'!AS:AS,'All Employees by Mode'!$J:$J,"="&amp;$A33,'All Employees by Mode'!$BE:$BE,"=No"),SUMIFS('All Employees by Mode'!AS:AS,'All Employees by Mode'!$J:$J,"="&amp;$A33))</f>
        <v>1407990</v>
      </c>
      <c r="X33" s="162">
        <f t="shared" si="14"/>
        <v>25.200387336468914</v>
      </c>
      <c r="Y33" s="162">
        <f t="shared" si="15"/>
        <v>24.099916036943746</v>
      </c>
      <c r="Z33" s="162">
        <f t="shared" si="16"/>
        <v>26.163825434708489</v>
      </c>
      <c r="AA33" s="162">
        <f t="shared" si="17"/>
        <v>20.320534223706176</v>
      </c>
      <c r="AB33" s="271">
        <f t="shared" si="18"/>
        <v>23.793662864385297</v>
      </c>
      <c r="AC33" s="93"/>
      <c r="AD33" s="94"/>
      <c r="AE33" s="94"/>
      <c r="AF33" s="94"/>
      <c r="AG33" s="94"/>
      <c r="AH33" s="94"/>
      <c r="AI33" s="94"/>
      <c r="AJ33" s="94"/>
      <c r="AK33" s="94"/>
      <c r="AL33" s="94"/>
      <c r="AM33" s="94"/>
      <c r="AN33" s="94"/>
      <c r="AO33" s="303"/>
      <c r="AP33" s="303"/>
      <c r="AQ33" s="303"/>
      <c r="AR33" s="303"/>
      <c r="AS33" s="303"/>
      <c r="AT33" s="303"/>
      <c r="AU33" s="94"/>
      <c r="AV33" s="94"/>
    </row>
    <row r="34" spans="1:48" s="95" customFormat="1" ht="11.25" customHeight="1">
      <c r="A34" s="177" t="s">
        <v>21</v>
      </c>
      <c r="B34" s="178" t="s">
        <v>106</v>
      </c>
      <c r="C34" s="179"/>
      <c r="D34" s="177"/>
      <c r="E34" s="180"/>
      <c r="F34" s="160">
        <f>IF($AF$1,SUMIFS('All Employees by Mode'!L:L,'All Employees by Mode'!$J:$J,"="&amp;$A34,'All Employees by Mode'!$BE:$BE,"=No"),SUMIFS('All Employees by Mode'!L:L,'All Employees by Mode'!$J:$J,"="&amp;$A34))</f>
        <v>1522</v>
      </c>
      <c r="G34" s="160">
        <f>IF($AF$1,SUMIFS('All Employees by Mode'!M:M,'All Employees by Mode'!$J:$J,"="&amp;$A34,'All Employees by Mode'!$BE:$BE,"=No"),SUMIFS('All Employees by Mode'!M:M,'All Employees by Mode'!$J:$J,"="&amp;$A34))</f>
        <v>9582518</v>
      </c>
      <c r="H34" s="160">
        <f>IF($AF$1,SUMIFS('All Employees by Mode'!O:O,'All Employees by Mode'!$J:$J,"="&amp;$A34,'All Employees by Mode'!$BE:$BE,"=No"),SUMIFS('All Employees by Mode'!O:O,'All Employees by Mode'!$J:$J,"="&amp;$A34))</f>
        <v>4828860</v>
      </c>
      <c r="I34" s="160">
        <f>IF($AF$1,SUMIFS('All Employees by Mode'!Q:Q,'All Employees by Mode'!$J:$J,"="&amp;$A34,'All Employees by Mode'!$BE:$BE,"=No"),SUMIFS('All Employees by Mode'!Q:Q,'All Employees by Mode'!$J:$J,"="&amp;$A34))</f>
        <v>4658973</v>
      </c>
      <c r="J34" s="160">
        <f>IF($AF$1,SUMIFS('All Employees by Mode'!S:S,'All Employees by Mode'!$J:$J,"="&amp;$A34,'All Employees by Mode'!$BE:$BE,"=No"),SUMIFS('All Employees by Mode'!S:S,'All Employees by Mode'!$J:$J,"="&amp;$A34))</f>
        <v>2901992</v>
      </c>
      <c r="K34" s="160">
        <f>IF($AF$1,SUMIFS('All Employees by Mode'!U:U,'All Employees by Mode'!$J:$J,"="&amp;$A34,'All Employees by Mode'!$BE:$BE,"=No"),SUMIFS('All Employees by Mode'!U:U,'All Employees by Mode'!$J:$J,"="&amp;$A34))</f>
        <v>1537889</v>
      </c>
      <c r="L34" s="160">
        <f>IF($AF$1,SUMIFS('All Employees by Mode'!W:W,'All Employees by Mode'!$J:$J,"="&amp;$A34,'All Employees by Mode'!$BE:$BE,"=No"),SUMIFS('All Employees by Mode'!W:W,'All Employees by Mode'!$J:$J,"="&amp;$A34))</f>
        <v>23510232</v>
      </c>
      <c r="M34" s="160">
        <f>IF($AF$1,SUMIFS('All Employees by Mode'!Y:Y,'All Employees by Mode'!$J:$J,"="&amp;$A34,'All Employees by Mode'!$BE:$BE,"=No"),SUMIFS('All Employees by Mode'!Y:Y,'All Employees by Mode'!$J:$J,"="&amp;$A34))</f>
        <v>5038.3600000000006</v>
      </c>
      <c r="N34" s="160">
        <f>IF($AF$1,SUMIFS('All Employees by Mode'!AA:AA,'All Employees by Mode'!$J:$J,"="&amp;$A34,'All Employees by Mode'!$BE:$BE,"=No"),SUMIFS('All Employees by Mode'!AA:AA,'All Employees by Mode'!$J:$J,"="&amp;$A34))</f>
        <v>2411.9900000000002</v>
      </c>
      <c r="O34" s="160">
        <f>IF($AF$1,SUMIFS('All Employees by Mode'!AC:AC,'All Employees by Mode'!$J:$J,"="&amp;$A34,'All Employees by Mode'!$BE:$BE,"=No"),SUMIFS('All Employees by Mode'!AC:AC,'All Employees by Mode'!$J:$J,"="&amp;$A34))</f>
        <v>2408.5100000000002</v>
      </c>
      <c r="P34" s="160">
        <f>IF($AF$1,SUMIFS('All Employees by Mode'!AE:AE,'All Employees by Mode'!$J:$J,"="&amp;$A34,'All Employees by Mode'!$BE:$BE,"=No"),SUMIFS('All Employees by Mode'!AE:AE,'All Employees by Mode'!$J:$J,"="&amp;$A34))</f>
        <v>1547.32</v>
      </c>
      <c r="Q34" s="160">
        <f>IF($AF$1,SUMIFS('All Employees by Mode'!AG:AG,'All Employees by Mode'!$J:$J,"="&amp;$A34,'All Employees by Mode'!$BE:$BE,"=No"),SUMIFS('All Employees by Mode'!AG:AG,'All Employees by Mode'!$J:$J,"="&amp;$A34))</f>
        <v>870.38</v>
      </c>
      <c r="R34" s="160">
        <f>IF($AF$1,SUMIFS('All Employees by Mode'!AI:AI,'All Employees by Mode'!$J:$J,"="&amp;$A34,'All Employees by Mode'!$BE:$BE,"=No"),SUMIFS('All Employees by Mode'!AI:AI,'All Employees by Mode'!$J:$J,"="&amp;$A34))</f>
        <v>12276.56</v>
      </c>
      <c r="S34" s="161">
        <f>IF($AF$1,SUMIFS('All Employees by Mode'!AK:AK,'All Employees by Mode'!$J:$J,"="&amp;$A34,'All Employees by Mode'!$BE:$BE,"=No"),SUMIFS('All Employees by Mode'!AK:AK,'All Employees by Mode'!$J:$J,"="&amp;$A34))</f>
        <v>288860708</v>
      </c>
      <c r="T34" s="161">
        <f>IF($AF$1,SUMIFS('All Employees by Mode'!AM:AM,'All Employees by Mode'!$J:$J,"="&amp;$A34,'All Employees by Mode'!$BE:$BE,"=No"),SUMIFS('All Employees by Mode'!AM:AM,'All Employees by Mode'!$J:$J,"="&amp;$A34))</f>
        <v>166884839</v>
      </c>
      <c r="U34" s="161">
        <f>IF($AF$1,SUMIFS('All Employees by Mode'!AO:AO,'All Employees by Mode'!$J:$J,"="&amp;$A34,'All Employees by Mode'!$BE:$BE,"=No"),SUMIFS('All Employees by Mode'!AO:AO,'All Employees by Mode'!$J:$J,"="&amp;$A34))</f>
        <v>155910035</v>
      </c>
      <c r="V34" s="161">
        <f>IF($AF$1,SUMIFS('All Employees by Mode'!AQ:AQ,'All Employees by Mode'!$J:$J,"="&amp;$A34,'All Employees by Mode'!$BE:$BE,"=No"),SUMIFS('All Employees by Mode'!AQ:AQ,'All Employees by Mode'!$J:$J,"="&amp;$A34))</f>
        <v>107957294</v>
      </c>
      <c r="W34" s="161">
        <f>IF($AF$1,SUMIFS('All Employees by Mode'!AS:AS,'All Employees by Mode'!$J:$J,"="&amp;$A34,'All Employees by Mode'!$BE:$BE,"=No"),SUMIFS('All Employees by Mode'!AS:AS,'All Employees by Mode'!$J:$J,"="&amp;$A34))</f>
        <v>719612876</v>
      </c>
      <c r="X34" s="162">
        <f t="shared" si="14"/>
        <v>30.144551567761209</v>
      </c>
      <c r="Y34" s="162">
        <f t="shared" si="15"/>
        <v>34.559883492169995</v>
      </c>
      <c r="Z34" s="162">
        <f t="shared" si="16"/>
        <v>33.464464164097969</v>
      </c>
      <c r="AA34" s="162">
        <f t="shared" si="17"/>
        <v>37.201099796277866</v>
      </c>
      <c r="AB34" s="271">
        <f t="shared" si="18"/>
        <v>32.750848464362676</v>
      </c>
      <c r="AC34" s="93"/>
      <c r="AD34" s="94"/>
      <c r="AE34" s="94"/>
      <c r="AF34" s="94"/>
      <c r="AG34" s="94"/>
      <c r="AH34" s="94"/>
      <c r="AI34" s="94"/>
      <c r="AJ34" s="94"/>
      <c r="AK34" s="94"/>
      <c r="AL34" s="94"/>
      <c r="AM34" s="94"/>
      <c r="AN34" s="94"/>
      <c r="AO34" s="303"/>
      <c r="AP34" s="303"/>
      <c r="AQ34" s="303"/>
      <c r="AR34" s="303"/>
      <c r="AS34" s="303"/>
      <c r="AT34" s="303"/>
      <c r="AU34" s="94"/>
      <c r="AV34" s="94"/>
    </row>
    <row r="35" spans="1:48" s="95" customFormat="1" ht="11.25" customHeight="1">
      <c r="A35" s="177" t="s">
        <v>34</v>
      </c>
      <c r="B35" s="178" t="s">
        <v>108</v>
      </c>
      <c r="C35" s="179"/>
      <c r="D35" s="177"/>
      <c r="E35" s="180"/>
      <c r="F35" s="160">
        <f>IF($AF$1,SUMIFS('All Employees by Mode'!L:L,'All Employees by Mode'!$J:$J,"="&amp;$A35,'All Employees by Mode'!$BE:$BE,"=No"),SUMIFS('All Employees by Mode'!L:L,'All Employees by Mode'!$J:$J,"="&amp;$A35))</f>
        <v>110</v>
      </c>
      <c r="G35" s="160">
        <f>IF($AF$1,SUMIFS('All Employees by Mode'!M:M,'All Employees by Mode'!$J:$J,"="&amp;$A35,'All Employees by Mode'!$BE:$BE,"=No"),SUMIFS('All Employees by Mode'!M:M,'All Employees by Mode'!$J:$J,"="&amp;$A35))</f>
        <v>403127</v>
      </c>
      <c r="H35" s="160">
        <f>IF($AF$1,SUMIFS('All Employees by Mode'!O:O,'All Employees by Mode'!$J:$J,"="&amp;$A35,'All Employees by Mode'!$BE:$BE,"=No"),SUMIFS('All Employees by Mode'!O:O,'All Employees by Mode'!$J:$J,"="&amp;$A35))</f>
        <v>322682</v>
      </c>
      <c r="I35" s="160">
        <f>IF($AF$1,SUMIFS('All Employees by Mode'!Q:Q,'All Employees by Mode'!$J:$J,"="&amp;$A35,'All Employees by Mode'!$BE:$BE,"=No"),SUMIFS('All Employees by Mode'!Q:Q,'All Employees by Mode'!$J:$J,"="&amp;$A35))</f>
        <v>143790</v>
      </c>
      <c r="J35" s="160">
        <f>IF($AF$1,SUMIFS('All Employees by Mode'!S:S,'All Employees by Mode'!$J:$J,"="&amp;$A35,'All Employees by Mode'!$BE:$BE,"=No"),SUMIFS('All Employees by Mode'!S:S,'All Employees by Mode'!$J:$J,"="&amp;$A35))</f>
        <v>143843</v>
      </c>
      <c r="K35" s="160">
        <f>IF($AF$1,SUMIFS('All Employees by Mode'!U:U,'All Employees by Mode'!$J:$J,"="&amp;$A35,'All Employees by Mode'!$BE:$BE,"=No"),SUMIFS('All Employees by Mode'!U:U,'All Employees by Mode'!$J:$J,"="&amp;$A35))</f>
        <v>0</v>
      </c>
      <c r="L35" s="160">
        <f>IF($AF$1,SUMIFS('All Employees by Mode'!W:W,'All Employees by Mode'!$J:$J,"="&amp;$A35,'All Employees by Mode'!$BE:$BE,"=No"),SUMIFS('All Employees by Mode'!W:W,'All Employees by Mode'!$J:$J,"="&amp;$A35))</f>
        <v>1013442</v>
      </c>
      <c r="M35" s="160">
        <f>IF($AF$1,SUMIFS('All Employees by Mode'!Y:Y,'All Employees by Mode'!$J:$J,"="&amp;$A35,'All Employees by Mode'!$BE:$BE,"=No"),SUMIFS('All Employees by Mode'!Y:Y,'All Employees by Mode'!$J:$J,"="&amp;$A35))</f>
        <v>226</v>
      </c>
      <c r="N35" s="160">
        <f>IF($AF$1,SUMIFS('All Employees by Mode'!AA:AA,'All Employees by Mode'!$J:$J,"="&amp;$A35,'All Employees by Mode'!$BE:$BE,"=No"),SUMIFS('All Employees by Mode'!AA:AA,'All Employees by Mode'!$J:$J,"="&amp;$A35))</f>
        <v>153</v>
      </c>
      <c r="O35" s="160">
        <f>IF($AF$1,SUMIFS('All Employees by Mode'!AC:AC,'All Employees by Mode'!$J:$J,"="&amp;$A35,'All Employees by Mode'!$BE:$BE,"=No"),SUMIFS('All Employees by Mode'!AC:AC,'All Employees by Mode'!$J:$J,"="&amp;$A35))</f>
        <v>70</v>
      </c>
      <c r="P35" s="160">
        <f>IF($AF$1,SUMIFS('All Employees by Mode'!AE:AE,'All Employees by Mode'!$J:$J,"="&amp;$A35,'All Employees by Mode'!$BE:$BE,"=No"),SUMIFS('All Employees by Mode'!AE:AE,'All Employees by Mode'!$J:$J,"="&amp;$A35))</f>
        <v>78</v>
      </c>
      <c r="Q35" s="160">
        <f>IF($AF$1,SUMIFS('All Employees by Mode'!AG:AG,'All Employees by Mode'!$J:$J,"="&amp;$A35,'All Employees by Mode'!$BE:$BE,"=No"),SUMIFS('All Employees by Mode'!AG:AG,'All Employees by Mode'!$J:$J,"="&amp;$A35))</f>
        <v>0</v>
      </c>
      <c r="R35" s="160">
        <f>IF($AF$1,SUMIFS('All Employees by Mode'!AI:AI,'All Employees by Mode'!$J:$J,"="&amp;$A35,'All Employees by Mode'!$BE:$BE,"=No"),SUMIFS('All Employees by Mode'!AI:AI,'All Employees by Mode'!$J:$J,"="&amp;$A35))</f>
        <v>527</v>
      </c>
      <c r="S35" s="161">
        <f>IF($AF$1,SUMIFS('All Employees by Mode'!AK:AK,'All Employees by Mode'!$J:$J,"="&amp;$A35,'All Employees by Mode'!$BE:$BE,"=No"),SUMIFS('All Employees by Mode'!AK:AK,'All Employees by Mode'!$J:$J,"="&amp;$A35))</f>
        <v>10835909</v>
      </c>
      <c r="T35" s="161">
        <f>IF($AF$1,SUMIFS('All Employees by Mode'!AM:AM,'All Employees by Mode'!$J:$J,"="&amp;$A35,'All Employees by Mode'!$BE:$BE,"=No"),SUMIFS('All Employees by Mode'!AM:AM,'All Employees by Mode'!$J:$J,"="&amp;$A35))</f>
        <v>7710091</v>
      </c>
      <c r="U35" s="161">
        <f>IF($AF$1,SUMIFS('All Employees by Mode'!AO:AO,'All Employees by Mode'!$J:$J,"="&amp;$A35,'All Employees by Mode'!$BE:$BE,"=No"),SUMIFS('All Employees by Mode'!AO:AO,'All Employees by Mode'!$J:$J,"="&amp;$A35))</f>
        <v>3777637</v>
      </c>
      <c r="V35" s="161">
        <f>IF($AF$1,SUMIFS('All Employees by Mode'!AQ:AQ,'All Employees by Mode'!$J:$J,"="&amp;$A35,'All Employees by Mode'!$BE:$BE,"=No"),SUMIFS('All Employees by Mode'!AQ:AQ,'All Employees by Mode'!$J:$J,"="&amp;$A35))</f>
        <v>5507224</v>
      </c>
      <c r="W35" s="161">
        <f>IF($AF$1,SUMIFS('All Employees by Mode'!AS:AS,'All Employees by Mode'!$J:$J,"="&amp;$A35,'All Employees by Mode'!$BE:$BE,"=No"),SUMIFS('All Employees by Mode'!AS:AS,'All Employees by Mode'!$J:$J,"="&amp;$A35))</f>
        <v>27830861</v>
      </c>
      <c r="X35" s="162">
        <f t="shared" si="14"/>
        <v>26.879640907207904</v>
      </c>
      <c r="Y35" s="162">
        <f t="shared" si="15"/>
        <v>23.893774675996802</v>
      </c>
      <c r="Z35" s="162">
        <f t="shared" si="16"/>
        <v>26.271903470338689</v>
      </c>
      <c r="AA35" s="162">
        <f t="shared" si="17"/>
        <v>38.286353871929812</v>
      </c>
      <c r="AB35" s="271">
        <f t="shared" si="18"/>
        <v>27.461720552335507</v>
      </c>
      <c r="AC35" s="93"/>
      <c r="AD35" s="94"/>
      <c r="AE35" s="94"/>
      <c r="AF35" s="94"/>
      <c r="AG35" s="94"/>
      <c r="AH35" s="94"/>
      <c r="AI35" s="94"/>
      <c r="AJ35" s="94"/>
      <c r="AK35" s="94"/>
      <c r="AL35" s="94"/>
      <c r="AM35" s="94"/>
      <c r="AN35" s="94"/>
      <c r="AO35" s="303"/>
      <c r="AP35" s="303"/>
      <c r="AQ35" s="303"/>
      <c r="AR35" s="303"/>
      <c r="AS35" s="303"/>
      <c r="AT35" s="303"/>
      <c r="AU35" s="94"/>
      <c r="AV35" s="94"/>
    </row>
    <row r="36" spans="1:48" s="95" customFormat="1" ht="11.25" customHeight="1">
      <c r="A36" s="177" t="s">
        <v>12</v>
      </c>
      <c r="B36" s="178" t="s">
        <v>110</v>
      </c>
      <c r="C36" s="179"/>
      <c r="D36" s="177"/>
      <c r="E36" s="180"/>
      <c r="F36" s="160">
        <f>IF($AF$1,SUMIFS('All Employees by Mode'!L:L,'All Employees by Mode'!$J:$J,"="&amp;$A36,'All Employees by Mode'!$BE:$BE,"=No"),SUMIFS('All Employees by Mode'!L:L,'All Employees by Mode'!$J:$J,"="&amp;$A36))</f>
        <v>180</v>
      </c>
      <c r="G36" s="160">
        <f>IF($AF$1,SUMIFS('All Employees by Mode'!M:M,'All Employees by Mode'!$J:$J,"="&amp;$A36,'All Employees by Mode'!$BE:$BE,"=No"),SUMIFS('All Employees by Mode'!M:M,'All Employees by Mode'!$J:$J,"="&amp;$A36))</f>
        <v>1032208</v>
      </c>
      <c r="H36" s="160">
        <f>IF($AF$1,SUMIFS('All Employees by Mode'!O:O,'All Employees by Mode'!$J:$J,"="&amp;$A36,'All Employees by Mode'!$BE:$BE,"=No"),SUMIFS('All Employees by Mode'!O:O,'All Employees by Mode'!$J:$J,"="&amp;$A36))</f>
        <v>420386</v>
      </c>
      <c r="I36" s="160">
        <f>IF($AF$1,SUMIFS('All Employees by Mode'!Q:Q,'All Employees by Mode'!$J:$J,"="&amp;$A36,'All Employees by Mode'!$BE:$BE,"=No"),SUMIFS('All Employees by Mode'!Q:Q,'All Employees by Mode'!$J:$J,"="&amp;$A36))</f>
        <v>194690</v>
      </c>
      <c r="J36" s="160">
        <f>IF($AF$1,SUMIFS('All Employees by Mode'!S:S,'All Employees by Mode'!$J:$J,"="&amp;$A36,'All Employees by Mode'!$BE:$BE,"=No"),SUMIFS('All Employees by Mode'!S:S,'All Employees by Mode'!$J:$J,"="&amp;$A36))</f>
        <v>155857</v>
      </c>
      <c r="K36" s="160">
        <f>IF($AF$1,SUMIFS('All Employees by Mode'!U:U,'All Employees by Mode'!$J:$J,"="&amp;$A36,'All Employees by Mode'!$BE:$BE,"=No"),SUMIFS('All Employees by Mode'!U:U,'All Employees by Mode'!$J:$J,"="&amp;$A36))</f>
        <v>159912</v>
      </c>
      <c r="L36" s="160">
        <f>IF($AF$1,SUMIFS('All Employees by Mode'!W:W,'All Employees by Mode'!$J:$J,"="&amp;$A36,'All Employees by Mode'!$BE:$BE,"=No"),SUMIFS('All Employees by Mode'!W:W,'All Employees by Mode'!$J:$J,"="&amp;$A36))</f>
        <v>1963053</v>
      </c>
      <c r="M36" s="160">
        <f>IF($AF$1,SUMIFS('All Employees by Mode'!Y:Y,'All Employees by Mode'!$J:$J,"="&amp;$A36,'All Employees by Mode'!$BE:$BE,"=No"),SUMIFS('All Employees by Mode'!Y:Y,'All Employees by Mode'!$J:$J,"="&amp;$A36))</f>
        <v>569.46</v>
      </c>
      <c r="N36" s="160">
        <f>IF($AF$1,SUMIFS('All Employees by Mode'!AA:AA,'All Employees by Mode'!$J:$J,"="&amp;$A36,'All Employees by Mode'!$BE:$BE,"=No"),SUMIFS('All Employees by Mode'!AA:AA,'All Employees by Mode'!$J:$J,"="&amp;$A36))</f>
        <v>221.74</v>
      </c>
      <c r="O36" s="160">
        <f>IF($AF$1,SUMIFS('All Employees by Mode'!AC:AC,'All Employees by Mode'!$J:$J,"="&amp;$A36,'All Employees by Mode'!$BE:$BE,"=No"),SUMIFS('All Employees by Mode'!AC:AC,'All Employees by Mode'!$J:$J,"="&amp;$A36))</f>
        <v>98.960000000000008</v>
      </c>
      <c r="P36" s="160">
        <f>IF($AF$1,SUMIFS('All Employees by Mode'!AE:AE,'All Employees by Mode'!$J:$J,"="&amp;$A36,'All Employees by Mode'!$BE:$BE,"=No"),SUMIFS('All Employees by Mode'!AE:AE,'All Employees by Mode'!$J:$J,"="&amp;$A36))</f>
        <v>126.2</v>
      </c>
      <c r="Q36" s="160">
        <f>IF($AF$1,SUMIFS('All Employees by Mode'!AG:AG,'All Employees by Mode'!$J:$J,"="&amp;$A36,'All Employees by Mode'!$BE:$BE,"=No"),SUMIFS('All Employees by Mode'!AG:AG,'All Employees by Mode'!$J:$J,"="&amp;$A36))</f>
        <v>83.53</v>
      </c>
      <c r="R36" s="160">
        <f>IF($AF$1,SUMIFS('All Employees by Mode'!AI:AI,'All Employees by Mode'!$J:$J,"="&amp;$A36,'All Employees by Mode'!$BE:$BE,"=No"),SUMIFS('All Employees by Mode'!AI:AI,'All Employees by Mode'!$J:$J,"="&amp;$A36))</f>
        <v>1099.8899999999999</v>
      </c>
      <c r="S36" s="161">
        <f>IF($AF$1,SUMIFS('All Employees by Mode'!AK:AK,'All Employees by Mode'!$J:$J,"="&amp;$A36,'All Employees by Mode'!$BE:$BE,"=No"),SUMIFS('All Employees by Mode'!AK:AK,'All Employees by Mode'!$J:$J,"="&amp;$A36))</f>
        <v>30240706</v>
      </c>
      <c r="T36" s="161">
        <f>IF($AF$1,SUMIFS('All Employees by Mode'!AM:AM,'All Employees by Mode'!$J:$J,"="&amp;$A36,'All Employees by Mode'!$BE:$BE,"=No"),SUMIFS('All Employees by Mode'!AM:AM,'All Employees by Mode'!$J:$J,"="&amp;$A36))</f>
        <v>12057615</v>
      </c>
      <c r="U36" s="161">
        <f>IF($AF$1,SUMIFS('All Employees by Mode'!AO:AO,'All Employees by Mode'!$J:$J,"="&amp;$A36,'All Employees by Mode'!$BE:$BE,"=No"),SUMIFS('All Employees by Mode'!AO:AO,'All Employees by Mode'!$J:$J,"="&amp;$A36))</f>
        <v>6197535</v>
      </c>
      <c r="V36" s="161">
        <f>IF($AF$1,SUMIFS('All Employees by Mode'!AQ:AQ,'All Employees by Mode'!$J:$J,"="&amp;$A36,'All Employees by Mode'!$BE:$BE,"=No"),SUMIFS('All Employees by Mode'!AQ:AQ,'All Employees by Mode'!$J:$J,"="&amp;$A36))</f>
        <v>5473915</v>
      </c>
      <c r="W36" s="161">
        <f>IF($AF$1,SUMIFS('All Employees by Mode'!AS:AS,'All Employees by Mode'!$J:$J,"="&amp;$A36,'All Employees by Mode'!$BE:$BE,"=No"),SUMIFS('All Employees by Mode'!AS:AS,'All Employees by Mode'!$J:$J,"="&amp;$A36))</f>
        <v>53969771</v>
      </c>
      <c r="X36" s="162">
        <f t="shared" si="14"/>
        <v>29.297104847085084</v>
      </c>
      <c r="Y36" s="162">
        <f t="shared" si="15"/>
        <v>28.682246792233805</v>
      </c>
      <c r="Z36" s="162">
        <f t="shared" si="16"/>
        <v>31.832836817504752</v>
      </c>
      <c r="AA36" s="162">
        <f t="shared" si="17"/>
        <v>35.121393328499842</v>
      </c>
      <c r="AB36" s="271">
        <f t="shared" si="18"/>
        <v>29.930976557019111</v>
      </c>
      <c r="AC36" s="93"/>
      <c r="AD36" s="94"/>
      <c r="AE36" s="94"/>
      <c r="AF36" s="94"/>
      <c r="AG36" s="94"/>
      <c r="AH36" s="94"/>
      <c r="AI36" s="94"/>
      <c r="AJ36" s="94"/>
      <c r="AK36" s="94"/>
      <c r="AL36" s="94"/>
      <c r="AM36" s="94"/>
      <c r="AN36" s="94"/>
      <c r="AO36" s="303"/>
      <c r="AP36" s="303"/>
      <c r="AQ36" s="303"/>
      <c r="AR36" s="303"/>
      <c r="AS36" s="303"/>
      <c r="AT36" s="303"/>
      <c r="AU36" s="94"/>
      <c r="AV36" s="94"/>
    </row>
    <row r="37" spans="1:48" s="95" customFormat="1" ht="11.25" customHeight="1">
      <c r="A37" s="177" t="s">
        <v>25</v>
      </c>
      <c r="B37" s="178" t="s">
        <v>111</v>
      </c>
      <c r="C37" s="179"/>
      <c r="D37" s="177"/>
      <c r="E37" s="180"/>
      <c r="F37" s="160">
        <f>IF($AF$1,SUMIFS('All Employees by Mode'!L:L,'All Employees by Mode'!$J:$J,"="&amp;$A37,'All Employees by Mode'!$BE:$BE,"=No"),SUMIFS('All Employees by Mode'!L:L,'All Employees by Mode'!$J:$J,"="&amp;$A37))</f>
        <v>412</v>
      </c>
      <c r="G37" s="160">
        <f>IF($AF$1,SUMIFS('All Employees by Mode'!M:M,'All Employees by Mode'!$J:$J,"="&amp;$A37,'All Employees by Mode'!$BE:$BE,"=No"),SUMIFS('All Employees by Mode'!M:M,'All Employees by Mode'!$J:$J,"="&amp;$A37))</f>
        <v>2320564</v>
      </c>
      <c r="H37" s="160">
        <f>IF($AF$1,SUMIFS('All Employees by Mode'!O:O,'All Employees by Mode'!$J:$J,"="&amp;$A37,'All Employees by Mode'!$BE:$BE,"=No"),SUMIFS('All Employees by Mode'!O:O,'All Employees by Mode'!$J:$J,"="&amp;$A37))</f>
        <v>456381</v>
      </c>
      <c r="I37" s="160">
        <f>IF($AF$1,SUMIFS('All Employees by Mode'!Q:Q,'All Employees by Mode'!$J:$J,"="&amp;$A37,'All Employees by Mode'!$BE:$BE,"=No"),SUMIFS('All Employees by Mode'!Q:Q,'All Employees by Mode'!$J:$J,"="&amp;$A37))</f>
        <v>345573</v>
      </c>
      <c r="J37" s="160">
        <f>IF($AF$1,SUMIFS('All Employees by Mode'!S:S,'All Employees by Mode'!$J:$J,"="&amp;$A37,'All Employees by Mode'!$BE:$BE,"=No"),SUMIFS('All Employees by Mode'!S:S,'All Employees by Mode'!$J:$J,"="&amp;$A37))</f>
        <v>178827</v>
      </c>
      <c r="K37" s="160">
        <f>IF($AF$1,SUMIFS('All Employees by Mode'!U:U,'All Employees by Mode'!$J:$J,"="&amp;$A37,'All Employees by Mode'!$BE:$BE,"=No"),SUMIFS('All Employees by Mode'!U:U,'All Employees by Mode'!$J:$J,"="&amp;$A37))</f>
        <v>35863</v>
      </c>
      <c r="L37" s="160">
        <f>IF($AF$1,SUMIFS('All Employees by Mode'!W:W,'All Employees by Mode'!$J:$J,"="&amp;$A37,'All Employees by Mode'!$BE:$BE,"=No"),SUMIFS('All Employees by Mode'!W:W,'All Employees by Mode'!$J:$J,"="&amp;$A37))</f>
        <v>3337208</v>
      </c>
      <c r="M37" s="160">
        <f>IF($AF$1,SUMIFS('All Employees by Mode'!Y:Y,'All Employees by Mode'!$J:$J,"="&amp;$A37,'All Employees by Mode'!$BE:$BE,"=No"),SUMIFS('All Employees by Mode'!Y:Y,'All Employees by Mode'!$J:$J,"="&amp;$A37))</f>
        <v>1297.76</v>
      </c>
      <c r="N37" s="160">
        <f>IF($AF$1,SUMIFS('All Employees by Mode'!AA:AA,'All Employees by Mode'!$J:$J,"="&amp;$A37,'All Employees by Mode'!$BE:$BE,"=No"),SUMIFS('All Employees by Mode'!AA:AA,'All Employees by Mode'!$J:$J,"="&amp;$A37))</f>
        <v>247.09</v>
      </c>
      <c r="O37" s="160">
        <f>IF($AF$1,SUMIFS('All Employees by Mode'!AC:AC,'All Employees by Mode'!$J:$J,"="&amp;$A37,'All Employees by Mode'!$BE:$BE,"=No"),SUMIFS('All Employees by Mode'!AC:AC,'All Employees by Mode'!$J:$J,"="&amp;$A37))</f>
        <v>189.64000000000001</v>
      </c>
      <c r="P37" s="160">
        <f>IF($AF$1,SUMIFS('All Employees by Mode'!AE:AE,'All Employees by Mode'!$J:$J,"="&amp;$A37,'All Employees by Mode'!$BE:$BE,"=No"),SUMIFS('All Employees by Mode'!AE:AE,'All Employees by Mode'!$J:$J,"="&amp;$A37))</f>
        <v>114</v>
      </c>
      <c r="Q37" s="160">
        <f>IF($AF$1,SUMIFS('All Employees by Mode'!AG:AG,'All Employees by Mode'!$J:$J,"="&amp;$A37,'All Employees by Mode'!$BE:$BE,"=No"),SUMIFS('All Employees by Mode'!AG:AG,'All Employees by Mode'!$J:$J,"="&amp;$A37))</f>
        <v>21.770000000000003</v>
      </c>
      <c r="R37" s="160">
        <f>IF($AF$1,SUMIFS('All Employees by Mode'!AI:AI,'All Employees by Mode'!$J:$J,"="&amp;$A37,'All Employees by Mode'!$BE:$BE,"=No"),SUMIFS('All Employees by Mode'!AI:AI,'All Employees by Mode'!$J:$J,"="&amp;$A37))</f>
        <v>1870.2599999999998</v>
      </c>
      <c r="S37" s="161">
        <f>IF($AF$1,SUMIFS('All Employees by Mode'!AK:AK,'All Employees by Mode'!$J:$J,"="&amp;$A37,'All Employees by Mode'!$BE:$BE,"=No"),SUMIFS('All Employees by Mode'!AK:AK,'All Employees by Mode'!$J:$J,"="&amp;$A37))</f>
        <v>79616757</v>
      </c>
      <c r="T37" s="161">
        <f>IF($AF$1,SUMIFS('All Employees by Mode'!AM:AM,'All Employees by Mode'!$J:$J,"="&amp;$A37,'All Employees by Mode'!$BE:$BE,"=No"),SUMIFS('All Employees by Mode'!AM:AM,'All Employees by Mode'!$J:$J,"="&amp;$A37))</f>
        <v>19490551</v>
      </c>
      <c r="U37" s="161">
        <f>IF($AF$1,SUMIFS('All Employees by Mode'!AO:AO,'All Employees by Mode'!$J:$J,"="&amp;$A37,'All Employees by Mode'!$BE:$BE,"=No"),SUMIFS('All Employees by Mode'!AO:AO,'All Employees by Mode'!$J:$J,"="&amp;$A37))</f>
        <v>16544547</v>
      </c>
      <c r="V37" s="161">
        <f>IF($AF$1,SUMIFS('All Employees by Mode'!AQ:AQ,'All Employees by Mode'!$J:$J,"="&amp;$A37,'All Employees by Mode'!$BE:$BE,"=No"),SUMIFS('All Employees by Mode'!AQ:AQ,'All Employees by Mode'!$J:$J,"="&amp;$A37))</f>
        <v>7568949</v>
      </c>
      <c r="W37" s="161">
        <f>IF($AF$1,SUMIFS('All Employees by Mode'!AS:AS,'All Employees by Mode'!$J:$J,"="&amp;$A37,'All Employees by Mode'!$BE:$BE,"=No"),SUMIFS('All Employees by Mode'!AS:AS,'All Employees by Mode'!$J:$J,"="&amp;$A37))</f>
        <v>123220804</v>
      </c>
      <c r="X37" s="162">
        <f t="shared" si="14"/>
        <v>34.309226981027024</v>
      </c>
      <c r="Y37" s="162">
        <f t="shared" si="15"/>
        <v>42.706753786857909</v>
      </c>
      <c r="Z37" s="162">
        <f t="shared" si="16"/>
        <v>47.875693413547936</v>
      </c>
      <c r="AA37" s="162">
        <f t="shared" si="17"/>
        <v>42.325538089885754</v>
      </c>
      <c r="AB37" s="271">
        <f t="shared" si="18"/>
        <v>37.324425044943801</v>
      </c>
      <c r="AC37" s="93"/>
      <c r="AD37" s="94"/>
      <c r="AE37" s="94"/>
      <c r="AF37" s="94"/>
      <c r="AG37" s="94"/>
      <c r="AH37" s="94"/>
      <c r="AI37" s="94"/>
      <c r="AJ37" s="94"/>
      <c r="AK37" s="94"/>
      <c r="AL37" s="94"/>
      <c r="AM37" s="94"/>
      <c r="AN37" s="94"/>
      <c r="AO37" s="303"/>
      <c r="AP37" s="303"/>
      <c r="AQ37" s="303"/>
      <c r="AR37" s="303"/>
      <c r="AS37" s="303"/>
      <c r="AT37" s="303"/>
      <c r="AU37" s="94"/>
      <c r="AV37" s="94"/>
    </row>
    <row r="38" spans="1:48" s="95" customFormat="1" ht="11.25" customHeight="1" thickBot="1">
      <c r="A38" s="181" t="s">
        <v>8</v>
      </c>
      <c r="B38" s="182" t="s">
        <v>112</v>
      </c>
      <c r="C38" s="183"/>
      <c r="D38" s="181"/>
      <c r="E38" s="184"/>
      <c r="F38" s="164">
        <f>IF($AF$1,SUMIFS('All Employees by Mode'!L:L,'All Employees by Mode'!$J:$J,"="&amp;$A38,'All Employees by Mode'!$BE:$BE,"=No"),SUMIFS('All Employees by Mode'!L:L,'All Employees by Mode'!$J:$J,"="&amp;$A38))</f>
        <v>6987</v>
      </c>
      <c r="G38" s="164">
        <f>IF($AF$1,SUMIFS('All Employees by Mode'!M:M,'All Employees by Mode'!$J:$J,"="&amp;$A38,'All Employees by Mode'!$BE:$BE,"=No"),SUMIFS('All Employees by Mode'!M:M,'All Employees by Mode'!$J:$J,"="&amp;$A38))</f>
        <v>84750</v>
      </c>
      <c r="H38" s="164">
        <f>IF($AF$1,SUMIFS('All Employees by Mode'!O:O,'All Employees by Mode'!$J:$J,"="&amp;$A38,'All Employees by Mode'!$BE:$BE,"=No"),SUMIFS('All Employees by Mode'!O:O,'All Employees by Mode'!$J:$J,"="&amp;$A38))</f>
        <v>65474</v>
      </c>
      <c r="I38" s="164">
        <f>IF($AF$1,SUMIFS('All Employees by Mode'!Q:Q,'All Employees by Mode'!$J:$J,"="&amp;$A38,'All Employees by Mode'!$BE:$BE,"=No"),SUMIFS('All Employees by Mode'!Q:Q,'All Employees by Mode'!$J:$J,"="&amp;$A38))</f>
        <v>13548</v>
      </c>
      <c r="J38" s="164">
        <f>IF($AF$1,SUMIFS('All Employees by Mode'!S:S,'All Employees by Mode'!$J:$J,"="&amp;$A38,'All Employees by Mode'!$BE:$BE,"=No"),SUMIFS('All Employees by Mode'!S:S,'All Employees by Mode'!$J:$J,"="&amp;$A38))</f>
        <v>341325</v>
      </c>
      <c r="K38" s="164">
        <f>IF($AF$1,SUMIFS('All Employees by Mode'!U:U,'All Employees by Mode'!$J:$J,"="&amp;$A38,'All Employees by Mode'!$BE:$BE,"=No"),SUMIFS('All Employees by Mode'!U:U,'All Employees by Mode'!$J:$J,"="&amp;$A38))</f>
        <v>2839</v>
      </c>
      <c r="L38" s="164">
        <f>IF($AF$1,SUMIFS('All Employees by Mode'!W:W,'All Employees by Mode'!$J:$J,"="&amp;$A38,'All Employees by Mode'!$BE:$BE,"=No"),SUMIFS('All Employees by Mode'!W:W,'All Employees by Mode'!$J:$J,"="&amp;$A38))</f>
        <v>507936</v>
      </c>
      <c r="M38" s="164">
        <f>IF($AF$1,SUMIFS('All Employees by Mode'!Y:Y,'All Employees by Mode'!$J:$J,"="&amp;$A38,'All Employees by Mode'!$BE:$BE,"=No"),SUMIFS('All Employees by Mode'!Y:Y,'All Employees by Mode'!$J:$J,"="&amp;$A38))</f>
        <v>48.26</v>
      </c>
      <c r="N38" s="164">
        <f>IF($AF$1,SUMIFS('All Employees by Mode'!AA:AA,'All Employees by Mode'!$J:$J,"="&amp;$A38,'All Employees by Mode'!$BE:$BE,"=No"),SUMIFS('All Employees by Mode'!AA:AA,'All Employees by Mode'!$J:$J,"="&amp;$A38))</f>
        <v>37.059999999999995</v>
      </c>
      <c r="O38" s="164">
        <f>IF($AF$1,SUMIFS('All Employees by Mode'!AC:AC,'All Employees by Mode'!$J:$J,"="&amp;$A38,'All Employees by Mode'!$BE:$BE,"=No"),SUMIFS('All Employees by Mode'!AC:AC,'All Employees by Mode'!$J:$J,"="&amp;$A38))</f>
        <v>9.27</v>
      </c>
      <c r="P38" s="164">
        <f>IF($AF$1,SUMIFS('All Employees by Mode'!AE:AE,'All Employees by Mode'!$J:$J,"="&amp;$A38,'All Employees by Mode'!$BE:$BE,"=No"),SUMIFS('All Employees by Mode'!AE:AE,'All Employees by Mode'!$J:$J,"="&amp;$A38))</f>
        <v>220.23000000000002</v>
      </c>
      <c r="Q38" s="164">
        <f>IF($AF$1,SUMIFS('All Employees by Mode'!AG:AG,'All Employees by Mode'!$J:$J,"="&amp;$A38,'All Employees by Mode'!$BE:$BE,"=No"),SUMIFS('All Employees by Mode'!AG:AG,'All Employees by Mode'!$J:$J,"="&amp;$A38))</f>
        <v>2.4299999999999997</v>
      </c>
      <c r="R38" s="164">
        <f>IF($AF$1,SUMIFS('All Employees by Mode'!AI:AI,'All Employees by Mode'!$J:$J,"="&amp;$A38,'All Employees by Mode'!$BE:$BE,"=No"),SUMIFS('All Employees by Mode'!AI:AI,'All Employees by Mode'!$J:$J,"="&amp;$A38))</f>
        <v>317.25000000000006</v>
      </c>
      <c r="S38" s="165">
        <f>IF($AF$1,SUMIFS('All Employees by Mode'!AK:AK,'All Employees by Mode'!$J:$J,"="&amp;$A38,'All Employees by Mode'!$BE:$BE,"=No"),SUMIFS('All Employees by Mode'!AK:AK,'All Employees by Mode'!$J:$J,"="&amp;$A38))</f>
        <v>2571067</v>
      </c>
      <c r="T38" s="165">
        <f>IF($AF$1,SUMIFS('All Employees by Mode'!AM:AM,'All Employees by Mode'!$J:$J,"="&amp;$A38,'All Employees by Mode'!$BE:$BE,"=No"),SUMIFS('All Employees by Mode'!AM:AM,'All Employees by Mode'!$J:$J,"="&amp;$A38))</f>
        <v>1736831</v>
      </c>
      <c r="U38" s="165">
        <f>IF($AF$1,SUMIFS('All Employees by Mode'!AO:AO,'All Employees by Mode'!$J:$J,"="&amp;$A38,'All Employees by Mode'!$BE:$BE,"=No"),SUMIFS('All Employees by Mode'!AO:AO,'All Employees by Mode'!$J:$J,"="&amp;$A38))</f>
        <v>383161</v>
      </c>
      <c r="V38" s="165">
        <f>IF($AF$1,SUMIFS('All Employees by Mode'!AQ:AQ,'All Employees by Mode'!$J:$J,"="&amp;$A38,'All Employees by Mode'!$BE:$BE,"=No"),SUMIFS('All Employees by Mode'!AQ:AQ,'All Employees by Mode'!$J:$J,"="&amp;$A38))</f>
        <v>11765643</v>
      </c>
      <c r="W38" s="165">
        <f>IF($AF$1,SUMIFS('All Employees by Mode'!AS:AS,'All Employees by Mode'!$J:$J,"="&amp;$A38,'All Employees by Mode'!$BE:$BE,"=No"),SUMIFS('All Employees by Mode'!AS:AS,'All Employees by Mode'!$J:$J,"="&amp;$A38))</f>
        <v>16456702</v>
      </c>
      <c r="X38" s="166">
        <f t="shared" si="14"/>
        <v>30.337073746312683</v>
      </c>
      <c r="Y38" s="166">
        <f t="shared" si="15"/>
        <v>26.527033631670587</v>
      </c>
      <c r="Z38" s="166">
        <f t="shared" si="16"/>
        <v>28.281739002066725</v>
      </c>
      <c r="AA38" s="166">
        <f t="shared" si="17"/>
        <v>34.470498791474398</v>
      </c>
      <c r="AB38" s="272">
        <f t="shared" si="18"/>
        <v>32.581270528235173</v>
      </c>
      <c r="AC38" s="93"/>
      <c r="AD38" s="94"/>
      <c r="AE38" s="94"/>
      <c r="AF38" s="94"/>
      <c r="AG38" s="94"/>
      <c r="AH38" s="94"/>
      <c r="AI38" s="94"/>
      <c r="AJ38" s="94"/>
      <c r="AK38" s="94"/>
      <c r="AL38" s="94"/>
      <c r="AM38" s="94"/>
      <c r="AN38" s="94"/>
      <c r="AO38" s="303"/>
      <c r="AP38" s="303"/>
      <c r="AQ38" s="303"/>
      <c r="AR38" s="303"/>
      <c r="AS38" s="303"/>
      <c r="AT38" s="303"/>
      <c r="AU38" s="94"/>
      <c r="AV38" s="94"/>
    </row>
    <row r="39" spans="1:48" s="122" customFormat="1" ht="11.25" customHeight="1" thickTop="1">
      <c r="A39" s="244"/>
      <c r="B39" s="119"/>
      <c r="C39" s="120"/>
      <c r="D39" s="120"/>
      <c r="E39" s="120"/>
      <c r="F39" s="120"/>
      <c r="G39" s="120"/>
      <c r="H39" s="120"/>
      <c r="I39" s="120"/>
      <c r="J39" s="120"/>
      <c r="K39" s="120"/>
      <c r="L39" s="120"/>
      <c r="M39" s="120"/>
      <c r="N39" s="120"/>
      <c r="O39" s="120"/>
      <c r="P39" s="120"/>
      <c r="Q39" s="120"/>
      <c r="R39" s="120"/>
      <c r="S39" s="121"/>
      <c r="T39" s="121"/>
      <c r="U39" s="121"/>
      <c r="V39" s="121"/>
      <c r="W39" s="121"/>
      <c r="X39" s="121"/>
      <c r="Y39" s="121"/>
      <c r="Z39" s="121"/>
      <c r="AA39" s="121"/>
      <c r="AB39" s="274"/>
      <c r="AC39" s="93"/>
      <c r="AD39" s="121"/>
      <c r="AE39" s="121"/>
      <c r="AF39" s="94"/>
      <c r="AG39" s="121"/>
      <c r="AH39" s="121"/>
      <c r="AI39" s="121"/>
      <c r="AJ39" s="121"/>
      <c r="AK39" s="121"/>
      <c r="AL39" s="121"/>
      <c r="AM39" s="121"/>
      <c r="AN39" s="121"/>
      <c r="AO39" s="305"/>
      <c r="AP39" s="305"/>
      <c r="AQ39" s="305"/>
      <c r="AR39" s="305"/>
      <c r="AS39" s="305"/>
      <c r="AT39" s="305"/>
      <c r="AU39" s="121"/>
      <c r="AV39" s="121"/>
    </row>
    <row r="40" spans="1:48" s="122" customFormat="1" ht="11.25" customHeight="1" thickBot="1">
      <c r="A40" s="240" t="s">
        <v>950</v>
      </c>
      <c r="B40" s="241"/>
      <c r="C40" s="241"/>
      <c r="D40" s="242"/>
      <c r="E40" s="242"/>
      <c r="F40" s="242"/>
      <c r="G40" s="242"/>
      <c r="H40" s="242"/>
      <c r="I40" s="242"/>
      <c r="J40" s="242"/>
      <c r="K40" s="242"/>
      <c r="L40" s="242"/>
      <c r="M40" s="242"/>
      <c r="N40" s="242"/>
      <c r="O40" s="242"/>
      <c r="P40" s="242"/>
      <c r="Q40" s="242"/>
      <c r="R40" s="242"/>
      <c r="S40" s="92"/>
      <c r="T40" s="92"/>
      <c r="U40" s="92"/>
      <c r="V40" s="92"/>
      <c r="W40" s="92"/>
      <c r="X40" s="92"/>
      <c r="Y40" s="92"/>
      <c r="Z40" s="92"/>
      <c r="AA40" s="92"/>
      <c r="AB40" s="243"/>
      <c r="AC40" s="93"/>
      <c r="AD40" s="121"/>
      <c r="AE40" s="121"/>
      <c r="AF40" s="121"/>
      <c r="AG40" s="121"/>
      <c r="AH40" s="121"/>
      <c r="AI40" s="121"/>
      <c r="AJ40" s="121"/>
      <c r="AK40" s="121"/>
      <c r="AL40" s="121"/>
      <c r="AM40" s="121"/>
      <c r="AN40" s="121"/>
      <c r="AO40" s="305"/>
      <c r="AP40" s="305"/>
      <c r="AQ40" s="305"/>
      <c r="AR40" s="305"/>
      <c r="AS40" s="305"/>
      <c r="AT40" s="305"/>
      <c r="AU40" s="121"/>
      <c r="AV40" s="121"/>
    </row>
    <row r="41" spans="1:48" s="122" customFormat="1" ht="11.25" customHeight="1" thickTop="1">
      <c r="A41" s="136"/>
      <c r="B41" s="137"/>
      <c r="C41" s="137"/>
      <c r="D41" s="138"/>
      <c r="E41" s="139"/>
      <c r="F41" s="248"/>
      <c r="G41" s="214"/>
      <c r="H41" s="215"/>
      <c r="I41" s="215"/>
      <c r="J41" s="213" t="s">
        <v>1065</v>
      </c>
      <c r="K41" s="215"/>
      <c r="L41" s="212"/>
      <c r="M41" s="211"/>
      <c r="N41" s="211"/>
      <c r="O41" s="211"/>
      <c r="P41" s="220" t="s">
        <v>1066</v>
      </c>
      <c r="Q41" s="211"/>
      <c r="R41" s="219"/>
      <c r="S41" s="214"/>
      <c r="T41" s="215"/>
      <c r="U41" s="215"/>
      <c r="V41" s="221" t="s">
        <v>1067</v>
      </c>
      <c r="W41" s="212"/>
      <c r="X41" s="214"/>
      <c r="Y41" s="215"/>
      <c r="Z41" s="215"/>
      <c r="AA41" s="221" t="s">
        <v>1068</v>
      </c>
      <c r="AB41" s="222"/>
      <c r="AC41" s="93"/>
      <c r="AD41" s="121"/>
      <c r="AE41" s="121"/>
      <c r="AF41" s="121"/>
      <c r="AG41" s="121"/>
      <c r="AH41" s="121"/>
      <c r="AI41" s="121"/>
      <c r="AJ41" s="121"/>
      <c r="AK41" s="121"/>
      <c r="AL41" s="121"/>
      <c r="AM41" s="121"/>
      <c r="AN41" s="121"/>
      <c r="AO41" s="305"/>
      <c r="AP41" s="305"/>
      <c r="AQ41" s="305"/>
      <c r="AR41" s="305"/>
      <c r="AS41" s="305"/>
      <c r="AT41" s="305"/>
      <c r="AU41" s="121"/>
      <c r="AV41" s="121"/>
    </row>
    <row r="42" spans="1:48" s="95" customFormat="1" ht="21.6" customHeight="1">
      <c r="A42" s="104"/>
      <c r="B42" s="105"/>
      <c r="C42" s="105"/>
      <c r="D42" s="106" t="s">
        <v>1014</v>
      </c>
      <c r="E42" s="227" t="s">
        <v>1069</v>
      </c>
      <c r="F42" s="265" t="s">
        <v>1092</v>
      </c>
      <c r="G42" s="265" t="s">
        <v>1072</v>
      </c>
      <c r="H42" s="265" t="s">
        <v>1073</v>
      </c>
      <c r="I42" s="265" t="s">
        <v>1074</v>
      </c>
      <c r="J42" s="308" t="s">
        <v>1075</v>
      </c>
      <c r="K42" s="265" t="s">
        <v>1076</v>
      </c>
      <c r="L42" s="265" t="s">
        <v>1091</v>
      </c>
      <c r="M42" s="309" t="s">
        <v>1077</v>
      </c>
      <c r="N42" s="265" t="s">
        <v>1078</v>
      </c>
      <c r="O42" s="265" t="s">
        <v>1079</v>
      </c>
      <c r="P42" s="308" t="s">
        <v>1080</v>
      </c>
      <c r="Q42" s="309" t="s">
        <v>1081</v>
      </c>
      <c r="R42" s="310" t="s">
        <v>1093</v>
      </c>
      <c r="S42" s="265" t="s">
        <v>1082</v>
      </c>
      <c r="T42" s="265" t="s">
        <v>1083</v>
      </c>
      <c r="U42" s="265" t="s">
        <v>1084</v>
      </c>
      <c r="V42" s="265" t="s">
        <v>1085</v>
      </c>
      <c r="W42" s="265" t="s">
        <v>1094</v>
      </c>
      <c r="X42" s="265" t="s">
        <v>1086</v>
      </c>
      <c r="Y42" s="265" t="s">
        <v>1087</v>
      </c>
      <c r="Z42" s="265" t="s">
        <v>1088</v>
      </c>
      <c r="AA42" s="265" t="s">
        <v>1089</v>
      </c>
      <c r="AB42" s="269" t="s">
        <v>1090</v>
      </c>
      <c r="AC42" s="93"/>
      <c r="AD42" s="94"/>
      <c r="AE42" s="94"/>
      <c r="AF42" s="121"/>
      <c r="AG42" s="94"/>
      <c r="AH42" s="94"/>
      <c r="AI42" s="94"/>
      <c r="AJ42" s="94"/>
      <c r="AK42" s="94"/>
      <c r="AL42" s="94"/>
      <c r="AM42" s="94"/>
      <c r="AN42" s="94"/>
      <c r="AO42" s="303"/>
      <c r="AP42" s="303"/>
      <c r="AQ42" s="303"/>
      <c r="AR42" s="303"/>
      <c r="AS42" s="303"/>
      <c r="AT42" s="303"/>
      <c r="AU42" s="94"/>
      <c r="AV42" s="94"/>
    </row>
    <row r="43" spans="1:48" s="95" customFormat="1" ht="11.25" customHeight="1">
      <c r="A43" s="167" t="s">
        <v>1155</v>
      </c>
      <c r="B43" s="168">
        <f>D43</f>
        <v>10</v>
      </c>
      <c r="C43" s="169"/>
      <c r="D43" s="250">
        <v>10</v>
      </c>
      <c r="E43" s="276" t="str">
        <f>A43&amp;" "&amp;FIXED(B43,0,0)</f>
        <v>Under 10</v>
      </c>
      <c r="F43" s="155">
        <f>IF($AF$1,SUMIFS('All Employees by Mode'!L:L,'All Employees by Mode'!$I:$I,"&lt;"&amp;$D43,'All Employees by Mode'!$BE:$BE,"=No"),SUMIFS('All Employees by Mode'!L:L,'All Employees by Mode'!$I:$I,"&lt;"&amp;$D43))</f>
        <v>82</v>
      </c>
      <c r="G43" s="156">
        <f>IF($AF$1,SUMIFS('All Employees by Mode'!M:M,'All Employees by Mode'!$I:$I,"&lt;"&amp;$D43,'All Employees by Mode'!$BE:$BE,"=No"),SUMIFS('All Employees by Mode'!M:M,'All Employees by Mode'!$I:$I,"&lt;"&amp;$D43))</f>
        <v>491768</v>
      </c>
      <c r="H43" s="156">
        <f>IF($AF$1,SUMIFS('All Employees by Mode'!O:O,'All Employees by Mode'!$I:$I,"&lt;"&amp;$D43,'All Employees by Mode'!$BE:$BE,"=No"),SUMIFS('All Employees by Mode'!O:O,'All Employees by Mode'!$I:$I,"&lt;"&amp;$D43))</f>
        <v>48300</v>
      </c>
      <c r="I43" s="156">
        <f>IF($AF$1,SUMIFS('All Employees by Mode'!Q:Q,'All Employees by Mode'!$I:$I,"&lt;"&amp;$D43,'All Employees by Mode'!$BE:$BE,"=No"),SUMIFS('All Employees by Mode'!Q:Q,'All Employees by Mode'!$I:$I,"&lt;"&amp;$D43))</f>
        <v>17554</v>
      </c>
      <c r="J43" s="156">
        <f>IF($AF$1,SUMIFS('All Employees by Mode'!S:S,'All Employees by Mode'!$I:$I,"&lt;"&amp;$D43,'All Employees by Mode'!$BE:$BE,"=No"),SUMIFS('All Employees by Mode'!S:S,'All Employees by Mode'!$I:$I,"&lt;"&amp;$D43))</f>
        <v>105760</v>
      </c>
      <c r="K43" s="156">
        <f>IF($AF$1,SUMIFS('All Employees by Mode'!U:U,'All Employees by Mode'!$I:$I,"&lt;"&amp;$D43,'All Employees by Mode'!$BE:$BE,"=No"),SUMIFS('All Employees by Mode'!U:U,'All Employees by Mode'!$I:$I,"&lt;"&amp;$D43))</f>
        <v>4233</v>
      </c>
      <c r="L43" s="156">
        <f>IF($AF$1,SUMIFS('All Employees by Mode'!W:W,'All Employees by Mode'!$I:$I,"&lt;"&amp;$D43,'All Employees by Mode'!$BE:$BE,"=No"),SUMIFS('All Employees by Mode'!W:W,'All Employees by Mode'!$I:$I,"&lt;"&amp;$D43))</f>
        <v>667615</v>
      </c>
      <c r="M43" s="156">
        <f>IF($AF$1,SUMIFS('All Employees by Mode'!Y:Y,'All Employees by Mode'!$I:$I,"&lt;"&amp;$D43,'All Employees by Mode'!$BE:$BE,"=No"),SUMIFS('All Employees by Mode'!Y:Y,'All Employees by Mode'!$I:$I,"&lt;"&amp;$D43))</f>
        <v>349.95</v>
      </c>
      <c r="N43" s="156">
        <f>IF($AF$1,SUMIFS('All Employees by Mode'!AA:AA,'All Employees by Mode'!$I:$I,"&lt;"&amp;$D43,'All Employees by Mode'!$BE:$BE,"=No"),SUMIFS('All Employees by Mode'!AA:AA,'All Employees by Mode'!$I:$I,"&lt;"&amp;$D43))</f>
        <v>29.68</v>
      </c>
      <c r="O43" s="156">
        <f>IF($AF$1,SUMIFS('All Employees by Mode'!AC:AC,'All Employees by Mode'!$I:$I,"&lt;"&amp;$D43,'All Employees by Mode'!$BE:$BE,"=No"),SUMIFS('All Employees by Mode'!AC:AC,'All Employees by Mode'!$I:$I,"&lt;"&amp;$D43))</f>
        <v>11.43</v>
      </c>
      <c r="P43" s="156">
        <f>IF($AF$1,SUMIFS('All Employees by Mode'!AE:AE,'All Employees by Mode'!$I:$I,"&lt;"&amp;$D43,'All Employees by Mode'!$BE:$BE,"=No"),SUMIFS('All Employees by Mode'!AE:AE,'All Employees by Mode'!$I:$I,"&lt;"&amp;$D43))</f>
        <v>101.10999999999999</v>
      </c>
      <c r="Q43" s="156">
        <f>IF($AF$1,SUMIFS('All Employees by Mode'!AG:AG,'All Employees by Mode'!$I:$I,"&lt;"&amp;$D43,'All Employees by Mode'!$BE:$BE,"=No"),SUMIFS('All Employees by Mode'!AG:AG,'All Employees by Mode'!$I:$I,"&lt;"&amp;$D43))</f>
        <v>3.3</v>
      </c>
      <c r="R43" s="156">
        <f>IF($AF$1,SUMIFS('All Employees by Mode'!AI:AI,'All Employees by Mode'!$I:$I,"&lt;"&amp;$D43,'All Employees by Mode'!$BE:$BE,"=No"),SUMIFS('All Employees by Mode'!AI:AI,'All Employees by Mode'!$I:$I,"&lt;"&amp;$D43))</f>
        <v>495.47</v>
      </c>
      <c r="S43" s="157">
        <f>IF($AF$1,SUMIFS('All Employees by Mode'!AK:AK,'All Employees by Mode'!$I:$I,"&lt;"&amp;$D43,'All Employees by Mode'!$BE:$BE,"=No"),SUMIFS('All Employees by Mode'!AK:AK,'All Employees by Mode'!$I:$I,"&lt;"&amp;$D43))</f>
        <v>10654404</v>
      </c>
      <c r="T43" s="157">
        <f>IF($AF$1,SUMIFS('All Employees by Mode'!AM:AM,'All Employees by Mode'!$I:$I,"&lt;"&amp;$D43,'All Employees by Mode'!$BE:$BE,"=No"),SUMIFS('All Employees by Mode'!AM:AM,'All Employees by Mode'!$I:$I,"&lt;"&amp;$D43))</f>
        <v>1105403</v>
      </c>
      <c r="U43" s="157">
        <f>IF($AF$1,SUMIFS('All Employees by Mode'!AO:AO,'All Employees by Mode'!$I:$I,"&lt;"&amp;$D43,'All Employees by Mode'!$BE:$BE,"=No"),SUMIFS('All Employees by Mode'!AO:AO,'All Employees by Mode'!$I:$I,"&lt;"&amp;$D43))</f>
        <v>301418</v>
      </c>
      <c r="V43" s="157">
        <f>IF($AF$1,SUMIFS('All Employees by Mode'!AQ:AQ,'All Employees by Mode'!$I:$I,"&lt;"&amp;$D43,'All Employees by Mode'!$BE:$BE,"=No"),SUMIFS('All Employees by Mode'!AQ:AQ,'All Employees by Mode'!$I:$I,"&lt;"&amp;$D43))</f>
        <v>2716651</v>
      </c>
      <c r="W43" s="157">
        <f>IF($AF$1,SUMIFS('All Employees by Mode'!AS:AS,'All Employees by Mode'!$I:$I,"&lt;"&amp;$D43,'All Employees by Mode'!$BE:$BE,"=No"),SUMIFS('All Employees by Mode'!AS:AS,'All Employees by Mode'!$I:$I,"&lt;"&amp;$D43))</f>
        <v>14777876</v>
      </c>
      <c r="X43" s="158">
        <f t="shared" ref="X43:AA44" si="19">IFERROR(S43/G43,"-")</f>
        <v>21.665508939174572</v>
      </c>
      <c r="Y43" s="158">
        <f t="shared" si="19"/>
        <v>22.886190476190475</v>
      </c>
      <c r="Z43" s="158">
        <f t="shared" si="19"/>
        <v>17.170901219095363</v>
      </c>
      <c r="AA43" s="158">
        <f t="shared" si="19"/>
        <v>25.68694213313162</v>
      </c>
      <c r="AB43" s="270">
        <f>W43/SUM(G43:J43)</f>
        <v>22.276570663659854</v>
      </c>
      <c r="AC43" s="93"/>
      <c r="AD43" s="94"/>
      <c r="AE43" s="94"/>
      <c r="AF43" s="94"/>
      <c r="AG43" s="94"/>
      <c r="AH43" s="94" t="str">
        <f>IFERROR(AT43&amp;":"&amp;CHAR(10)&amp;"Vehicle Operations: $"&amp;FIXED(AO43,2,0)&amp;CHAR(10)&amp;"Vehicle Maintenance: $"&amp;FIXED(AP43,2,0)&amp;CHAR(10)&amp;"Facility Maintenance: $"&amp;FIXED(AQ43,2,0)&amp;CHAR(10)&amp;"General Administration: $"&amp;FIXED(AR43,2,0)&amp;CHAR(10)&amp;"Total: $"&amp;FIXED(AS43,2,0),"")</f>
        <v>Under 10:
Vehicle Operations: $21.67
Vehicle Maintenance: $22.89
Facility Maintenance: $17.17
General Administration: $25.69
Total: $22.28</v>
      </c>
      <c r="AI43" s="94"/>
      <c r="AJ43" s="94"/>
      <c r="AK43" s="94"/>
      <c r="AL43" s="94"/>
      <c r="AM43" s="94"/>
      <c r="AN43" s="94"/>
      <c r="AO43" s="306">
        <f>X43</f>
        <v>21.665508939174572</v>
      </c>
      <c r="AP43" s="306">
        <f t="shared" ref="AP43:AS51" si="20">Y43</f>
        <v>22.886190476190475</v>
      </c>
      <c r="AQ43" s="306">
        <f t="shared" si="20"/>
        <v>17.170901219095363</v>
      </c>
      <c r="AR43" s="306">
        <f t="shared" si="20"/>
        <v>25.68694213313162</v>
      </c>
      <c r="AS43" s="306">
        <f t="shared" si="20"/>
        <v>22.276570663659854</v>
      </c>
      <c r="AT43" s="303" t="str">
        <f>"Under "&amp;FIXED($B43,0,0)</f>
        <v>Under 10</v>
      </c>
      <c r="AU43" s="94"/>
      <c r="AV43" s="94"/>
    </row>
    <row r="44" spans="1:48" s="95" customFormat="1" ht="11.25" customHeight="1">
      <c r="A44" s="167" t="str">
        <f>IF(D44&lt;&gt;"","Between","Over")</f>
        <v>Between</v>
      </c>
      <c r="B44" s="168">
        <f>D43</f>
        <v>10</v>
      </c>
      <c r="C44" s="169" t="str">
        <f>IF(D44&lt;&gt;"","and","")</f>
        <v>and</v>
      </c>
      <c r="D44" s="250">
        <v>25</v>
      </c>
      <c r="E44" s="276" t="str">
        <f t="shared" ref="E44:E51" si="21">IFERROR(IF(A44="Between",A44&amp;" "&amp;FIXED(B44,0,0)&amp;" "&amp;C44&amp;" "&amp;FIXED(D44,0,0),A44&amp;" "&amp;FIXED(B44,0,0)),"invalid bin")</f>
        <v>Between 10 and 25</v>
      </c>
      <c r="F44" s="159">
        <f>IF($AF$1,IF($A44="Between",SUMIFS('All Employees by Mode'!L:L,'All Employees by Mode'!$I:$I,"&gt;="&amp;$B44,'All Employees by Mode'!$I:$I,"&lt;"&amp;$D44,'All Employees by Mode'!$BE:$BE,"=No"),SUMIFS('All Employees by Mode'!L:L,'All Employees by Mode'!$I:$I,"&gt;="&amp;$B44,'All Employees by Mode'!$BE:$BE,"=No")),IF($A44="Between",SUMIFS('All Employees by Mode'!L:L,'All Employees by Mode'!$I:$I,"&gt;="&amp;$B44,'All Employees by Mode'!$I:$I,"&lt;"&amp;$D44),SUMIFS('All Employees by Mode'!L:L,'All Employees by Mode'!$I:$I,"&gt;="&amp;$B44)))</f>
        <v>761</v>
      </c>
      <c r="G44" s="160">
        <f>IF($AF$1,IF($A44="Between",SUMIFS('All Employees by Mode'!M:M,'All Employees by Mode'!$I:$I,"&gt;="&amp;$B44,'All Employees by Mode'!$I:$I,"&lt;"&amp;$D44,'All Employees by Mode'!$BE:$BE,"=No"),SUMIFS('All Employees by Mode'!M:M,'All Employees by Mode'!$I:$I,"&gt;="&amp;$B44,'All Employees by Mode'!$BE:$BE,"=No")),IF($A44="Between",SUMIFS('All Employees by Mode'!M:M,'All Employees by Mode'!$I:$I,"&gt;="&amp;$B44,'All Employees by Mode'!$I:$I,"&lt;"&amp;$D44),SUMIFS('All Employees by Mode'!M:M,'All Employees by Mode'!$I:$I,"&gt;="&amp;$B44)))</f>
        <v>5984678</v>
      </c>
      <c r="H44" s="160">
        <f>IF($AF$1,IF($A44="Between",SUMIFS('All Employees by Mode'!O:O,'All Employees by Mode'!$I:$I,"&gt;="&amp;$B44,'All Employees by Mode'!$I:$I,"&lt;"&amp;$D44,'All Employees by Mode'!$BE:$BE,"=No"),SUMIFS('All Employees by Mode'!O:O,'All Employees by Mode'!$I:$I,"&gt;="&amp;$B44,'All Employees by Mode'!$BE:$BE,"=No")),IF($A44="Between",SUMIFS('All Employees by Mode'!O:O,'All Employees by Mode'!$I:$I,"&gt;="&amp;$B44,'All Employees by Mode'!$I:$I,"&lt;"&amp;$D44),SUMIFS('All Employees by Mode'!O:O,'All Employees by Mode'!$I:$I,"&gt;="&amp;$B44)))</f>
        <v>837837</v>
      </c>
      <c r="I44" s="160">
        <f>IF($AF$1,IF($A44="Between",SUMIFS('All Employees by Mode'!Q:Q,'All Employees by Mode'!$I:$I,"&gt;="&amp;$B44,'All Employees by Mode'!$I:$I,"&lt;"&amp;$D44,'All Employees by Mode'!$BE:$BE,"=No"),SUMIFS('All Employees by Mode'!Q:Q,'All Employees by Mode'!$I:$I,"&gt;="&amp;$B44,'All Employees by Mode'!$BE:$BE,"=No")),IF($A44="Between",SUMIFS('All Employees by Mode'!Q:Q,'All Employees by Mode'!$I:$I,"&gt;="&amp;$B44,'All Employees by Mode'!$I:$I,"&lt;"&amp;$D44),SUMIFS('All Employees by Mode'!Q:Q,'All Employees by Mode'!$I:$I,"&gt;="&amp;$B44)))</f>
        <v>230609</v>
      </c>
      <c r="J44" s="160">
        <f>IF($AF$1,IF($A44="Between",SUMIFS('All Employees by Mode'!S:S,'All Employees by Mode'!$I:$I,"&gt;="&amp;$B44,'All Employees by Mode'!$I:$I,"&lt;"&amp;$D44,'All Employees by Mode'!$BE:$BE,"=No"),SUMIFS('All Employees by Mode'!S:S,'All Employees by Mode'!$I:$I,"&gt;="&amp;$B44,'All Employees by Mode'!$BE:$BE,"=No")),IF($A44="Between",SUMIFS('All Employees by Mode'!S:S,'All Employees by Mode'!$I:$I,"&gt;="&amp;$B44,'All Employees by Mode'!$I:$I,"&lt;"&amp;$D44),SUMIFS('All Employees by Mode'!S:S,'All Employees by Mode'!$I:$I,"&gt;="&amp;$B44)))</f>
        <v>644961</v>
      </c>
      <c r="K44" s="160">
        <f>IF($AF$1,IF($A44="Between",SUMIFS('All Employees by Mode'!U:U,'All Employees by Mode'!$I:$I,"&gt;="&amp;$B44,'All Employees by Mode'!$I:$I,"&lt;"&amp;$D44,'All Employees by Mode'!$BE:$BE,"=No"),SUMIFS('All Employees by Mode'!U:U,'All Employees by Mode'!$I:$I,"&gt;="&amp;$B44,'All Employees by Mode'!$BE:$BE,"=No")),IF($A44="Between",SUMIFS('All Employees by Mode'!U:U,'All Employees by Mode'!$I:$I,"&gt;="&amp;$B44,'All Employees by Mode'!$I:$I,"&lt;"&amp;$D44),SUMIFS('All Employees by Mode'!U:U,'All Employees by Mode'!$I:$I,"&gt;="&amp;$B44)))</f>
        <v>204399</v>
      </c>
      <c r="L44" s="160">
        <f>IF($AF$1,IF($A44="Between",SUMIFS('All Employees by Mode'!W:W,'All Employees by Mode'!$I:$I,"&gt;="&amp;$B44,'All Employees by Mode'!$I:$I,"&lt;"&amp;$D44,'All Employees by Mode'!$BE:$BE,"=No"),SUMIFS('All Employees by Mode'!W:W,'All Employees by Mode'!$I:$I,"&gt;="&amp;$B44,'All Employees by Mode'!$BE:$BE,"=No")),IF($A44="Between",SUMIFS('All Employees by Mode'!W:W,'All Employees by Mode'!$I:$I,"&gt;="&amp;$B44,'All Employees by Mode'!$I:$I,"&lt;"&amp;$D44),SUMIFS('All Employees by Mode'!W:W,'All Employees by Mode'!$I:$I,"&gt;="&amp;$B44)))</f>
        <v>7902484</v>
      </c>
      <c r="M44" s="160">
        <f>IF($AF$1,IF($A44="Between",SUMIFS('All Employees by Mode'!Y:Y,'All Employees by Mode'!$I:$I,"&gt;="&amp;$B44,'All Employees by Mode'!$I:$I,"&lt;"&amp;$D44,'All Employees by Mode'!$BE:$BE,"=No"),SUMIFS('All Employees by Mode'!Y:Y,'All Employees by Mode'!$I:$I,"&gt;="&amp;$B44,'All Employees by Mode'!$BE:$BE,"=No")),IF($A44="Between",SUMIFS('All Employees by Mode'!Y:Y,'All Employees by Mode'!$I:$I,"&gt;="&amp;$B44,'All Employees by Mode'!$I:$I,"&lt;"&amp;$D44),SUMIFS('All Employees by Mode'!Y:Y,'All Employees by Mode'!$I:$I,"&gt;="&amp;$B44)))</f>
        <v>3503.2799999999993</v>
      </c>
      <c r="N44" s="160">
        <f>IF($AF$1,IF($A44="Between",SUMIFS('All Employees by Mode'!AA:AA,'All Employees by Mode'!$I:$I,"&gt;="&amp;$B44,'All Employees by Mode'!$I:$I,"&lt;"&amp;$D44,'All Employees by Mode'!$BE:$BE,"=No"),SUMIFS('All Employees by Mode'!AA:AA,'All Employees by Mode'!$I:$I,"&gt;="&amp;$B44,'All Employees by Mode'!$BE:$BE,"=No")),IF($A44="Between",SUMIFS('All Employees by Mode'!AA:AA,'All Employees by Mode'!$I:$I,"&gt;="&amp;$B44,'All Employees by Mode'!$I:$I,"&lt;"&amp;$D44),SUMIFS('All Employees by Mode'!AA:AA,'All Employees by Mode'!$I:$I,"&gt;="&amp;$B44)))</f>
        <v>457.78</v>
      </c>
      <c r="O44" s="160">
        <f>IF($AF$1,IF($A44="Between",SUMIFS('All Employees by Mode'!AC:AC,'All Employees by Mode'!$I:$I,"&gt;="&amp;$B44,'All Employees by Mode'!$I:$I,"&lt;"&amp;$D44,'All Employees by Mode'!$BE:$BE,"=No"),SUMIFS('All Employees by Mode'!AC:AC,'All Employees by Mode'!$I:$I,"&gt;="&amp;$B44,'All Employees by Mode'!$BE:$BE,"=No")),IF($A44="Between",SUMIFS('All Employees by Mode'!AC:AC,'All Employees by Mode'!$I:$I,"&gt;="&amp;$B44,'All Employees by Mode'!$I:$I,"&lt;"&amp;$D44),SUMIFS('All Employees by Mode'!AC:AC,'All Employees by Mode'!$I:$I,"&gt;="&amp;$B44)))</f>
        <v>140.99999999999997</v>
      </c>
      <c r="P44" s="160">
        <f>IF($AF$1,IF($A44="Between",SUMIFS('All Employees by Mode'!AE:AE,'All Employees by Mode'!$I:$I,"&gt;="&amp;$B44,'All Employees by Mode'!$I:$I,"&lt;"&amp;$D44,'All Employees by Mode'!$BE:$BE,"=No"),SUMIFS('All Employees by Mode'!AE:AE,'All Employees by Mode'!$I:$I,"&gt;="&amp;$B44,'All Employees by Mode'!$BE:$BE,"=No")),IF($A44="Between",SUMIFS('All Employees by Mode'!AE:AE,'All Employees by Mode'!$I:$I,"&gt;="&amp;$B44,'All Employees by Mode'!$I:$I,"&lt;"&amp;$D44),SUMIFS('All Employees by Mode'!AE:AE,'All Employees by Mode'!$I:$I,"&gt;="&amp;$B44)))</f>
        <v>412.87000000000006</v>
      </c>
      <c r="Q44" s="160">
        <f>IF($AF$1,IF($A44="Between",SUMIFS('All Employees by Mode'!AG:AG,'All Employees by Mode'!$I:$I,"&gt;="&amp;$B44,'All Employees by Mode'!$I:$I,"&lt;"&amp;$D44,'All Employees by Mode'!$BE:$BE,"=No"),SUMIFS('All Employees by Mode'!AG:AG,'All Employees by Mode'!$I:$I,"&gt;="&amp;$B44,'All Employees by Mode'!$BE:$BE,"=No")),IF($A44="Between",SUMIFS('All Employees by Mode'!AG:AG,'All Employees by Mode'!$I:$I,"&gt;="&amp;$B44,'All Employees by Mode'!$I:$I,"&lt;"&amp;$D44),SUMIFS('All Employees by Mode'!AG:AG,'All Employees by Mode'!$I:$I,"&gt;="&amp;$B44)))</f>
        <v>104.57</v>
      </c>
      <c r="R44" s="160">
        <f>IF($AF$1,IF($A44="Between",SUMIFS('All Employees by Mode'!AI:AI,'All Employees by Mode'!$I:$I,"&gt;="&amp;$B44,'All Employees by Mode'!$I:$I,"&lt;"&amp;$D44,'All Employees by Mode'!$BE:$BE,"=No"),SUMIFS('All Employees by Mode'!AI:AI,'All Employees by Mode'!$I:$I,"&gt;="&amp;$B44,'All Employees by Mode'!$BE:$BE,"=No")),IF($A44="Between",SUMIFS('All Employees by Mode'!AI:AI,'All Employees by Mode'!$I:$I,"&gt;="&amp;$B44,'All Employees by Mode'!$I:$I,"&lt;"&amp;$D44),SUMIFS('All Employees by Mode'!AI:AI,'All Employees by Mode'!$I:$I,"&gt;="&amp;$B44)))</f>
        <v>4619.4999999999991</v>
      </c>
      <c r="S44" s="161">
        <f>IF($AF$1,IF($A44="Between",SUMIFS('All Employees by Mode'!AK:AK,'All Employees by Mode'!$I:$I,"&gt;="&amp;$B44,'All Employees by Mode'!$I:$I,"&lt;"&amp;$D44,'All Employees by Mode'!$BE:$BE,"=No"),SUMIFS('All Employees by Mode'!AK:AK,'All Employees by Mode'!$I:$I,"&gt;="&amp;$B44,'All Employees by Mode'!$BE:$BE,"=No")),IF($A44="Between",SUMIFS('All Employees by Mode'!AK:AK,'All Employees by Mode'!$I:$I,"&gt;="&amp;$B44,'All Employees by Mode'!$I:$I,"&lt;"&amp;$D44),SUMIFS('All Employees by Mode'!AK:AK,'All Employees by Mode'!$I:$I,"&gt;="&amp;$B44)))</f>
        <v>164054139</v>
      </c>
      <c r="T44" s="161">
        <f>IF($AF$1,IF($A44="Between",SUMIFS('All Employees by Mode'!AM:AM,'All Employees by Mode'!$I:$I,"&gt;="&amp;$B44,'All Employees by Mode'!$I:$I,"&lt;"&amp;$D44,'All Employees by Mode'!$BE:$BE,"=No"),SUMIFS('All Employees by Mode'!AM:AM,'All Employees by Mode'!$I:$I,"&gt;="&amp;$B44,'All Employees by Mode'!$BE:$BE,"=No")),IF($A44="Between",SUMIFS('All Employees by Mode'!AM:AM,'All Employees by Mode'!$I:$I,"&gt;="&amp;$B44,'All Employees by Mode'!$I:$I,"&lt;"&amp;$D44),SUMIFS('All Employees by Mode'!AM:AM,'All Employees by Mode'!$I:$I,"&gt;="&amp;$B44)))</f>
        <v>26559202</v>
      </c>
      <c r="U44" s="161">
        <f>IF($AF$1,IF($A44="Between",SUMIFS('All Employees by Mode'!AO:AO,'All Employees by Mode'!$I:$I,"&gt;="&amp;$B44,'All Employees by Mode'!$I:$I,"&lt;"&amp;$D44,'All Employees by Mode'!$BE:$BE,"=No"),SUMIFS('All Employees by Mode'!AO:AO,'All Employees by Mode'!$I:$I,"&gt;="&amp;$B44,'All Employees by Mode'!$BE:$BE,"=No")),IF($A44="Between",SUMIFS('All Employees by Mode'!AO:AO,'All Employees by Mode'!$I:$I,"&gt;="&amp;$B44,'All Employees by Mode'!$I:$I,"&lt;"&amp;$D44),SUMIFS('All Employees by Mode'!AO:AO,'All Employees by Mode'!$I:$I,"&gt;="&amp;$B44)))</f>
        <v>7246287</v>
      </c>
      <c r="V44" s="161">
        <f>IF($AF$1,IF($A44="Between",SUMIFS('All Employees by Mode'!AQ:AQ,'All Employees by Mode'!$I:$I,"&gt;="&amp;$B44,'All Employees by Mode'!$I:$I,"&lt;"&amp;$D44,'All Employees by Mode'!$BE:$BE,"=No"),SUMIFS('All Employees by Mode'!AQ:AQ,'All Employees by Mode'!$I:$I,"&gt;="&amp;$B44,'All Employees by Mode'!$BE:$BE,"=No")),IF($A44="Between",SUMIFS('All Employees by Mode'!AQ:AQ,'All Employees by Mode'!$I:$I,"&gt;="&amp;$B44,'All Employees by Mode'!$I:$I,"&lt;"&amp;$D44),SUMIFS('All Employees by Mode'!AQ:AQ,'All Employees by Mode'!$I:$I,"&gt;="&amp;$B44)))</f>
        <v>18606506</v>
      </c>
      <c r="W44" s="161">
        <f>IF($AF$1,IF($A44="Between",SUMIFS('All Employees by Mode'!AS:AS,'All Employees by Mode'!$I:$I,"&gt;="&amp;$B44,'All Employees by Mode'!$I:$I,"&lt;"&amp;$D44,'All Employees by Mode'!$BE:$BE,"=No"),SUMIFS('All Employees by Mode'!AS:AS,'All Employees by Mode'!$I:$I,"&gt;="&amp;$B44,'All Employees by Mode'!$BE:$BE,"=No")),IF($A44="Between",SUMIFS('All Employees by Mode'!AS:AS,'All Employees by Mode'!$I:$I,"&gt;="&amp;$B44,'All Employees by Mode'!$I:$I,"&lt;"&amp;$D44),SUMIFS('All Employees by Mode'!AS:AS,'All Employees by Mode'!$I:$I,"&gt;="&amp;$B44)))</f>
        <v>216466134</v>
      </c>
      <c r="X44" s="162">
        <f t="shared" si="19"/>
        <v>27.41235852622313</v>
      </c>
      <c r="Y44" s="162">
        <f t="shared" si="19"/>
        <v>31.699724409401828</v>
      </c>
      <c r="Z44" s="162">
        <f t="shared" si="19"/>
        <v>31.422394615995039</v>
      </c>
      <c r="AA44" s="162">
        <f t="shared" si="19"/>
        <v>28.849040484618449</v>
      </c>
      <c r="AB44" s="271">
        <f>W44/SUM(G44:J44)</f>
        <v>28.119478285833424</v>
      </c>
      <c r="AC44" s="93"/>
      <c r="AD44" s="94"/>
      <c r="AE44" s="94"/>
      <c r="AF44" s="94"/>
      <c r="AG44" s="94"/>
      <c r="AH44" s="94" t="str">
        <f t="shared" ref="AH44:AH51" si="22">IFERROR(AT44&amp;":"&amp;CHAR(10)&amp;"Vehicle Operations: $"&amp;FIXED(AO44,2,0)&amp;CHAR(10)&amp;"Vehicle Maintenance: $"&amp;FIXED(AP44,2,0)&amp;CHAR(10)&amp;"Facility Maintenance: $"&amp;FIXED(AQ44,2,0)&amp;CHAR(10)&amp;"General Administration: $"&amp;FIXED(AR44,2,0)&amp;CHAR(10)&amp;"Total: $"&amp;FIXED(AS44,2,0),"")</f>
        <v>10 to 25:
Vehicle Operations: $27.41
Vehicle Maintenance: $31.70
Facility Maintenance: $31.42
General Administration: $28.85
Total: $28.12</v>
      </c>
      <c r="AI44" s="94"/>
      <c r="AJ44" s="94"/>
      <c r="AK44" s="94"/>
      <c r="AL44" s="94"/>
      <c r="AM44" s="94"/>
      <c r="AN44" s="94"/>
      <c r="AO44" s="306">
        <f t="shared" ref="AO44:AO51" si="23">X44</f>
        <v>27.41235852622313</v>
      </c>
      <c r="AP44" s="306">
        <f t="shared" si="20"/>
        <v>31.699724409401828</v>
      </c>
      <c r="AQ44" s="306">
        <f t="shared" si="20"/>
        <v>31.422394615995039</v>
      </c>
      <c r="AR44" s="306">
        <f t="shared" si="20"/>
        <v>28.849040484618449</v>
      </c>
      <c r="AS44" s="306">
        <f t="shared" si="20"/>
        <v>28.119478285833424</v>
      </c>
      <c r="AT44" s="303" t="str">
        <f t="shared" ref="AT44:AT51" si="24">IFERROR(IF($A44="Over","Over "&amp;FIXED($B44,0,0),FIXED($B44,0,0)&amp;" to "&amp;FIXED($D44,0,0)),"")</f>
        <v>10 to 25</v>
      </c>
      <c r="AU44" s="94"/>
      <c r="AV44" s="94"/>
    </row>
    <row r="45" spans="1:48" s="95" customFormat="1" ht="11.25" customHeight="1">
      <c r="A45" s="167" t="str">
        <f t="shared" ref="A45:A51" si="25">IF(OR(A44="Over",A44=""),"",IF(D45="","Over","Between"))</f>
        <v>Between</v>
      </c>
      <c r="B45" s="168">
        <f>IF(D44="","",D44)</f>
        <v>25</v>
      </c>
      <c r="C45" s="169" t="str">
        <f t="shared" ref="C45:C50" si="26">IF(D45&lt;&gt;"","and","")</f>
        <v>and</v>
      </c>
      <c r="D45" s="250">
        <v>50</v>
      </c>
      <c r="E45" s="276" t="str">
        <f t="shared" si="21"/>
        <v>Between 25 and 50</v>
      </c>
      <c r="F45" s="159">
        <f>IF($AF$1,IF($A45="","",IF($A45="Between",SUMIFS('All Employees by Mode'!L:L,'All Employees by Mode'!$I:$I,"&gt;="&amp;$B45,'All Employees by Mode'!$I:$I,"&lt;"&amp;$D45,'All Employees by Mode'!$BE:$BE,"=No"),SUMIFS('All Employees by Mode'!L:L,'All Employees by Mode'!$I:$I,"&gt;="&amp;$B45,'All Employees by Mode'!$BE:$BE,"=No"))),IF($A45="","",IF($A45="Between",SUMIFS('All Employees by Mode'!L:L,'All Employees by Mode'!$I:$I,"&gt;="&amp;$B45,'All Employees by Mode'!$I:$I,"&lt;"&amp;$D45),SUMIFS('All Employees by Mode'!L:L,'All Employees by Mode'!$I:$I,"&gt;="&amp;$B45))))</f>
        <v>3206</v>
      </c>
      <c r="G45" s="160">
        <f>IF($AF$1,IF($A45="","",IF($A45="Between",SUMIFS('All Employees by Mode'!M:M,'All Employees by Mode'!$I:$I,"&gt;="&amp;$B45,'All Employees by Mode'!$I:$I,"&lt;"&amp;$D45,'All Employees by Mode'!$BE:$BE,"=No"),SUMIFS('All Employees by Mode'!M:M,'All Employees by Mode'!$I:$I,"&gt;="&amp;$B45,'All Employees by Mode'!$BE:$BE,"=No"))),IF($A45="","",IF($A45="Between",SUMIFS('All Employees by Mode'!M:M,'All Employees by Mode'!$I:$I,"&gt;="&amp;$B45,'All Employees by Mode'!$I:$I,"&lt;"&amp;$D45),SUMIFS('All Employees by Mode'!M:M,'All Employees by Mode'!$I:$I,"&gt;="&amp;$B45))))</f>
        <v>12104983</v>
      </c>
      <c r="H45" s="160">
        <f>IF($AF$1,IF($A45="","",IF($A45="Between",SUMIFS('All Employees by Mode'!O:O,'All Employees by Mode'!$I:$I,"&gt;="&amp;$B45,'All Employees by Mode'!$I:$I,"&lt;"&amp;$D45,'All Employees by Mode'!$BE:$BE,"=No"),SUMIFS('All Employees by Mode'!O:O,'All Employees by Mode'!$I:$I,"&gt;="&amp;$B45,'All Employees by Mode'!$BE:$BE,"=No"))),IF($A45="","",IF($A45="Between",SUMIFS('All Employees by Mode'!O:O,'All Employees by Mode'!$I:$I,"&gt;="&amp;$B45,'All Employees by Mode'!$I:$I,"&lt;"&amp;$D45),SUMIFS('All Employees by Mode'!O:O,'All Employees by Mode'!$I:$I,"&gt;="&amp;$B45))))</f>
        <v>1786159</v>
      </c>
      <c r="I45" s="160">
        <f>IF($AF$1,IF($A45="","",IF($A45="Between",SUMIFS('All Employees by Mode'!Q:Q,'All Employees by Mode'!$I:$I,"&gt;="&amp;$B45,'All Employees by Mode'!$I:$I,"&lt;"&amp;$D45,'All Employees by Mode'!$BE:$BE,"=No"),SUMIFS('All Employees by Mode'!Q:Q,'All Employees by Mode'!$I:$I,"&gt;="&amp;$B45,'All Employees by Mode'!$BE:$BE,"=No"))),IF($A45="","",IF($A45="Between",SUMIFS('All Employees by Mode'!Q:Q,'All Employees by Mode'!$I:$I,"&gt;="&amp;$B45,'All Employees by Mode'!$I:$I,"&lt;"&amp;$D45),SUMIFS('All Employees by Mode'!Q:Q,'All Employees by Mode'!$I:$I,"&gt;="&amp;$B45))))</f>
        <v>865088</v>
      </c>
      <c r="J45" s="160">
        <f>IF($AF$1,IF($A45="","",IF($A45="Between",SUMIFS('All Employees by Mode'!S:S,'All Employees by Mode'!$I:$I,"&gt;="&amp;$B45,'All Employees by Mode'!$I:$I,"&lt;"&amp;$D45,'All Employees by Mode'!$BE:$BE,"=No"),SUMIFS('All Employees by Mode'!S:S,'All Employees by Mode'!$I:$I,"&gt;="&amp;$B45,'All Employees by Mode'!$BE:$BE,"=No"))),IF($A45="","",IF($A45="Between",SUMIFS('All Employees by Mode'!S:S,'All Employees by Mode'!$I:$I,"&gt;="&amp;$B45,'All Employees by Mode'!$I:$I,"&lt;"&amp;$D45),SUMIFS('All Employees by Mode'!S:S,'All Employees by Mode'!$I:$I,"&gt;="&amp;$B45))))</f>
        <v>1828732</v>
      </c>
      <c r="K45" s="160">
        <f>IF($AF$1,IF($A45="","",IF($A45="Between",SUMIFS('All Employees by Mode'!U:U,'All Employees by Mode'!$I:$I,"&gt;="&amp;$B45,'All Employees by Mode'!$I:$I,"&lt;"&amp;$D45,'All Employees by Mode'!$BE:$BE,"=No"),SUMIFS('All Employees by Mode'!U:U,'All Employees by Mode'!$I:$I,"&gt;="&amp;$B45,'All Employees by Mode'!$BE:$BE,"=No"))),IF($A45="","",IF($A45="Between",SUMIFS('All Employees by Mode'!U:U,'All Employees by Mode'!$I:$I,"&gt;="&amp;$B45,'All Employees by Mode'!$I:$I,"&lt;"&amp;$D45),SUMIFS('All Employees by Mode'!U:U,'All Employees by Mode'!$I:$I,"&gt;="&amp;$B45))))</f>
        <v>165584</v>
      </c>
      <c r="L45" s="160">
        <f>IF($AF$1,IF($A45="","",IF($A45="Between",SUMIFS('All Employees by Mode'!W:W,'All Employees by Mode'!$I:$I,"&gt;="&amp;$B45,'All Employees by Mode'!$I:$I,"&lt;"&amp;$D45,'All Employees by Mode'!$BE:$BE,"=No"),SUMIFS('All Employees by Mode'!W:W,'All Employees by Mode'!$I:$I,"&gt;="&amp;$B45,'All Employees by Mode'!$BE:$BE,"=No"))),IF($A45="","",IF($A45="Between",SUMIFS('All Employees by Mode'!W:W,'All Employees by Mode'!$I:$I,"&gt;="&amp;$B45,'All Employees by Mode'!$I:$I,"&lt;"&amp;$D45),SUMIFS('All Employees by Mode'!W:W,'All Employees by Mode'!$I:$I,"&gt;="&amp;$B45))))</f>
        <v>16750546</v>
      </c>
      <c r="M45" s="160">
        <f>IF($AF$1,IF($A45="","",IF($A45="Between",SUMIFS('All Employees by Mode'!Y:Y,'All Employees by Mode'!$I:$I,"&gt;="&amp;$B45,'All Employees by Mode'!$I:$I,"&lt;"&amp;$D45,'All Employees by Mode'!$BE:$BE,"=No"),SUMIFS('All Employees by Mode'!Y:Y,'All Employees by Mode'!$I:$I,"&gt;="&amp;$B45,'All Employees by Mode'!$BE:$BE,"=No"))),IF($A45="","",IF($A45="Between",SUMIFS('All Employees by Mode'!Y:Y,'All Employees by Mode'!$I:$I,"&gt;="&amp;$B45,'All Employees by Mode'!$I:$I,"&lt;"&amp;$D45),SUMIFS('All Employees by Mode'!Y:Y,'All Employees by Mode'!$I:$I,"&gt;="&amp;$B45))))</f>
        <v>7439.6900000000023</v>
      </c>
      <c r="N45" s="160">
        <f>IF($AF$1,IF($A45="","",IF($A45="Between",SUMIFS('All Employees by Mode'!AA:AA,'All Employees by Mode'!$I:$I,"&gt;="&amp;$B45,'All Employees by Mode'!$I:$I,"&lt;"&amp;$D45,'All Employees by Mode'!$BE:$BE,"=No"),SUMIFS('All Employees by Mode'!AA:AA,'All Employees by Mode'!$I:$I,"&gt;="&amp;$B45,'All Employees by Mode'!$BE:$BE,"=No"))),IF($A45="","",IF($A45="Between",SUMIFS('All Employees by Mode'!AA:AA,'All Employees by Mode'!$I:$I,"&gt;="&amp;$B45,'All Employees by Mode'!$I:$I,"&lt;"&amp;$D45),SUMIFS('All Employees by Mode'!AA:AA,'All Employees by Mode'!$I:$I,"&gt;="&amp;$B45))))</f>
        <v>980.86999999999978</v>
      </c>
      <c r="O45" s="160">
        <f>IF($AF$1,IF($A45="","",IF($A45="Between",SUMIFS('All Employees by Mode'!AC:AC,'All Employees by Mode'!$I:$I,"&gt;="&amp;$B45,'All Employees by Mode'!$I:$I,"&lt;"&amp;$D45,'All Employees by Mode'!$BE:$BE,"=No"),SUMIFS('All Employees by Mode'!AC:AC,'All Employees by Mode'!$I:$I,"&gt;="&amp;$B45,'All Employees by Mode'!$BE:$BE,"=No"))),IF($A45="","",IF($A45="Between",SUMIFS('All Employees by Mode'!AC:AC,'All Employees by Mode'!$I:$I,"&gt;="&amp;$B45,'All Employees by Mode'!$I:$I,"&lt;"&amp;$D45),SUMIFS('All Employees by Mode'!AC:AC,'All Employees by Mode'!$I:$I,"&gt;="&amp;$B45))))</f>
        <v>471.56000000000012</v>
      </c>
      <c r="P45" s="160">
        <f>IF($AF$1,IF($A45="","",IF($A45="Between",SUMIFS('All Employees by Mode'!AE:AE,'All Employees by Mode'!$I:$I,"&gt;="&amp;$B45,'All Employees by Mode'!$I:$I,"&lt;"&amp;$D45,'All Employees by Mode'!$BE:$BE,"=No"),SUMIFS('All Employees by Mode'!AE:AE,'All Employees by Mode'!$I:$I,"&gt;="&amp;$B45,'All Employees by Mode'!$BE:$BE,"=No"))),IF($A45="","",IF($A45="Between",SUMIFS('All Employees by Mode'!AE:AE,'All Employees by Mode'!$I:$I,"&gt;="&amp;$B45,'All Employees by Mode'!$I:$I,"&lt;"&amp;$D45),SUMIFS('All Employees by Mode'!AE:AE,'All Employees by Mode'!$I:$I,"&gt;="&amp;$B45))))</f>
        <v>1139.73</v>
      </c>
      <c r="Q45" s="160">
        <f>IF($AF$1,IF($A45="","",IF($A45="Between",SUMIFS('All Employees by Mode'!AG:AG,'All Employees by Mode'!$I:$I,"&gt;="&amp;$B45,'All Employees by Mode'!$I:$I,"&lt;"&amp;$D45,'All Employees by Mode'!$BE:$BE,"=No"),SUMIFS('All Employees by Mode'!AG:AG,'All Employees by Mode'!$I:$I,"&gt;="&amp;$B45,'All Employees by Mode'!$BE:$BE,"=No"))),IF($A45="","",IF($A45="Between",SUMIFS('All Employees by Mode'!AG:AG,'All Employees by Mode'!$I:$I,"&gt;="&amp;$B45,'All Employees by Mode'!$I:$I,"&lt;"&amp;$D45),SUMIFS('All Employees by Mode'!AG:AG,'All Employees by Mode'!$I:$I,"&gt;="&amp;$B45))))</f>
        <v>74.06</v>
      </c>
      <c r="R45" s="160">
        <f>IF($AF$1,IF($A45="","",IF($A45="Between",SUMIFS('All Employees by Mode'!AI:AI,'All Employees by Mode'!$I:$I,"&gt;="&amp;$B45,'All Employees by Mode'!$I:$I,"&lt;"&amp;$D45,'All Employees by Mode'!$BE:$BE,"=No"),SUMIFS('All Employees by Mode'!AI:AI,'All Employees by Mode'!$I:$I,"&gt;="&amp;$B45,'All Employees by Mode'!$BE:$BE,"=No"))),IF($A45="","",IF($A45="Between",SUMIFS('All Employees by Mode'!AI:AI,'All Employees by Mode'!$I:$I,"&gt;="&amp;$B45,'All Employees by Mode'!$I:$I,"&lt;"&amp;$D45),SUMIFS('All Employees by Mode'!AI:AI,'All Employees by Mode'!$I:$I,"&gt;="&amp;$B45))))</f>
        <v>10105.909999999998</v>
      </c>
      <c r="S45" s="161">
        <f>IF($AF$1,IF($A45="","",IF($A45="Between",SUMIFS('All Employees by Mode'!AK:AK,'All Employees by Mode'!$I:$I,"&gt;="&amp;$B45,'All Employees by Mode'!$I:$I,"&lt;"&amp;$D45,'All Employees by Mode'!$BE:$BE,"=No"),SUMIFS('All Employees by Mode'!AK:AK,'All Employees by Mode'!$I:$I,"&gt;="&amp;$B45,'All Employees by Mode'!$BE:$BE,"=No"))),IF($A45="","",IF($A45="Between",SUMIFS('All Employees by Mode'!AK:AK,'All Employees by Mode'!$I:$I,"&gt;="&amp;$B45,'All Employees by Mode'!$I:$I,"&lt;"&amp;$D45),SUMIFS('All Employees by Mode'!AK:AK,'All Employees by Mode'!$I:$I,"&gt;="&amp;$B45))))</f>
        <v>267006663</v>
      </c>
      <c r="T45" s="161">
        <f>IF($AF$1,IF($A45="","",IF($A45="Between",SUMIFS('All Employees by Mode'!AM:AM,'All Employees by Mode'!$I:$I,"&gt;="&amp;$B45,'All Employees by Mode'!$I:$I,"&lt;"&amp;$D45,'All Employees by Mode'!$BE:$BE,"=No"),SUMIFS('All Employees by Mode'!AM:AM,'All Employees by Mode'!$I:$I,"&gt;="&amp;$B45,'All Employees by Mode'!$BE:$BE,"=No"))),IF($A45="","",IF($A45="Between",SUMIFS('All Employees by Mode'!AM:AM,'All Employees by Mode'!$I:$I,"&gt;="&amp;$B45,'All Employees by Mode'!$I:$I,"&lt;"&amp;$D45),SUMIFS('All Employees by Mode'!AM:AM,'All Employees by Mode'!$I:$I,"&gt;="&amp;$B45))))</f>
        <v>49581225</v>
      </c>
      <c r="U45" s="161">
        <f>IF($AF$1,IF($A45="","",IF($A45="Between",SUMIFS('All Employees by Mode'!AO:AO,'All Employees by Mode'!$I:$I,"&gt;="&amp;$B45,'All Employees by Mode'!$I:$I,"&lt;"&amp;$D45,'All Employees by Mode'!$BE:$BE,"=No"),SUMIFS('All Employees by Mode'!AO:AO,'All Employees by Mode'!$I:$I,"&gt;="&amp;$B45,'All Employees by Mode'!$BE:$BE,"=No"))),IF($A45="","",IF($A45="Between",SUMIFS('All Employees by Mode'!AO:AO,'All Employees by Mode'!$I:$I,"&gt;="&amp;$B45,'All Employees by Mode'!$I:$I,"&lt;"&amp;$D45),SUMIFS('All Employees by Mode'!AO:AO,'All Employees by Mode'!$I:$I,"&gt;="&amp;$B45))))</f>
        <v>25417130</v>
      </c>
      <c r="V45" s="161">
        <f>IF($AF$1,IF($A45="","",IF($A45="Between",SUMIFS('All Employees by Mode'!AQ:AQ,'All Employees by Mode'!$I:$I,"&gt;="&amp;$B45,'All Employees by Mode'!$I:$I,"&lt;"&amp;$D45,'All Employees by Mode'!$BE:$BE,"=No"),SUMIFS('All Employees by Mode'!AQ:AQ,'All Employees by Mode'!$I:$I,"&gt;="&amp;$B45,'All Employees by Mode'!$BE:$BE,"=No"))),IF($A45="","",IF($A45="Between",SUMIFS('All Employees by Mode'!AQ:AQ,'All Employees by Mode'!$I:$I,"&gt;="&amp;$B45,'All Employees by Mode'!$I:$I,"&lt;"&amp;$D45),SUMIFS('All Employees by Mode'!AQ:AQ,'All Employees by Mode'!$I:$I,"&gt;="&amp;$B45))))</f>
        <v>56980224</v>
      </c>
      <c r="W45" s="161">
        <f>IF($AF$1,IF($A45="","",IF($A45="Between",SUMIFS('All Employees by Mode'!AS:AS,'All Employees by Mode'!$I:$I,"&gt;="&amp;$B45,'All Employees by Mode'!$I:$I,"&lt;"&amp;$D45,'All Employees by Mode'!$BE:$BE,"=No"),SUMIFS('All Employees by Mode'!AS:AS,'All Employees by Mode'!$I:$I,"&gt;="&amp;$B45,'All Employees by Mode'!$BE:$BE,"=No"))),IF($A45="","",IF($A45="Between",SUMIFS('All Employees by Mode'!AS:AS,'All Employees by Mode'!$I:$I,"&gt;="&amp;$B45,'All Employees by Mode'!$I:$I,"&lt;"&amp;$D45),SUMIFS('All Employees by Mode'!AS:AS,'All Employees by Mode'!$I:$I,"&gt;="&amp;$B45))))</f>
        <v>398985242</v>
      </c>
      <c r="X45" s="162">
        <f>IFERROR(IF($A45="","",S45/G45),"-")</f>
        <v>22.057582650054115</v>
      </c>
      <c r="Y45" s="162">
        <f>IFERROR(IF($A45="","",T45/H45),"-")</f>
        <v>27.758573004978839</v>
      </c>
      <c r="Z45" s="162">
        <f>IFERROR(IF($A45="","",U45/I45),"-")</f>
        <v>29.380976270622181</v>
      </c>
      <c r="AA45" s="162">
        <f>IFERROR(IF($A45="","",V45/J45),"-")</f>
        <v>31.15832390968168</v>
      </c>
      <c r="AB45" s="271">
        <f>IFERROR(IF(A45="","",W45/SUM(G45:J45)),"-")</f>
        <v>24.057048909729186</v>
      </c>
      <c r="AC45" s="93"/>
      <c r="AD45" s="94"/>
      <c r="AE45" s="94"/>
      <c r="AF45" s="94"/>
      <c r="AG45" s="94"/>
      <c r="AH45" s="94" t="str">
        <f t="shared" si="22"/>
        <v>25 to 50:
Vehicle Operations: $22.06
Vehicle Maintenance: $27.76
Facility Maintenance: $29.38
General Administration: $31.16
Total: $24.06</v>
      </c>
      <c r="AI45" s="94"/>
      <c r="AJ45" s="94"/>
      <c r="AK45" s="94"/>
      <c r="AL45" s="94"/>
      <c r="AM45" s="94"/>
      <c r="AN45" s="94"/>
      <c r="AO45" s="306">
        <f t="shared" si="23"/>
        <v>22.057582650054115</v>
      </c>
      <c r="AP45" s="306">
        <f t="shared" si="20"/>
        <v>27.758573004978839</v>
      </c>
      <c r="AQ45" s="306">
        <f t="shared" si="20"/>
        <v>29.380976270622181</v>
      </c>
      <c r="AR45" s="306">
        <f t="shared" si="20"/>
        <v>31.15832390968168</v>
      </c>
      <c r="AS45" s="306">
        <f t="shared" si="20"/>
        <v>24.057048909729186</v>
      </c>
      <c r="AT45" s="303" t="str">
        <f t="shared" si="24"/>
        <v>25 to 50</v>
      </c>
      <c r="AU45" s="94"/>
      <c r="AV45" s="94"/>
    </row>
    <row r="46" spans="1:48" s="95" customFormat="1" ht="11.25" customHeight="1">
      <c r="A46" s="167" t="str">
        <f t="shared" si="25"/>
        <v>Between</v>
      </c>
      <c r="B46" s="168">
        <f t="shared" ref="B46:B51" si="27">IF(D45="","",D45)</f>
        <v>50</v>
      </c>
      <c r="C46" s="169" t="str">
        <f t="shared" si="26"/>
        <v>and</v>
      </c>
      <c r="D46" s="250">
        <v>100</v>
      </c>
      <c r="E46" s="276" t="str">
        <f t="shared" si="21"/>
        <v>Between 50 and 100</v>
      </c>
      <c r="F46" s="159">
        <f>IF($AF$1,IF($A46="","",IF($A46="Between",SUMIFS('All Employees by Mode'!L:L,'All Employees by Mode'!$I:$I,"&gt;="&amp;$B46,'All Employees by Mode'!$I:$I,"&lt;"&amp;$D46,'All Employees by Mode'!$BE:$BE,"=No"),SUMIFS('All Employees by Mode'!L:L,'All Employees by Mode'!$I:$I,"&gt;="&amp;$B46,'All Employees by Mode'!$BE:$BE,"=No"))),IF($A46="","",IF($A46="Between",SUMIFS('All Employees by Mode'!L:L,'All Employees by Mode'!$I:$I,"&gt;="&amp;$B46,'All Employees by Mode'!$I:$I,"&lt;"&amp;$D46),SUMIFS('All Employees by Mode'!L:L,'All Employees by Mode'!$I:$I,"&gt;="&amp;$B46))))</f>
        <v>5120</v>
      </c>
      <c r="G46" s="160">
        <f>IF($AF$1,IF($A46="","",IF($A46="Between",SUMIFS('All Employees by Mode'!M:M,'All Employees by Mode'!$I:$I,"&gt;="&amp;$B46,'All Employees by Mode'!$I:$I,"&lt;"&amp;$D46,'All Employees by Mode'!$BE:$BE,"=No"),SUMIFS('All Employees by Mode'!M:M,'All Employees by Mode'!$I:$I,"&gt;="&amp;$B46,'All Employees by Mode'!$BE:$BE,"=No"))),IF($A46="","",IF($A46="Between",SUMIFS('All Employees by Mode'!M:M,'All Employees by Mode'!$I:$I,"&gt;="&amp;$B46,'All Employees by Mode'!$I:$I,"&lt;"&amp;$D46),SUMIFS('All Employees by Mode'!M:M,'All Employees by Mode'!$I:$I,"&gt;="&amp;$B46))))</f>
        <v>17031769</v>
      </c>
      <c r="H46" s="160">
        <f>IF($AF$1,IF($A46="","",IF($A46="Between",SUMIFS('All Employees by Mode'!O:O,'All Employees by Mode'!$I:$I,"&gt;="&amp;$B46,'All Employees by Mode'!$I:$I,"&lt;"&amp;$D46,'All Employees by Mode'!$BE:$BE,"=No"),SUMIFS('All Employees by Mode'!O:O,'All Employees by Mode'!$I:$I,"&gt;="&amp;$B46,'All Employees by Mode'!$BE:$BE,"=No"))),IF($A46="","",IF($A46="Between",SUMIFS('All Employees by Mode'!O:O,'All Employees by Mode'!$I:$I,"&gt;="&amp;$B46,'All Employees by Mode'!$I:$I,"&lt;"&amp;$D46),SUMIFS('All Employees by Mode'!O:O,'All Employees by Mode'!$I:$I,"&gt;="&amp;$B46))))</f>
        <v>3159755</v>
      </c>
      <c r="I46" s="160">
        <f>IF($AF$1,IF($A46="","",IF($A46="Between",SUMIFS('All Employees by Mode'!Q:Q,'All Employees by Mode'!$I:$I,"&gt;="&amp;$B46,'All Employees by Mode'!$I:$I,"&lt;"&amp;$D46,'All Employees by Mode'!$BE:$BE,"=No"),SUMIFS('All Employees by Mode'!Q:Q,'All Employees by Mode'!$I:$I,"&gt;="&amp;$B46,'All Employees by Mode'!$BE:$BE,"=No"))),IF($A46="","",IF($A46="Between",SUMIFS('All Employees by Mode'!Q:Q,'All Employees by Mode'!$I:$I,"&gt;="&amp;$B46,'All Employees by Mode'!$I:$I,"&lt;"&amp;$D46),SUMIFS('All Employees by Mode'!Q:Q,'All Employees by Mode'!$I:$I,"&gt;="&amp;$B46))))</f>
        <v>841827</v>
      </c>
      <c r="J46" s="160">
        <f>IF($AF$1,IF($A46="","",IF($A46="Between",SUMIFS('All Employees by Mode'!S:S,'All Employees by Mode'!$I:$I,"&gt;="&amp;$B46,'All Employees by Mode'!$I:$I,"&lt;"&amp;$D46,'All Employees by Mode'!$BE:$BE,"=No"),SUMIFS('All Employees by Mode'!S:S,'All Employees by Mode'!$I:$I,"&gt;="&amp;$B46,'All Employees by Mode'!$BE:$BE,"=No"))),IF($A46="","",IF($A46="Between",SUMIFS('All Employees by Mode'!S:S,'All Employees by Mode'!$I:$I,"&gt;="&amp;$B46,'All Employees by Mode'!$I:$I,"&lt;"&amp;$D46),SUMIFS('All Employees by Mode'!S:S,'All Employees by Mode'!$I:$I,"&gt;="&amp;$B46))))</f>
        <v>2550050</v>
      </c>
      <c r="K46" s="160">
        <f>IF($AF$1,IF($A46="","",IF($A46="Between",SUMIFS('All Employees by Mode'!U:U,'All Employees by Mode'!$I:$I,"&gt;="&amp;$B46,'All Employees by Mode'!$I:$I,"&lt;"&amp;$D46,'All Employees by Mode'!$BE:$BE,"=No"),SUMIFS('All Employees by Mode'!U:U,'All Employees by Mode'!$I:$I,"&gt;="&amp;$B46,'All Employees by Mode'!$BE:$BE,"=No"))),IF($A46="","",IF($A46="Between",SUMIFS('All Employees by Mode'!U:U,'All Employees by Mode'!$I:$I,"&gt;="&amp;$B46,'All Employees by Mode'!$I:$I,"&lt;"&amp;$D46),SUMIFS('All Employees by Mode'!U:U,'All Employees by Mode'!$I:$I,"&gt;="&amp;$B46))))</f>
        <v>89304</v>
      </c>
      <c r="L46" s="160">
        <f>IF($AF$1,IF($A46="","",IF($A46="Between",SUMIFS('All Employees by Mode'!W:W,'All Employees by Mode'!$I:$I,"&gt;="&amp;$B46,'All Employees by Mode'!$I:$I,"&lt;"&amp;$D46,'All Employees by Mode'!$BE:$BE,"=No"),SUMIFS('All Employees by Mode'!W:W,'All Employees by Mode'!$I:$I,"&gt;="&amp;$B46,'All Employees by Mode'!$BE:$BE,"=No"))),IF($A46="","",IF($A46="Between",SUMIFS('All Employees by Mode'!W:W,'All Employees by Mode'!$I:$I,"&gt;="&amp;$B46,'All Employees by Mode'!$I:$I,"&lt;"&amp;$D46),SUMIFS('All Employees by Mode'!W:W,'All Employees by Mode'!$I:$I,"&gt;="&amp;$B46))))</f>
        <v>23672705</v>
      </c>
      <c r="M46" s="160">
        <f>IF($AF$1,IF($A46="","",IF($A46="Between",SUMIFS('All Employees by Mode'!Y:Y,'All Employees by Mode'!$I:$I,"&gt;="&amp;$B46,'All Employees by Mode'!$I:$I,"&lt;"&amp;$D46,'All Employees by Mode'!$BE:$BE,"=No"),SUMIFS('All Employees by Mode'!Y:Y,'All Employees by Mode'!$I:$I,"&gt;="&amp;$B46,'All Employees by Mode'!$BE:$BE,"=No"))),IF($A46="","",IF($A46="Between",SUMIFS('All Employees by Mode'!Y:Y,'All Employees by Mode'!$I:$I,"&gt;="&amp;$B46,'All Employees by Mode'!$I:$I,"&lt;"&amp;$D46),SUMIFS('All Employees by Mode'!Y:Y,'All Employees by Mode'!$I:$I,"&gt;="&amp;$B46))))</f>
        <v>9782.1400000000012</v>
      </c>
      <c r="N46" s="160">
        <f>IF($AF$1,IF($A46="","",IF($A46="Between",SUMIFS('All Employees by Mode'!AA:AA,'All Employees by Mode'!$I:$I,"&gt;="&amp;$B46,'All Employees by Mode'!$I:$I,"&lt;"&amp;$D46,'All Employees by Mode'!$BE:$BE,"=No"),SUMIFS('All Employees by Mode'!AA:AA,'All Employees by Mode'!$I:$I,"&gt;="&amp;$B46,'All Employees by Mode'!$BE:$BE,"=No"))),IF($A46="","",IF($A46="Between",SUMIFS('All Employees by Mode'!AA:AA,'All Employees by Mode'!$I:$I,"&gt;="&amp;$B46,'All Employees by Mode'!$I:$I,"&lt;"&amp;$D46),SUMIFS('All Employees by Mode'!AA:AA,'All Employees by Mode'!$I:$I,"&gt;="&amp;$B46))))</f>
        <v>1726.31</v>
      </c>
      <c r="O46" s="160">
        <f>IF($AF$1,IF($A46="","",IF($A46="Between",SUMIFS('All Employees by Mode'!AC:AC,'All Employees by Mode'!$I:$I,"&gt;="&amp;$B46,'All Employees by Mode'!$I:$I,"&lt;"&amp;$D46,'All Employees by Mode'!$BE:$BE,"=No"),SUMIFS('All Employees by Mode'!AC:AC,'All Employees by Mode'!$I:$I,"&gt;="&amp;$B46,'All Employees by Mode'!$BE:$BE,"=No"))),IF($A46="","",IF($A46="Between",SUMIFS('All Employees by Mode'!AC:AC,'All Employees by Mode'!$I:$I,"&gt;="&amp;$B46,'All Employees by Mode'!$I:$I,"&lt;"&amp;$D46),SUMIFS('All Employees by Mode'!AC:AC,'All Employees by Mode'!$I:$I,"&gt;="&amp;$B46))))</f>
        <v>463.55999999999995</v>
      </c>
      <c r="P46" s="160">
        <f>IF($AF$1,IF($A46="","",IF($A46="Between",SUMIFS('All Employees by Mode'!AE:AE,'All Employees by Mode'!$I:$I,"&gt;="&amp;$B46,'All Employees by Mode'!$I:$I,"&lt;"&amp;$D46,'All Employees by Mode'!$BE:$BE,"=No"),SUMIFS('All Employees by Mode'!AE:AE,'All Employees by Mode'!$I:$I,"&gt;="&amp;$B46,'All Employees by Mode'!$BE:$BE,"=No"))),IF($A46="","",IF($A46="Between",SUMIFS('All Employees by Mode'!AE:AE,'All Employees by Mode'!$I:$I,"&gt;="&amp;$B46,'All Employees by Mode'!$I:$I,"&lt;"&amp;$D46),SUMIFS('All Employees by Mode'!AE:AE,'All Employees by Mode'!$I:$I,"&gt;="&amp;$B46))))</f>
        <v>1567.2300000000002</v>
      </c>
      <c r="Q46" s="160">
        <f>IF($AF$1,IF($A46="","",IF($A46="Between",SUMIFS('All Employees by Mode'!AG:AG,'All Employees by Mode'!$I:$I,"&gt;="&amp;$B46,'All Employees by Mode'!$I:$I,"&lt;"&amp;$D46,'All Employees by Mode'!$BE:$BE,"=No"),SUMIFS('All Employees by Mode'!AG:AG,'All Employees by Mode'!$I:$I,"&gt;="&amp;$B46,'All Employees by Mode'!$BE:$BE,"=No"))),IF($A46="","",IF($A46="Between",SUMIFS('All Employees by Mode'!AG:AG,'All Employees by Mode'!$I:$I,"&gt;="&amp;$B46,'All Employees by Mode'!$I:$I,"&lt;"&amp;$D46),SUMIFS('All Employees by Mode'!AG:AG,'All Employees by Mode'!$I:$I,"&gt;="&amp;$B46))))</f>
        <v>49.19</v>
      </c>
      <c r="R46" s="160">
        <f>IF($AF$1,IF($A46="","",IF($A46="Between",SUMIFS('All Employees by Mode'!AI:AI,'All Employees by Mode'!$I:$I,"&gt;="&amp;$B46,'All Employees by Mode'!$I:$I,"&lt;"&amp;$D46,'All Employees by Mode'!$BE:$BE,"=No"),SUMIFS('All Employees by Mode'!AI:AI,'All Employees by Mode'!$I:$I,"&gt;="&amp;$B46,'All Employees by Mode'!$BE:$BE,"=No"))),IF($A46="","",IF($A46="Between",SUMIFS('All Employees by Mode'!AI:AI,'All Employees by Mode'!$I:$I,"&gt;="&amp;$B46,'All Employees by Mode'!$I:$I,"&lt;"&amp;$D46),SUMIFS('All Employees by Mode'!AI:AI,'All Employees by Mode'!$I:$I,"&gt;="&amp;$B46))))</f>
        <v>13588.430000000002</v>
      </c>
      <c r="S46" s="161">
        <f>IF($AF$1,IF($A46="","",IF($A46="Between",SUMIFS('All Employees by Mode'!AK:AK,'All Employees by Mode'!$I:$I,"&gt;="&amp;$B46,'All Employees by Mode'!$I:$I,"&lt;"&amp;$D46,'All Employees by Mode'!$BE:$BE,"=No"),SUMIFS('All Employees by Mode'!AK:AK,'All Employees by Mode'!$I:$I,"&gt;="&amp;$B46,'All Employees by Mode'!$BE:$BE,"=No"))),IF($A46="","",IF($A46="Between",SUMIFS('All Employees by Mode'!AK:AK,'All Employees by Mode'!$I:$I,"&gt;="&amp;$B46,'All Employees by Mode'!$I:$I,"&lt;"&amp;$D46),SUMIFS('All Employees by Mode'!AK:AK,'All Employees by Mode'!$I:$I,"&gt;="&amp;$B46))))</f>
        <v>358850793</v>
      </c>
      <c r="T46" s="161">
        <f>IF($AF$1,IF($A46="","",IF($A46="Between",SUMIFS('All Employees by Mode'!AM:AM,'All Employees by Mode'!$I:$I,"&gt;="&amp;$B46,'All Employees by Mode'!$I:$I,"&lt;"&amp;$D46,'All Employees by Mode'!$BE:$BE,"=No"),SUMIFS('All Employees by Mode'!AM:AM,'All Employees by Mode'!$I:$I,"&gt;="&amp;$B46,'All Employees by Mode'!$BE:$BE,"=No"))),IF($A46="","",IF($A46="Between",SUMIFS('All Employees by Mode'!AM:AM,'All Employees by Mode'!$I:$I,"&gt;="&amp;$B46,'All Employees by Mode'!$I:$I,"&lt;"&amp;$D46),SUMIFS('All Employees by Mode'!AM:AM,'All Employees by Mode'!$I:$I,"&gt;="&amp;$B46))))</f>
        <v>76776852</v>
      </c>
      <c r="U46" s="161">
        <f>IF($AF$1,IF($A46="","",IF($A46="Between",SUMIFS('All Employees by Mode'!AO:AO,'All Employees by Mode'!$I:$I,"&gt;="&amp;$B46,'All Employees by Mode'!$I:$I,"&lt;"&amp;$D46,'All Employees by Mode'!$BE:$BE,"=No"),SUMIFS('All Employees by Mode'!AO:AO,'All Employees by Mode'!$I:$I,"&gt;="&amp;$B46,'All Employees by Mode'!$BE:$BE,"=No"))),IF($A46="","",IF($A46="Between",SUMIFS('All Employees by Mode'!AO:AO,'All Employees by Mode'!$I:$I,"&gt;="&amp;$B46,'All Employees by Mode'!$I:$I,"&lt;"&amp;$D46),SUMIFS('All Employees by Mode'!AO:AO,'All Employees by Mode'!$I:$I,"&gt;="&amp;$B46))))</f>
        <v>18363811</v>
      </c>
      <c r="V46" s="161">
        <f>IF($AF$1,IF($A46="","",IF($A46="Between",SUMIFS('All Employees by Mode'!AQ:AQ,'All Employees by Mode'!$I:$I,"&gt;="&amp;$B46,'All Employees by Mode'!$I:$I,"&lt;"&amp;$D46,'All Employees by Mode'!$BE:$BE,"=No"),SUMIFS('All Employees by Mode'!AQ:AQ,'All Employees by Mode'!$I:$I,"&gt;="&amp;$B46,'All Employees by Mode'!$BE:$BE,"=No"))),IF($A46="","",IF($A46="Between",SUMIFS('All Employees by Mode'!AQ:AQ,'All Employees by Mode'!$I:$I,"&gt;="&amp;$B46,'All Employees by Mode'!$I:$I,"&lt;"&amp;$D46),SUMIFS('All Employees by Mode'!AQ:AQ,'All Employees by Mode'!$I:$I,"&gt;="&amp;$B46))))</f>
        <v>68823875</v>
      </c>
      <c r="W46" s="161">
        <f>IF($AF$1,IF($A46="","",IF($A46="Between",SUMIFS('All Employees by Mode'!AS:AS,'All Employees by Mode'!$I:$I,"&gt;="&amp;$B46,'All Employees by Mode'!$I:$I,"&lt;"&amp;$D46,'All Employees by Mode'!$BE:$BE,"=No"),SUMIFS('All Employees by Mode'!AS:AS,'All Employees by Mode'!$I:$I,"&gt;="&amp;$B46,'All Employees by Mode'!$BE:$BE,"=No"))),IF($A46="","",IF($A46="Between",SUMIFS('All Employees by Mode'!AS:AS,'All Employees by Mode'!$I:$I,"&gt;="&amp;$B46,'All Employees by Mode'!$I:$I,"&lt;"&amp;$D46),SUMIFS('All Employees by Mode'!AS:AS,'All Employees by Mode'!$I:$I,"&gt;="&amp;$B46))))</f>
        <v>522815331</v>
      </c>
      <c r="X46" s="162">
        <f t="shared" ref="X46:X51" si="28">IFERROR(IF($A46="","",S46/G46),"-")</f>
        <v>21.069496245516248</v>
      </c>
      <c r="Y46" s="162">
        <f t="shared" ref="Y46:Y51" si="29">IFERROR(IF($A46="","",T46/H46),"-")</f>
        <v>24.298356043427418</v>
      </c>
      <c r="Z46" s="162">
        <f t="shared" ref="Z46:Z51" si="30">IFERROR(IF($A46="","",U46/I46),"-")</f>
        <v>21.814233803382404</v>
      </c>
      <c r="AA46" s="162">
        <f t="shared" ref="AA46:AA51" si="31">IFERROR(IF($A46="","",V46/J46),"-")</f>
        <v>26.989225701456835</v>
      </c>
      <c r="AB46" s="271">
        <f t="shared" ref="AB46:AB51" si="32">IFERROR(IF(A46="","",W46/SUM(G46:J46)),"-")</f>
        <v>22.168784349636425</v>
      </c>
      <c r="AC46" s="93"/>
      <c r="AD46" s="94"/>
      <c r="AE46" s="94"/>
      <c r="AF46" s="94"/>
      <c r="AG46" s="94"/>
      <c r="AH46" s="94" t="str">
        <f t="shared" si="22"/>
        <v>50 to 100:
Vehicle Operations: $21.07
Vehicle Maintenance: $24.30
Facility Maintenance: $21.81
General Administration: $26.99
Total: $22.17</v>
      </c>
      <c r="AI46" s="94"/>
      <c r="AJ46" s="94"/>
      <c r="AK46" s="94"/>
      <c r="AL46" s="94"/>
      <c r="AM46" s="94"/>
      <c r="AN46" s="94"/>
      <c r="AO46" s="306">
        <f t="shared" si="23"/>
        <v>21.069496245516248</v>
      </c>
      <c r="AP46" s="306">
        <f t="shared" si="20"/>
        <v>24.298356043427418</v>
      </c>
      <c r="AQ46" s="306">
        <f t="shared" si="20"/>
        <v>21.814233803382404</v>
      </c>
      <c r="AR46" s="306">
        <f t="shared" si="20"/>
        <v>26.989225701456835</v>
      </c>
      <c r="AS46" s="306">
        <f t="shared" si="20"/>
        <v>22.168784349636425</v>
      </c>
      <c r="AT46" s="303" t="str">
        <f t="shared" si="24"/>
        <v>50 to 100</v>
      </c>
      <c r="AU46" s="94"/>
      <c r="AV46" s="94"/>
    </row>
    <row r="47" spans="1:48" s="95" customFormat="1" ht="11.25" customHeight="1">
      <c r="A47" s="167" t="str">
        <f t="shared" si="25"/>
        <v>Between</v>
      </c>
      <c r="B47" s="168">
        <f t="shared" si="27"/>
        <v>100</v>
      </c>
      <c r="C47" s="169" t="str">
        <f t="shared" si="26"/>
        <v>and</v>
      </c>
      <c r="D47" s="250">
        <v>250</v>
      </c>
      <c r="E47" s="276" t="str">
        <f t="shared" si="21"/>
        <v>Between 100 and 250</v>
      </c>
      <c r="F47" s="159">
        <f>IF($AF$1,IF($A47="","",IF($A47="Between",SUMIFS('All Employees by Mode'!L:L,'All Employees by Mode'!$I:$I,"&gt;="&amp;$B47,'All Employees by Mode'!$I:$I,"&lt;"&amp;$D47,'All Employees by Mode'!$BE:$BE,"=No"),SUMIFS('All Employees by Mode'!L:L,'All Employees by Mode'!$I:$I,"&gt;="&amp;$B47,'All Employees by Mode'!$BE:$BE,"=No"))),IF($A47="","",IF($A47="Between",SUMIFS('All Employees by Mode'!L:L,'All Employees by Mode'!$I:$I,"&gt;="&amp;$B47,'All Employees by Mode'!$I:$I,"&lt;"&amp;$D47),SUMIFS('All Employees by Mode'!L:L,'All Employees by Mode'!$I:$I,"&gt;="&amp;$B47))))</f>
        <v>7303</v>
      </c>
      <c r="G47" s="160">
        <f>IF($AF$1,IF($A47="","",IF($A47="Between",SUMIFS('All Employees by Mode'!M:M,'All Employees by Mode'!$I:$I,"&gt;="&amp;$B47,'All Employees by Mode'!$I:$I,"&lt;"&amp;$D47,'All Employees by Mode'!$BE:$BE,"=No"),SUMIFS('All Employees by Mode'!M:M,'All Employees by Mode'!$I:$I,"&gt;="&amp;$B47,'All Employees by Mode'!$BE:$BE,"=No"))),IF($A47="","",IF($A47="Between",SUMIFS('All Employees by Mode'!M:M,'All Employees by Mode'!$I:$I,"&gt;="&amp;$B47,'All Employees by Mode'!$I:$I,"&lt;"&amp;$D47),SUMIFS('All Employees by Mode'!M:M,'All Employees by Mode'!$I:$I,"&gt;="&amp;$B47))))</f>
        <v>26779755</v>
      </c>
      <c r="H47" s="160">
        <f>IF($AF$1,IF($A47="","",IF($A47="Between",SUMIFS('All Employees by Mode'!O:O,'All Employees by Mode'!$I:$I,"&gt;="&amp;$B47,'All Employees by Mode'!$I:$I,"&lt;"&amp;$D47,'All Employees by Mode'!$BE:$BE,"=No"),SUMIFS('All Employees by Mode'!O:O,'All Employees by Mode'!$I:$I,"&gt;="&amp;$B47,'All Employees by Mode'!$BE:$BE,"=No"))),IF($A47="","",IF($A47="Between",SUMIFS('All Employees by Mode'!O:O,'All Employees by Mode'!$I:$I,"&gt;="&amp;$B47,'All Employees by Mode'!$I:$I,"&lt;"&amp;$D47),SUMIFS('All Employees by Mode'!O:O,'All Employees by Mode'!$I:$I,"&gt;="&amp;$B47))))</f>
        <v>5592117</v>
      </c>
      <c r="I47" s="160">
        <f>IF($AF$1,IF($A47="","",IF($A47="Between",SUMIFS('All Employees by Mode'!Q:Q,'All Employees by Mode'!$I:$I,"&gt;="&amp;$B47,'All Employees by Mode'!$I:$I,"&lt;"&amp;$D47,'All Employees by Mode'!$BE:$BE,"=No"),SUMIFS('All Employees by Mode'!Q:Q,'All Employees by Mode'!$I:$I,"&gt;="&amp;$B47,'All Employees by Mode'!$BE:$BE,"=No"))),IF($A47="","",IF($A47="Between",SUMIFS('All Employees by Mode'!Q:Q,'All Employees by Mode'!$I:$I,"&gt;="&amp;$B47,'All Employees by Mode'!$I:$I,"&lt;"&amp;$D47),SUMIFS('All Employees by Mode'!Q:Q,'All Employees by Mode'!$I:$I,"&gt;="&amp;$B47))))</f>
        <v>1331083</v>
      </c>
      <c r="J47" s="160">
        <f>IF($AF$1,IF($A47="","",IF($A47="Between",SUMIFS('All Employees by Mode'!S:S,'All Employees by Mode'!$I:$I,"&gt;="&amp;$B47,'All Employees by Mode'!$I:$I,"&lt;"&amp;$D47,'All Employees by Mode'!$BE:$BE,"=No"),SUMIFS('All Employees by Mode'!S:S,'All Employees by Mode'!$I:$I,"&gt;="&amp;$B47,'All Employees by Mode'!$BE:$BE,"=No"))),IF($A47="","",IF($A47="Between",SUMIFS('All Employees by Mode'!S:S,'All Employees by Mode'!$I:$I,"&gt;="&amp;$B47,'All Employees by Mode'!$I:$I,"&lt;"&amp;$D47),SUMIFS('All Employees by Mode'!S:S,'All Employees by Mode'!$I:$I,"&gt;="&amp;$B47))))</f>
        <v>4267457</v>
      </c>
      <c r="K47" s="160">
        <f>IF($AF$1,IF($A47="","",IF($A47="Between",SUMIFS('All Employees by Mode'!U:U,'All Employees by Mode'!$I:$I,"&gt;="&amp;$B47,'All Employees by Mode'!$I:$I,"&lt;"&amp;$D47,'All Employees by Mode'!$BE:$BE,"=No"),SUMIFS('All Employees by Mode'!U:U,'All Employees by Mode'!$I:$I,"&gt;="&amp;$B47,'All Employees by Mode'!$BE:$BE,"=No"))),IF($A47="","",IF($A47="Between",SUMIFS('All Employees by Mode'!U:U,'All Employees by Mode'!$I:$I,"&gt;="&amp;$B47,'All Employees by Mode'!$I:$I,"&lt;"&amp;$D47),SUMIFS('All Employees by Mode'!U:U,'All Employees by Mode'!$I:$I,"&gt;="&amp;$B47))))</f>
        <v>124995</v>
      </c>
      <c r="L47" s="160">
        <f>IF($AF$1,IF($A47="","",IF($A47="Between",SUMIFS('All Employees by Mode'!W:W,'All Employees by Mode'!$I:$I,"&gt;="&amp;$B47,'All Employees by Mode'!$I:$I,"&lt;"&amp;$D47,'All Employees by Mode'!$BE:$BE,"=No"),SUMIFS('All Employees by Mode'!W:W,'All Employees by Mode'!$I:$I,"&gt;="&amp;$B47,'All Employees by Mode'!$BE:$BE,"=No"))),IF($A47="","",IF($A47="Between",SUMIFS('All Employees by Mode'!W:W,'All Employees by Mode'!$I:$I,"&gt;="&amp;$B47,'All Employees by Mode'!$I:$I,"&lt;"&amp;$D47),SUMIFS('All Employees by Mode'!W:W,'All Employees by Mode'!$I:$I,"&gt;="&amp;$B47))))</f>
        <v>38095407</v>
      </c>
      <c r="M47" s="160">
        <f>IF($AF$1,IF($A47="","",IF($A47="Between",SUMIFS('All Employees by Mode'!Y:Y,'All Employees by Mode'!$I:$I,"&gt;="&amp;$B47,'All Employees by Mode'!$I:$I,"&lt;"&amp;$D47,'All Employees by Mode'!$BE:$BE,"=No"),SUMIFS('All Employees by Mode'!Y:Y,'All Employees by Mode'!$I:$I,"&gt;="&amp;$B47,'All Employees by Mode'!$BE:$BE,"=No"))),IF($A47="","",IF($A47="Between",SUMIFS('All Employees by Mode'!Y:Y,'All Employees by Mode'!$I:$I,"&gt;="&amp;$B47,'All Employees by Mode'!$I:$I,"&lt;"&amp;$D47),SUMIFS('All Employees by Mode'!Y:Y,'All Employees by Mode'!$I:$I,"&gt;="&amp;$B47))))</f>
        <v>14441.010000000006</v>
      </c>
      <c r="N47" s="160">
        <f>IF($AF$1,IF($A47="","",IF($A47="Between",SUMIFS('All Employees by Mode'!AA:AA,'All Employees by Mode'!$I:$I,"&gt;="&amp;$B47,'All Employees by Mode'!$I:$I,"&lt;"&amp;$D47,'All Employees by Mode'!$BE:$BE,"=No"),SUMIFS('All Employees by Mode'!AA:AA,'All Employees by Mode'!$I:$I,"&gt;="&amp;$B47,'All Employees by Mode'!$BE:$BE,"=No"))),IF($A47="","",IF($A47="Between",SUMIFS('All Employees by Mode'!AA:AA,'All Employees by Mode'!$I:$I,"&gt;="&amp;$B47,'All Employees by Mode'!$I:$I,"&lt;"&amp;$D47),SUMIFS('All Employees by Mode'!AA:AA,'All Employees by Mode'!$I:$I,"&gt;="&amp;$B47))))</f>
        <v>2969.1700000000005</v>
      </c>
      <c r="O47" s="160">
        <f>IF($AF$1,IF($A47="","",IF($A47="Between",SUMIFS('All Employees by Mode'!AC:AC,'All Employees by Mode'!$I:$I,"&gt;="&amp;$B47,'All Employees by Mode'!$I:$I,"&lt;"&amp;$D47,'All Employees by Mode'!$BE:$BE,"=No"),SUMIFS('All Employees by Mode'!AC:AC,'All Employees by Mode'!$I:$I,"&gt;="&amp;$B47,'All Employees by Mode'!$BE:$BE,"=No"))),IF($A47="","",IF($A47="Between",SUMIFS('All Employees by Mode'!AC:AC,'All Employees by Mode'!$I:$I,"&gt;="&amp;$B47,'All Employees by Mode'!$I:$I,"&lt;"&amp;$D47),SUMIFS('All Employees by Mode'!AC:AC,'All Employees by Mode'!$I:$I,"&gt;="&amp;$B47))))</f>
        <v>747.35999999999979</v>
      </c>
      <c r="P47" s="160">
        <f>IF($AF$1,IF($A47="","",IF($A47="Between",SUMIFS('All Employees by Mode'!AE:AE,'All Employees by Mode'!$I:$I,"&gt;="&amp;$B47,'All Employees by Mode'!$I:$I,"&lt;"&amp;$D47,'All Employees by Mode'!$BE:$BE,"=No"),SUMIFS('All Employees by Mode'!AE:AE,'All Employees by Mode'!$I:$I,"&gt;="&amp;$B47,'All Employees by Mode'!$BE:$BE,"=No"))),IF($A47="","",IF($A47="Between",SUMIFS('All Employees by Mode'!AE:AE,'All Employees by Mode'!$I:$I,"&gt;="&amp;$B47,'All Employees by Mode'!$I:$I,"&lt;"&amp;$D47),SUMIFS('All Employees by Mode'!AE:AE,'All Employees by Mode'!$I:$I,"&gt;="&amp;$B47))))</f>
        <v>2459.2599999999984</v>
      </c>
      <c r="Q47" s="160">
        <f>IF($AF$1,IF($A47="","",IF($A47="Between",SUMIFS('All Employees by Mode'!AG:AG,'All Employees by Mode'!$I:$I,"&gt;="&amp;$B47,'All Employees by Mode'!$I:$I,"&lt;"&amp;$D47,'All Employees by Mode'!$BE:$BE,"=No"),SUMIFS('All Employees by Mode'!AG:AG,'All Employees by Mode'!$I:$I,"&gt;="&amp;$B47,'All Employees by Mode'!$BE:$BE,"=No"))),IF($A47="","",IF($A47="Between",SUMIFS('All Employees by Mode'!AG:AG,'All Employees by Mode'!$I:$I,"&gt;="&amp;$B47,'All Employees by Mode'!$I:$I,"&lt;"&amp;$D47),SUMIFS('All Employees by Mode'!AG:AG,'All Employees by Mode'!$I:$I,"&gt;="&amp;$B47))))</f>
        <v>67.94</v>
      </c>
      <c r="R47" s="160">
        <f>IF($AF$1,IF($A47="","",IF($A47="Between",SUMIFS('All Employees by Mode'!AI:AI,'All Employees by Mode'!$I:$I,"&gt;="&amp;$B47,'All Employees by Mode'!$I:$I,"&lt;"&amp;$D47,'All Employees by Mode'!$BE:$BE,"=No"),SUMIFS('All Employees by Mode'!AI:AI,'All Employees by Mode'!$I:$I,"&gt;="&amp;$B47,'All Employees by Mode'!$BE:$BE,"=No"))),IF($A47="","",IF($A47="Between",SUMIFS('All Employees by Mode'!AI:AI,'All Employees by Mode'!$I:$I,"&gt;="&amp;$B47,'All Employees by Mode'!$I:$I,"&lt;"&amp;$D47),SUMIFS('All Employees by Mode'!AI:AI,'All Employees by Mode'!$I:$I,"&gt;="&amp;$B47))))</f>
        <v>20684.739999999994</v>
      </c>
      <c r="S47" s="161">
        <f>IF($AF$1,IF($A47="","",IF($A47="Between",SUMIFS('All Employees by Mode'!AK:AK,'All Employees by Mode'!$I:$I,"&gt;="&amp;$B47,'All Employees by Mode'!$I:$I,"&lt;"&amp;$D47,'All Employees by Mode'!$BE:$BE,"=No"),SUMIFS('All Employees by Mode'!AK:AK,'All Employees by Mode'!$I:$I,"&gt;="&amp;$B47,'All Employees by Mode'!$BE:$BE,"=No"))),IF($A47="","",IF($A47="Between",SUMIFS('All Employees by Mode'!AK:AK,'All Employees by Mode'!$I:$I,"&gt;="&amp;$B47,'All Employees by Mode'!$I:$I,"&lt;"&amp;$D47),SUMIFS('All Employees by Mode'!AK:AK,'All Employees by Mode'!$I:$I,"&gt;="&amp;$B47))))</f>
        <v>623519603</v>
      </c>
      <c r="T47" s="161">
        <f>IF($AF$1,IF($A47="","",IF($A47="Between",SUMIFS('All Employees by Mode'!AM:AM,'All Employees by Mode'!$I:$I,"&gt;="&amp;$B47,'All Employees by Mode'!$I:$I,"&lt;"&amp;$D47,'All Employees by Mode'!$BE:$BE,"=No"),SUMIFS('All Employees by Mode'!AM:AM,'All Employees by Mode'!$I:$I,"&gt;="&amp;$B47,'All Employees by Mode'!$BE:$BE,"=No"))),IF($A47="","",IF($A47="Between",SUMIFS('All Employees by Mode'!AM:AM,'All Employees by Mode'!$I:$I,"&gt;="&amp;$B47,'All Employees by Mode'!$I:$I,"&lt;"&amp;$D47),SUMIFS('All Employees by Mode'!AM:AM,'All Employees by Mode'!$I:$I,"&gt;="&amp;$B47))))</f>
        <v>140625402</v>
      </c>
      <c r="U47" s="161">
        <f>IF($AF$1,IF($A47="","",IF($A47="Between",SUMIFS('All Employees by Mode'!AO:AO,'All Employees by Mode'!$I:$I,"&gt;="&amp;$B47,'All Employees by Mode'!$I:$I,"&lt;"&amp;$D47,'All Employees by Mode'!$BE:$BE,"=No"),SUMIFS('All Employees by Mode'!AO:AO,'All Employees by Mode'!$I:$I,"&gt;="&amp;$B47,'All Employees by Mode'!$BE:$BE,"=No"))),IF($A47="","",IF($A47="Between",SUMIFS('All Employees by Mode'!AO:AO,'All Employees by Mode'!$I:$I,"&gt;="&amp;$B47,'All Employees by Mode'!$I:$I,"&lt;"&amp;$D47),SUMIFS('All Employees by Mode'!AO:AO,'All Employees by Mode'!$I:$I,"&gt;="&amp;$B47))))</f>
        <v>29228597</v>
      </c>
      <c r="V47" s="161">
        <f>IF($AF$1,IF($A47="","",IF($A47="Between",SUMIFS('All Employees by Mode'!AQ:AQ,'All Employees by Mode'!$I:$I,"&gt;="&amp;$B47,'All Employees by Mode'!$I:$I,"&lt;"&amp;$D47,'All Employees by Mode'!$BE:$BE,"=No"),SUMIFS('All Employees by Mode'!AQ:AQ,'All Employees by Mode'!$I:$I,"&gt;="&amp;$B47,'All Employees by Mode'!$BE:$BE,"=No"))),IF($A47="","",IF($A47="Between",SUMIFS('All Employees by Mode'!AQ:AQ,'All Employees by Mode'!$I:$I,"&gt;="&amp;$B47,'All Employees by Mode'!$I:$I,"&lt;"&amp;$D47),SUMIFS('All Employees by Mode'!AQ:AQ,'All Employees by Mode'!$I:$I,"&gt;="&amp;$B47))))</f>
        <v>124474254</v>
      </c>
      <c r="W47" s="161">
        <f>IF($AF$1,IF($A47="","",IF($A47="Between",SUMIFS('All Employees by Mode'!AS:AS,'All Employees by Mode'!$I:$I,"&gt;="&amp;$B47,'All Employees by Mode'!$I:$I,"&lt;"&amp;$D47,'All Employees by Mode'!$BE:$BE,"=No"),SUMIFS('All Employees by Mode'!AS:AS,'All Employees by Mode'!$I:$I,"&gt;="&amp;$B47,'All Employees by Mode'!$BE:$BE,"=No"))),IF($A47="","",IF($A47="Between",SUMIFS('All Employees by Mode'!AS:AS,'All Employees by Mode'!$I:$I,"&gt;="&amp;$B47,'All Employees by Mode'!$I:$I,"&lt;"&amp;$D47),SUMIFS('All Employees by Mode'!AS:AS,'All Employees by Mode'!$I:$I,"&gt;="&amp;$B47))))</f>
        <v>917847856</v>
      </c>
      <c r="X47" s="162">
        <f t="shared" si="28"/>
        <v>23.283245235066563</v>
      </c>
      <c r="Y47" s="162">
        <f t="shared" si="29"/>
        <v>25.147077931309376</v>
      </c>
      <c r="Z47" s="162">
        <f t="shared" si="30"/>
        <v>21.958508222252107</v>
      </c>
      <c r="AA47" s="162">
        <f t="shared" si="31"/>
        <v>29.168250318632385</v>
      </c>
      <c r="AB47" s="271">
        <f t="shared" si="32"/>
        <v>24.172712584735716</v>
      </c>
      <c r="AC47" s="93"/>
      <c r="AD47" s="94"/>
      <c r="AE47" s="94"/>
      <c r="AF47" s="94"/>
      <c r="AG47" s="94"/>
      <c r="AH47" s="94" t="str">
        <f t="shared" si="22"/>
        <v>100 to 250:
Vehicle Operations: $23.28
Vehicle Maintenance: $25.15
Facility Maintenance: $21.96
General Administration: $29.17
Total: $24.17</v>
      </c>
      <c r="AI47" s="94"/>
      <c r="AJ47" s="94"/>
      <c r="AK47" s="94"/>
      <c r="AL47" s="94"/>
      <c r="AM47" s="94"/>
      <c r="AN47" s="94"/>
      <c r="AO47" s="306">
        <f t="shared" si="23"/>
        <v>23.283245235066563</v>
      </c>
      <c r="AP47" s="306">
        <f t="shared" si="20"/>
        <v>25.147077931309376</v>
      </c>
      <c r="AQ47" s="306">
        <f t="shared" si="20"/>
        <v>21.958508222252107</v>
      </c>
      <c r="AR47" s="306">
        <f t="shared" si="20"/>
        <v>29.168250318632385</v>
      </c>
      <c r="AS47" s="306">
        <f t="shared" si="20"/>
        <v>24.172712584735716</v>
      </c>
      <c r="AT47" s="303" t="str">
        <f t="shared" si="24"/>
        <v>100 to 250</v>
      </c>
      <c r="AU47" s="94"/>
      <c r="AV47" s="94"/>
    </row>
    <row r="48" spans="1:48" s="95" customFormat="1" ht="11.25" customHeight="1">
      <c r="A48" s="167" t="str">
        <f t="shared" si="25"/>
        <v>Between</v>
      </c>
      <c r="B48" s="168">
        <f t="shared" si="27"/>
        <v>250</v>
      </c>
      <c r="C48" s="169" t="str">
        <f t="shared" si="26"/>
        <v>and</v>
      </c>
      <c r="D48" s="250">
        <v>500</v>
      </c>
      <c r="E48" s="276" t="str">
        <f t="shared" si="21"/>
        <v>Between 250 and 500</v>
      </c>
      <c r="F48" s="159">
        <f>IF($AF$1,IF($A48="","",IF($A48="Between",SUMIFS('All Employees by Mode'!L:L,'All Employees by Mode'!$I:$I,"&gt;="&amp;$B48,'All Employees by Mode'!$I:$I,"&lt;"&amp;$D48,'All Employees by Mode'!$BE:$BE,"=No"),SUMIFS('All Employees by Mode'!L:L,'All Employees by Mode'!$I:$I,"&gt;="&amp;$B48,'All Employees by Mode'!$BE:$BE,"=No"))),IF($A48="","",IF($A48="Between",SUMIFS('All Employees by Mode'!L:L,'All Employees by Mode'!$I:$I,"&gt;="&amp;$B48,'All Employees by Mode'!$I:$I,"&lt;"&amp;$D48),SUMIFS('All Employees by Mode'!L:L,'All Employees by Mode'!$I:$I,"&gt;="&amp;$B48))))</f>
        <v>9716</v>
      </c>
      <c r="G48" s="160">
        <f>IF($AF$1,IF($A48="","",IF($A48="Between",SUMIFS('All Employees by Mode'!M:M,'All Employees by Mode'!$I:$I,"&gt;="&amp;$B48,'All Employees by Mode'!$I:$I,"&lt;"&amp;$D48,'All Employees by Mode'!$BE:$BE,"=No"),SUMIFS('All Employees by Mode'!M:M,'All Employees by Mode'!$I:$I,"&gt;="&amp;$B48,'All Employees by Mode'!$BE:$BE,"=No"))),IF($A48="","",IF($A48="Between",SUMIFS('All Employees by Mode'!M:M,'All Employees by Mode'!$I:$I,"&gt;="&amp;$B48,'All Employees by Mode'!$I:$I,"&lt;"&amp;$D48),SUMIFS('All Employees by Mode'!M:M,'All Employees by Mode'!$I:$I,"&gt;="&amp;$B48))))</f>
        <v>35523490</v>
      </c>
      <c r="H48" s="160">
        <f>IF($AF$1,IF($A48="","",IF($A48="Between",SUMIFS('All Employees by Mode'!O:O,'All Employees by Mode'!$I:$I,"&gt;="&amp;$B48,'All Employees by Mode'!$I:$I,"&lt;"&amp;$D48,'All Employees by Mode'!$BE:$BE,"=No"),SUMIFS('All Employees by Mode'!O:O,'All Employees by Mode'!$I:$I,"&gt;="&amp;$B48,'All Employees by Mode'!$BE:$BE,"=No"))),IF($A48="","",IF($A48="Between",SUMIFS('All Employees by Mode'!O:O,'All Employees by Mode'!$I:$I,"&gt;="&amp;$B48,'All Employees by Mode'!$I:$I,"&lt;"&amp;$D48),SUMIFS('All Employees by Mode'!O:O,'All Employees by Mode'!$I:$I,"&gt;="&amp;$B48))))</f>
        <v>8053784</v>
      </c>
      <c r="I48" s="160">
        <f>IF($AF$1,IF($A48="","",IF($A48="Between",SUMIFS('All Employees by Mode'!Q:Q,'All Employees by Mode'!$I:$I,"&gt;="&amp;$B48,'All Employees by Mode'!$I:$I,"&lt;"&amp;$D48,'All Employees by Mode'!$BE:$BE,"=No"),SUMIFS('All Employees by Mode'!Q:Q,'All Employees by Mode'!$I:$I,"&gt;="&amp;$B48,'All Employees by Mode'!$BE:$BE,"=No"))),IF($A48="","",IF($A48="Between",SUMIFS('All Employees by Mode'!Q:Q,'All Employees by Mode'!$I:$I,"&gt;="&amp;$B48,'All Employees by Mode'!$I:$I,"&lt;"&amp;$D48),SUMIFS('All Employees by Mode'!Q:Q,'All Employees by Mode'!$I:$I,"&gt;="&amp;$B48))))</f>
        <v>2798383</v>
      </c>
      <c r="J48" s="160">
        <f>IF($AF$1,IF($A48="","",IF($A48="Between",SUMIFS('All Employees by Mode'!S:S,'All Employees by Mode'!$I:$I,"&gt;="&amp;$B48,'All Employees by Mode'!$I:$I,"&lt;"&amp;$D48,'All Employees by Mode'!$BE:$BE,"=No"),SUMIFS('All Employees by Mode'!S:S,'All Employees by Mode'!$I:$I,"&gt;="&amp;$B48,'All Employees by Mode'!$BE:$BE,"=No"))),IF($A48="","",IF($A48="Between",SUMIFS('All Employees by Mode'!S:S,'All Employees by Mode'!$I:$I,"&gt;="&amp;$B48,'All Employees by Mode'!$I:$I,"&lt;"&amp;$D48),SUMIFS('All Employees by Mode'!S:S,'All Employees by Mode'!$I:$I,"&gt;="&amp;$B48))))</f>
        <v>4926378</v>
      </c>
      <c r="K48" s="160">
        <f>IF($AF$1,IF($A48="","",IF($A48="Between",SUMIFS('All Employees by Mode'!U:U,'All Employees by Mode'!$I:$I,"&gt;="&amp;$B48,'All Employees by Mode'!$I:$I,"&lt;"&amp;$D48,'All Employees by Mode'!$BE:$BE,"=No"),SUMIFS('All Employees by Mode'!U:U,'All Employees by Mode'!$I:$I,"&gt;="&amp;$B48,'All Employees by Mode'!$BE:$BE,"=No"))),IF($A48="","",IF($A48="Between",SUMIFS('All Employees by Mode'!U:U,'All Employees by Mode'!$I:$I,"&gt;="&amp;$B48,'All Employees by Mode'!$I:$I,"&lt;"&amp;$D48),SUMIFS('All Employees by Mode'!U:U,'All Employees by Mode'!$I:$I,"&gt;="&amp;$B48))))</f>
        <v>928507</v>
      </c>
      <c r="L48" s="160">
        <f>IF($AF$1,IF($A48="","",IF($A48="Between",SUMIFS('All Employees by Mode'!W:W,'All Employees by Mode'!$I:$I,"&gt;="&amp;$B48,'All Employees by Mode'!$I:$I,"&lt;"&amp;$D48,'All Employees by Mode'!$BE:$BE,"=No"),SUMIFS('All Employees by Mode'!W:W,'All Employees by Mode'!$I:$I,"&gt;="&amp;$B48,'All Employees by Mode'!$BE:$BE,"=No"))),IF($A48="","",IF($A48="Between",SUMIFS('All Employees by Mode'!W:W,'All Employees by Mode'!$I:$I,"&gt;="&amp;$B48,'All Employees by Mode'!$I:$I,"&lt;"&amp;$D48),SUMIFS('All Employees by Mode'!W:W,'All Employees by Mode'!$I:$I,"&gt;="&amp;$B48))))</f>
        <v>52230542</v>
      </c>
      <c r="M48" s="160">
        <f>IF($AF$1,IF($A48="","",IF($A48="Between",SUMIFS('All Employees by Mode'!Y:Y,'All Employees by Mode'!$I:$I,"&gt;="&amp;$B48,'All Employees by Mode'!$I:$I,"&lt;"&amp;$D48,'All Employees by Mode'!$BE:$BE,"=No"),SUMIFS('All Employees by Mode'!Y:Y,'All Employees by Mode'!$I:$I,"&gt;="&amp;$B48,'All Employees by Mode'!$BE:$BE,"=No"))),IF($A48="","",IF($A48="Between",SUMIFS('All Employees by Mode'!Y:Y,'All Employees by Mode'!$I:$I,"&gt;="&amp;$B48,'All Employees by Mode'!$I:$I,"&lt;"&amp;$D48),SUMIFS('All Employees by Mode'!Y:Y,'All Employees by Mode'!$I:$I,"&gt;="&amp;$B48))))</f>
        <v>18434.309999999998</v>
      </c>
      <c r="N48" s="160">
        <f>IF($AF$1,IF($A48="","",IF($A48="Between",SUMIFS('All Employees by Mode'!AA:AA,'All Employees by Mode'!$I:$I,"&gt;="&amp;$B48,'All Employees by Mode'!$I:$I,"&lt;"&amp;$D48,'All Employees by Mode'!$BE:$BE,"=No"),SUMIFS('All Employees by Mode'!AA:AA,'All Employees by Mode'!$I:$I,"&gt;="&amp;$B48,'All Employees by Mode'!$BE:$BE,"=No"))),IF($A48="","",IF($A48="Between",SUMIFS('All Employees by Mode'!AA:AA,'All Employees by Mode'!$I:$I,"&gt;="&amp;$B48,'All Employees by Mode'!$I:$I,"&lt;"&amp;$D48),SUMIFS('All Employees by Mode'!AA:AA,'All Employees by Mode'!$I:$I,"&gt;="&amp;$B48))))</f>
        <v>4228.12</v>
      </c>
      <c r="O48" s="160">
        <f>IF($AF$1,IF($A48="","",IF($A48="Between",SUMIFS('All Employees by Mode'!AC:AC,'All Employees by Mode'!$I:$I,"&gt;="&amp;$B48,'All Employees by Mode'!$I:$I,"&lt;"&amp;$D48,'All Employees by Mode'!$BE:$BE,"=No"),SUMIFS('All Employees by Mode'!AC:AC,'All Employees by Mode'!$I:$I,"&gt;="&amp;$B48,'All Employees by Mode'!$BE:$BE,"=No"))),IF($A48="","",IF($A48="Between",SUMIFS('All Employees by Mode'!AC:AC,'All Employees by Mode'!$I:$I,"&gt;="&amp;$B48,'All Employees by Mode'!$I:$I,"&lt;"&amp;$D48),SUMIFS('All Employees by Mode'!AC:AC,'All Employees by Mode'!$I:$I,"&gt;="&amp;$B48))))</f>
        <v>1512.76</v>
      </c>
      <c r="P48" s="160">
        <f>IF($AF$1,IF($A48="","",IF($A48="Between",SUMIFS('All Employees by Mode'!AE:AE,'All Employees by Mode'!$I:$I,"&gt;="&amp;$B48,'All Employees by Mode'!$I:$I,"&lt;"&amp;$D48,'All Employees by Mode'!$BE:$BE,"=No"),SUMIFS('All Employees by Mode'!AE:AE,'All Employees by Mode'!$I:$I,"&gt;="&amp;$B48,'All Employees by Mode'!$BE:$BE,"=No"))),IF($A48="","",IF($A48="Between",SUMIFS('All Employees by Mode'!AE:AE,'All Employees by Mode'!$I:$I,"&gt;="&amp;$B48,'All Employees by Mode'!$I:$I,"&lt;"&amp;$D48),SUMIFS('All Employees by Mode'!AE:AE,'All Employees by Mode'!$I:$I,"&gt;="&amp;$B48))))</f>
        <v>2883.4700000000007</v>
      </c>
      <c r="Q48" s="160">
        <f>IF($AF$1,IF($A48="","",IF($A48="Between",SUMIFS('All Employees by Mode'!AG:AG,'All Employees by Mode'!$I:$I,"&gt;="&amp;$B48,'All Employees by Mode'!$I:$I,"&lt;"&amp;$D48,'All Employees by Mode'!$BE:$BE,"=No"),SUMIFS('All Employees by Mode'!AG:AG,'All Employees by Mode'!$I:$I,"&gt;="&amp;$B48,'All Employees by Mode'!$BE:$BE,"=No"))),IF($A48="","",IF($A48="Between",SUMIFS('All Employees by Mode'!AG:AG,'All Employees by Mode'!$I:$I,"&gt;="&amp;$B48,'All Employees by Mode'!$I:$I,"&lt;"&amp;$D48),SUMIFS('All Employees by Mode'!AG:AG,'All Employees by Mode'!$I:$I,"&gt;="&amp;$B48))))</f>
        <v>504.74</v>
      </c>
      <c r="R48" s="160">
        <f>IF($AF$1,IF($A48="","",IF($A48="Between",SUMIFS('All Employees by Mode'!AI:AI,'All Employees by Mode'!$I:$I,"&gt;="&amp;$B48,'All Employees by Mode'!$I:$I,"&lt;"&amp;$D48,'All Employees by Mode'!$BE:$BE,"=No"),SUMIFS('All Employees by Mode'!AI:AI,'All Employees by Mode'!$I:$I,"&gt;="&amp;$B48,'All Employees by Mode'!$BE:$BE,"=No"))),IF($A48="","",IF($A48="Between",SUMIFS('All Employees by Mode'!AI:AI,'All Employees by Mode'!$I:$I,"&gt;="&amp;$B48,'All Employees by Mode'!$I:$I,"&lt;"&amp;$D48),SUMIFS('All Employees by Mode'!AI:AI,'All Employees by Mode'!$I:$I,"&gt;="&amp;$B48))))</f>
        <v>27563.4</v>
      </c>
      <c r="S48" s="161">
        <f>IF($AF$1,IF($A48="","",IF($A48="Between",SUMIFS('All Employees by Mode'!AK:AK,'All Employees by Mode'!$I:$I,"&gt;="&amp;$B48,'All Employees by Mode'!$I:$I,"&lt;"&amp;$D48,'All Employees by Mode'!$BE:$BE,"=No"),SUMIFS('All Employees by Mode'!AK:AK,'All Employees by Mode'!$I:$I,"&gt;="&amp;$B48,'All Employees by Mode'!$BE:$BE,"=No"))),IF($A48="","",IF($A48="Between",SUMIFS('All Employees by Mode'!AK:AK,'All Employees by Mode'!$I:$I,"&gt;="&amp;$B48,'All Employees by Mode'!$I:$I,"&lt;"&amp;$D48),SUMIFS('All Employees by Mode'!AK:AK,'All Employees by Mode'!$I:$I,"&gt;="&amp;$B48))))</f>
        <v>878507086</v>
      </c>
      <c r="T48" s="161">
        <f>IF($AF$1,IF($A48="","",IF($A48="Between",SUMIFS('All Employees by Mode'!AM:AM,'All Employees by Mode'!$I:$I,"&gt;="&amp;$B48,'All Employees by Mode'!$I:$I,"&lt;"&amp;$D48,'All Employees by Mode'!$BE:$BE,"=No"),SUMIFS('All Employees by Mode'!AM:AM,'All Employees by Mode'!$I:$I,"&gt;="&amp;$B48,'All Employees by Mode'!$BE:$BE,"=No"))),IF($A48="","",IF($A48="Between",SUMIFS('All Employees by Mode'!AM:AM,'All Employees by Mode'!$I:$I,"&gt;="&amp;$B48,'All Employees by Mode'!$I:$I,"&lt;"&amp;$D48),SUMIFS('All Employees by Mode'!AM:AM,'All Employees by Mode'!$I:$I,"&gt;="&amp;$B48))))</f>
        <v>229741257</v>
      </c>
      <c r="U48" s="161">
        <f>IF($AF$1,IF($A48="","",IF($A48="Between",SUMIFS('All Employees by Mode'!AO:AO,'All Employees by Mode'!$I:$I,"&gt;="&amp;$B48,'All Employees by Mode'!$I:$I,"&lt;"&amp;$D48,'All Employees by Mode'!$BE:$BE,"=No"),SUMIFS('All Employees by Mode'!AO:AO,'All Employees by Mode'!$I:$I,"&gt;="&amp;$B48,'All Employees by Mode'!$BE:$BE,"=No"))),IF($A48="","",IF($A48="Between",SUMIFS('All Employees by Mode'!AO:AO,'All Employees by Mode'!$I:$I,"&gt;="&amp;$B48,'All Employees by Mode'!$I:$I,"&lt;"&amp;$D48),SUMIFS('All Employees by Mode'!AO:AO,'All Employees by Mode'!$I:$I,"&gt;="&amp;$B48))))</f>
        <v>82463034</v>
      </c>
      <c r="V48" s="161">
        <f>IF($AF$1,IF($A48="","",IF($A48="Between",SUMIFS('All Employees by Mode'!AQ:AQ,'All Employees by Mode'!$I:$I,"&gt;="&amp;$B48,'All Employees by Mode'!$I:$I,"&lt;"&amp;$D48,'All Employees by Mode'!$BE:$BE,"=No"),SUMIFS('All Employees by Mode'!AQ:AQ,'All Employees by Mode'!$I:$I,"&gt;="&amp;$B48,'All Employees by Mode'!$BE:$BE,"=No"))),IF($A48="","",IF($A48="Between",SUMIFS('All Employees by Mode'!AQ:AQ,'All Employees by Mode'!$I:$I,"&gt;="&amp;$B48,'All Employees by Mode'!$I:$I,"&lt;"&amp;$D48),SUMIFS('All Employees by Mode'!AQ:AQ,'All Employees by Mode'!$I:$I,"&gt;="&amp;$B48))))</f>
        <v>160752891</v>
      </c>
      <c r="W48" s="161">
        <f>IF($AF$1,IF($A48="","",IF($A48="Between",SUMIFS('All Employees by Mode'!AS:AS,'All Employees by Mode'!$I:$I,"&gt;="&amp;$B48,'All Employees by Mode'!$I:$I,"&lt;"&amp;$D48,'All Employees by Mode'!$BE:$BE,"=No"),SUMIFS('All Employees by Mode'!AS:AS,'All Employees by Mode'!$I:$I,"&gt;="&amp;$B48,'All Employees by Mode'!$BE:$BE,"=No"))),IF($A48="","",IF($A48="Between",SUMIFS('All Employees by Mode'!AS:AS,'All Employees by Mode'!$I:$I,"&gt;="&amp;$B48,'All Employees by Mode'!$I:$I,"&lt;"&amp;$D48),SUMIFS('All Employees by Mode'!AS:AS,'All Employees by Mode'!$I:$I,"&gt;="&amp;$B48))))</f>
        <v>1351464268</v>
      </c>
      <c r="X48" s="162">
        <f t="shared" si="28"/>
        <v>24.730314673473806</v>
      </c>
      <c r="Y48" s="162">
        <f t="shared" si="29"/>
        <v>28.525877649561995</v>
      </c>
      <c r="Z48" s="162">
        <f t="shared" si="30"/>
        <v>29.468101399987063</v>
      </c>
      <c r="AA48" s="162">
        <f t="shared" si="31"/>
        <v>32.631050845063044</v>
      </c>
      <c r="AB48" s="271">
        <f t="shared" si="32"/>
        <v>26.343287707787809</v>
      </c>
      <c r="AC48" s="93"/>
      <c r="AD48" s="94"/>
      <c r="AE48" s="94"/>
      <c r="AF48" s="94"/>
      <c r="AG48" s="94"/>
      <c r="AH48" s="94" t="str">
        <f t="shared" si="22"/>
        <v>250 to 500:
Vehicle Operations: $24.73
Vehicle Maintenance: $28.53
Facility Maintenance: $29.47
General Administration: $32.63
Total: $26.34</v>
      </c>
      <c r="AI48" s="94"/>
      <c r="AJ48" s="94"/>
      <c r="AK48" s="94"/>
      <c r="AL48" s="94"/>
      <c r="AM48" s="94"/>
      <c r="AN48" s="94"/>
      <c r="AO48" s="306">
        <f t="shared" si="23"/>
        <v>24.730314673473806</v>
      </c>
      <c r="AP48" s="306">
        <f t="shared" si="20"/>
        <v>28.525877649561995</v>
      </c>
      <c r="AQ48" s="306">
        <f t="shared" si="20"/>
        <v>29.468101399987063</v>
      </c>
      <c r="AR48" s="306">
        <f t="shared" si="20"/>
        <v>32.631050845063044</v>
      </c>
      <c r="AS48" s="306">
        <f t="shared" si="20"/>
        <v>26.343287707787809</v>
      </c>
      <c r="AT48" s="303" t="str">
        <f t="shared" si="24"/>
        <v>250 to 500</v>
      </c>
      <c r="AU48" s="94"/>
      <c r="AV48" s="94"/>
    </row>
    <row r="49" spans="1:48" s="95" customFormat="1" ht="11.25" customHeight="1">
      <c r="A49" s="167" t="str">
        <f t="shared" si="25"/>
        <v>Between</v>
      </c>
      <c r="B49" s="168">
        <f t="shared" si="27"/>
        <v>500</v>
      </c>
      <c r="C49" s="169" t="str">
        <f t="shared" si="26"/>
        <v>and</v>
      </c>
      <c r="D49" s="250">
        <v>1000</v>
      </c>
      <c r="E49" s="276" t="str">
        <f t="shared" si="21"/>
        <v>Between 500 and 1,000</v>
      </c>
      <c r="F49" s="159">
        <f>IF($AF$1,IF($A49="","",IF($A49="Between",SUMIFS('All Employees by Mode'!L:L,'All Employees by Mode'!$I:$I,"&gt;="&amp;$B49,'All Employees by Mode'!$I:$I,"&lt;"&amp;$D49,'All Employees by Mode'!$BE:$BE,"=No"),SUMIFS('All Employees by Mode'!L:L,'All Employees by Mode'!$I:$I,"&gt;="&amp;$B49,'All Employees by Mode'!$BE:$BE,"=No"))),IF($A49="","",IF($A49="Between",SUMIFS('All Employees by Mode'!L:L,'All Employees by Mode'!$I:$I,"&gt;="&amp;$B49,'All Employees by Mode'!$I:$I,"&lt;"&amp;$D49),SUMIFS('All Employees by Mode'!L:L,'All Employees by Mode'!$I:$I,"&gt;="&amp;$B49))))</f>
        <v>8074</v>
      </c>
      <c r="G49" s="160">
        <f>IF($AF$1,IF($A49="","",IF($A49="Between",SUMIFS('All Employees by Mode'!M:M,'All Employees by Mode'!$I:$I,"&gt;="&amp;$B49,'All Employees by Mode'!$I:$I,"&lt;"&amp;$D49,'All Employees by Mode'!$BE:$BE,"=No"),SUMIFS('All Employees by Mode'!M:M,'All Employees by Mode'!$I:$I,"&gt;="&amp;$B49,'All Employees by Mode'!$BE:$BE,"=No"))),IF($A49="","",IF($A49="Between",SUMIFS('All Employees by Mode'!M:M,'All Employees by Mode'!$I:$I,"&gt;="&amp;$B49,'All Employees by Mode'!$I:$I,"&lt;"&amp;$D49),SUMIFS('All Employees by Mode'!M:M,'All Employees by Mode'!$I:$I,"&gt;="&amp;$B49))))</f>
        <v>33360473</v>
      </c>
      <c r="H49" s="160">
        <f>IF($AF$1,IF($A49="","",IF($A49="Between",SUMIFS('All Employees by Mode'!O:O,'All Employees by Mode'!$I:$I,"&gt;="&amp;$B49,'All Employees by Mode'!$I:$I,"&lt;"&amp;$D49,'All Employees by Mode'!$BE:$BE,"=No"),SUMIFS('All Employees by Mode'!O:O,'All Employees by Mode'!$I:$I,"&gt;="&amp;$B49,'All Employees by Mode'!$BE:$BE,"=No"))),IF($A49="","",IF($A49="Between",SUMIFS('All Employees by Mode'!O:O,'All Employees by Mode'!$I:$I,"&gt;="&amp;$B49,'All Employees by Mode'!$I:$I,"&lt;"&amp;$D49),SUMIFS('All Employees by Mode'!O:O,'All Employees by Mode'!$I:$I,"&gt;="&amp;$B49))))</f>
        <v>9736082</v>
      </c>
      <c r="I49" s="160">
        <f>IF($AF$1,IF($A49="","",IF($A49="Between",SUMIFS('All Employees by Mode'!Q:Q,'All Employees by Mode'!$I:$I,"&gt;="&amp;$B49,'All Employees by Mode'!$I:$I,"&lt;"&amp;$D49,'All Employees by Mode'!$BE:$BE,"=No"),SUMIFS('All Employees by Mode'!Q:Q,'All Employees by Mode'!$I:$I,"&gt;="&amp;$B49,'All Employees by Mode'!$BE:$BE,"=No"))),IF($A49="","",IF($A49="Between",SUMIFS('All Employees by Mode'!Q:Q,'All Employees by Mode'!$I:$I,"&gt;="&amp;$B49,'All Employees by Mode'!$I:$I,"&lt;"&amp;$D49),SUMIFS('All Employees by Mode'!Q:Q,'All Employees by Mode'!$I:$I,"&gt;="&amp;$B49))))</f>
        <v>4962380</v>
      </c>
      <c r="J49" s="160">
        <f>IF($AF$1,IF($A49="","",IF($A49="Between",SUMIFS('All Employees by Mode'!S:S,'All Employees by Mode'!$I:$I,"&gt;="&amp;$B49,'All Employees by Mode'!$I:$I,"&lt;"&amp;$D49,'All Employees by Mode'!$BE:$BE,"=No"),SUMIFS('All Employees by Mode'!S:S,'All Employees by Mode'!$I:$I,"&gt;="&amp;$B49,'All Employees by Mode'!$BE:$BE,"=No"))),IF($A49="","",IF($A49="Between",SUMIFS('All Employees by Mode'!S:S,'All Employees by Mode'!$I:$I,"&gt;="&amp;$B49,'All Employees by Mode'!$I:$I,"&lt;"&amp;$D49),SUMIFS('All Employees by Mode'!S:S,'All Employees by Mode'!$I:$I,"&gt;="&amp;$B49))))</f>
        <v>5455322</v>
      </c>
      <c r="K49" s="160">
        <f>IF($AF$1,IF($A49="","",IF($A49="Between",SUMIFS('All Employees by Mode'!U:U,'All Employees by Mode'!$I:$I,"&gt;="&amp;$B49,'All Employees by Mode'!$I:$I,"&lt;"&amp;$D49,'All Employees by Mode'!$BE:$BE,"=No"),SUMIFS('All Employees by Mode'!U:U,'All Employees by Mode'!$I:$I,"&gt;="&amp;$B49,'All Employees by Mode'!$BE:$BE,"=No"))),IF($A49="","",IF($A49="Between",SUMIFS('All Employees by Mode'!U:U,'All Employees by Mode'!$I:$I,"&gt;="&amp;$B49,'All Employees by Mode'!$I:$I,"&lt;"&amp;$D49),SUMIFS('All Employees by Mode'!U:U,'All Employees by Mode'!$I:$I,"&gt;="&amp;$B49))))</f>
        <v>1591494</v>
      </c>
      <c r="L49" s="160">
        <f>IF($AF$1,IF($A49="","",IF($A49="Between",SUMIFS('All Employees by Mode'!W:W,'All Employees by Mode'!$I:$I,"&gt;="&amp;$B49,'All Employees by Mode'!$I:$I,"&lt;"&amp;$D49,'All Employees by Mode'!$BE:$BE,"=No"),SUMIFS('All Employees by Mode'!W:W,'All Employees by Mode'!$I:$I,"&gt;="&amp;$B49,'All Employees by Mode'!$BE:$BE,"=No"))),IF($A49="","",IF($A49="Between",SUMIFS('All Employees by Mode'!W:W,'All Employees by Mode'!$I:$I,"&gt;="&amp;$B49,'All Employees by Mode'!$I:$I,"&lt;"&amp;$D49),SUMIFS('All Employees by Mode'!W:W,'All Employees by Mode'!$I:$I,"&gt;="&amp;$B49))))</f>
        <v>55105751</v>
      </c>
      <c r="M49" s="160">
        <f>IF($AF$1,IF($A49="","",IF($A49="Between",SUMIFS('All Employees by Mode'!Y:Y,'All Employees by Mode'!$I:$I,"&gt;="&amp;$B49,'All Employees by Mode'!$I:$I,"&lt;"&amp;$D49,'All Employees by Mode'!$BE:$BE,"=No"),SUMIFS('All Employees by Mode'!Y:Y,'All Employees by Mode'!$I:$I,"&gt;="&amp;$B49,'All Employees by Mode'!$BE:$BE,"=No"))),IF($A49="","",IF($A49="Between",SUMIFS('All Employees by Mode'!Y:Y,'All Employees by Mode'!$I:$I,"&gt;="&amp;$B49,'All Employees by Mode'!$I:$I,"&lt;"&amp;$D49),SUMIFS('All Employees by Mode'!Y:Y,'All Employees by Mode'!$I:$I,"&gt;="&amp;$B49))))</f>
        <v>17434.170000000002</v>
      </c>
      <c r="N49" s="160">
        <f>IF($AF$1,IF($A49="","",IF($A49="Between",SUMIFS('All Employees by Mode'!AA:AA,'All Employees by Mode'!$I:$I,"&gt;="&amp;$B49,'All Employees by Mode'!$I:$I,"&lt;"&amp;$D49,'All Employees by Mode'!$BE:$BE,"=No"),SUMIFS('All Employees by Mode'!AA:AA,'All Employees by Mode'!$I:$I,"&gt;="&amp;$B49,'All Employees by Mode'!$BE:$BE,"=No"))),IF($A49="","",IF($A49="Between",SUMIFS('All Employees by Mode'!AA:AA,'All Employees by Mode'!$I:$I,"&gt;="&amp;$B49,'All Employees by Mode'!$I:$I,"&lt;"&amp;$D49),SUMIFS('All Employees by Mode'!AA:AA,'All Employees by Mode'!$I:$I,"&gt;="&amp;$B49))))</f>
        <v>4987.6899999999996</v>
      </c>
      <c r="O49" s="160">
        <f>IF($AF$1,IF($A49="","",IF($A49="Between",SUMIFS('All Employees by Mode'!AC:AC,'All Employees by Mode'!$I:$I,"&gt;="&amp;$B49,'All Employees by Mode'!$I:$I,"&lt;"&amp;$D49,'All Employees by Mode'!$BE:$BE,"=No"),SUMIFS('All Employees by Mode'!AC:AC,'All Employees by Mode'!$I:$I,"&gt;="&amp;$B49,'All Employees by Mode'!$BE:$BE,"=No"))),IF($A49="","",IF($A49="Between",SUMIFS('All Employees by Mode'!AC:AC,'All Employees by Mode'!$I:$I,"&gt;="&amp;$B49,'All Employees by Mode'!$I:$I,"&lt;"&amp;$D49),SUMIFS('All Employees by Mode'!AC:AC,'All Employees by Mode'!$I:$I,"&gt;="&amp;$B49))))</f>
        <v>2483.4700000000003</v>
      </c>
      <c r="P49" s="160">
        <f>IF($AF$1,IF($A49="","",IF($A49="Between",SUMIFS('All Employees by Mode'!AE:AE,'All Employees by Mode'!$I:$I,"&gt;="&amp;$B49,'All Employees by Mode'!$I:$I,"&lt;"&amp;$D49,'All Employees by Mode'!$BE:$BE,"=No"),SUMIFS('All Employees by Mode'!AE:AE,'All Employees by Mode'!$I:$I,"&gt;="&amp;$B49,'All Employees by Mode'!$BE:$BE,"=No"))),IF($A49="","",IF($A49="Between",SUMIFS('All Employees by Mode'!AE:AE,'All Employees by Mode'!$I:$I,"&gt;="&amp;$B49,'All Employees by Mode'!$I:$I,"&lt;"&amp;$D49),SUMIFS('All Employees by Mode'!AE:AE,'All Employees by Mode'!$I:$I,"&gt;="&amp;$B49))))</f>
        <v>2991.8100000000004</v>
      </c>
      <c r="Q49" s="160">
        <f>IF($AF$1,IF($A49="","",IF($A49="Between",SUMIFS('All Employees by Mode'!AG:AG,'All Employees by Mode'!$I:$I,"&gt;="&amp;$B49,'All Employees by Mode'!$I:$I,"&lt;"&amp;$D49,'All Employees by Mode'!$BE:$BE,"=No"),SUMIFS('All Employees by Mode'!AG:AG,'All Employees by Mode'!$I:$I,"&gt;="&amp;$B49,'All Employees by Mode'!$BE:$BE,"=No"))),IF($A49="","",IF($A49="Between",SUMIFS('All Employees by Mode'!AG:AG,'All Employees by Mode'!$I:$I,"&gt;="&amp;$B49,'All Employees by Mode'!$I:$I,"&lt;"&amp;$D49),SUMIFS('All Employees by Mode'!AG:AG,'All Employees by Mode'!$I:$I,"&gt;="&amp;$B49))))</f>
        <v>833.39999999999986</v>
      </c>
      <c r="R49" s="160">
        <f>IF($AF$1,IF($A49="","",IF($A49="Between",SUMIFS('All Employees by Mode'!AI:AI,'All Employees by Mode'!$I:$I,"&gt;="&amp;$B49,'All Employees by Mode'!$I:$I,"&lt;"&amp;$D49,'All Employees by Mode'!$BE:$BE,"=No"),SUMIFS('All Employees by Mode'!AI:AI,'All Employees by Mode'!$I:$I,"&gt;="&amp;$B49,'All Employees by Mode'!$BE:$BE,"=No"))),IF($A49="","",IF($A49="Between",SUMIFS('All Employees by Mode'!AI:AI,'All Employees by Mode'!$I:$I,"&gt;="&amp;$B49,'All Employees by Mode'!$I:$I,"&lt;"&amp;$D49),SUMIFS('All Employees by Mode'!AI:AI,'All Employees by Mode'!$I:$I,"&gt;="&amp;$B49))))</f>
        <v>28730.54</v>
      </c>
      <c r="S49" s="161">
        <f>IF($AF$1,IF($A49="","",IF($A49="Between",SUMIFS('All Employees by Mode'!AK:AK,'All Employees by Mode'!$I:$I,"&gt;="&amp;$B49,'All Employees by Mode'!$I:$I,"&lt;"&amp;$D49,'All Employees by Mode'!$BE:$BE,"=No"),SUMIFS('All Employees by Mode'!AK:AK,'All Employees by Mode'!$I:$I,"&gt;="&amp;$B49,'All Employees by Mode'!$BE:$BE,"=No"))),IF($A49="","",IF($A49="Between",SUMIFS('All Employees by Mode'!AK:AK,'All Employees by Mode'!$I:$I,"&gt;="&amp;$B49,'All Employees by Mode'!$I:$I,"&lt;"&amp;$D49),SUMIFS('All Employees by Mode'!AK:AK,'All Employees by Mode'!$I:$I,"&gt;="&amp;$B49))))</f>
        <v>972402146</v>
      </c>
      <c r="T49" s="161">
        <f>IF($AF$1,IF($A49="","",IF($A49="Between",SUMIFS('All Employees by Mode'!AM:AM,'All Employees by Mode'!$I:$I,"&gt;="&amp;$B49,'All Employees by Mode'!$I:$I,"&lt;"&amp;$D49,'All Employees by Mode'!$BE:$BE,"=No"),SUMIFS('All Employees by Mode'!AM:AM,'All Employees by Mode'!$I:$I,"&gt;="&amp;$B49,'All Employees by Mode'!$BE:$BE,"=No"))),IF($A49="","",IF($A49="Between",SUMIFS('All Employees by Mode'!AM:AM,'All Employees by Mode'!$I:$I,"&gt;="&amp;$B49,'All Employees by Mode'!$I:$I,"&lt;"&amp;$D49),SUMIFS('All Employees by Mode'!AM:AM,'All Employees by Mode'!$I:$I,"&gt;="&amp;$B49))))</f>
        <v>335047617</v>
      </c>
      <c r="U49" s="161">
        <f>IF($AF$1,IF($A49="","",IF($A49="Between",SUMIFS('All Employees by Mode'!AO:AO,'All Employees by Mode'!$I:$I,"&gt;="&amp;$B49,'All Employees by Mode'!$I:$I,"&lt;"&amp;$D49,'All Employees by Mode'!$BE:$BE,"=No"),SUMIFS('All Employees by Mode'!AO:AO,'All Employees by Mode'!$I:$I,"&gt;="&amp;$B49,'All Employees by Mode'!$BE:$BE,"=No"))),IF($A49="","",IF($A49="Between",SUMIFS('All Employees by Mode'!AO:AO,'All Employees by Mode'!$I:$I,"&gt;="&amp;$B49,'All Employees by Mode'!$I:$I,"&lt;"&amp;$D49),SUMIFS('All Employees by Mode'!AO:AO,'All Employees by Mode'!$I:$I,"&gt;="&amp;$B49))))</f>
        <v>171315284</v>
      </c>
      <c r="V49" s="161">
        <f>IF($AF$1,IF($A49="","",IF($A49="Between",SUMIFS('All Employees by Mode'!AQ:AQ,'All Employees by Mode'!$I:$I,"&gt;="&amp;$B49,'All Employees by Mode'!$I:$I,"&lt;"&amp;$D49,'All Employees by Mode'!$BE:$BE,"=No"),SUMIFS('All Employees by Mode'!AQ:AQ,'All Employees by Mode'!$I:$I,"&gt;="&amp;$B49,'All Employees by Mode'!$BE:$BE,"=No"))),IF($A49="","",IF($A49="Between",SUMIFS('All Employees by Mode'!AQ:AQ,'All Employees by Mode'!$I:$I,"&gt;="&amp;$B49,'All Employees by Mode'!$I:$I,"&lt;"&amp;$D49),SUMIFS('All Employees by Mode'!AQ:AQ,'All Employees by Mode'!$I:$I,"&gt;="&amp;$B49))))</f>
        <v>207607814</v>
      </c>
      <c r="W49" s="161">
        <f>IF($AF$1,IF($A49="","",IF($A49="Between",SUMIFS('All Employees by Mode'!AS:AS,'All Employees by Mode'!$I:$I,"&gt;="&amp;$B49,'All Employees by Mode'!$I:$I,"&lt;"&amp;$D49,'All Employees by Mode'!$BE:$BE,"=No"),SUMIFS('All Employees by Mode'!AS:AS,'All Employees by Mode'!$I:$I,"&gt;="&amp;$B49,'All Employees by Mode'!$BE:$BE,"=No"))),IF($A49="","",IF($A49="Between",SUMIFS('All Employees by Mode'!AS:AS,'All Employees by Mode'!$I:$I,"&gt;="&amp;$B49,'All Employees by Mode'!$I:$I,"&lt;"&amp;$D49),SUMIFS('All Employees by Mode'!AS:AS,'All Employees by Mode'!$I:$I,"&gt;="&amp;$B49))))</f>
        <v>1686372861</v>
      </c>
      <c r="X49" s="162">
        <f t="shared" si="28"/>
        <v>29.148332099487916</v>
      </c>
      <c r="Y49" s="162">
        <f t="shared" si="29"/>
        <v>34.412982244808539</v>
      </c>
      <c r="Z49" s="162">
        <f t="shared" si="30"/>
        <v>34.522806395318376</v>
      </c>
      <c r="AA49" s="162">
        <f t="shared" si="31"/>
        <v>38.056014658713089</v>
      </c>
      <c r="AB49" s="271">
        <f t="shared" si="32"/>
        <v>31.512590392500449</v>
      </c>
      <c r="AC49" s="93"/>
      <c r="AD49" s="94"/>
      <c r="AE49" s="94"/>
      <c r="AF49" s="94"/>
      <c r="AG49" s="94"/>
      <c r="AH49" s="94" t="str">
        <f t="shared" si="22"/>
        <v>500 to 1,000:
Vehicle Operations: $29.15
Vehicle Maintenance: $34.41
Facility Maintenance: $34.52
General Administration: $38.06
Total: $31.51</v>
      </c>
      <c r="AI49" s="94"/>
      <c r="AJ49" s="94"/>
      <c r="AK49" s="94"/>
      <c r="AL49" s="94"/>
      <c r="AM49" s="94"/>
      <c r="AN49" s="94"/>
      <c r="AO49" s="306">
        <f t="shared" si="23"/>
        <v>29.148332099487916</v>
      </c>
      <c r="AP49" s="306">
        <f t="shared" si="20"/>
        <v>34.412982244808539</v>
      </c>
      <c r="AQ49" s="306">
        <f t="shared" si="20"/>
        <v>34.522806395318376</v>
      </c>
      <c r="AR49" s="306">
        <f t="shared" si="20"/>
        <v>38.056014658713089</v>
      </c>
      <c r="AS49" s="306">
        <f t="shared" si="20"/>
        <v>31.512590392500449</v>
      </c>
      <c r="AT49" s="303" t="str">
        <f t="shared" si="24"/>
        <v>500 to 1,000</v>
      </c>
      <c r="AU49" s="94"/>
      <c r="AV49" s="94"/>
    </row>
    <row r="50" spans="1:48" s="95" customFormat="1" ht="11.25" customHeight="1">
      <c r="A50" s="167" t="str">
        <f t="shared" si="25"/>
        <v>Between</v>
      </c>
      <c r="B50" s="168">
        <f t="shared" si="27"/>
        <v>1000</v>
      </c>
      <c r="C50" s="169" t="str">
        <f t="shared" si="26"/>
        <v>and</v>
      </c>
      <c r="D50" s="250">
        <v>2000</v>
      </c>
      <c r="E50" s="276" t="str">
        <f t="shared" si="21"/>
        <v>Between 1,000 and 2,000</v>
      </c>
      <c r="F50" s="159">
        <f>IF($AF$1,IF($A50="","",IF($A50="Between",SUMIFS('All Employees by Mode'!L:L,'All Employees by Mode'!$I:$I,"&gt;="&amp;$B50,'All Employees by Mode'!$I:$I,"&lt;"&amp;$D50,'All Employees by Mode'!$BE:$BE,"=No"),SUMIFS('All Employees by Mode'!L:L,'All Employees by Mode'!$I:$I,"&gt;="&amp;$B50,'All Employees by Mode'!$BE:$BE,"=No"))),IF($A50="","",IF($A50="Between",SUMIFS('All Employees by Mode'!L:L,'All Employees by Mode'!$I:$I,"&gt;="&amp;$B50,'All Employees by Mode'!$I:$I,"&lt;"&amp;$D50),SUMIFS('All Employees by Mode'!L:L,'All Employees by Mode'!$I:$I,"&gt;="&amp;$B50))))</f>
        <v>10505</v>
      </c>
      <c r="G50" s="160">
        <f>IF($AF$1,IF($A50="","",IF($A50="Between",SUMIFS('All Employees by Mode'!M:M,'All Employees by Mode'!$I:$I,"&gt;="&amp;$B50,'All Employees by Mode'!$I:$I,"&lt;"&amp;$D50,'All Employees by Mode'!$BE:$BE,"=No"),SUMIFS('All Employees by Mode'!M:M,'All Employees by Mode'!$I:$I,"&gt;="&amp;$B50,'All Employees by Mode'!$BE:$BE,"=No"))),IF($A50="","",IF($A50="Between",SUMIFS('All Employees by Mode'!M:M,'All Employees by Mode'!$I:$I,"&gt;="&amp;$B50,'All Employees by Mode'!$I:$I,"&lt;"&amp;$D50),SUMIFS('All Employees by Mode'!M:M,'All Employees by Mode'!$I:$I,"&gt;="&amp;$B50))))</f>
        <v>44909436</v>
      </c>
      <c r="H50" s="160">
        <f>IF($AF$1,IF($A50="","",IF($A50="Between",SUMIFS('All Employees by Mode'!O:O,'All Employees by Mode'!$I:$I,"&gt;="&amp;$B50,'All Employees by Mode'!$I:$I,"&lt;"&amp;$D50,'All Employees by Mode'!$BE:$BE,"=No"),SUMIFS('All Employees by Mode'!O:O,'All Employees by Mode'!$I:$I,"&gt;="&amp;$B50,'All Employees by Mode'!$BE:$BE,"=No"))),IF($A50="","",IF($A50="Between",SUMIFS('All Employees by Mode'!O:O,'All Employees by Mode'!$I:$I,"&gt;="&amp;$B50,'All Employees by Mode'!$I:$I,"&lt;"&amp;$D50),SUMIFS('All Employees by Mode'!O:O,'All Employees by Mode'!$I:$I,"&gt;="&amp;$B50))))</f>
        <v>20044690</v>
      </c>
      <c r="I50" s="160">
        <f>IF($AF$1,IF($A50="","",IF($A50="Between",SUMIFS('All Employees by Mode'!Q:Q,'All Employees by Mode'!$I:$I,"&gt;="&amp;$B50,'All Employees by Mode'!$I:$I,"&lt;"&amp;$D50,'All Employees by Mode'!$BE:$BE,"=No"),SUMIFS('All Employees by Mode'!Q:Q,'All Employees by Mode'!$I:$I,"&gt;="&amp;$B50,'All Employees by Mode'!$BE:$BE,"=No"))),IF($A50="","",IF($A50="Between",SUMIFS('All Employees by Mode'!Q:Q,'All Employees by Mode'!$I:$I,"&gt;="&amp;$B50,'All Employees by Mode'!$I:$I,"&lt;"&amp;$D50),SUMIFS('All Employees by Mode'!Q:Q,'All Employees by Mode'!$I:$I,"&gt;="&amp;$B50))))</f>
        <v>12748341</v>
      </c>
      <c r="J50" s="160">
        <f>IF($AF$1,IF($A50="","",IF($A50="Between",SUMIFS('All Employees by Mode'!S:S,'All Employees by Mode'!$I:$I,"&gt;="&amp;$B50,'All Employees by Mode'!$I:$I,"&lt;"&amp;$D50,'All Employees by Mode'!$BE:$BE,"=No"),SUMIFS('All Employees by Mode'!S:S,'All Employees by Mode'!$I:$I,"&gt;="&amp;$B50,'All Employees by Mode'!$BE:$BE,"=No"))),IF($A50="","",IF($A50="Between",SUMIFS('All Employees by Mode'!S:S,'All Employees by Mode'!$I:$I,"&gt;="&amp;$B50,'All Employees by Mode'!$I:$I,"&lt;"&amp;$D50),SUMIFS('All Employees by Mode'!S:S,'All Employees by Mode'!$I:$I,"&gt;="&amp;$B50))))</f>
        <v>8597293</v>
      </c>
      <c r="K50" s="160">
        <f>IF($AF$1,IF($A50="","",IF($A50="Between",SUMIFS('All Employees by Mode'!U:U,'All Employees by Mode'!$I:$I,"&gt;="&amp;$B50,'All Employees by Mode'!$I:$I,"&lt;"&amp;$D50,'All Employees by Mode'!$BE:$BE,"=No"),SUMIFS('All Employees by Mode'!U:U,'All Employees by Mode'!$I:$I,"&gt;="&amp;$B50,'All Employees by Mode'!$BE:$BE,"=No"))),IF($A50="","",IF($A50="Between",SUMIFS('All Employees by Mode'!U:U,'All Employees by Mode'!$I:$I,"&gt;="&amp;$B50,'All Employees by Mode'!$I:$I,"&lt;"&amp;$D50),SUMIFS('All Employees by Mode'!U:U,'All Employees by Mode'!$I:$I,"&gt;="&amp;$B50))))</f>
        <v>4565251</v>
      </c>
      <c r="L50" s="160">
        <f>IF($AF$1,IF($A50="","",IF($A50="Between",SUMIFS('All Employees by Mode'!W:W,'All Employees by Mode'!$I:$I,"&gt;="&amp;$B50,'All Employees by Mode'!$I:$I,"&lt;"&amp;$D50,'All Employees by Mode'!$BE:$BE,"=No"),SUMIFS('All Employees by Mode'!W:W,'All Employees by Mode'!$I:$I,"&gt;="&amp;$B50,'All Employees by Mode'!$BE:$BE,"=No"))),IF($A50="","",IF($A50="Between",SUMIFS('All Employees by Mode'!W:W,'All Employees by Mode'!$I:$I,"&gt;="&amp;$B50,'All Employees by Mode'!$I:$I,"&lt;"&amp;$D50),SUMIFS('All Employees by Mode'!W:W,'All Employees by Mode'!$I:$I,"&gt;="&amp;$B50))))</f>
        <v>90865011</v>
      </c>
      <c r="M50" s="160">
        <f>IF($AF$1,IF($A50="","",IF($A50="Between",SUMIFS('All Employees by Mode'!Y:Y,'All Employees by Mode'!$I:$I,"&gt;="&amp;$B50,'All Employees by Mode'!$I:$I,"&lt;"&amp;$D50,'All Employees by Mode'!$BE:$BE,"=No"),SUMIFS('All Employees by Mode'!Y:Y,'All Employees by Mode'!$I:$I,"&gt;="&amp;$B50,'All Employees by Mode'!$BE:$BE,"=No"))),IF($A50="","",IF($A50="Between",SUMIFS('All Employees by Mode'!Y:Y,'All Employees by Mode'!$I:$I,"&gt;="&amp;$B50,'All Employees by Mode'!$I:$I,"&lt;"&amp;$D50),SUMIFS('All Employees by Mode'!Y:Y,'All Employees by Mode'!$I:$I,"&gt;="&amp;$B50))))</f>
        <v>22548.949999999997</v>
      </c>
      <c r="N50" s="160">
        <f>IF($AF$1,IF($A50="","",IF($A50="Between",SUMIFS('All Employees by Mode'!AA:AA,'All Employees by Mode'!$I:$I,"&gt;="&amp;$B50,'All Employees by Mode'!$I:$I,"&lt;"&amp;$D50,'All Employees by Mode'!$BE:$BE,"=No"),SUMIFS('All Employees by Mode'!AA:AA,'All Employees by Mode'!$I:$I,"&gt;="&amp;$B50,'All Employees by Mode'!$BE:$BE,"=No"))),IF($A50="","",IF($A50="Between",SUMIFS('All Employees by Mode'!AA:AA,'All Employees by Mode'!$I:$I,"&gt;="&amp;$B50,'All Employees by Mode'!$I:$I,"&lt;"&amp;$D50),SUMIFS('All Employees by Mode'!AA:AA,'All Employees by Mode'!$I:$I,"&gt;="&amp;$B50))))</f>
        <v>10101.16</v>
      </c>
      <c r="O50" s="160">
        <f>IF($AF$1,IF($A50="","",IF($A50="Between",SUMIFS('All Employees by Mode'!AC:AC,'All Employees by Mode'!$I:$I,"&gt;="&amp;$B50,'All Employees by Mode'!$I:$I,"&lt;"&amp;$D50,'All Employees by Mode'!$BE:$BE,"=No"),SUMIFS('All Employees by Mode'!AC:AC,'All Employees by Mode'!$I:$I,"&gt;="&amp;$B50,'All Employees by Mode'!$BE:$BE,"=No"))),IF($A50="","",IF($A50="Between",SUMIFS('All Employees by Mode'!AC:AC,'All Employees by Mode'!$I:$I,"&gt;="&amp;$B50,'All Employees by Mode'!$I:$I,"&lt;"&amp;$D50),SUMIFS('All Employees by Mode'!AC:AC,'All Employees by Mode'!$I:$I,"&gt;="&amp;$B50))))</f>
        <v>6745.45</v>
      </c>
      <c r="P50" s="160">
        <f>IF($AF$1,IF($A50="","",IF($A50="Between",SUMIFS('All Employees by Mode'!AE:AE,'All Employees by Mode'!$I:$I,"&gt;="&amp;$B50,'All Employees by Mode'!$I:$I,"&lt;"&amp;$D50,'All Employees by Mode'!$BE:$BE,"=No"),SUMIFS('All Employees by Mode'!AE:AE,'All Employees by Mode'!$I:$I,"&gt;="&amp;$B50,'All Employees by Mode'!$BE:$BE,"=No"))),IF($A50="","",IF($A50="Between",SUMIFS('All Employees by Mode'!AE:AE,'All Employees by Mode'!$I:$I,"&gt;="&amp;$B50,'All Employees by Mode'!$I:$I,"&lt;"&amp;$D50),SUMIFS('All Employees by Mode'!AE:AE,'All Employees by Mode'!$I:$I,"&gt;="&amp;$B50))))</f>
        <v>4521.38</v>
      </c>
      <c r="Q50" s="160">
        <f>IF($AF$1,IF($A50="","",IF($A50="Between",SUMIFS('All Employees by Mode'!AG:AG,'All Employees by Mode'!$I:$I,"&gt;="&amp;$B50,'All Employees by Mode'!$I:$I,"&lt;"&amp;$D50,'All Employees by Mode'!$BE:$BE,"=No"),SUMIFS('All Employees by Mode'!AG:AG,'All Employees by Mode'!$I:$I,"&gt;="&amp;$B50,'All Employees by Mode'!$BE:$BE,"=No"))),IF($A50="","",IF($A50="Between",SUMIFS('All Employees by Mode'!AG:AG,'All Employees by Mode'!$I:$I,"&gt;="&amp;$B50,'All Employees by Mode'!$I:$I,"&lt;"&amp;$D50),SUMIFS('All Employees by Mode'!AG:AG,'All Employees by Mode'!$I:$I,"&gt;="&amp;$B50))))</f>
        <v>2099.23</v>
      </c>
      <c r="R50" s="160">
        <f>IF($AF$1,IF($A50="","",IF($A50="Between",SUMIFS('All Employees by Mode'!AI:AI,'All Employees by Mode'!$I:$I,"&gt;="&amp;$B50,'All Employees by Mode'!$I:$I,"&lt;"&amp;$D50,'All Employees by Mode'!$BE:$BE,"=No"),SUMIFS('All Employees by Mode'!AI:AI,'All Employees by Mode'!$I:$I,"&gt;="&amp;$B50,'All Employees by Mode'!$BE:$BE,"=No"))),IF($A50="","",IF($A50="Between",SUMIFS('All Employees by Mode'!AI:AI,'All Employees by Mode'!$I:$I,"&gt;="&amp;$B50,'All Employees by Mode'!$I:$I,"&lt;"&amp;$D50),SUMIFS('All Employees by Mode'!AI:AI,'All Employees by Mode'!$I:$I,"&gt;="&amp;$B50))))</f>
        <v>46016.17</v>
      </c>
      <c r="S50" s="161">
        <f>IF($AF$1,IF($A50="","",IF($A50="Between",SUMIFS('All Employees by Mode'!AK:AK,'All Employees by Mode'!$I:$I,"&gt;="&amp;$B50,'All Employees by Mode'!$I:$I,"&lt;"&amp;$D50,'All Employees by Mode'!$BE:$BE,"=No"),SUMIFS('All Employees by Mode'!AK:AK,'All Employees by Mode'!$I:$I,"&gt;="&amp;$B50,'All Employees by Mode'!$BE:$BE,"=No"))),IF($A50="","",IF($A50="Between",SUMIFS('All Employees by Mode'!AK:AK,'All Employees by Mode'!$I:$I,"&gt;="&amp;$B50,'All Employees by Mode'!$I:$I,"&lt;"&amp;$D50),SUMIFS('All Employees by Mode'!AK:AK,'All Employees by Mode'!$I:$I,"&gt;="&amp;$B50))))</f>
        <v>1340515188</v>
      </c>
      <c r="T50" s="161">
        <f>IF($AF$1,IF($A50="","",IF($A50="Between",SUMIFS('All Employees by Mode'!AM:AM,'All Employees by Mode'!$I:$I,"&gt;="&amp;$B50,'All Employees by Mode'!$I:$I,"&lt;"&amp;$D50,'All Employees by Mode'!$BE:$BE,"=No"),SUMIFS('All Employees by Mode'!AM:AM,'All Employees by Mode'!$I:$I,"&gt;="&amp;$B50,'All Employees by Mode'!$BE:$BE,"=No"))),IF($A50="","",IF($A50="Between",SUMIFS('All Employees by Mode'!AM:AM,'All Employees by Mode'!$I:$I,"&gt;="&amp;$B50,'All Employees by Mode'!$I:$I,"&lt;"&amp;$D50),SUMIFS('All Employees by Mode'!AM:AM,'All Employees by Mode'!$I:$I,"&gt;="&amp;$B50))))</f>
        <v>648020375</v>
      </c>
      <c r="U50" s="161">
        <f>IF($AF$1,IF($A50="","",IF($A50="Between",SUMIFS('All Employees by Mode'!AO:AO,'All Employees by Mode'!$I:$I,"&gt;="&amp;$B50,'All Employees by Mode'!$I:$I,"&lt;"&amp;$D50,'All Employees by Mode'!$BE:$BE,"=No"),SUMIFS('All Employees by Mode'!AO:AO,'All Employees by Mode'!$I:$I,"&gt;="&amp;$B50,'All Employees by Mode'!$BE:$BE,"=No"))),IF($A50="","",IF($A50="Between",SUMIFS('All Employees by Mode'!AO:AO,'All Employees by Mode'!$I:$I,"&gt;="&amp;$B50,'All Employees by Mode'!$I:$I,"&lt;"&amp;$D50),SUMIFS('All Employees by Mode'!AO:AO,'All Employees by Mode'!$I:$I,"&gt;="&amp;$B50))))</f>
        <v>429775662</v>
      </c>
      <c r="V50" s="161">
        <f>IF($AF$1,IF($A50="","",IF($A50="Between",SUMIFS('All Employees by Mode'!AQ:AQ,'All Employees by Mode'!$I:$I,"&gt;="&amp;$B50,'All Employees by Mode'!$I:$I,"&lt;"&amp;$D50,'All Employees by Mode'!$BE:$BE,"=No"),SUMIFS('All Employees by Mode'!AQ:AQ,'All Employees by Mode'!$I:$I,"&gt;="&amp;$B50,'All Employees by Mode'!$BE:$BE,"=No"))),IF($A50="","",IF($A50="Between",SUMIFS('All Employees by Mode'!AQ:AQ,'All Employees by Mode'!$I:$I,"&gt;="&amp;$B50,'All Employees by Mode'!$I:$I,"&lt;"&amp;$D50),SUMIFS('All Employees by Mode'!AQ:AQ,'All Employees by Mode'!$I:$I,"&gt;="&amp;$B50))))</f>
        <v>320133377</v>
      </c>
      <c r="W50" s="161">
        <f>IF($AF$1,IF($A50="","",IF($A50="Between",SUMIFS('All Employees by Mode'!AS:AS,'All Employees by Mode'!$I:$I,"&gt;="&amp;$B50,'All Employees by Mode'!$I:$I,"&lt;"&amp;$D50,'All Employees by Mode'!$BE:$BE,"=No"),SUMIFS('All Employees by Mode'!AS:AS,'All Employees by Mode'!$I:$I,"&gt;="&amp;$B50,'All Employees by Mode'!$BE:$BE,"=No"))),IF($A50="","",IF($A50="Between",SUMIFS('All Employees by Mode'!AS:AS,'All Employees by Mode'!$I:$I,"&gt;="&amp;$B50,'All Employees by Mode'!$I:$I,"&lt;"&amp;$D50),SUMIFS('All Employees by Mode'!AS:AS,'All Employees by Mode'!$I:$I,"&gt;="&amp;$B50))))</f>
        <v>2738444602</v>
      </c>
      <c r="X50" s="162">
        <f t="shared" si="28"/>
        <v>29.849299109434373</v>
      </c>
      <c r="Y50" s="162">
        <f t="shared" si="29"/>
        <v>32.328780090886916</v>
      </c>
      <c r="Z50" s="162">
        <f t="shared" si="30"/>
        <v>33.712281621585113</v>
      </c>
      <c r="AA50" s="162">
        <f t="shared" si="31"/>
        <v>37.236532127031147</v>
      </c>
      <c r="AB50" s="271">
        <f t="shared" si="32"/>
        <v>31.731775407023147</v>
      </c>
      <c r="AC50" s="93"/>
      <c r="AD50" s="94"/>
      <c r="AE50" s="94"/>
      <c r="AF50" s="94"/>
      <c r="AG50" s="94"/>
      <c r="AH50" s="94" t="str">
        <f t="shared" si="22"/>
        <v>1,000 to 2,000:
Vehicle Operations: $29.85
Vehicle Maintenance: $32.33
Facility Maintenance: $33.71
General Administration: $37.24
Total: $31.73</v>
      </c>
      <c r="AI50" s="94"/>
      <c r="AJ50" s="94"/>
      <c r="AK50" s="94"/>
      <c r="AL50" s="94"/>
      <c r="AM50" s="94"/>
      <c r="AN50" s="94"/>
      <c r="AO50" s="306">
        <f t="shared" si="23"/>
        <v>29.849299109434373</v>
      </c>
      <c r="AP50" s="306">
        <f t="shared" si="20"/>
        <v>32.328780090886916</v>
      </c>
      <c r="AQ50" s="306">
        <f t="shared" si="20"/>
        <v>33.712281621585113</v>
      </c>
      <c r="AR50" s="306">
        <f t="shared" si="20"/>
        <v>37.236532127031147</v>
      </c>
      <c r="AS50" s="306">
        <f t="shared" si="20"/>
        <v>31.731775407023147</v>
      </c>
      <c r="AT50" s="303" t="str">
        <f t="shared" si="24"/>
        <v>1,000 to 2,000</v>
      </c>
      <c r="AU50" s="94"/>
      <c r="AV50" s="94"/>
    </row>
    <row r="51" spans="1:48" s="95" customFormat="1" ht="11.25" customHeight="1">
      <c r="A51" s="185" t="str">
        <f t="shared" si="25"/>
        <v>Over</v>
      </c>
      <c r="B51" s="186">
        <f t="shared" si="27"/>
        <v>2000</v>
      </c>
      <c r="C51" s="187"/>
      <c r="D51" s="251"/>
      <c r="E51" s="276" t="str">
        <f t="shared" si="21"/>
        <v>Over 2,000</v>
      </c>
      <c r="F51" s="163">
        <f>IF($AF$1,IF($A51="","",IF($A51="Between",SUMIFS('All Employees by Mode'!L:L,'All Employees by Mode'!$I:$I,"&gt;="&amp;$B51,'All Employees by Mode'!$I:$I,"&lt;"&amp;$D51,'All Employees by Mode'!$BE:$BE,"=No"),SUMIFS('All Employees by Mode'!L:L,'All Employees by Mode'!$I:$I,"&gt;="&amp;$B51,'All Employees by Mode'!$BE:$BE,"=No"))),IF($A51="","",IF($A51="Between",SUMIFS('All Employees by Mode'!L:L,'All Employees by Mode'!$I:$I,"&gt;="&amp;$B51,'All Employees by Mode'!$I:$I,"&lt;"&amp;$D51),SUMIFS('All Employees by Mode'!L:L,'All Employees by Mode'!$I:$I,"&gt;="&amp;$B51))))</f>
        <v>26068</v>
      </c>
      <c r="G51" s="164">
        <f>IF($AF$1,IF($A51="","",IF($A51="Between",SUMIFS('All Employees by Mode'!M:M,'All Employees by Mode'!$I:$I,"&gt;="&amp;$B51,'All Employees by Mode'!$I:$I,"&lt;"&amp;$D51,'All Employees by Mode'!$BE:$BE,"=No"),SUMIFS('All Employees by Mode'!M:M,'All Employees by Mode'!$I:$I,"&gt;="&amp;$B51,'All Employees by Mode'!$BE:$BE,"=No"))),IF($A51="","",IF($A51="Between",SUMIFS('All Employees by Mode'!M:M,'All Employees by Mode'!$I:$I,"&gt;="&amp;$B51,'All Employees by Mode'!$I:$I,"&lt;"&amp;$D51),SUMIFS('All Employees by Mode'!M:M,'All Employees by Mode'!$I:$I,"&gt;="&amp;$B51))))</f>
        <v>112852150</v>
      </c>
      <c r="H51" s="164">
        <f>IF($AF$1,IF($A51="","",IF($A51="Between",SUMIFS('All Employees by Mode'!O:O,'All Employees by Mode'!$I:$I,"&gt;="&amp;$B51,'All Employees by Mode'!$I:$I,"&lt;"&amp;$D51,'All Employees by Mode'!$BE:$BE,"=No"),SUMIFS('All Employees by Mode'!O:O,'All Employees by Mode'!$I:$I,"&gt;="&amp;$B51,'All Employees by Mode'!$BE:$BE,"=No"))),IF($A51="","",IF($A51="Between",SUMIFS('All Employees by Mode'!O:O,'All Employees by Mode'!$I:$I,"&gt;="&amp;$B51,'All Employees by Mode'!$I:$I,"&lt;"&amp;$D51),SUMIFS('All Employees by Mode'!O:O,'All Employees by Mode'!$I:$I,"&gt;="&amp;$B51))))</f>
        <v>39888253</v>
      </c>
      <c r="I51" s="164">
        <f>IF($AF$1,IF($A51="","",IF($A51="Between",SUMIFS('All Employees by Mode'!Q:Q,'All Employees by Mode'!$I:$I,"&gt;="&amp;$B51,'All Employees by Mode'!$I:$I,"&lt;"&amp;$D51,'All Employees by Mode'!$BE:$BE,"=No"),SUMIFS('All Employees by Mode'!Q:Q,'All Employees by Mode'!$I:$I,"&gt;="&amp;$B51,'All Employees by Mode'!$BE:$BE,"=No"))),IF($A51="","",IF($A51="Between",SUMIFS('All Employees by Mode'!Q:Q,'All Employees by Mode'!$I:$I,"&gt;="&amp;$B51,'All Employees by Mode'!$I:$I,"&lt;"&amp;$D51),SUMIFS('All Employees by Mode'!Q:Q,'All Employees by Mode'!$I:$I,"&gt;="&amp;$B51))))</f>
        <v>35268196</v>
      </c>
      <c r="J51" s="164">
        <f>IF($AF$1,IF($A51="","",IF($A51="Between",SUMIFS('All Employees by Mode'!S:S,'All Employees by Mode'!$I:$I,"&gt;="&amp;$B51,'All Employees by Mode'!$I:$I,"&lt;"&amp;$D51,'All Employees by Mode'!$BE:$BE,"=No"),SUMIFS('All Employees by Mode'!S:S,'All Employees by Mode'!$I:$I,"&gt;="&amp;$B51,'All Employees by Mode'!$BE:$BE,"=No"))),IF($A51="","",IF($A51="Between",SUMIFS('All Employees by Mode'!S:S,'All Employees by Mode'!$I:$I,"&gt;="&amp;$B51,'All Employees by Mode'!$I:$I,"&lt;"&amp;$D51),SUMIFS('All Employees by Mode'!S:S,'All Employees by Mode'!$I:$I,"&gt;="&amp;$B51))))</f>
        <v>18401770</v>
      </c>
      <c r="K51" s="164">
        <f>IF($AF$1,IF($A51="","",IF($A51="Between",SUMIFS('All Employees by Mode'!U:U,'All Employees by Mode'!$I:$I,"&gt;="&amp;$B51,'All Employees by Mode'!$I:$I,"&lt;"&amp;$D51,'All Employees by Mode'!$BE:$BE,"=No"),SUMIFS('All Employees by Mode'!U:U,'All Employees by Mode'!$I:$I,"&gt;="&amp;$B51,'All Employees by Mode'!$BE:$BE,"=No"))),IF($A51="","",IF($A51="Between",SUMIFS('All Employees by Mode'!U:U,'All Employees by Mode'!$I:$I,"&gt;="&amp;$B51,'All Employees by Mode'!$I:$I,"&lt;"&amp;$D51),SUMIFS('All Employees by Mode'!U:U,'All Employees by Mode'!$I:$I,"&gt;="&amp;$B51))))</f>
        <v>14231401</v>
      </c>
      <c r="L51" s="164">
        <f>IF($AF$1,IF($A51="","",IF($A51="Between",SUMIFS('All Employees by Mode'!W:W,'All Employees by Mode'!$I:$I,"&gt;="&amp;$B51,'All Employees by Mode'!$I:$I,"&lt;"&amp;$D51,'All Employees by Mode'!$BE:$BE,"=No"),SUMIFS('All Employees by Mode'!W:W,'All Employees by Mode'!$I:$I,"&gt;="&amp;$B51,'All Employees by Mode'!$BE:$BE,"=No"))),IF($A51="","",IF($A51="Between",SUMIFS('All Employees by Mode'!W:W,'All Employees by Mode'!$I:$I,"&gt;="&amp;$B51,'All Employees by Mode'!$I:$I,"&lt;"&amp;$D51),SUMIFS('All Employees by Mode'!W:W,'All Employees by Mode'!$I:$I,"&gt;="&amp;$B51))))</f>
        <v>220641770</v>
      </c>
      <c r="M51" s="164">
        <f>IF($AF$1,IF($A51="","",IF($A51="Between",SUMIFS('All Employees by Mode'!Y:Y,'All Employees by Mode'!$I:$I,"&gt;="&amp;$B51,'All Employees by Mode'!$I:$I,"&lt;"&amp;$D51,'All Employees by Mode'!$BE:$BE,"=No"),SUMIFS('All Employees by Mode'!Y:Y,'All Employees by Mode'!$I:$I,"&gt;="&amp;$B51,'All Employees by Mode'!$BE:$BE,"=No"))),IF($A51="","",IF($A51="Between",SUMIFS('All Employees by Mode'!Y:Y,'All Employees by Mode'!$I:$I,"&gt;="&amp;$B51,'All Employees by Mode'!$I:$I,"&lt;"&amp;$D51),SUMIFS('All Employees by Mode'!Y:Y,'All Employees by Mode'!$I:$I,"&gt;="&amp;$B51))))</f>
        <v>59251.29</v>
      </c>
      <c r="N51" s="164">
        <f>IF($AF$1,IF($A51="","",IF($A51="Between",SUMIFS('All Employees by Mode'!AA:AA,'All Employees by Mode'!$I:$I,"&gt;="&amp;$B51,'All Employees by Mode'!$I:$I,"&lt;"&amp;$D51,'All Employees by Mode'!$BE:$BE,"=No"),SUMIFS('All Employees by Mode'!AA:AA,'All Employees by Mode'!$I:$I,"&gt;="&amp;$B51,'All Employees by Mode'!$BE:$BE,"=No"))),IF($A51="","",IF($A51="Between",SUMIFS('All Employees by Mode'!AA:AA,'All Employees by Mode'!$I:$I,"&gt;="&amp;$B51,'All Employees by Mode'!$I:$I,"&lt;"&amp;$D51),SUMIFS('All Employees by Mode'!AA:AA,'All Employees by Mode'!$I:$I,"&gt;="&amp;$B51))))</f>
        <v>21813.780000000002</v>
      </c>
      <c r="O51" s="164">
        <f>IF($AF$1,IF($A51="","",IF($A51="Between",SUMIFS('All Employees by Mode'!AC:AC,'All Employees by Mode'!$I:$I,"&gt;="&amp;$B51,'All Employees by Mode'!$I:$I,"&lt;"&amp;$D51,'All Employees by Mode'!$BE:$BE,"=No"),SUMIFS('All Employees by Mode'!AC:AC,'All Employees by Mode'!$I:$I,"&gt;="&amp;$B51,'All Employees by Mode'!$BE:$BE,"=No"))),IF($A51="","",IF($A51="Between",SUMIFS('All Employees by Mode'!AC:AC,'All Employees by Mode'!$I:$I,"&gt;="&amp;$B51,'All Employees by Mode'!$I:$I,"&lt;"&amp;$D51),SUMIFS('All Employees by Mode'!AC:AC,'All Employees by Mode'!$I:$I,"&gt;="&amp;$B51))))</f>
        <v>19438.760000000002</v>
      </c>
      <c r="P51" s="164">
        <f>IF($AF$1,IF($A51="","",IF($A51="Between",SUMIFS('All Employees by Mode'!AE:AE,'All Employees by Mode'!$I:$I,"&gt;="&amp;$B51,'All Employees by Mode'!$I:$I,"&lt;"&amp;$D51,'All Employees by Mode'!$BE:$BE,"=No"),SUMIFS('All Employees by Mode'!AE:AE,'All Employees by Mode'!$I:$I,"&gt;="&amp;$B51,'All Employees by Mode'!$BE:$BE,"=No"))),IF($A51="","",IF($A51="Between",SUMIFS('All Employees by Mode'!AE:AE,'All Employees by Mode'!$I:$I,"&gt;="&amp;$B51,'All Employees by Mode'!$I:$I,"&lt;"&amp;$D51),SUMIFS('All Employees by Mode'!AE:AE,'All Employees by Mode'!$I:$I,"&gt;="&amp;$B51))))</f>
        <v>10467.83</v>
      </c>
      <c r="Q51" s="164">
        <f>IF($AF$1,IF($A51="","",IF($A51="Between",SUMIFS('All Employees by Mode'!AG:AG,'All Employees by Mode'!$I:$I,"&gt;="&amp;$B51,'All Employees by Mode'!$I:$I,"&lt;"&amp;$D51,'All Employees by Mode'!$BE:$BE,"=No"),SUMIFS('All Employees by Mode'!AG:AG,'All Employees by Mode'!$I:$I,"&gt;="&amp;$B51,'All Employees by Mode'!$BE:$BE,"=No"))),IF($A51="","",IF($A51="Between",SUMIFS('All Employees by Mode'!AG:AG,'All Employees by Mode'!$I:$I,"&gt;="&amp;$B51,'All Employees by Mode'!$I:$I,"&lt;"&amp;$D51),SUMIFS('All Employees by Mode'!AG:AG,'All Employees by Mode'!$I:$I,"&gt;="&amp;$B51))))</f>
        <v>7397.42</v>
      </c>
      <c r="R51" s="164">
        <f>IF($AF$1,IF($A51="","",IF($A51="Between",SUMIFS('All Employees by Mode'!AI:AI,'All Employees by Mode'!$I:$I,"&gt;="&amp;$B51,'All Employees by Mode'!$I:$I,"&lt;"&amp;$D51,'All Employees by Mode'!$BE:$BE,"=No"),SUMIFS('All Employees by Mode'!AI:AI,'All Employees by Mode'!$I:$I,"&gt;="&amp;$B51,'All Employees by Mode'!$BE:$BE,"=No"))),IF($A51="","",IF($A51="Between",SUMIFS('All Employees by Mode'!AI:AI,'All Employees by Mode'!$I:$I,"&gt;="&amp;$B51,'All Employees by Mode'!$I:$I,"&lt;"&amp;$D51),SUMIFS('All Employees by Mode'!AI:AI,'All Employees by Mode'!$I:$I,"&gt;="&amp;$B51))))</f>
        <v>118369.08</v>
      </c>
      <c r="S51" s="165">
        <f>IF($AF$1,IF($A51="","",IF($A51="Between",SUMIFS('All Employees by Mode'!AK:AK,'All Employees by Mode'!$I:$I,"&gt;="&amp;$B51,'All Employees by Mode'!$I:$I,"&lt;"&amp;$D51,'All Employees by Mode'!$BE:$BE,"=No"),SUMIFS('All Employees by Mode'!AK:AK,'All Employees by Mode'!$I:$I,"&gt;="&amp;$B51,'All Employees by Mode'!$BE:$BE,"=No"))),IF($A51="","",IF($A51="Between",SUMIFS('All Employees by Mode'!AK:AK,'All Employees by Mode'!$I:$I,"&gt;="&amp;$B51,'All Employees by Mode'!$I:$I,"&lt;"&amp;$D51),SUMIFS('All Employees by Mode'!AK:AK,'All Employees by Mode'!$I:$I,"&gt;="&amp;$B51))))</f>
        <v>3991893852</v>
      </c>
      <c r="T51" s="165">
        <f>IF($AF$1,IF($A51="","",IF($A51="Between",SUMIFS('All Employees by Mode'!AM:AM,'All Employees by Mode'!$I:$I,"&gt;="&amp;$B51,'All Employees by Mode'!$I:$I,"&lt;"&amp;$D51,'All Employees by Mode'!$BE:$BE,"=No"),SUMIFS('All Employees by Mode'!AM:AM,'All Employees by Mode'!$I:$I,"&gt;="&amp;$B51,'All Employees by Mode'!$BE:$BE,"=No"))),IF($A51="","",IF($A51="Between",SUMIFS('All Employees by Mode'!AM:AM,'All Employees by Mode'!$I:$I,"&gt;="&amp;$B51,'All Employees by Mode'!$I:$I,"&lt;"&amp;$D51),SUMIFS('All Employees by Mode'!AM:AM,'All Employees by Mode'!$I:$I,"&gt;="&amp;$B51))))</f>
        <v>1357650295</v>
      </c>
      <c r="U51" s="165">
        <f>IF($AF$1,IF($A51="","",IF($A51="Between",SUMIFS('All Employees by Mode'!AO:AO,'All Employees by Mode'!$I:$I,"&gt;="&amp;$B51,'All Employees by Mode'!$I:$I,"&lt;"&amp;$D51,'All Employees by Mode'!$BE:$BE,"=No"),SUMIFS('All Employees by Mode'!AO:AO,'All Employees by Mode'!$I:$I,"&gt;="&amp;$B51,'All Employees by Mode'!$BE:$BE,"=No"))),IF($A51="","",IF($A51="Between",SUMIFS('All Employees by Mode'!AO:AO,'All Employees by Mode'!$I:$I,"&gt;="&amp;$B51,'All Employees by Mode'!$I:$I,"&lt;"&amp;$D51),SUMIFS('All Employees by Mode'!AO:AO,'All Employees by Mode'!$I:$I,"&gt;="&amp;$B51))))</f>
        <v>1287998798</v>
      </c>
      <c r="V51" s="165">
        <f>IF($AF$1,IF($A51="","",IF($A51="Between",SUMIFS('All Employees by Mode'!AQ:AQ,'All Employees by Mode'!$I:$I,"&gt;="&amp;$B51,'All Employees by Mode'!$I:$I,"&lt;"&amp;$D51,'All Employees by Mode'!$BE:$BE,"=No"),SUMIFS('All Employees by Mode'!AQ:AQ,'All Employees by Mode'!$I:$I,"&gt;="&amp;$B51,'All Employees by Mode'!$BE:$BE,"=No"))),IF($A51="","",IF($A51="Between",SUMIFS('All Employees by Mode'!AQ:AQ,'All Employees by Mode'!$I:$I,"&gt;="&amp;$B51,'All Employees by Mode'!$I:$I,"&lt;"&amp;$D51),SUMIFS('All Employees by Mode'!AQ:AQ,'All Employees by Mode'!$I:$I,"&gt;="&amp;$B51))))</f>
        <v>891307707</v>
      </c>
      <c r="W51" s="165">
        <f>IF($AF$1,IF($A51="","",IF($A51="Between",SUMIFS('All Employees by Mode'!AS:AS,'All Employees by Mode'!$I:$I,"&gt;="&amp;$B51,'All Employees by Mode'!$I:$I,"&lt;"&amp;$D51,'All Employees by Mode'!$BE:$BE,"=No"),SUMIFS('All Employees by Mode'!AS:AS,'All Employees by Mode'!$I:$I,"&gt;="&amp;$B51,'All Employees by Mode'!$BE:$BE,"=No"))),IF($A51="","",IF($A51="Between",SUMIFS('All Employees by Mode'!AS:AS,'All Employees by Mode'!$I:$I,"&gt;="&amp;$B51,'All Employees by Mode'!$I:$I,"&lt;"&amp;$D51),SUMIFS('All Employees by Mode'!AS:AS,'All Employees by Mode'!$I:$I,"&gt;="&amp;$B51))))</f>
        <v>7528850652</v>
      </c>
      <c r="X51" s="166">
        <f t="shared" si="28"/>
        <v>35.372776256367288</v>
      </c>
      <c r="Y51" s="166">
        <f t="shared" si="29"/>
        <v>34.036343857927292</v>
      </c>
      <c r="Z51" s="166">
        <f t="shared" si="30"/>
        <v>36.520121358064358</v>
      </c>
      <c r="AA51" s="166">
        <f t="shared" si="31"/>
        <v>48.435976919611541</v>
      </c>
      <c r="AB51" s="272">
        <f t="shared" si="32"/>
        <v>36.475157175849048</v>
      </c>
      <c r="AC51" s="93"/>
      <c r="AD51" s="94"/>
      <c r="AE51" s="94"/>
      <c r="AF51" s="94"/>
      <c r="AG51" s="94"/>
      <c r="AH51" s="94" t="str">
        <f t="shared" si="22"/>
        <v>Over 2,000:
Vehicle Operations: $35.37
Vehicle Maintenance: $34.04
Facility Maintenance: $36.52
General Administration: $48.44
Total: $36.48</v>
      </c>
      <c r="AI51" s="94"/>
      <c r="AJ51" s="94"/>
      <c r="AK51" s="94"/>
      <c r="AL51" s="94"/>
      <c r="AM51" s="94"/>
      <c r="AN51" s="94"/>
      <c r="AO51" s="306">
        <f t="shared" si="23"/>
        <v>35.372776256367288</v>
      </c>
      <c r="AP51" s="306">
        <f t="shared" si="20"/>
        <v>34.036343857927292</v>
      </c>
      <c r="AQ51" s="306">
        <f t="shared" si="20"/>
        <v>36.520121358064358</v>
      </c>
      <c r="AR51" s="306">
        <f t="shared" si="20"/>
        <v>48.435976919611541</v>
      </c>
      <c r="AS51" s="306">
        <f t="shared" si="20"/>
        <v>36.475157175849048</v>
      </c>
      <c r="AT51" s="303" t="str">
        <f t="shared" si="24"/>
        <v>Over 2,000</v>
      </c>
      <c r="AU51" s="94"/>
      <c r="AV51" s="94"/>
    </row>
    <row r="52" spans="1:48" s="95" customFormat="1" ht="11.25" customHeight="1">
      <c r="A52" s="140"/>
      <c r="B52" s="141"/>
      <c r="C52" s="141"/>
      <c r="D52" s="111"/>
      <c r="E52" s="277"/>
      <c r="F52" s="278"/>
      <c r="G52" s="279"/>
      <c r="H52" s="279"/>
      <c r="I52" s="279"/>
      <c r="J52" s="279"/>
      <c r="K52" s="279"/>
      <c r="L52" s="280"/>
      <c r="M52" s="279"/>
      <c r="N52" s="279"/>
      <c r="O52" s="279"/>
      <c r="P52" s="279"/>
      <c r="Q52" s="279"/>
      <c r="R52" s="280"/>
      <c r="S52" s="281"/>
      <c r="T52" s="281"/>
      <c r="U52" s="281"/>
      <c r="V52" s="281"/>
      <c r="W52" s="281"/>
      <c r="X52" s="281"/>
      <c r="Y52" s="281"/>
      <c r="Z52" s="281"/>
      <c r="AA52" s="281"/>
      <c r="AB52" s="282"/>
      <c r="AC52" s="93"/>
      <c r="AD52" s="94"/>
      <c r="AE52" s="94"/>
      <c r="AF52" s="94"/>
      <c r="AG52" s="94"/>
      <c r="AH52" s="94"/>
      <c r="AI52" s="94"/>
      <c r="AJ52" s="94"/>
      <c r="AK52" s="94"/>
      <c r="AL52" s="94"/>
      <c r="AM52" s="94"/>
      <c r="AN52" s="94"/>
      <c r="AO52" s="303"/>
      <c r="AP52" s="303"/>
      <c r="AQ52" s="303"/>
      <c r="AR52" s="303"/>
      <c r="AS52" s="303"/>
      <c r="AT52" s="303"/>
      <c r="AU52" s="94"/>
      <c r="AV52" s="94"/>
    </row>
    <row r="53" spans="1:48" s="95" customFormat="1" ht="11.25" customHeight="1" thickBot="1">
      <c r="A53" s="142"/>
      <c r="B53" s="143"/>
      <c r="C53" s="143"/>
      <c r="D53" s="144"/>
      <c r="E53" s="145"/>
      <c r="F53" s="146"/>
      <c r="G53" s="147"/>
      <c r="H53" s="147"/>
      <c r="I53" s="147"/>
      <c r="J53" s="147"/>
      <c r="K53" s="147"/>
      <c r="L53" s="148"/>
      <c r="M53" s="147"/>
      <c r="N53" s="147"/>
      <c r="O53" s="147"/>
      <c r="P53" s="147"/>
      <c r="Q53" s="147"/>
      <c r="R53" s="148"/>
      <c r="S53" s="149"/>
      <c r="T53" s="149"/>
      <c r="U53" s="149"/>
      <c r="V53" s="149"/>
      <c r="W53" s="149"/>
      <c r="X53" s="149"/>
      <c r="Y53" s="149"/>
      <c r="Z53" s="149"/>
      <c r="AA53" s="149"/>
      <c r="AB53" s="150"/>
      <c r="AC53" s="93"/>
      <c r="AD53" s="94"/>
      <c r="AE53" s="94"/>
      <c r="AF53" s="94"/>
      <c r="AG53" s="94"/>
      <c r="AH53" s="94" t="str">
        <f>AH43&amp;CHAR(10)&amp;AH44&amp;CHAR(10)&amp;AH45&amp;CHAR(10)&amp;AH46&amp;CHAR(10)&amp;AH47&amp;CHAR(10)&amp;AH48&amp;CHAR(10)&amp;AH49&amp;CHAR(10)&amp;AH50&amp;CHAR(10)&amp;AH51</f>
        <v>Under 10:
Vehicle Operations: $21.67
Vehicle Maintenance: $22.89
Facility Maintenance: $17.17
General Administration: $25.69
Total: $22.28
10 to 25:
Vehicle Operations: $27.41
Vehicle Maintenance: $31.70
Facility Maintenance: $31.42
General Administration: $28.85
Total: $28.12
25 to 50:
Vehicle Operations: $22.06
Vehicle Maintenance: $27.76
Facility Maintenance: $29.38
General Administration: $31.16
Total: $24.06
50 to 100:
Vehicle Operations: $21.07
Vehicle Maintenance: $24.30
Facility Maintenance: $21.81
General Administration: $26.99
Total: $22.17
100 to 250:
Vehicle Operations: $23.28
Vehicle Maintenance: $25.15
Facility Maintenance: $21.96
General Administration: $29.17
Total: $24.17
250 to 500:
Vehicle Operations: $24.73
Vehicle Maintenance: $28.53
Facility Maintenance: $29.47
General Administration: $32.63
Total: $26.34
500 to 1,000:
Vehicle Operations: $29.15
Vehicle Maintenance: $34.41
Facility Maintenance: $34.52
General Administration: $38.06
Total: $31.51
1,000 to 2,000:
Vehicle Operations: $29.85
Vehicle Maintenance: $32.33
Facility Maintenance: $33.71
General Administration: $37.24
Total: $31.73
Over 2,000:
Vehicle Operations: $35.37
Vehicle Maintenance: $34.04
Facility Maintenance: $36.52
General Administration: $48.44
Total: $36.48</v>
      </c>
      <c r="AI53" s="94"/>
      <c r="AJ53" s="94"/>
      <c r="AK53" s="94"/>
      <c r="AL53" s="94"/>
      <c r="AM53" s="94"/>
      <c r="AN53" s="94"/>
      <c r="AO53" s="303"/>
      <c r="AP53" s="303"/>
      <c r="AQ53" s="303"/>
      <c r="AR53" s="303"/>
      <c r="AS53" s="303"/>
      <c r="AT53" s="303"/>
      <c r="AU53" s="94"/>
      <c r="AV53" s="94"/>
    </row>
    <row r="54" spans="1:48" ht="263.25" customHeight="1" thickBot="1">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7"/>
      <c r="AD54" s="98"/>
      <c r="AE54" s="98"/>
      <c r="AF54" s="94"/>
      <c r="AG54" s="98"/>
      <c r="AH54" s="98"/>
      <c r="AI54" s="98"/>
      <c r="AJ54" s="98"/>
      <c r="AK54" s="98"/>
      <c r="AL54" s="98"/>
      <c r="AM54" s="98"/>
      <c r="AN54" s="98"/>
      <c r="AO54" s="304"/>
      <c r="AP54" s="304"/>
      <c r="AQ54" s="304"/>
      <c r="AR54" s="304"/>
      <c r="AS54" s="304"/>
      <c r="AT54" s="304"/>
      <c r="AU54" s="98"/>
      <c r="AV54" s="98"/>
    </row>
    <row r="55" spans="1:48" ht="14.25" thickTop="1" thickBot="1">
      <c r="A55" s="135" t="s">
        <v>951</v>
      </c>
      <c r="B55" s="101"/>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c r="AB55" s="102"/>
      <c r="AC55" s="97"/>
      <c r="AD55" s="98"/>
      <c r="AE55" s="98"/>
      <c r="AF55" s="98"/>
      <c r="AG55" s="98"/>
      <c r="AH55" s="98"/>
      <c r="AI55" s="98"/>
      <c r="AJ55" s="98"/>
      <c r="AK55" s="98"/>
      <c r="AL55" s="98"/>
      <c r="AM55" s="98"/>
      <c r="AN55" s="98"/>
      <c r="AO55" s="304"/>
      <c r="AP55" s="304"/>
      <c r="AQ55" s="304"/>
      <c r="AR55" s="304"/>
      <c r="AS55" s="304"/>
      <c r="AT55" s="304"/>
      <c r="AU55" s="98"/>
      <c r="AV55" s="98"/>
    </row>
    <row r="56" spans="1:48" ht="13.5" thickTop="1">
      <c r="A56" s="96"/>
      <c r="B56" s="96"/>
      <c r="C56" s="151"/>
      <c r="D56" s="152"/>
      <c r="E56" s="98"/>
      <c r="F56" s="248"/>
      <c r="G56" s="214"/>
      <c r="H56" s="215"/>
      <c r="I56" s="215"/>
      <c r="J56" s="213" t="s">
        <v>1065</v>
      </c>
      <c r="K56" s="215"/>
      <c r="L56" s="212"/>
      <c r="M56" s="211"/>
      <c r="N56" s="211"/>
      <c r="O56" s="211"/>
      <c r="P56" s="220" t="s">
        <v>1066</v>
      </c>
      <c r="Q56" s="211"/>
      <c r="R56" s="219"/>
      <c r="S56" s="214"/>
      <c r="T56" s="215"/>
      <c r="U56" s="215"/>
      <c r="V56" s="221" t="s">
        <v>1067</v>
      </c>
      <c r="W56" s="212"/>
      <c r="X56" s="214"/>
      <c r="Y56" s="215"/>
      <c r="Z56" s="215"/>
      <c r="AA56" s="221" t="s">
        <v>1068</v>
      </c>
      <c r="AB56" s="222"/>
      <c r="AC56" s="97"/>
      <c r="AD56" s="98"/>
      <c r="AE56" s="98"/>
      <c r="AF56" s="98"/>
      <c r="AG56" s="98"/>
      <c r="AH56" s="98"/>
      <c r="AI56" s="98"/>
      <c r="AJ56" s="98"/>
      <c r="AK56" s="98"/>
      <c r="AL56" s="98"/>
      <c r="AM56" s="98"/>
      <c r="AN56" s="98"/>
      <c r="AO56" s="304"/>
      <c r="AP56" s="304"/>
      <c r="AQ56" s="304"/>
      <c r="AR56" s="304"/>
      <c r="AS56" s="304"/>
      <c r="AT56" s="304"/>
      <c r="AU56" s="98"/>
      <c r="AV56" s="98"/>
    </row>
    <row r="57" spans="1:48" ht="21" customHeight="1">
      <c r="A57" s="96"/>
      <c r="B57" s="96"/>
      <c r="C57" s="153" t="s">
        <v>952</v>
      </c>
      <c r="D57" s="275" t="s">
        <v>0</v>
      </c>
      <c r="E57" s="283" t="s">
        <v>1069</v>
      </c>
      <c r="F57" s="268" t="s">
        <v>1092</v>
      </c>
      <c r="G57" s="261" t="s">
        <v>1072</v>
      </c>
      <c r="H57" s="261" t="s">
        <v>1073</v>
      </c>
      <c r="I57" s="261" t="s">
        <v>1074</v>
      </c>
      <c r="J57" s="262" t="s">
        <v>1075</v>
      </c>
      <c r="K57" s="261" t="s">
        <v>1076</v>
      </c>
      <c r="L57" s="261" t="s">
        <v>1091</v>
      </c>
      <c r="M57" s="263" t="s">
        <v>1077</v>
      </c>
      <c r="N57" s="261" t="s">
        <v>1078</v>
      </c>
      <c r="O57" s="261" t="s">
        <v>1079</v>
      </c>
      <c r="P57" s="262" t="s">
        <v>1080</v>
      </c>
      <c r="Q57" s="263" t="s">
        <v>1081</v>
      </c>
      <c r="R57" s="264" t="s">
        <v>1093</v>
      </c>
      <c r="S57" s="265" t="s">
        <v>1082</v>
      </c>
      <c r="T57" s="265" t="s">
        <v>1083</v>
      </c>
      <c r="U57" s="265" t="s">
        <v>1084</v>
      </c>
      <c r="V57" s="265" t="s">
        <v>1085</v>
      </c>
      <c r="W57" s="265" t="s">
        <v>1094</v>
      </c>
      <c r="X57" s="265" t="s">
        <v>1086</v>
      </c>
      <c r="Y57" s="265" t="s">
        <v>1087</v>
      </c>
      <c r="Z57" s="265" t="s">
        <v>1088</v>
      </c>
      <c r="AA57" s="265" t="s">
        <v>1089</v>
      </c>
      <c r="AB57" s="269" t="s">
        <v>1090</v>
      </c>
      <c r="AC57" s="97"/>
      <c r="AD57" s="98"/>
      <c r="AE57" s="98"/>
      <c r="AF57" s="98"/>
      <c r="AG57" s="98"/>
      <c r="AH57" s="98"/>
      <c r="AI57" s="98"/>
      <c r="AJ57" s="98"/>
      <c r="AK57" s="98"/>
      <c r="AL57" s="98"/>
      <c r="AM57" s="98"/>
      <c r="AN57" s="98"/>
      <c r="AO57" s="304"/>
      <c r="AP57" s="304"/>
      <c r="AQ57" s="304"/>
      <c r="AR57" s="304"/>
      <c r="AS57" s="304"/>
      <c r="AT57" s="304"/>
      <c r="AU57" s="98"/>
      <c r="AV57" s="98"/>
    </row>
    <row r="58" spans="1:48">
      <c r="A58" s="96"/>
      <c r="B58" s="96"/>
      <c r="C58" s="188" t="s">
        <v>5</v>
      </c>
      <c r="D58" s="189" t="s">
        <v>953</v>
      </c>
      <c r="E58" s="190"/>
      <c r="F58" s="191">
        <f>IF($AF$1,SUMIFS('All Employees by Mode'!L:L,'All Employees by Mode'!$C:$C,"="&amp;$C58,'All Employees by Mode'!$BE:$BE,"=No"),SUMIFS('All Employees by Mode'!L:L,'All Employees by Mode'!$C:$C,"="&amp;$C58))</f>
        <v>82</v>
      </c>
      <c r="G58" s="192">
        <f>IF($AF$1,SUMIFS('All Employees by Mode'!M:M,'All Employees by Mode'!$C:$C,"="&amp;$C58,'All Employees by Mode'!$BE:$BE,"=No"),SUMIFS('All Employees by Mode'!M:M,'All Employees by Mode'!$C:$C,"="&amp;$C58))</f>
        <v>361986</v>
      </c>
      <c r="H58" s="192">
        <f>IF($AF$1,SUMIFS('All Employees by Mode'!O:O,'All Employees by Mode'!$C:$C,"="&amp;$C58,'All Employees by Mode'!$BE:$BE,"=No"),SUMIFS('All Employees by Mode'!O:O,'All Employees by Mode'!$C:$C,"="&amp;$C58))</f>
        <v>132350</v>
      </c>
      <c r="I58" s="192">
        <f>IF($AF$1,SUMIFS('All Employees by Mode'!Q:Q,'All Employees by Mode'!$C:$C,"="&amp;$C58,'All Employees by Mode'!$BE:$BE,"=No"),SUMIFS('All Employees by Mode'!Q:Q,'All Employees by Mode'!$C:$C,"="&amp;$C58))</f>
        <v>117484</v>
      </c>
      <c r="J58" s="192">
        <f>IF($AF$1,SUMIFS('All Employees by Mode'!S:S,'All Employees by Mode'!$C:$C,"="&amp;$C58,'All Employees by Mode'!$BE:$BE,"=No"),SUMIFS('All Employees by Mode'!S:S,'All Employees by Mode'!$C:$C,"="&amp;$C58))</f>
        <v>119903</v>
      </c>
      <c r="K58" s="192">
        <f>IF($AF$1,SUMIFS('All Employees by Mode'!U:U,'All Employees by Mode'!$C:$C,"="&amp;$C58,'All Employees by Mode'!$BE:$BE,"=No"),SUMIFS('All Employees by Mode'!U:U,'All Employees by Mode'!$C:$C,"="&amp;$C58))</f>
        <v>128971</v>
      </c>
      <c r="L58" s="192">
        <f>IF($AF$1,SUMIFS('All Employees by Mode'!W:W,'All Employees by Mode'!$C:$C,"="&amp;$C58,'All Employees by Mode'!$BE:$BE,"=No"),SUMIFS('All Employees by Mode'!W:W,'All Employees by Mode'!$C:$C,"="&amp;$C58))</f>
        <v>860694</v>
      </c>
      <c r="M58" s="192">
        <f>IF($AF$1,SUMIFS('All Employees by Mode'!Y:Y,'All Employees by Mode'!$C:$C,"="&amp;$C58,'All Employees by Mode'!$BE:$BE,"=No"),SUMIFS('All Employees by Mode'!Y:Y,'All Employees by Mode'!$C:$C,"="&amp;$C58))</f>
        <v>171.8</v>
      </c>
      <c r="N58" s="192">
        <f>IF($AF$1,SUMIFS('All Employees by Mode'!AA:AA,'All Employees by Mode'!$C:$C,"="&amp;$C58,'All Employees by Mode'!$BE:$BE,"=No"),SUMIFS('All Employees by Mode'!AA:AA,'All Employees by Mode'!$C:$C,"="&amp;$C58))</f>
        <v>76.599999999999994</v>
      </c>
      <c r="O58" s="192">
        <f>IF($AF$1,SUMIFS('All Employees by Mode'!AC:AC,'All Employees by Mode'!$C:$C,"="&amp;$C58,'All Employees by Mode'!$BE:$BE,"=No"),SUMIFS('All Employees by Mode'!AC:AC,'All Employees by Mode'!$C:$C,"="&amp;$C58))</f>
        <v>86.6</v>
      </c>
      <c r="P58" s="192">
        <f>IF($AF$1,SUMIFS('All Employees by Mode'!AE:AE,'All Employees by Mode'!$C:$C,"="&amp;$C58,'All Employees by Mode'!$BE:$BE,"=No"),SUMIFS('All Employees by Mode'!AE:AE,'All Employees by Mode'!$C:$C,"="&amp;$C58))</f>
        <v>75.3</v>
      </c>
      <c r="Q58" s="192">
        <f>IF($AF$1,SUMIFS('All Employees by Mode'!AG:AG,'All Employees by Mode'!$C:$C,"="&amp;$C58,'All Employees by Mode'!$BE:$BE,"=No"),SUMIFS('All Employees by Mode'!AG:AG,'All Employees by Mode'!$C:$C,"="&amp;$C58))</f>
        <v>55.6</v>
      </c>
      <c r="R58" s="192">
        <f>IF($AF$1,SUMIFS('All Employees by Mode'!AI:AI,'All Employees by Mode'!$C:$C,"="&amp;$C58,'All Employees by Mode'!$BE:$BE,"=No"),SUMIFS('All Employees by Mode'!AI:AI,'All Employees by Mode'!$C:$C,"="&amp;$C58))</f>
        <v>465.9</v>
      </c>
      <c r="S58" s="193">
        <f>IF($AF$1,SUMIFS('All Employees by Mode'!AK:AK,'All Employees by Mode'!$C:$C,"="&amp;$C58,'All Employees by Mode'!$BE:$BE,"=No"),SUMIFS('All Employees by Mode'!AK:AK,'All Employees by Mode'!$C:$C,"="&amp;$C58))</f>
        <v>13701609</v>
      </c>
      <c r="T58" s="193">
        <f>IF($AF$1,SUMIFS('All Employees by Mode'!AM:AM,'All Employees by Mode'!$C:$C,"="&amp;$C58,'All Employees by Mode'!$BE:$BE,"=No"),SUMIFS('All Employees by Mode'!AM:AM,'All Employees by Mode'!$C:$C,"="&amp;$C58))</f>
        <v>5502286</v>
      </c>
      <c r="U58" s="193">
        <f>IF($AF$1,SUMIFS('All Employees by Mode'!AO:AO,'All Employees by Mode'!$C:$C,"="&amp;$C58,'All Employees by Mode'!$BE:$BE,"=No"),SUMIFS('All Employees by Mode'!AO:AO,'All Employees by Mode'!$C:$C,"="&amp;$C58))</f>
        <v>4313869</v>
      </c>
      <c r="V58" s="193">
        <f>IF($AF$1,SUMIFS('All Employees by Mode'!AQ:AQ,'All Employees by Mode'!$C:$C,"="&amp;$C58,'All Employees by Mode'!$BE:$BE,"=No"),SUMIFS('All Employees by Mode'!AQ:AQ,'All Employees by Mode'!$C:$C,"="&amp;$C58))</f>
        <v>4886923</v>
      </c>
      <c r="W58" s="193">
        <f>IF($AF$1,SUMIFS('All Employees by Mode'!AS:AS,'All Employees by Mode'!$C:$C,"="&amp;$C58,'All Employees by Mode'!$BE:$BE,"=No"),SUMIFS('All Employees by Mode'!AS:AS,'All Employees by Mode'!$C:$C,"="&amp;$C58))</f>
        <v>28404687</v>
      </c>
      <c r="X58" s="194">
        <f>IFERROR(S58/G58,"-")</f>
        <v>37.851212477830636</v>
      </c>
      <c r="Y58" s="194">
        <f>IFERROR(T58/H58,"-")</f>
        <v>41.573751416698151</v>
      </c>
      <c r="Z58" s="194">
        <f>IFERROR(U58/I58,"-")</f>
        <v>36.718778727316057</v>
      </c>
      <c r="AA58" s="194">
        <f>IFERROR(V58/J58,"-")</f>
        <v>40.757303820588312</v>
      </c>
      <c r="AB58" s="284">
        <f>IFERROR(W58/SUM(G58:J58),"-")</f>
        <v>38.818906881429172</v>
      </c>
      <c r="AC58" s="97"/>
      <c r="AD58" s="98"/>
      <c r="AE58" s="98"/>
      <c r="AF58" s="98"/>
      <c r="AG58" s="98"/>
      <c r="AH58" s="98"/>
      <c r="AI58" s="98"/>
      <c r="AJ58" s="98"/>
      <c r="AK58" s="98"/>
      <c r="AL58" s="98"/>
      <c r="AM58" s="98"/>
      <c r="AN58" s="98"/>
      <c r="AO58" s="304"/>
      <c r="AP58" s="304"/>
      <c r="AQ58" s="304"/>
      <c r="AR58" s="304"/>
      <c r="AS58" s="304"/>
      <c r="AT58" s="304"/>
      <c r="AU58" s="98"/>
      <c r="AV58" s="98"/>
    </row>
    <row r="59" spans="1:48">
      <c r="A59" s="96"/>
      <c r="B59" s="96"/>
      <c r="C59" s="195" t="s">
        <v>9</v>
      </c>
      <c r="D59" s="196" t="s">
        <v>954</v>
      </c>
      <c r="E59" s="197"/>
      <c r="F59" s="198">
        <f>IF($AF$1,SUMIFS('All Employees by Mode'!L:L,'All Employees by Mode'!$C:$C,"="&amp;$C59,'All Employees by Mode'!$BE:$BE,"=No"),SUMIFS('All Employees by Mode'!L:L,'All Employees by Mode'!$C:$C,"="&amp;$C59))</f>
        <v>301</v>
      </c>
      <c r="G59" s="160">
        <f>IF($AF$1,SUMIFS('All Employees by Mode'!M:M,'All Employees by Mode'!$C:$C,"="&amp;$C59,'All Employees by Mode'!$BE:$BE,"=No"),SUMIFS('All Employees by Mode'!M:M,'All Employees by Mode'!$C:$C,"="&amp;$C59))</f>
        <v>897604</v>
      </c>
      <c r="H59" s="160">
        <f>IF($AF$1,SUMIFS('All Employees by Mode'!O:O,'All Employees by Mode'!$C:$C,"="&amp;$C59,'All Employees by Mode'!$BE:$BE,"=No"),SUMIFS('All Employees by Mode'!O:O,'All Employees by Mode'!$C:$C,"="&amp;$C59))</f>
        <v>196559</v>
      </c>
      <c r="I59" s="160">
        <f>IF($AF$1,SUMIFS('All Employees by Mode'!Q:Q,'All Employees by Mode'!$C:$C,"="&amp;$C59,'All Employees by Mode'!$BE:$BE,"=No"),SUMIFS('All Employees by Mode'!Q:Q,'All Employees by Mode'!$C:$C,"="&amp;$C59))</f>
        <v>33788</v>
      </c>
      <c r="J59" s="160">
        <f>IF($AF$1,SUMIFS('All Employees by Mode'!S:S,'All Employees by Mode'!$C:$C,"="&amp;$C59,'All Employees by Mode'!$BE:$BE,"=No"),SUMIFS('All Employees by Mode'!S:S,'All Employees by Mode'!$C:$C,"="&amp;$C59))</f>
        <v>144505</v>
      </c>
      <c r="K59" s="160">
        <f>IF($AF$1,SUMIFS('All Employees by Mode'!U:U,'All Employees by Mode'!$C:$C,"="&amp;$C59,'All Employees by Mode'!$BE:$BE,"=No"),SUMIFS('All Employees by Mode'!U:U,'All Employees by Mode'!$C:$C,"="&amp;$C59))</f>
        <v>0</v>
      </c>
      <c r="L59" s="160">
        <f>IF($AF$1,SUMIFS('All Employees by Mode'!W:W,'All Employees by Mode'!$C:$C,"="&amp;$C59,'All Employees by Mode'!$BE:$BE,"=No"),SUMIFS('All Employees by Mode'!W:W,'All Employees by Mode'!$C:$C,"="&amp;$C59))</f>
        <v>1272456</v>
      </c>
      <c r="M59" s="160">
        <f>IF($AF$1,SUMIFS('All Employees by Mode'!Y:Y,'All Employees by Mode'!$C:$C,"="&amp;$C59,'All Employees by Mode'!$BE:$BE,"=No"),SUMIFS('All Employees by Mode'!Y:Y,'All Employees by Mode'!$C:$C,"="&amp;$C59))</f>
        <v>543.79999999999995</v>
      </c>
      <c r="N59" s="160">
        <f>IF($AF$1,SUMIFS('All Employees by Mode'!AA:AA,'All Employees by Mode'!$C:$C,"="&amp;$C59,'All Employees by Mode'!$BE:$BE,"=No"),SUMIFS('All Employees by Mode'!AA:AA,'All Employees by Mode'!$C:$C,"="&amp;$C59))</f>
        <v>106.79999999999998</v>
      </c>
      <c r="O59" s="160">
        <f>IF($AF$1,SUMIFS('All Employees by Mode'!AC:AC,'All Employees by Mode'!$C:$C,"="&amp;$C59,'All Employees by Mode'!$BE:$BE,"=No"),SUMIFS('All Employees by Mode'!AC:AC,'All Employees by Mode'!$C:$C,"="&amp;$C59))</f>
        <v>18.39</v>
      </c>
      <c r="P59" s="160">
        <f>IF($AF$1,SUMIFS('All Employees by Mode'!AE:AE,'All Employees by Mode'!$C:$C,"="&amp;$C59,'All Employees by Mode'!$BE:$BE,"=No"),SUMIFS('All Employees by Mode'!AE:AE,'All Employees by Mode'!$C:$C,"="&amp;$C59))</f>
        <v>83.37</v>
      </c>
      <c r="Q59" s="160">
        <f>IF($AF$1,SUMIFS('All Employees by Mode'!AG:AG,'All Employees by Mode'!$C:$C,"="&amp;$C59,'All Employees by Mode'!$BE:$BE,"=No"),SUMIFS('All Employees by Mode'!AG:AG,'All Employees by Mode'!$C:$C,"="&amp;$C59))</f>
        <v>0</v>
      </c>
      <c r="R59" s="160">
        <f>IF($AF$1,SUMIFS('All Employees by Mode'!AI:AI,'All Employees by Mode'!$C:$C,"="&amp;$C59,'All Employees by Mode'!$BE:$BE,"=No"),SUMIFS('All Employees by Mode'!AI:AI,'All Employees by Mode'!$C:$C,"="&amp;$C59))</f>
        <v>752.36</v>
      </c>
      <c r="S59" s="161">
        <f>IF($AF$1,SUMIFS('All Employees by Mode'!AK:AK,'All Employees by Mode'!$C:$C,"="&amp;$C59,'All Employees by Mode'!$BE:$BE,"=No"),SUMIFS('All Employees by Mode'!AK:AK,'All Employees by Mode'!$C:$C,"="&amp;$C59))</f>
        <v>17914650</v>
      </c>
      <c r="T59" s="161">
        <f>IF($AF$1,SUMIFS('All Employees by Mode'!AM:AM,'All Employees by Mode'!$C:$C,"="&amp;$C59,'All Employees by Mode'!$BE:$BE,"=No"),SUMIFS('All Employees by Mode'!AM:AM,'All Employees by Mode'!$C:$C,"="&amp;$C59))</f>
        <v>3790996</v>
      </c>
      <c r="U59" s="161">
        <f>IF($AF$1,SUMIFS('All Employees by Mode'!AO:AO,'All Employees by Mode'!$C:$C,"="&amp;$C59,'All Employees by Mode'!$BE:$BE,"=No"),SUMIFS('All Employees by Mode'!AO:AO,'All Employees by Mode'!$C:$C,"="&amp;$C59))</f>
        <v>770935</v>
      </c>
      <c r="V59" s="161">
        <f>IF($AF$1,SUMIFS('All Employees by Mode'!AQ:AQ,'All Employees by Mode'!$C:$C,"="&amp;$C59,'All Employees by Mode'!$BE:$BE,"=No"),SUMIFS('All Employees by Mode'!AQ:AQ,'All Employees by Mode'!$C:$C,"="&amp;$C59))</f>
        <v>3370570</v>
      </c>
      <c r="W59" s="161">
        <f>IF($AF$1,SUMIFS('All Employees by Mode'!AS:AS,'All Employees by Mode'!$C:$C,"="&amp;$C59,'All Employees by Mode'!$BE:$BE,"=No"),SUMIFS('All Employees by Mode'!AS:AS,'All Employees by Mode'!$C:$C,"="&amp;$C59))</f>
        <v>25847151</v>
      </c>
      <c r="X59" s="162">
        <f t="shared" ref="X59:X113" si="33">IFERROR(S59/G59,"-")</f>
        <v>19.958300096701887</v>
      </c>
      <c r="Y59" s="162">
        <f t="shared" ref="Y59:Y113" si="34">IFERROR(T59/H59,"-")</f>
        <v>19.286809558453186</v>
      </c>
      <c r="Z59" s="162">
        <f t="shared" ref="Z59:Z113" si="35">IFERROR(U59/I59,"-")</f>
        <v>22.816828459808217</v>
      </c>
      <c r="AA59" s="162">
        <f t="shared" ref="AA59:AA113" si="36">IFERROR(V59/J59,"-")</f>
        <v>23.324936853396075</v>
      </c>
      <c r="AB59" s="271">
        <f t="shared" ref="AB59:AB113" si="37">IFERROR(W59/SUM(G59:J59),"-")</f>
        <v>20.312805315075728</v>
      </c>
      <c r="AC59" s="97"/>
      <c r="AD59" s="98"/>
      <c r="AE59" s="98"/>
      <c r="AF59" s="98"/>
      <c r="AG59" s="98"/>
      <c r="AH59" s="98"/>
      <c r="AI59" s="98"/>
      <c r="AJ59" s="98"/>
      <c r="AK59" s="98"/>
      <c r="AL59" s="98"/>
      <c r="AM59" s="98"/>
      <c r="AN59" s="98"/>
      <c r="AO59" s="304"/>
      <c r="AP59" s="304"/>
      <c r="AQ59" s="304"/>
      <c r="AR59" s="304"/>
      <c r="AS59" s="304"/>
      <c r="AT59" s="304"/>
      <c r="AU59" s="98"/>
      <c r="AV59" s="98"/>
    </row>
    <row r="60" spans="1:48">
      <c r="A60" s="96"/>
      <c r="B60" s="96"/>
      <c r="C60" s="195" t="s">
        <v>6</v>
      </c>
      <c r="D60" s="196" t="s">
        <v>955</v>
      </c>
      <c r="E60" s="197"/>
      <c r="F60" s="198">
        <f>IF($AF$1,SUMIFS('All Employees by Mode'!L:L,'All Employees by Mode'!$C:$C,"="&amp;$C60,'All Employees by Mode'!$BE:$BE,"=No"),SUMIFS('All Employees by Mode'!L:L,'All Employees by Mode'!$C:$C,"="&amp;$C60))</f>
        <v>99</v>
      </c>
      <c r="G60" s="160">
        <f>IF($AF$1,SUMIFS('All Employees by Mode'!M:M,'All Employees by Mode'!$C:$C,"="&amp;$C60,'All Employees by Mode'!$BE:$BE,"=No"),SUMIFS('All Employees by Mode'!M:M,'All Employees by Mode'!$C:$C,"="&amp;$C60))</f>
        <v>413810</v>
      </c>
      <c r="H60" s="160">
        <f>IF($AF$1,SUMIFS('All Employees by Mode'!O:O,'All Employees by Mode'!$C:$C,"="&amp;$C60,'All Employees by Mode'!$BE:$BE,"=No"),SUMIFS('All Employees by Mode'!O:O,'All Employees by Mode'!$C:$C,"="&amp;$C60))</f>
        <v>78732</v>
      </c>
      <c r="I60" s="160">
        <f>IF($AF$1,SUMIFS('All Employees by Mode'!Q:Q,'All Employees by Mode'!$C:$C,"="&amp;$C60,'All Employees by Mode'!$BE:$BE,"=No"),SUMIFS('All Employees by Mode'!Q:Q,'All Employees by Mode'!$C:$C,"="&amp;$C60))</f>
        <v>5406</v>
      </c>
      <c r="J60" s="160">
        <f>IF($AF$1,SUMIFS('All Employees by Mode'!S:S,'All Employees by Mode'!$C:$C,"="&amp;$C60,'All Employees by Mode'!$BE:$BE,"=No"),SUMIFS('All Employees by Mode'!S:S,'All Employees by Mode'!$C:$C,"="&amp;$C60))</f>
        <v>53017</v>
      </c>
      <c r="K60" s="160">
        <f>IF($AF$1,SUMIFS('All Employees by Mode'!U:U,'All Employees by Mode'!$C:$C,"="&amp;$C60,'All Employees by Mode'!$BE:$BE,"=No"),SUMIFS('All Employees by Mode'!U:U,'All Employees by Mode'!$C:$C,"="&amp;$C60))</f>
        <v>1872</v>
      </c>
      <c r="L60" s="160">
        <f>IF($AF$1,SUMIFS('All Employees by Mode'!W:W,'All Employees by Mode'!$C:$C,"="&amp;$C60,'All Employees by Mode'!$BE:$BE,"=No"),SUMIFS('All Employees by Mode'!W:W,'All Employees by Mode'!$C:$C,"="&amp;$C60))</f>
        <v>552837</v>
      </c>
      <c r="M60" s="160">
        <f>IF($AF$1,SUMIFS('All Employees by Mode'!Y:Y,'All Employees by Mode'!$C:$C,"="&amp;$C60,'All Employees by Mode'!$BE:$BE,"=No"),SUMIFS('All Employees by Mode'!Y:Y,'All Employees by Mode'!$C:$C,"="&amp;$C60))</f>
        <v>208.7</v>
      </c>
      <c r="N60" s="160">
        <f>IF($AF$1,SUMIFS('All Employees by Mode'!AA:AA,'All Employees by Mode'!$C:$C,"="&amp;$C60,'All Employees by Mode'!$BE:$BE,"=No"),SUMIFS('All Employees by Mode'!AA:AA,'All Employees by Mode'!$C:$C,"="&amp;$C60))</f>
        <v>40.6</v>
      </c>
      <c r="O60" s="160">
        <f>IF($AF$1,SUMIFS('All Employees by Mode'!AC:AC,'All Employees by Mode'!$C:$C,"="&amp;$C60,'All Employees by Mode'!$BE:$BE,"=No"),SUMIFS('All Employees by Mode'!AC:AC,'All Employees by Mode'!$C:$C,"="&amp;$C60))</f>
        <v>4</v>
      </c>
      <c r="P60" s="160">
        <f>IF($AF$1,SUMIFS('All Employees by Mode'!AE:AE,'All Employees by Mode'!$C:$C,"="&amp;$C60,'All Employees by Mode'!$BE:$BE,"=No"),SUMIFS('All Employees by Mode'!AE:AE,'All Employees by Mode'!$C:$C,"="&amp;$C60))</f>
        <v>30.7</v>
      </c>
      <c r="Q60" s="160">
        <f>IF($AF$1,SUMIFS('All Employees by Mode'!AG:AG,'All Employees by Mode'!$C:$C,"="&amp;$C60,'All Employees by Mode'!$BE:$BE,"=No"),SUMIFS('All Employees by Mode'!AG:AG,'All Employees by Mode'!$C:$C,"="&amp;$C60))</f>
        <v>1</v>
      </c>
      <c r="R60" s="160">
        <f>IF($AF$1,SUMIFS('All Employees by Mode'!AI:AI,'All Employees by Mode'!$C:$C,"="&amp;$C60,'All Employees by Mode'!$BE:$BE,"=No"),SUMIFS('All Employees by Mode'!AI:AI,'All Employees by Mode'!$C:$C,"="&amp;$C60))</f>
        <v>285</v>
      </c>
      <c r="S60" s="161">
        <f>IF($AF$1,SUMIFS('All Employees by Mode'!AK:AK,'All Employees by Mode'!$C:$C,"="&amp;$C60,'All Employees by Mode'!$BE:$BE,"=No"),SUMIFS('All Employees by Mode'!AK:AK,'All Employees by Mode'!$C:$C,"="&amp;$C60))</f>
        <v>7790987</v>
      </c>
      <c r="T60" s="161">
        <f>IF($AF$1,SUMIFS('All Employees by Mode'!AM:AM,'All Employees by Mode'!$C:$C,"="&amp;$C60,'All Employees by Mode'!$BE:$BE,"=No"),SUMIFS('All Employees by Mode'!AM:AM,'All Employees by Mode'!$C:$C,"="&amp;$C60))</f>
        <v>1745621</v>
      </c>
      <c r="U60" s="161">
        <f>IF($AF$1,SUMIFS('All Employees by Mode'!AO:AO,'All Employees by Mode'!$C:$C,"="&amp;$C60,'All Employees by Mode'!$BE:$BE,"=No"),SUMIFS('All Employees by Mode'!AO:AO,'All Employees by Mode'!$C:$C,"="&amp;$C60))</f>
        <v>65884</v>
      </c>
      <c r="V60" s="161">
        <f>IF($AF$1,SUMIFS('All Employees by Mode'!AQ:AQ,'All Employees by Mode'!$C:$C,"="&amp;$C60,'All Employees by Mode'!$BE:$BE,"=No"),SUMIFS('All Employees by Mode'!AQ:AQ,'All Employees by Mode'!$C:$C,"="&amp;$C60))</f>
        <v>1309162</v>
      </c>
      <c r="W60" s="161">
        <f>IF($AF$1,SUMIFS('All Employees by Mode'!AS:AS,'All Employees by Mode'!$C:$C,"="&amp;$C60,'All Employees by Mode'!$BE:$BE,"=No"),SUMIFS('All Employees by Mode'!AS:AS,'All Employees by Mode'!$C:$C,"="&amp;$C60))</f>
        <v>10911654</v>
      </c>
      <c r="X60" s="162">
        <f t="shared" si="33"/>
        <v>18.827449795800003</v>
      </c>
      <c r="Y60" s="162">
        <f t="shared" si="34"/>
        <v>22.171683686429915</v>
      </c>
      <c r="Z60" s="162">
        <f t="shared" si="35"/>
        <v>12.187199408065112</v>
      </c>
      <c r="AA60" s="162">
        <f t="shared" si="36"/>
        <v>24.693249335118924</v>
      </c>
      <c r="AB60" s="271">
        <f t="shared" si="37"/>
        <v>19.804622798181374</v>
      </c>
      <c r="AC60" s="97"/>
      <c r="AD60" s="98"/>
      <c r="AE60" s="98"/>
      <c r="AF60" s="98"/>
      <c r="AG60" s="98"/>
      <c r="AH60" s="98"/>
      <c r="AI60" s="98"/>
      <c r="AJ60" s="98"/>
      <c r="AK60" s="98"/>
      <c r="AL60" s="98"/>
      <c r="AM60" s="98"/>
      <c r="AN60" s="98"/>
      <c r="AO60" s="304"/>
      <c r="AP60" s="304"/>
      <c r="AQ60" s="304"/>
      <c r="AR60" s="304"/>
      <c r="AS60" s="304"/>
      <c r="AT60" s="304"/>
      <c r="AU60" s="98"/>
      <c r="AV60" s="98"/>
    </row>
    <row r="61" spans="1:48">
      <c r="A61" s="96"/>
      <c r="B61" s="96"/>
      <c r="C61" s="195" t="s">
        <v>956</v>
      </c>
      <c r="D61" s="196" t="s">
        <v>957</v>
      </c>
      <c r="E61" s="197"/>
      <c r="F61" s="198">
        <f>IF($AF$1,SUMIFS('All Employees by Mode'!L:L,'All Employees by Mode'!$C:$C,"="&amp;$C61,'All Employees by Mode'!$BE:$BE,"=No"),SUMIFS('All Employees by Mode'!L:L,'All Employees by Mode'!$C:$C,"="&amp;$C61))</f>
        <v>0</v>
      </c>
      <c r="G61" s="160">
        <f>IF($AF$1,SUMIFS('All Employees by Mode'!M:M,'All Employees by Mode'!$C:$C,"="&amp;$C61,'All Employees by Mode'!$BE:$BE,"=No"),SUMIFS('All Employees by Mode'!M:M,'All Employees by Mode'!$C:$C,"="&amp;$C61))</f>
        <v>0</v>
      </c>
      <c r="H61" s="160">
        <f>IF($AF$1,SUMIFS('All Employees by Mode'!O:O,'All Employees by Mode'!$C:$C,"="&amp;$C61,'All Employees by Mode'!$BE:$BE,"=No"),SUMIFS('All Employees by Mode'!O:O,'All Employees by Mode'!$C:$C,"="&amp;$C61))</f>
        <v>0</v>
      </c>
      <c r="I61" s="160">
        <f>IF($AF$1,SUMIFS('All Employees by Mode'!Q:Q,'All Employees by Mode'!$C:$C,"="&amp;$C61,'All Employees by Mode'!$BE:$BE,"=No"),SUMIFS('All Employees by Mode'!Q:Q,'All Employees by Mode'!$C:$C,"="&amp;$C61))</f>
        <v>0</v>
      </c>
      <c r="J61" s="160">
        <f>IF($AF$1,SUMIFS('All Employees by Mode'!S:S,'All Employees by Mode'!$C:$C,"="&amp;$C61,'All Employees by Mode'!$BE:$BE,"=No"),SUMIFS('All Employees by Mode'!S:S,'All Employees by Mode'!$C:$C,"="&amp;$C61))</f>
        <v>0</v>
      </c>
      <c r="K61" s="160">
        <f>IF($AF$1,SUMIFS('All Employees by Mode'!U:U,'All Employees by Mode'!$C:$C,"="&amp;$C61,'All Employees by Mode'!$BE:$BE,"=No"),SUMIFS('All Employees by Mode'!U:U,'All Employees by Mode'!$C:$C,"="&amp;$C61))</f>
        <v>0</v>
      </c>
      <c r="L61" s="160">
        <f>IF($AF$1,SUMIFS('All Employees by Mode'!W:W,'All Employees by Mode'!$C:$C,"="&amp;$C61,'All Employees by Mode'!$BE:$BE,"=No"),SUMIFS('All Employees by Mode'!W:W,'All Employees by Mode'!$C:$C,"="&amp;$C61))</f>
        <v>0</v>
      </c>
      <c r="M61" s="160">
        <f>IF($AF$1,SUMIFS('All Employees by Mode'!Y:Y,'All Employees by Mode'!$C:$C,"="&amp;$C61,'All Employees by Mode'!$BE:$BE,"=No"),SUMIFS('All Employees by Mode'!Y:Y,'All Employees by Mode'!$C:$C,"="&amp;$C61))</f>
        <v>0</v>
      </c>
      <c r="N61" s="160">
        <f>IF($AF$1,SUMIFS('All Employees by Mode'!AA:AA,'All Employees by Mode'!$C:$C,"="&amp;$C61,'All Employees by Mode'!$BE:$BE,"=No"),SUMIFS('All Employees by Mode'!AA:AA,'All Employees by Mode'!$C:$C,"="&amp;$C61))</f>
        <v>0</v>
      </c>
      <c r="O61" s="160">
        <f>IF($AF$1,SUMIFS('All Employees by Mode'!AC:AC,'All Employees by Mode'!$C:$C,"="&amp;$C61,'All Employees by Mode'!$BE:$BE,"=No"),SUMIFS('All Employees by Mode'!AC:AC,'All Employees by Mode'!$C:$C,"="&amp;$C61))</f>
        <v>0</v>
      </c>
      <c r="P61" s="160">
        <f>IF($AF$1,SUMIFS('All Employees by Mode'!AE:AE,'All Employees by Mode'!$C:$C,"="&amp;$C61,'All Employees by Mode'!$BE:$BE,"=No"),SUMIFS('All Employees by Mode'!AE:AE,'All Employees by Mode'!$C:$C,"="&amp;$C61))</f>
        <v>0</v>
      </c>
      <c r="Q61" s="160">
        <f>IF($AF$1,SUMIFS('All Employees by Mode'!AG:AG,'All Employees by Mode'!$C:$C,"="&amp;$C61,'All Employees by Mode'!$BE:$BE,"=No"),SUMIFS('All Employees by Mode'!AG:AG,'All Employees by Mode'!$C:$C,"="&amp;$C61))</f>
        <v>0</v>
      </c>
      <c r="R61" s="160">
        <f>IF($AF$1,SUMIFS('All Employees by Mode'!AI:AI,'All Employees by Mode'!$C:$C,"="&amp;$C61,'All Employees by Mode'!$BE:$BE,"=No"),SUMIFS('All Employees by Mode'!AI:AI,'All Employees by Mode'!$C:$C,"="&amp;$C61))</f>
        <v>0</v>
      </c>
      <c r="S61" s="161">
        <f>IF($AF$1,SUMIFS('All Employees by Mode'!AK:AK,'All Employees by Mode'!$C:$C,"="&amp;$C61,'All Employees by Mode'!$BE:$BE,"=No"),SUMIFS('All Employees by Mode'!AK:AK,'All Employees by Mode'!$C:$C,"="&amp;$C61))</f>
        <v>0</v>
      </c>
      <c r="T61" s="161">
        <f>IF($AF$1,SUMIFS('All Employees by Mode'!AM:AM,'All Employees by Mode'!$C:$C,"="&amp;$C61,'All Employees by Mode'!$BE:$BE,"=No"),SUMIFS('All Employees by Mode'!AM:AM,'All Employees by Mode'!$C:$C,"="&amp;$C61))</f>
        <v>0</v>
      </c>
      <c r="U61" s="161">
        <f>IF($AF$1,SUMIFS('All Employees by Mode'!AO:AO,'All Employees by Mode'!$C:$C,"="&amp;$C61,'All Employees by Mode'!$BE:$BE,"=No"),SUMIFS('All Employees by Mode'!AO:AO,'All Employees by Mode'!$C:$C,"="&amp;$C61))</f>
        <v>0</v>
      </c>
      <c r="V61" s="161">
        <f>IF($AF$1,SUMIFS('All Employees by Mode'!AQ:AQ,'All Employees by Mode'!$C:$C,"="&amp;$C61,'All Employees by Mode'!$BE:$BE,"=No"),SUMIFS('All Employees by Mode'!AQ:AQ,'All Employees by Mode'!$C:$C,"="&amp;$C61))</f>
        <v>0</v>
      </c>
      <c r="W61" s="161">
        <f>IF($AF$1,SUMIFS('All Employees by Mode'!AS:AS,'All Employees by Mode'!$C:$C,"="&amp;$C61,'All Employees by Mode'!$BE:$BE,"=No"),SUMIFS('All Employees by Mode'!AS:AS,'All Employees by Mode'!$C:$C,"="&amp;$C61))</f>
        <v>0</v>
      </c>
      <c r="X61" s="162" t="str">
        <f t="shared" si="33"/>
        <v>-</v>
      </c>
      <c r="Y61" s="162" t="str">
        <f t="shared" si="34"/>
        <v>-</v>
      </c>
      <c r="Z61" s="162" t="str">
        <f t="shared" si="35"/>
        <v>-</v>
      </c>
      <c r="AA61" s="162" t="str">
        <f t="shared" si="36"/>
        <v>-</v>
      </c>
      <c r="AB61" s="271" t="str">
        <f t="shared" si="37"/>
        <v>-</v>
      </c>
      <c r="AC61" s="97"/>
      <c r="AD61" s="98"/>
      <c r="AE61" s="98"/>
      <c r="AF61" s="98"/>
      <c r="AG61" s="98"/>
      <c r="AH61" s="98"/>
      <c r="AI61" s="98"/>
      <c r="AJ61" s="98"/>
      <c r="AK61" s="98"/>
      <c r="AL61" s="98"/>
      <c r="AM61" s="98"/>
      <c r="AN61" s="98"/>
      <c r="AO61" s="304"/>
      <c r="AP61" s="304"/>
      <c r="AQ61" s="304"/>
      <c r="AR61" s="304"/>
      <c r="AS61" s="304"/>
      <c r="AT61" s="304"/>
      <c r="AU61" s="98"/>
      <c r="AV61" s="98"/>
    </row>
    <row r="62" spans="1:48">
      <c r="A62" s="96"/>
      <c r="B62" s="96"/>
      <c r="C62" s="195" t="s">
        <v>13</v>
      </c>
      <c r="D62" s="196" t="s">
        <v>958</v>
      </c>
      <c r="E62" s="197"/>
      <c r="F62" s="198">
        <f>IF($AF$1,SUMIFS('All Employees by Mode'!L:L,'All Employees by Mode'!$C:$C,"="&amp;$C62,'All Employees by Mode'!$BE:$BE,"=No"),SUMIFS('All Employees by Mode'!L:L,'All Employees by Mode'!$C:$C,"="&amp;$C62))</f>
        <v>780</v>
      </c>
      <c r="G62" s="160">
        <f>IF($AF$1,SUMIFS('All Employees by Mode'!M:M,'All Employees by Mode'!$C:$C,"="&amp;$C62,'All Employees by Mode'!$BE:$BE,"=No"),SUMIFS('All Employees by Mode'!M:M,'All Employees by Mode'!$C:$C,"="&amp;$C62))</f>
        <v>1509496</v>
      </c>
      <c r="H62" s="160">
        <f>IF($AF$1,SUMIFS('All Employees by Mode'!O:O,'All Employees by Mode'!$C:$C,"="&amp;$C62,'All Employees by Mode'!$BE:$BE,"=No"),SUMIFS('All Employees by Mode'!O:O,'All Employees by Mode'!$C:$C,"="&amp;$C62))</f>
        <v>223878</v>
      </c>
      <c r="I62" s="160">
        <f>IF($AF$1,SUMIFS('All Employees by Mode'!Q:Q,'All Employees by Mode'!$C:$C,"="&amp;$C62,'All Employees by Mode'!$BE:$BE,"=No"),SUMIFS('All Employees by Mode'!Q:Q,'All Employees by Mode'!$C:$C,"="&amp;$C62))</f>
        <v>35661</v>
      </c>
      <c r="J62" s="160">
        <f>IF($AF$1,SUMIFS('All Employees by Mode'!S:S,'All Employees by Mode'!$C:$C,"="&amp;$C62,'All Employees by Mode'!$BE:$BE,"=No"),SUMIFS('All Employees by Mode'!S:S,'All Employees by Mode'!$C:$C,"="&amp;$C62))</f>
        <v>182183</v>
      </c>
      <c r="K62" s="160">
        <f>IF($AF$1,SUMIFS('All Employees by Mode'!U:U,'All Employees by Mode'!$C:$C,"="&amp;$C62,'All Employees by Mode'!$BE:$BE,"=No"),SUMIFS('All Employees by Mode'!U:U,'All Employees by Mode'!$C:$C,"="&amp;$C62))</f>
        <v>1872</v>
      </c>
      <c r="L62" s="160">
        <f>IF($AF$1,SUMIFS('All Employees by Mode'!W:W,'All Employees by Mode'!$C:$C,"="&amp;$C62,'All Employees by Mode'!$BE:$BE,"=No"),SUMIFS('All Employees by Mode'!W:W,'All Employees by Mode'!$C:$C,"="&amp;$C62))</f>
        <v>1953090</v>
      </c>
      <c r="M62" s="160">
        <f>IF($AF$1,SUMIFS('All Employees by Mode'!Y:Y,'All Employees by Mode'!$C:$C,"="&amp;$C62,'All Employees by Mode'!$BE:$BE,"=No"),SUMIFS('All Employees by Mode'!Y:Y,'All Employees by Mode'!$C:$C,"="&amp;$C62))</f>
        <v>843.99</v>
      </c>
      <c r="N62" s="160">
        <f>IF($AF$1,SUMIFS('All Employees by Mode'!AA:AA,'All Employees by Mode'!$C:$C,"="&amp;$C62,'All Employees by Mode'!$BE:$BE,"=No"),SUMIFS('All Employees by Mode'!AA:AA,'All Employees by Mode'!$C:$C,"="&amp;$C62))</f>
        <v>124.04</v>
      </c>
      <c r="O62" s="160">
        <f>IF($AF$1,SUMIFS('All Employees by Mode'!AC:AC,'All Employees by Mode'!$C:$C,"="&amp;$C62,'All Employees by Mode'!$BE:$BE,"=No"),SUMIFS('All Employees by Mode'!AC:AC,'All Employees by Mode'!$C:$C,"="&amp;$C62))</f>
        <v>21.09</v>
      </c>
      <c r="P62" s="160">
        <f>IF($AF$1,SUMIFS('All Employees by Mode'!AE:AE,'All Employees by Mode'!$C:$C,"="&amp;$C62,'All Employees by Mode'!$BE:$BE,"=No"),SUMIFS('All Employees by Mode'!AE:AE,'All Employees by Mode'!$C:$C,"="&amp;$C62))</f>
        <v>105.02</v>
      </c>
      <c r="Q62" s="160">
        <f>IF($AF$1,SUMIFS('All Employees by Mode'!AG:AG,'All Employees by Mode'!$C:$C,"="&amp;$C62,'All Employees by Mode'!$BE:$BE,"=No"),SUMIFS('All Employees by Mode'!AG:AG,'All Employees by Mode'!$C:$C,"="&amp;$C62))</f>
        <v>1</v>
      </c>
      <c r="R62" s="160">
        <f>IF($AF$1,SUMIFS('All Employees by Mode'!AI:AI,'All Employees by Mode'!$C:$C,"="&amp;$C62,'All Employees by Mode'!$BE:$BE,"=No"),SUMIFS('All Employees by Mode'!AI:AI,'All Employees by Mode'!$C:$C,"="&amp;$C62))</f>
        <v>1095.1400000000001</v>
      </c>
      <c r="S62" s="161">
        <f>IF($AF$1,SUMIFS('All Employees by Mode'!AK:AK,'All Employees by Mode'!$C:$C,"="&amp;$C62,'All Employees by Mode'!$BE:$BE,"=No"),SUMIFS('All Employees by Mode'!AK:AK,'All Employees by Mode'!$C:$C,"="&amp;$C62))</f>
        <v>25295067</v>
      </c>
      <c r="T62" s="161">
        <f>IF($AF$1,SUMIFS('All Employees by Mode'!AM:AM,'All Employees by Mode'!$C:$C,"="&amp;$C62,'All Employees by Mode'!$BE:$BE,"=No"),SUMIFS('All Employees by Mode'!AM:AM,'All Employees by Mode'!$C:$C,"="&amp;$C62))</f>
        <v>4550917</v>
      </c>
      <c r="U62" s="161">
        <f>IF($AF$1,SUMIFS('All Employees by Mode'!AO:AO,'All Employees by Mode'!$C:$C,"="&amp;$C62,'All Employees by Mode'!$BE:$BE,"=No"),SUMIFS('All Employees by Mode'!AO:AO,'All Employees by Mode'!$C:$C,"="&amp;$C62))</f>
        <v>659575</v>
      </c>
      <c r="V62" s="161">
        <f>IF($AF$1,SUMIFS('All Employees by Mode'!AQ:AQ,'All Employees by Mode'!$C:$C,"="&amp;$C62,'All Employees by Mode'!$BE:$BE,"=No"),SUMIFS('All Employees by Mode'!AQ:AQ,'All Employees by Mode'!$C:$C,"="&amp;$C62))</f>
        <v>4201216</v>
      </c>
      <c r="W62" s="161">
        <f>IF($AF$1,SUMIFS('All Employees by Mode'!AS:AS,'All Employees by Mode'!$C:$C,"="&amp;$C62,'All Employees by Mode'!$BE:$BE,"=No"),SUMIFS('All Employees by Mode'!AS:AS,'All Employees by Mode'!$C:$C,"="&amp;$C62))</f>
        <v>34706775</v>
      </c>
      <c r="X62" s="162">
        <f t="shared" si="33"/>
        <v>16.757293162751012</v>
      </c>
      <c r="Y62" s="162">
        <f t="shared" si="34"/>
        <v>20.327665067581449</v>
      </c>
      <c r="Z62" s="162">
        <f t="shared" si="35"/>
        <v>18.495695577802081</v>
      </c>
      <c r="AA62" s="162">
        <f t="shared" si="36"/>
        <v>23.060417272742242</v>
      </c>
      <c r="AB62" s="271">
        <f t="shared" si="37"/>
        <v>17.787235972607878</v>
      </c>
      <c r="AC62" s="97"/>
      <c r="AD62" s="98"/>
      <c r="AE62" s="98"/>
      <c r="AF62" s="98"/>
      <c r="AG62" s="98"/>
      <c r="AH62" s="98"/>
      <c r="AI62" s="98"/>
      <c r="AJ62" s="98"/>
      <c r="AK62" s="98"/>
      <c r="AL62" s="98"/>
      <c r="AM62" s="98"/>
      <c r="AN62" s="98"/>
      <c r="AO62" s="304"/>
      <c r="AP62" s="304"/>
      <c r="AQ62" s="304"/>
      <c r="AR62" s="304"/>
      <c r="AS62" s="304"/>
      <c r="AT62" s="304"/>
      <c r="AU62" s="98"/>
      <c r="AV62" s="98"/>
    </row>
    <row r="63" spans="1:48">
      <c r="A63" s="96"/>
      <c r="B63" s="96"/>
      <c r="C63" s="195" t="s">
        <v>17</v>
      </c>
      <c r="D63" s="196" t="s">
        <v>959</v>
      </c>
      <c r="E63" s="197"/>
      <c r="F63" s="198">
        <f>IF($AF$1,SUMIFS('All Employees by Mode'!L:L,'All Employees by Mode'!$C:$C,"="&amp;$C63,'All Employees by Mode'!$BE:$BE,"=No"),SUMIFS('All Employees by Mode'!L:L,'All Employees by Mode'!$C:$C,"="&amp;$C63))</f>
        <v>7908</v>
      </c>
      <c r="G63" s="160">
        <f>IF($AF$1,SUMIFS('All Employees by Mode'!M:M,'All Employees by Mode'!$C:$C,"="&amp;$C63,'All Employees by Mode'!$BE:$BE,"=No"),SUMIFS('All Employees by Mode'!M:M,'All Employees by Mode'!$C:$C,"="&amp;$C63))</f>
        <v>37051501</v>
      </c>
      <c r="H63" s="160">
        <f>IF($AF$1,SUMIFS('All Employees by Mode'!O:O,'All Employees by Mode'!$C:$C,"="&amp;$C63,'All Employees by Mode'!$BE:$BE,"=No"),SUMIFS('All Employees by Mode'!O:O,'All Employees by Mode'!$C:$C,"="&amp;$C63))</f>
        <v>11282295</v>
      </c>
      <c r="I63" s="160">
        <f>IF($AF$1,SUMIFS('All Employees by Mode'!Q:Q,'All Employees by Mode'!$C:$C,"="&amp;$C63,'All Employees by Mode'!$BE:$BE,"=No"),SUMIFS('All Employees by Mode'!Q:Q,'All Employees by Mode'!$C:$C,"="&amp;$C63))</f>
        <v>4312849</v>
      </c>
      <c r="J63" s="160">
        <f>IF($AF$1,SUMIFS('All Employees by Mode'!S:S,'All Employees by Mode'!$C:$C,"="&amp;$C63,'All Employees by Mode'!$BE:$BE,"=No"),SUMIFS('All Employees by Mode'!S:S,'All Employees by Mode'!$C:$C,"="&amp;$C63))</f>
        <v>6027113</v>
      </c>
      <c r="K63" s="160">
        <f>IF($AF$1,SUMIFS('All Employees by Mode'!U:U,'All Employees by Mode'!$C:$C,"="&amp;$C63,'All Employees by Mode'!$BE:$BE,"=No"),SUMIFS('All Employees by Mode'!U:U,'All Employees by Mode'!$C:$C,"="&amp;$C63))</f>
        <v>1280536</v>
      </c>
      <c r="L63" s="160">
        <f>IF($AF$1,SUMIFS('All Employees by Mode'!W:W,'All Employees by Mode'!$C:$C,"="&amp;$C63,'All Employees by Mode'!$BE:$BE,"=No"),SUMIFS('All Employees by Mode'!W:W,'All Employees by Mode'!$C:$C,"="&amp;$C63))</f>
        <v>59954294</v>
      </c>
      <c r="M63" s="160">
        <f>IF($AF$1,SUMIFS('All Employees by Mode'!Y:Y,'All Employees by Mode'!$C:$C,"="&amp;$C63,'All Employees by Mode'!$BE:$BE,"=No"),SUMIFS('All Employees by Mode'!Y:Y,'All Employees by Mode'!$C:$C,"="&amp;$C63))</f>
        <v>19704.749999999996</v>
      </c>
      <c r="N63" s="160">
        <f>IF($AF$1,SUMIFS('All Employees by Mode'!AA:AA,'All Employees by Mode'!$C:$C,"="&amp;$C63,'All Employees by Mode'!$BE:$BE,"=No"),SUMIFS('All Employees by Mode'!AA:AA,'All Employees by Mode'!$C:$C,"="&amp;$C63))</f>
        <v>5893.579999999999</v>
      </c>
      <c r="O63" s="160">
        <f>IF($AF$1,SUMIFS('All Employees by Mode'!AC:AC,'All Employees by Mode'!$C:$C,"="&amp;$C63,'All Employees by Mode'!$BE:$BE,"=No"),SUMIFS('All Employees by Mode'!AC:AC,'All Employees by Mode'!$C:$C,"="&amp;$C63))</f>
        <v>2239.0299999999997</v>
      </c>
      <c r="P63" s="160">
        <f>IF($AF$1,SUMIFS('All Employees by Mode'!AE:AE,'All Employees by Mode'!$C:$C,"="&amp;$C63,'All Employees by Mode'!$BE:$BE,"=No"),SUMIFS('All Employees by Mode'!AE:AE,'All Employees by Mode'!$C:$C,"="&amp;$C63))</f>
        <v>3427.5700000000011</v>
      </c>
      <c r="Q63" s="160">
        <f>IF($AF$1,SUMIFS('All Employees by Mode'!AG:AG,'All Employees by Mode'!$C:$C,"="&amp;$C63,'All Employees by Mode'!$BE:$BE,"=No"),SUMIFS('All Employees by Mode'!AG:AG,'All Employees by Mode'!$C:$C,"="&amp;$C63))</f>
        <v>671.09</v>
      </c>
      <c r="R63" s="160">
        <f>IF($AF$1,SUMIFS('All Employees by Mode'!AI:AI,'All Employees by Mode'!$C:$C,"="&amp;$C63,'All Employees by Mode'!$BE:$BE,"=No"),SUMIFS('All Employees by Mode'!AI:AI,'All Employees by Mode'!$C:$C,"="&amp;$C63))</f>
        <v>31936.02</v>
      </c>
      <c r="S63" s="161">
        <f>IF($AF$1,SUMIFS('All Employees by Mode'!AK:AK,'All Employees by Mode'!$C:$C,"="&amp;$C63,'All Employees by Mode'!$BE:$BE,"=No"),SUMIFS('All Employees by Mode'!AK:AK,'All Employees by Mode'!$C:$C,"="&amp;$C63))</f>
        <v>1124968529</v>
      </c>
      <c r="T63" s="161">
        <f>IF($AF$1,SUMIFS('All Employees by Mode'!AM:AM,'All Employees by Mode'!$C:$C,"="&amp;$C63,'All Employees by Mode'!$BE:$BE,"=No"),SUMIFS('All Employees by Mode'!AM:AM,'All Employees by Mode'!$C:$C,"="&amp;$C63))</f>
        <v>395180978</v>
      </c>
      <c r="U63" s="161">
        <f>IF($AF$1,SUMIFS('All Employees by Mode'!AO:AO,'All Employees by Mode'!$C:$C,"="&amp;$C63,'All Employees by Mode'!$BE:$BE,"=No"),SUMIFS('All Employees by Mode'!AO:AO,'All Employees by Mode'!$C:$C,"="&amp;$C63))</f>
        <v>157482706</v>
      </c>
      <c r="V63" s="161">
        <f>IF($AF$1,SUMIFS('All Employees by Mode'!AQ:AQ,'All Employees by Mode'!$C:$C,"="&amp;$C63,'All Employees by Mode'!$BE:$BE,"=No"),SUMIFS('All Employees by Mode'!AQ:AQ,'All Employees by Mode'!$C:$C,"="&amp;$C63))</f>
        <v>242779525</v>
      </c>
      <c r="W63" s="161">
        <f>IF($AF$1,SUMIFS('All Employees by Mode'!AS:AS,'All Employees by Mode'!$C:$C,"="&amp;$C63,'All Employees by Mode'!$BE:$BE,"=No"),SUMIFS('All Employees by Mode'!AS:AS,'All Employees by Mode'!$C:$C,"="&amp;$C63))</f>
        <v>1920411738</v>
      </c>
      <c r="X63" s="162">
        <f t="shared" si="33"/>
        <v>30.362292987806352</v>
      </c>
      <c r="Y63" s="162">
        <f t="shared" si="34"/>
        <v>35.026648212974401</v>
      </c>
      <c r="Z63" s="162">
        <f t="shared" si="35"/>
        <v>36.514773876850313</v>
      </c>
      <c r="AA63" s="162">
        <f t="shared" si="36"/>
        <v>40.281230001826742</v>
      </c>
      <c r="AB63" s="271">
        <f t="shared" si="37"/>
        <v>32.730334709428362</v>
      </c>
      <c r="AC63" s="97"/>
      <c r="AD63" s="98"/>
      <c r="AE63" s="98"/>
      <c r="AF63" s="98"/>
      <c r="AG63" s="98"/>
      <c r="AH63" s="98"/>
      <c r="AI63" s="98"/>
      <c r="AJ63" s="98"/>
      <c r="AK63" s="98"/>
      <c r="AL63" s="98"/>
      <c r="AM63" s="98"/>
      <c r="AN63" s="98"/>
      <c r="AO63" s="304"/>
      <c r="AP63" s="304"/>
      <c r="AQ63" s="304"/>
      <c r="AR63" s="304"/>
      <c r="AS63" s="304"/>
      <c r="AT63" s="304"/>
      <c r="AU63" s="98"/>
      <c r="AV63" s="98"/>
    </row>
    <row r="64" spans="1:48">
      <c r="A64" s="96"/>
      <c r="B64" s="96"/>
      <c r="C64" s="195" t="s">
        <v>26</v>
      </c>
      <c r="D64" s="196" t="s">
        <v>960</v>
      </c>
      <c r="E64" s="197"/>
      <c r="F64" s="198">
        <f>IF($AF$1,SUMIFS('All Employees by Mode'!L:L,'All Employees by Mode'!$C:$C,"="&amp;$C64,'All Employees by Mode'!$BE:$BE,"=No"),SUMIFS('All Employees by Mode'!L:L,'All Employees by Mode'!$C:$C,"="&amp;$C64))</f>
        <v>920</v>
      </c>
      <c r="G64" s="160">
        <f>IF($AF$1,SUMIFS('All Employees by Mode'!M:M,'All Employees by Mode'!$C:$C,"="&amp;$C64,'All Employees by Mode'!$BE:$BE,"=No"),SUMIFS('All Employees by Mode'!M:M,'All Employees by Mode'!$C:$C,"="&amp;$C64))</f>
        <v>3611153</v>
      </c>
      <c r="H64" s="160">
        <f>IF($AF$1,SUMIFS('All Employees by Mode'!O:O,'All Employees by Mode'!$C:$C,"="&amp;$C64,'All Employees by Mode'!$BE:$BE,"=No"),SUMIFS('All Employees by Mode'!O:O,'All Employees by Mode'!$C:$C,"="&amp;$C64))</f>
        <v>1110832</v>
      </c>
      <c r="I64" s="160">
        <f>IF($AF$1,SUMIFS('All Employees by Mode'!Q:Q,'All Employees by Mode'!$C:$C,"="&amp;$C64,'All Employees by Mode'!$BE:$BE,"=No"),SUMIFS('All Employees by Mode'!Q:Q,'All Employees by Mode'!$C:$C,"="&amp;$C64))</f>
        <v>577626</v>
      </c>
      <c r="J64" s="160">
        <f>IF($AF$1,SUMIFS('All Employees by Mode'!S:S,'All Employees by Mode'!$C:$C,"="&amp;$C64,'All Employees by Mode'!$BE:$BE,"=No"),SUMIFS('All Employees by Mode'!S:S,'All Employees by Mode'!$C:$C,"="&amp;$C64))</f>
        <v>948784</v>
      </c>
      <c r="K64" s="160">
        <f>IF($AF$1,SUMIFS('All Employees by Mode'!U:U,'All Employees by Mode'!$C:$C,"="&amp;$C64,'All Employees by Mode'!$BE:$BE,"=No"),SUMIFS('All Employees by Mode'!U:U,'All Employees by Mode'!$C:$C,"="&amp;$C64))</f>
        <v>110490</v>
      </c>
      <c r="L64" s="160">
        <f>IF($AF$1,SUMIFS('All Employees by Mode'!W:W,'All Employees by Mode'!$C:$C,"="&amp;$C64,'All Employees by Mode'!$BE:$BE,"=No"),SUMIFS('All Employees by Mode'!W:W,'All Employees by Mode'!$C:$C,"="&amp;$C64))</f>
        <v>6358885</v>
      </c>
      <c r="M64" s="160">
        <f>IF($AF$1,SUMIFS('All Employees by Mode'!Y:Y,'All Employees by Mode'!$C:$C,"="&amp;$C64,'All Employees by Mode'!$BE:$BE,"=No"),SUMIFS('All Employees by Mode'!Y:Y,'All Employees by Mode'!$C:$C,"="&amp;$C64))</f>
        <v>1818.05</v>
      </c>
      <c r="N64" s="160">
        <f>IF($AF$1,SUMIFS('All Employees by Mode'!AA:AA,'All Employees by Mode'!$C:$C,"="&amp;$C64,'All Employees by Mode'!$BE:$BE,"=No"),SUMIFS('All Employees by Mode'!AA:AA,'All Employees by Mode'!$C:$C,"="&amp;$C64))</f>
        <v>512.5</v>
      </c>
      <c r="O64" s="160">
        <f>IF($AF$1,SUMIFS('All Employees by Mode'!AC:AC,'All Employees by Mode'!$C:$C,"="&amp;$C64,'All Employees by Mode'!$BE:$BE,"=No"),SUMIFS('All Employees by Mode'!AC:AC,'All Employees by Mode'!$C:$C,"="&amp;$C64))</f>
        <v>229.33</v>
      </c>
      <c r="P64" s="160">
        <f>IF($AF$1,SUMIFS('All Employees by Mode'!AE:AE,'All Employees by Mode'!$C:$C,"="&amp;$C64,'All Employees by Mode'!$BE:$BE,"=No"),SUMIFS('All Employees by Mode'!AE:AE,'All Employees by Mode'!$C:$C,"="&amp;$C64))</f>
        <v>475.83</v>
      </c>
      <c r="Q64" s="160">
        <f>IF($AF$1,SUMIFS('All Employees by Mode'!AG:AG,'All Employees by Mode'!$C:$C,"="&amp;$C64,'All Employees by Mode'!$BE:$BE,"=No"),SUMIFS('All Employees by Mode'!AG:AG,'All Employees by Mode'!$C:$C,"="&amp;$C64))</f>
        <v>64.2</v>
      </c>
      <c r="R64" s="160">
        <f>IF($AF$1,SUMIFS('All Employees by Mode'!AI:AI,'All Employees by Mode'!$C:$C,"="&amp;$C64,'All Employees by Mode'!$BE:$BE,"=No"),SUMIFS('All Employees by Mode'!AI:AI,'All Employees by Mode'!$C:$C,"="&amp;$C64))</f>
        <v>3099.91</v>
      </c>
      <c r="S64" s="161">
        <f>IF($AF$1,SUMIFS('All Employees by Mode'!AK:AK,'All Employees by Mode'!$C:$C,"="&amp;$C64,'All Employees by Mode'!$BE:$BE,"=No"),SUMIFS('All Employees by Mode'!AK:AK,'All Employees by Mode'!$C:$C,"="&amp;$C64))</f>
        <v>76426715</v>
      </c>
      <c r="T64" s="161">
        <f>IF($AF$1,SUMIFS('All Employees by Mode'!AM:AM,'All Employees by Mode'!$C:$C,"="&amp;$C64,'All Employees by Mode'!$BE:$BE,"=No"),SUMIFS('All Employees by Mode'!AM:AM,'All Employees by Mode'!$C:$C,"="&amp;$C64))</f>
        <v>25952192</v>
      </c>
      <c r="U64" s="161">
        <f>IF($AF$1,SUMIFS('All Employees by Mode'!AO:AO,'All Employees by Mode'!$C:$C,"="&amp;$C64,'All Employees by Mode'!$BE:$BE,"=No"),SUMIFS('All Employees by Mode'!AO:AO,'All Employees by Mode'!$C:$C,"="&amp;$C64))</f>
        <v>14839391</v>
      </c>
      <c r="V64" s="161">
        <f>IF($AF$1,SUMIFS('All Employees by Mode'!AQ:AQ,'All Employees by Mode'!$C:$C,"="&amp;$C64,'All Employees by Mode'!$BE:$BE,"=No"),SUMIFS('All Employees by Mode'!AQ:AQ,'All Employees by Mode'!$C:$C,"="&amp;$C64))</f>
        <v>33037199</v>
      </c>
      <c r="W64" s="161">
        <f>IF($AF$1,SUMIFS('All Employees by Mode'!AS:AS,'All Employees by Mode'!$C:$C,"="&amp;$C64,'All Employees by Mode'!$BE:$BE,"=No"),SUMIFS('All Employees by Mode'!AS:AS,'All Employees by Mode'!$C:$C,"="&amp;$C64))</f>
        <v>150255497</v>
      </c>
      <c r="X64" s="162">
        <f t="shared" si="33"/>
        <v>21.164075573646421</v>
      </c>
      <c r="Y64" s="162">
        <f t="shared" si="34"/>
        <v>23.362841545796304</v>
      </c>
      <c r="Z64" s="162">
        <f t="shared" si="35"/>
        <v>25.69030999297123</v>
      </c>
      <c r="AA64" s="162">
        <f t="shared" si="36"/>
        <v>34.820569276041752</v>
      </c>
      <c r="AB64" s="271">
        <f t="shared" si="37"/>
        <v>24.047054803673582</v>
      </c>
      <c r="AC64" s="97"/>
      <c r="AD64" s="98"/>
      <c r="AE64" s="98"/>
      <c r="AF64" s="98"/>
      <c r="AG64" s="98"/>
      <c r="AH64" s="98"/>
      <c r="AI64" s="98"/>
      <c r="AJ64" s="98"/>
      <c r="AK64" s="98"/>
      <c r="AL64" s="98"/>
      <c r="AM64" s="98"/>
      <c r="AN64" s="98"/>
      <c r="AO64" s="304"/>
      <c r="AP64" s="304"/>
      <c r="AQ64" s="304"/>
      <c r="AR64" s="304"/>
      <c r="AS64" s="304"/>
      <c r="AT64" s="304"/>
      <c r="AU64" s="98"/>
      <c r="AV64" s="98"/>
    </row>
    <row r="65" spans="1:48">
      <c r="A65" s="96"/>
      <c r="B65" s="96"/>
      <c r="C65" s="195" t="s">
        <v>28</v>
      </c>
      <c r="D65" s="196" t="s">
        <v>961</v>
      </c>
      <c r="E65" s="197"/>
      <c r="F65" s="198">
        <f>IF($AF$1,SUMIFS('All Employees by Mode'!L:L,'All Employees by Mode'!$C:$C,"="&amp;$C65,'All Employees by Mode'!$BE:$BE,"=No"),SUMIFS('All Employees by Mode'!L:L,'All Employees by Mode'!$C:$C,"="&amp;$C65))</f>
        <v>664</v>
      </c>
      <c r="G65" s="160">
        <f>IF($AF$1,SUMIFS('All Employees by Mode'!M:M,'All Employees by Mode'!$C:$C,"="&amp;$C65,'All Employees by Mode'!$BE:$BE,"=No"),SUMIFS('All Employees by Mode'!M:M,'All Employees by Mode'!$C:$C,"="&amp;$C65))</f>
        <v>2690916</v>
      </c>
      <c r="H65" s="160">
        <f>IF($AF$1,SUMIFS('All Employees by Mode'!O:O,'All Employees by Mode'!$C:$C,"="&amp;$C65,'All Employees by Mode'!$BE:$BE,"=No"),SUMIFS('All Employees by Mode'!O:O,'All Employees by Mode'!$C:$C,"="&amp;$C65))</f>
        <v>597915</v>
      </c>
      <c r="I65" s="160">
        <f>IF($AF$1,SUMIFS('All Employees by Mode'!Q:Q,'All Employees by Mode'!$C:$C,"="&amp;$C65,'All Employees by Mode'!$BE:$BE,"=No"),SUMIFS('All Employees by Mode'!Q:Q,'All Employees by Mode'!$C:$C,"="&amp;$C65))</f>
        <v>75186</v>
      </c>
      <c r="J65" s="160">
        <f>IF($AF$1,SUMIFS('All Employees by Mode'!S:S,'All Employees by Mode'!$C:$C,"="&amp;$C65,'All Employees by Mode'!$BE:$BE,"=No"),SUMIFS('All Employees by Mode'!S:S,'All Employees by Mode'!$C:$C,"="&amp;$C65))</f>
        <v>287128</v>
      </c>
      <c r="K65" s="160">
        <f>IF($AF$1,SUMIFS('All Employees by Mode'!U:U,'All Employees by Mode'!$C:$C,"="&amp;$C65,'All Employees by Mode'!$BE:$BE,"=No"),SUMIFS('All Employees by Mode'!U:U,'All Employees by Mode'!$C:$C,"="&amp;$C65))</f>
        <v>1630</v>
      </c>
      <c r="L65" s="160">
        <f>IF($AF$1,SUMIFS('All Employees by Mode'!W:W,'All Employees by Mode'!$C:$C,"="&amp;$C65,'All Employees by Mode'!$BE:$BE,"=No"),SUMIFS('All Employees by Mode'!W:W,'All Employees by Mode'!$C:$C,"="&amp;$C65))</f>
        <v>3652775</v>
      </c>
      <c r="M65" s="160">
        <f>IF($AF$1,SUMIFS('All Employees by Mode'!Y:Y,'All Employees by Mode'!$C:$C,"="&amp;$C65,'All Employees by Mode'!$BE:$BE,"=No"),SUMIFS('All Employees by Mode'!Y:Y,'All Employees by Mode'!$C:$C,"="&amp;$C65))</f>
        <v>1415.1499999999999</v>
      </c>
      <c r="N65" s="160">
        <f>IF($AF$1,SUMIFS('All Employees by Mode'!AA:AA,'All Employees by Mode'!$C:$C,"="&amp;$C65,'All Employees by Mode'!$BE:$BE,"=No"),SUMIFS('All Employees by Mode'!AA:AA,'All Employees by Mode'!$C:$C,"="&amp;$C65))</f>
        <v>300.2</v>
      </c>
      <c r="O65" s="160">
        <f>IF($AF$1,SUMIFS('All Employees by Mode'!AC:AC,'All Employees by Mode'!$C:$C,"="&amp;$C65,'All Employees by Mode'!$BE:$BE,"=No"),SUMIFS('All Employees by Mode'!AC:AC,'All Employees by Mode'!$C:$C,"="&amp;$C65))</f>
        <v>43.849999999999994</v>
      </c>
      <c r="P65" s="160">
        <f>IF($AF$1,SUMIFS('All Employees by Mode'!AE:AE,'All Employees by Mode'!$C:$C,"="&amp;$C65,'All Employees by Mode'!$BE:$BE,"=No"),SUMIFS('All Employees by Mode'!AE:AE,'All Employees by Mode'!$C:$C,"="&amp;$C65))</f>
        <v>186.7</v>
      </c>
      <c r="Q65" s="160">
        <f>IF($AF$1,SUMIFS('All Employees by Mode'!AG:AG,'All Employees by Mode'!$C:$C,"="&amp;$C65,'All Employees by Mode'!$BE:$BE,"=No"),SUMIFS('All Employees by Mode'!AG:AG,'All Employees by Mode'!$C:$C,"="&amp;$C65))</f>
        <v>1.1299999999999999</v>
      </c>
      <c r="R65" s="160">
        <f>IF($AF$1,SUMIFS('All Employees by Mode'!AI:AI,'All Employees by Mode'!$C:$C,"="&amp;$C65,'All Employees by Mode'!$BE:$BE,"=No"),SUMIFS('All Employees by Mode'!AI:AI,'All Employees by Mode'!$C:$C,"="&amp;$C65))</f>
        <v>1947.0299999999997</v>
      </c>
      <c r="S65" s="161">
        <f>IF($AF$1,SUMIFS('All Employees by Mode'!AK:AK,'All Employees by Mode'!$C:$C,"="&amp;$C65,'All Employees by Mode'!$BE:$BE,"=No"),SUMIFS('All Employees by Mode'!AK:AK,'All Employees by Mode'!$C:$C,"="&amp;$C65))</f>
        <v>70826847</v>
      </c>
      <c r="T65" s="161">
        <f>IF($AF$1,SUMIFS('All Employees by Mode'!AM:AM,'All Employees by Mode'!$C:$C,"="&amp;$C65,'All Employees by Mode'!$BE:$BE,"=No"),SUMIFS('All Employees by Mode'!AM:AM,'All Employees by Mode'!$C:$C,"="&amp;$C65))</f>
        <v>16918586</v>
      </c>
      <c r="U65" s="161">
        <f>IF($AF$1,SUMIFS('All Employees by Mode'!AO:AO,'All Employees by Mode'!$C:$C,"="&amp;$C65,'All Employees by Mode'!$BE:$BE,"=No"),SUMIFS('All Employees by Mode'!AO:AO,'All Employees by Mode'!$C:$C,"="&amp;$C65))</f>
        <v>2228602</v>
      </c>
      <c r="V65" s="161">
        <f>IF($AF$1,SUMIFS('All Employees by Mode'!AQ:AQ,'All Employees by Mode'!$C:$C,"="&amp;$C65,'All Employees by Mode'!$BE:$BE,"=No"),SUMIFS('All Employees by Mode'!AQ:AQ,'All Employees by Mode'!$C:$C,"="&amp;$C65))</f>
        <v>8196526</v>
      </c>
      <c r="W65" s="161">
        <f>IF($AF$1,SUMIFS('All Employees by Mode'!AS:AS,'All Employees by Mode'!$C:$C,"="&amp;$C65,'All Employees by Mode'!$BE:$BE,"=No"),SUMIFS('All Employees by Mode'!AS:AS,'All Employees by Mode'!$C:$C,"="&amp;$C65))</f>
        <v>98170561</v>
      </c>
      <c r="X65" s="162">
        <f t="shared" si="33"/>
        <v>26.320720156259057</v>
      </c>
      <c r="Y65" s="162">
        <f t="shared" si="34"/>
        <v>28.295971835461561</v>
      </c>
      <c r="Z65" s="162">
        <f t="shared" si="35"/>
        <v>29.641183198999812</v>
      </c>
      <c r="AA65" s="162">
        <f t="shared" si="36"/>
        <v>28.546592460505419</v>
      </c>
      <c r="AB65" s="271">
        <f t="shared" si="37"/>
        <v>26.887609503320192</v>
      </c>
      <c r="AC65" s="97"/>
      <c r="AD65" s="98"/>
      <c r="AE65" s="98"/>
      <c r="AF65" s="98"/>
      <c r="AG65" s="98"/>
      <c r="AH65" s="98"/>
      <c r="AI65" s="98"/>
      <c r="AJ65" s="98"/>
      <c r="AK65" s="98"/>
      <c r="AL65" s="98"/>
      <c r="AM65" s="98"/>
      <c r="AN65" s="98"/>
      <c r="AO65" s="304"/>
      <c r="AP65" s="304"/>
      <c r="AQ65" s="304"/>
      <c r="AR65" s="304"/>
      <c r="AS65" s="304"/>
      <c r="AT65" s="304"/>
      <c r="AU65" s="98"/>
      <c r="AV65" s="98"/>
    </row>
    <row r="66" spans="1:48">
      <c r="A66" s="96"/>
      <c r="B66" s="96"/>
      <c r="C66" s="195" t="s">
        <v>30</v>
      </c>
      <c r="D66" s="196" t="s">
        <v>962</v>
      </c>
      <c r="E66" s="197"/>
      <c r="F66" s="198">
        <f>IF($AF$1,SUMIFS('All Employees by Mode'!L:L,'All Employees by Mode'!$C:$C,"="&amp;$C66,'All Employees by Mode'!$BE:$BE,"=No"),SUMIFS('All Employees by Mode'!L:L,'All Employees by Mode'!$C:$C,"="&amp;$C66))</f>
        <v>2255</v>
      </c>
      <c r="G66" s="160">
        <f>IF($AF$1,SUMIFS('All Employees by Mode'!M:M,'All Employees by Mode'!$C:$C,"="&amp;$C66,'All Employees by Mode'!$BE:$BE,"=No"),SUMIFS('All Employees by Mode'!M:M,'All Employees by Mode'!$C:$C,"="&amp;$C66))</f>
        <v>11174013</v>
      </c>
      <c r="H66" s="160">
        <f>IF($AF$1,SUMIFS('All Employees by Mode'!O:O,'All Employees by Mode'!$C:$C,"="&amp;$C66,'All Employees by Mode'!$BE:$BE,"=No"),SUMIFS('All Employees by Mode'!O:O,'All Employees by Mode'!$C:$C,"="&amp;$C66))</f>
        <v>4130372</v>
      </c>
      <c r="I66" s="160">
        <f>IF($AF$1,SUMIFS('All Employees by Mode'!Q:Q,'All Employees by Mode'!$C:$C,"="&amp;$C66,'All Employees by Mode'!$BE:$BE,"=No"),SUMIFS('All Employees by Mode'!Q:Q,'All Employees by Mode'!$C:$C,"="&amp;$C66))</f>
        <v>5195935</v>
      </c>
      <c r="J66" s="160">
        <f>IF($AF$1,SUMIFS('All Employees by Mode'!S:S,'All Employees by Mode'!$C:$C,"="&amp;$C66,'All Employees by Mode'!$BE:$BE,"=No"),SUMIFS('All Employees by Mode'!S:S,'All Employees by Mode'!$C:$C,"="&amp;$C66))</f>
        <v>2510578</v>
      </c>
      <c r="K66" s="160">
        <f>IF($AF$1,SUMIFS('All Employees by Mode'!U:U,'All Employees by Mode'!$C:$C,"="&amp;$C66,'All Employees by Mode'!$BE:$BE,"=No"),SUMIFS('All Employees by Mode'!U:U,'All Employees by Mode'!$C:$C,"="&amp;$C66))</f>
        <v>2286439</v>
      </c>
      <c r="L66" s="160">
        <f>IF($AF$1,SUMIFS('All Employees by Mode'!W:W,'All Employees by Mode'!$C:$C,"="&amp;$C66,'All Employees by Mode'!$BE:$BE,"=No"),SUMIFS('All Employees by Mode'!W:W,'All Employees by Mode'!$C:$C,"="&amp;$C66))</f>
        <v>25297337</v>
      </c>
      <c r="M66" s="160">
        <f>IF($AF$1,SUMIFS('All Employees by Mode'!Y:Y,'All Employees by Mode'!$C:$C,"="&amp;$C66,'All Employees by Mode'!$BE:$BE,"=No"),SUMIFS('All Employees by Mode'!Y:Y,'All Employees by Mode'!$C:$C,"="&amp;$C66))</f>
        <v>6869</v>
      </c>
      <c r="N66" s="160">
        <f>IF($AF$1,SUMIFS('All Employees by Mode'!AA:AA,'All Employees by Mode'!$C:$C,"="&amp;$C66,'All Employees by Mode'!$BE:$BE,"=No"),SUMIFS('All Employees by Mode'!AA:AA,'All Employees by Mode'!$C:$C,"="&amp;$C66))</f>
        <v>2367</v>
      </c>
      <c r="O66" s="160">
        <f>IF($AF$1,SUMIFS('All Employees by Mode'!AC:AC,'All Employees by Mode'!$C:$C,"="&amp;$C66,'All Employees by Mode'!$BE:$BE,"=No"),SUMIFS('All Employees by Mode'!AC:AC,'All Employees by Mode'!$C:$C,"="&amp;$C66))</f>
        <v>3325</v>
      </c>
      <c r="P66" s="160">
        <f>IF($AF$1,SUMIFS('All Employees by Mode'!AE:AE,'All Employees by Mode'!$C:$C,"="&amp;$C66,'All Employees by Mode'!$BE:$BE,"=No"),SUMIFS('All Employees by Mode'!AE:AE,'All Employees by Mode'!$C:$C,"="&amp;$C66))</f>
        <v>1577</v>
      </c>
      <c r="Q66" s="160">
        <f>IF($AF$1,SUMIFS('All Employees by Mode'!AG:AG,'All Employees by Mode'!$C:$C,"="&amp;$C66,'All Employees by Mode'!$BE:$BE,"=No"),SUMIFS('All Employees by Mode'!AG:AG,'All Employees by Mode'!$C:$C,"="&amp;$C66))</f>
        <v>1345</v>
      </c>
      <c r="R66" s="160">
        <f>IF($AF$1,SUMIFS('All Employees by Mode'!AI:AI,'All Employees by Mode'!$C:$C,"="&amp;$C66,'All Employees by Mode'!$BE:$BE,"=No"),SUMIFS('All Employees by Mode'!AI:AI,'All Employees by Mode'!$C:$C,"="&amp;$C66))</f>
        <v>15483</v>
      </c>
      <c r="S66" s="161">
        <f>IF($AF$1,SUMIFS('All Employees by Mode'!AK:AK,'All Employees by Mode'!$C:$C,"="&amp;$C66,'All Employees by Mode'!$BE:$BE,"=No"),SUMIFS('All Employees by Mode'!AK:AK,'All Employees by Mode'!$C:$C,"="&amp;$C66))</f>
        <v>369537327</v>
      </c>
      <c r="T66" s="161">
        <f>IF($AF$1,SUMIFS('All Employees by Mode'!AM:AM,'All Employees by Mode'!$C:$C,"="&amp;$C66,'All Employees by Mode'!$BE:$BE,"=No"),SUMIFS('All Employees by Mode'!AM:AM,'All Employees by Mode'!$C:$C,"="&amp;$C66))</f>
        <v>132584191</v>
      </c>
      <c r="U66" s="161">
        <f>IF($AF$1,SUMIFS('All Employees by Mode'!AO:AO,'All Employees by Mode'!$C:$C,"="&amp;$C66,'All Employees by Mode'!$BE:$BE,"=No"),SUMIFS('All Employees by Mode'!AO:AO,'All Employees by Mode'!$C:$C,"="&amp;$C66))</f>
        <v>139662905</v>
      </c>
      <c r="V66" s="161">
        <f>IF($AF$1,SUMIFS('All Employees by Mode'!AQ:AQ,'All Employees by Mode'!$C:$C,"="&amp;$C66,'All Employees by Mode'!$BE:$BE,"=No"),SUMIFS('All Employees by Mode'!AQ:AQ,'All Employees by Mode'!$C:$C,"="&amp;$C66))</f>
        <v>105361555</v>
      </c>
      <c r="W66" s="161">
        <f>IF($AF$1,SUMIFS('All Employees by Mode'!AS:AS,'All Employees by Mode'!$C:$C,"="&amp;$C66,'All Employees by Mode'!$BE:$BE,"=No"),SUMIFS('All Employees by Mode'!AS:AS,'All Employees by Mode'!$C:$C,"="&amp;$C66))</f>
        <v>747145978</v>
      </c>
      <c r="X66" s="162">
        <f t="shared" si="33"/>
        <v>33.071138095149884</v>
      </c>
      <c r="Y66" s="162">
        <f t="shared" si="34"/>
        <v>32.099818369870803</v>
      </c>
      <c r="Z66" s="162">
        <f t="shared" si="35"/>
        <v>26.879263308721143</v>
      </c>
      <c r="AA66" s="162">
        <f t="shared" si="36"/>
        <v>41.96705101375062</v>
      </c>
      <c r="AB66" s="271">
        <f t="shared" si="37"/>
        <v>32.469222974262024</v>
      </c>
      <c r="AC66" s="97"/>
      <c r="AD66" s="98"/>
      <c r="AE66" s="98"/>
      <c r="AF66" s="98"/>
      <c r="AG66" s="98"/>
      <c r="AH66" s="98"/>
      <c r="AI66" s="98"/>
      <c r="AJ66" s="98"/>
      <c r="AK66" s="98"/>
      <c r="AL66" s="98"/>
      <c r="AM66" s="98"/>
      <c r="AN66" s="98"/>
      <c r="AO66" s="304"/>
      <c r="AP66" s="304"/>
      <c r="AQ66" s="304"/>
      <c r="AR66" s="304"/>
      <c r="AS66" s="304"/>
      <c r="AT66" s="304"/>
      <c r="AU66" s="98"/>
      <c r="AV66" s="98"/>
    </row>
    <row r="67" spans="1:48">
      <c r="A67" s="96"/>
      <c r="B67" s="96"/>
      <c r="C67" s="195" t="s">
        <v>31</v>
      </c>
      <c r="D67" s="196" t="s">
        <v>778</v>
      </c>
      <c r="E67" s="197"/>
      <c r="F67" s="198">
        <f>IF($AF$1,SUMIFS('All Employees by Mode'!L:L,'All Employees by Mode'!$C:$C,"="&amp;$C67,'All Employees by Mode'!$BE:$BE,"=No"),SUMIFS('All Employees by Mode'!L:L,'All Employees by Mode'!$C:$C,"="&amp;$C67))</f>
        <v>438</v>
      </c>
      <c r="G67" s="160">
        <f>IF($AF$1,SUMIFS('All Employees by Mode'!M:M,'All Employees by Mode'!$C:$C,"="&amp;$C67,'All Employees by Mode'!$BE:$BE,"=No"),SUMIFS('All Employees by Mode'!M:M,'All Employees by Mode'!$C:$C,"="&amp;$C67))</f>
        <v>1454581</v>
      </c>
      <c r="H67" s="160">
        <f>IF($AF$1,SUMIFS('All Employees by Mode'!O:O,'All Employees by Mode'!$C:$C,"="&amp;$C67,'All Employees by Mode'!$BE:$BE,"=No"),SUMIFS('All Employees by Mode'!O:O,'All Employees by Mode'!$C:$C,"="&amp;$C67))</f>
        <v>240239</v>
      </c>
      <c r="I67" s="160">
        <f>IF($AF$1,SUMIFS('All Employees by Mode'!Q:Q,'All Employees by Mode'!$C:$C,"="&amp;$C67,'All Employees by Mode'!$BE:$BE,"=No"),SUMIFS('All Employees by Mode'!Q:Q,'All Employees by Mode'!$C:$C,"="&amp;$C67))</f>
        <v>18738</v>
      </c>
      <c r="J67" s="160">
        <f>IF($AF$1,SUMIFS('All Employees by Mode'!S:S,'All Employees by Mode'!$C:$C,"="&amp;$C67,'All Employees by Mode'!$BE:$BE,"=No"),SUMIFS('All Employees by Mode'!S:S,'All Employees by Mode'!$C:$C,"="&amp;$C67))</f>
        <v>229239</v>
      </c>
      <c r="K67" s="160">
        <f>IF($AF$1,SUMIFS('All Employees by Mode'!U:U,'All Employees by Mode'!$C:$C,"="&amp;$C67,'All Employees by Mode'!$BE:$BE,"=No"),SUMIFS('All Employees by Mode'!U:U,'All Employees by Mode'!$C:$C,"="&amp;$C67))</f>
        <v>0</v>
      </c>
      <c r="L67" s="160">
        <f>IF($AF$1,SUMIFS('All Employees by Mode'!W:W,'All Employees by Mode'!$C:$C,"="&amp;$C67,'All Employees by Mode'!$BE:$BE,"=No"),SUMIFS('All Employees by Mode'!W:W,'All Employees by Mode'!$C:$C,"="&amp;$C67))</f>
        <v>1942797</v>
      </c>
      <c r="M67" s="160">
        <f>IF($AF$1,SUMIFS('All Employees by Mode'!Y:Y,'All Employees by Mode'!$C:$C,"="&amp;$C67,'All Employees by Mode'!$BE:$BE,"=No"),SUMIFS('All Employees by Mode'!Y:Y,'All Employees by Mode'!$C:$C,"="&amp;$C67))</f>
        <v>679</v>
      </c>
      <c r="N67" s="160">
        <f>IF($AF$1,SUMIFS('All Employees by Mode'!AA:AA,'All Employees by Mode'!$C:$C,"="&amp;$C67,'All Employees by Mode'!$BE:$BE,"=No"),SUMIFS('All Employees by Mode'!AA:AA,'All Employees by Mode'!$C:$C,"="&amp;$C67))</f>
        <v>128</v>
      </c>
      <c r="O67" s="160">
        <f>IF($AF$1,SUMIFS('All Employees by Mode'!AC:AC,'All Employees by Mode'!$C:$C,"="&amp;$C67,'All Employees by Mode'!$BE:$BE,"=No"),SUMIFS('All Employees by Mode'!AC:AC,'All Employees by Mode'!$C:$C,"="&amp;$C67))</f>
        <v>13</v>
      </c>
      <c r="P67" s="160">
        <f>IF($AF$1,SUMIFS('All Employees by Mode'!AE:AE,'All Employees by Mode'!$C:$C,"="&amp;$C67,'All Employees by Mode'!$BE:$BE,"=No"),SUMIFS('All Employees by Mode'!AE:AE,'All Employees by Mode'!$C:$C,"="&amp;$C67))</f>
        <v>144</v>
      </c>
      <c r="Q67" s="160">
        <f>IF($AF$1,SUMIFS('All Employees by Mode'!AG:AG,'All Employees by Mode'!$C:$C,"="&amp;$C67,'All Employees by Mode'!$BE:$BE,"=No"),SUMIFS('All Employees by Mode'!AG:AG,'All Employees by Mode'!$C:$C,"="&amp;$C67))</f>
        <v>0</v>
      </c>
      <c r="R67" s="160">
        <f>IF($AF$1,SUMIFS('All Employees by Mode'!AI:AI,'All Employees by Mode'!$C:$C,"="&amp;$C67,'All Employees by Mode'!$BE:$BE,"=No"),SUMIFS('All Employees by Mode'!AI:AI,'All Employees by Mode'!$C:$C,"="&amp;$C67))</f>
        <v>964</v>
      </c>
      <c r="S67" s="161">
        <f>IF($AF$1,SUMIFS('All Employees by Mode'!AK:AK,'All Employees by Mode'!$C:$C,"="&amp;$C67,'All Employees by Mode'!$BE:$BE,"=No"),SUMIFS('All Employees by Mode'!AK:AK,'All Employees by Mode'!$C:$C,"="&amp;$C67))</f>
        <v>29601770</v>
      </c>
      <c r="T67" s="161">
        <f>IF($AF$1,SUMIFS('All Employees by Mode'!AM:AM,'All Employees by Mode'!$C:$C,"="&amp;$C67,'All Employees by Mode'!$BE:$BE,"=No"),SUMIFS('All Employees by Mode'!AM:AM,'All Employees by Mode'!$C:$C,"="&amp;$C67))</f>
        <v>5493617</v>
      </c>
      <c r="U67" s="161">
        <f>IF($AF$1,SUMIFS('All Employees by Mode'!AO:AO,'All Employees by Mode'!$C:$C,"="&amp;$C67,'All Employees by Mode'!$BE:$BE,"=No"),SUMIFS('All Employees by Mode'!AO:AO,'All Employees by Mode'!$C:$C,"="&amp;$C67))</f>
        <v>405886</v>
      </c>
      <c r="V67" s="161">
        <f>IF($AF$1,SUMIFS('All Employees by Mode'!AQ:AQ,'All Employees by Mode'!$C:$C,"="&amp;$C67,'All Employees by Mode'!$BE:$BE,"=No"),SUMIFS('All Employees by Mode'!AQ:AQ,'All Employees by Mode'!$C:$C,"="&amp;$C67))</f>
        <v>5614174</v>
      </c>
      <c r="W67" s="161">
        <f>IF($AF$1,SUMIFS('All Employees by Mode'!AS:AS,'All Employees by Mode'!$C:$C,"="&amp;$C67,'All Employees by Mode'!$BE:$BE,"=No"),SUMIFS('All Employees by Mode'!AS:AS,'All Employees by Mode'!$C:$C,"="&amp;$C67))</f>
        <v>41115447</v>
      </c>
      <c r="X67" s="162">
        <f t="shared" si="33"/>
        <v>20.35071955429089</v>
      </c>
      <c r="Y67" s="162">
        <f t="shared" si="34"/>
        <v>22.86729881493013</v>
      </c>
      <c r="Z67" s="162">
        <f t="shared" si="35"/>
        <v>21.661116447859964</v>
      </c>
      <c r="AA67" s="162">
        <f t="shared" si="36"/>
        <v>24.490483730953283</v>
      </c>
      <c r="AB67" s="271">
        <f t="shared" si="37"/>
        <v>21.163017546351988</v>
      </c>
      <c r="AC67" s="97"/>
      <c r="AD67" s="98"/>
      <c r="AE67" s="98"/>
      <c r="AF67" s="98"/>
      <c r="AG67" s="98"/>
      <c r="AH67" s="98"/>
      <c r="AI67" s="98"/>
      <c r="AJ67" s="98"/>
      <c r="AK67" s="98"/>
      <c r="AL67" s="98"/>
      <c r="AM67" s="98"/>
      <c r="AN67" s="98"/>
      <c r="AO67" s="304"/>
      <c r="AP67" s="304"/>
      <c r="AQ67" s="304"/>
      <c r="AR67" s="304"/>
      <c r="AS67" s="304"/>
      <c r="AT67" s="304"/>
      <c r="AU67" s="98"/>
      <c r="AV67" s="98"/>
    </row>
    <row r="68" spans="1:48">
      <c r="A68" s="96"/>
      <c r="B68" s="96"/>
      <c r="C68" s="195" t="s">
        <v>32</v>
      </c>
      <c r="D68" s="196" t="s">
        <v>963</v>
      </c>
      <c r="E68" s="197"/>
      <c r="F68" s="198">
        <f>IF($AF$1,SUMIFS('All Employees by Mode'!L:L,'All Employees by Mode'!$C:$C,"="&amp;$C68,'All Employees by Mode'!$BE:$BE,"=No"),SUMIFS('All Employees by Mode'!L:L,'All Employees by Mode'!$C:$C,"="&amp;$C68))</f>
        <v>3017</v>
      </c>
      <c r="G68" s="160">
        <f>IF($AF$1,SUMIFS('All Employees by Mode'!M:M,'All Employees by Mode'!$C:$C,"="&amp;$C68,'All Employees by Mode'!$BE:$BE,"=No"),SUMIFS('All Employees by Mode'!M:M,'All Employees by Mode'!$C:$C,"="&amp;$C68))</f>
        <v>13471016</v>
      </c>
      <c r="H68" s="160">
        <f>IF($AF$1,SUMIFS('All Employees by Mode'!O:O,'All Employees by Mode'!$C:$C,"="&amp;$C68,'All Employees by Mode'!$BE:$BE,"=No"),SUMIFS('All Employees by Mode'!O:O,'All Employees by Mode'!$C:$C,"="&amp;$C68))</f>
        <v>3230274</v>
      </c>
      <c r="I68" s="160">
        <f>IF($AF$1,SUMIFS('All Employees by Mode'!Q:Q,'All Employees by Mode'!$C:$C,"="&amp;$C68,'All Employees by Mode'!$BE:$BE,"=No"),SUMIFS('All Employees by Mode'!Q:Q,'All Employees by Mode'!$C:$C,"="&amp;$C68))</f>
        <v>1086443</v>
      </c>
      <c r="J68" s="160">
        <f>IF($AF$1,SUMIFS('All Employees by Mode'!S:S,'All Employees by Mode'!$C:$C,"="&amp;$C68,'All Employees by Mode'!$BE:$BE,"=No"),SUMIFS('All Employees by Mode'!S:S,'All Employees by Mode'!$C:$C,"="&amp;$C68))</f>
        <v>2270007</v>
      </c>
      <c r="K68" s="160">
        <f>IF($AF$1,SUMIFS('All Employees by Mode'!U:U,'All Employees by Mode'!$C:$C,"="&amp;$C68,'All Employees by Mode'!$BE:$BE,"=No"),SUMIFS('All Employees by Mode'!U:U,'All Employees by Mode'!$C:$C,"="&amp;$C68))</f>
        <v>67965</v>
      </c>
      <c r="L68" s="160">
        <f>IF($AF$1,SUMIFS('All Employees by Mode'!W:W,'All Employees by Mode'!$C:$C,"="&amp;$C68,'All Employees by Mode'!$BE:$BE,"=No"),SUMIFS('All Employees by Mode'!W:W,'All Employees by Mode'!$C:$C,"="&amp;$C68))</f>
        <v>20125705</v>
      </c>
      <c r="M68" s="160">
        <f>IF($AF$1,SUMIFS('All Employees by Mode'!Y:Y,'All Employees by Mode'!$C:$C,"="&amp;$C68,'All Employees by Mode'!$BE:$BE,"=No"),SUMIFS('All Employees by Mode'!Y:Y,'All Employees by Mode'!$C:$C,"="&amp;$C68))</f>
        <v>7184.83</v>
      </c>
      <c r="N68" s="160">
        <f>IF($AF$1,SUMIFS('All Employees by Mode'!AA:AA,'All Employees by Mode'!$C:$C,"="&amp;$C68,'All Employees by Mode'!$BE:$BE,"=No"),SUMIFS('All Employees by Mode'!AA:AA,'All Employees by Mode'!$C:$C,"="&amp;$C68))</f>
        <v>1621.21</v>
      </c>
      <c r="O68" s="160">
        <f>IF($AF$1,SUMIFS('All Employees by Mode'!AC:AC,'All Employees by Mode'!$C:$C,"="&amp;$C68,'All Employees by Mode'!$BE:$BE,"=No"),SUMIFS('All Employees by Mode'!AC:AC,'All Employees by Mode'!$C:$C,"="&amp;$C68))</f>
        <v>579.2399999999999</v>
      </c>
      <c r="P68" s="160">
        <f>IF($AF$1,SUMIFS('All Employees by Mode'!AE:AE,'All Employees by Mode'!$C:$C,"="&amp;$C68,'All Employees by Mode'!$BE:$BE,"=No"),SUMIFS('All Employees by Mode'!AE:AE,'All Employees by Mode'!$C:$C,"="&amp;$C68))</f>
        <v>1273.3300000000002</v>
      </c>
      <c r="Q68" s="160">
        <f>IF($AF$1,SUMIFS('All Employees by Mode'!AG:AG,'All Employees by Mode'!$C:$C,"="&amp;$C68,'All Employees by Mode'!$BE:$BE,"=No"),SUMIFS('All Employees by Mode'!AG:AG,'All Employees by Mode'!$C:$C,"="&amp;$C68))</f>
        <v>32</v>
      </c>
      <c r="R68" s="160">
        <f>IF($AF$1,SUMIFS('All Employees by Mode'!AI:AI,'All Employees by Mode'!$C:$C,"="&amp;$C68,'All Employees by Mode'!$BE:$BE,"=No"),SUMIFS('All Employees by Mode'!AI:AI,'All Employees by Mode'!$C:$C,"="&amp;$C68))</f>
        <v>10690.609999999999</v>
      </c>
      <c r="S68" s="161">
        <f>IF($AF$1,SUMIFS('All Employees by Mode'!AK:AK,'All Employees by Mode'!$C:$C,"="&amp;$C68,'All Employees by Mode'!$BE:$BE,"=No"),SUMIFS('All Employees by Mode'!AK:AK,'All Employees by Mode'!$C:$C,"="&amp;$C68))</f>
        <v>340244207</v>
      </c>
      <c r="T68" s="161">
        <f>IF($AF$1,SUMIFS('All Employees by Mode'!AM:AM,'All Employees by Mode'!$C:$C,"="&amp;$C68,'All Employees by Mode'!$BE:$BE,"=No"),SUMIFS('All Employees by Mode'!AM:AM,'All Employees by Mode'!$C:$C,"="&amp;$C68))</f>
        <v>87705012</v>
      </c>
      <c r="U68" s="161">
        <f>IF($AF$1,SUMIFS('All Employees by Mode'!AO:AO,'All Employees by Mode'!$C:$C,"="&amp;$C68,'All Employees by Mode'!$BE:$BE,"=No"),SUMIFS('All Employees by Mode'!AO:AO,'All Employees by Mode'!$C:$C,"="&amp;$C68))</f>
        <v>24293706</v>
      </c>
      <c r="V68" s="161">
        <f>IF($AF$1,SUMIFS('All Employees by Mode'!AQ:AQ,'All Employees by Mode'!$C:$C,"="&amp;$C68,'All Employees by Mode'!$BE:$BE,"=No"),SUMIFS('All Employees by Mode'!AQ:AQ,'All Employees by Mode'!$C:$C,"="&amp;$C68))</f>
        <v>71703096</v>
      </c>
      <c r="W68" s="161">
        <f>IF($AF$1,SUMIFS('All Employees by Mode'!AS:AS,'All Employees by Mode'!$C:$C,"="&amp;$C68,'All Employees by Mode'!$BE:$BE,"=No"),SUMIFS('All Employees by Mode'!AS:AS,'All Employees by Mode'!$C:$C,"="&amp;$C68))</f>
        <v>523946021</v>
      </c>
      <c r="X68" s="162">
        <f t="shared" si="33"/>
        <v>25.257501512877724</v>
      </c>
      <c r="Y68" s="162">
        <f t="shared" si="34"/>
        <v>27.150951281532155</v>
      </c>
      <c r="Z68" s="162">
        <f t="shared" si="35"/>
        <v>22.360773643900323</v>
      </c>
      <c r="AA68" s="162">
        <f t="shared" si="36"/>
        <v>31.587169554983753</v>
      </c>
      <c r="AB68" s="271">
        <f t="shared" si="37"/>
        <v>26.121887161763986</v>
      </c>
      <c r="AC68" s="97"/>
      <c r="AD68" s="98"/>
      <c r="AE68" s="98"/>
      <c r="AF68" s="98"/>
      <c r="AG68" s="98"/>
      <c r="AH68" s="98"/>
      <c r="AI68" s="98"/>
      <c r="AJ68" s="98"/>
      <c r="AK68" s="98"/>
      <c r="AL68" s="98"/>
      <c r="AM68" s="98"/>
      <c r="AN68" s="98"/>
      <c r="AO68" s="304"/>
      <c r="AP68" s="304"/>
      <c r="AQ68" s="304"/>
      <c r="AR68" s="304"/>
      <c r="AS68" s="304"/>
      <c r="AT68" s="304"/>
      <c r="AU68" s="98"/>
      <c r="AV68" s="98"/>
    </row>
    <row r="69" spans="1:48">
      <c r="A69" s="96"/>
      <c r="B69" s="96"/>
      <c r="C69" s="195" t="s">
        <v>36</v>
      </c>
      <c r="D69" s="196" t="s">
        <v>964</v>
      </c>
      <c r="E69" s="197"/>
      <c r="F69" s="198">
        <f>IF($AF$1,SUMIFS('All Employees by Mode'!L:L,'All Employees by Mode'!$C:$C,"="&amp;$C69,'All Employees by Mode'!$BE:$BE,"=No"),SUMIFS('All Employees by Mode'!L:L,'All Employees by Mode'!$C:$C,"="&amp;$C69))</f>
        <v>1419</v>
      </c>
      <c r="G69" s="160">
        <f>IF($AF$1,SUMIFS('All Employees by Mode'!M:M,'All Employees by Mode'!$C:$C,"="&amp;$C69,'All Employees by Mode'!$BE:$BE,"=No"),SUMIFS('All Employees by Mode'!M:M,'All Employees by Mode'!$C:$C,"="&amp;$C69))</f>
        <v>6084255</v>
      </c>
      <c r="H69" s="160">
        <f>IF($AF$1,SUMIFS('All Employees by Mode'!O:O,'All Employees by Mode'!$C:$C,"="&amp;$C69,'All Employees by Mode'!$BE:$BE,"=No"),SUMIFS('All Employees by Mode'!O:O,'All Employees by Mode'!$C:$C,"="&amp;$C69))</f>
        <v>1568918</v>
      </c>
      <c r="I69" s="160">
        <f>IF($AF$1,SUMIFS('All Employees by Mode'!Q:Q,'All Employees by Mode'!$C:$C,"="&amp;$C69,'All Employees by Mode'!$BE:$BE,"=No"),SUMIFS('All Employees by Mode'!Q:Q,'All Employees by Mode'!$C:$C,"="&amp;$C69))</f>
        <v>1193888</v>
      </c>
      <c r="J69" s="160">
        <f>IF($AF$1,SUMIFS('All Employees by Mode'!S:S,'All Employees by Mode'!$C:$C,"="&amp;$C69,'All Employees by Mode'!$BE:$BE,"=No"),SUMIFS('All Employees by Mode'!S:S,'All Employees by Mode'!$C:$C,"="&amp;$C69))</f>
        <v>1666031</v>
      </c>
      <c r="K69" s="160">
        <f>IF($AF$1,SUMIFS('All Employees by Mode'!U:U,'All Employees by Mode'!$C:$C,"="&amp;$C69,'All Employees by Mode'!$BE:$BE,"=No"),SUMIFS('All Employees by Mode'!U:U,'All Employees by Mode'!$C:$C,"="&amp;$C69))</f>
        <v>35647</v>
      </c>
      <c r="L69" s="160">
        <f>IF($AF$1,SUMIFS('All Employees by Mode'!W:W,'All Employees by Mode'!$C:$C,"="&amp;$C69,'All Employees by Mode'!$BE:$BE,"=No"),SUMIFS('All Employees by Mode'!W:W,'All Employees by Mode'!$C:$C,"="&amp;$C69))</f>
        <v>10548739</v>
      </c>
      <c r="M69" s="160">
        <f>IF($AF$1,SUMIFS('All Employees by Mode'!Y:Y,'All Employees by Mode'!$C:$C,"="&amp;$C69,'All Employees by Mode'!$BE:$BE,"=No"),SUMIFS('All Employees by Mode'!Y:Y,'All Employees by Mode'!$C:$C,"="&amp;$C69))</f>
        <v>3335.99</v>
      </c>
      <c r="N69" s="160">
        <f>IF($AF$1,SUMIFS('All Employees by Mode'!AA:AA,'All Employees by Mode'!$C:$C,"="&amp;$C69,'All Employees by Mode'!$BE:$BE,"=No"),SUMIFS('All Employees by Mode'!AA:AA,'All Employees by Mode'!$C:$C,"="&amp;$C69))</f>
        <v>712</v>
      </c>
      <c r="O69" s="160">
        <f>IF($AF$1,SUMIFS('All Employees by Mode'!AC:AC,'All Employees by Mode'!$C:$C,"="&amp;$C69,'All Employees by Mode'!$BE:$BE,"=No"),SUMIFS('All Employees by Mode'!AC:AC,'All Employees by Mode'!$C:$C,"="&amp;$C69))</f>
        <v>598.99</v>
      </c>
      <c r="P69" s="160">
        <f>IF($AF$1,SUMIFS('All Employees by Mode'!AE:AE,'All Employees by Mode'!$C:$C,"="&amp;$C69,'All Employees by Mode'!$BE:$BE,"=No"),SUMIFS('All Employees by Mode'!AE:AE,'All Employees by Mode'!$C:$C,"="&amp;$C69))</f>
        <v>784.5100000000001</v>
      </c>
      <c r="Q69" s="160">
        <f>IF($AF$1,SUMIFS('All Employees by Mode'!AG:AG,'All Employees by Mode'!$C:$C,"="&amp;$C69,'All Employees by Mode'!$BE:$BE,"=No"),SUMIFS('All Employees by Mode'!AG:AG,'All Employees by Mode'!$C:$C,"="&amp;$C69))</f>
        <v>16.36</v>
      </c>
      <c r="R69" s="160">
        <f>IF($AF$1,SUMIFS('All Employees by Mode'!AI:AI,'All Employees by Mode'!$C:$C,"="&amp;$C69,'All Employees by Mode'!$BE:$BE,"=No"),SUMIFS('All Employees by Mode'!AI:AI,'All Employees by Mode'!$C:$C,"="&amp;$C69))</f>
        <v>5447.85</v>
      </c>
      <c r="S69" s="161">
        <f>IF($AF$1,SUMIFS('All Employees by Mode'!AK:AK,'All Employees by Mode'!$C:$C,"="&amp;$C69,'All Employees by Mode'!$BE:$BE,"=No"),SUMIFS('All Employees by Mode'!AK:AK,'All Employees by Mode'!$C:$C,"="&amp;$C69))</f>
        <v>125289146</v>
      </c>
      <c r="T69" s="161">
        <f>IF($AF$1,SUMIFS('All Employees by Mode'!AM:AM,'All Employees by Mode'!$C:$C,"="&amp;$C69,'All Employees by Mode'!$BE:$BE,"=No"),SUMIFS('All Employees by Mode'!AM:AM,'All Employees by Mode'!$C:$C,"="&amp;$C69))</f>
        <v>34306052</v>
      </c>
      <c r="U69" s="161">
        <f>IF($AF$1,SUMIFS('All Employees by Mode'!AO:AO,'All Employees by Mode'!$C:$C,"="&amp;$C69,'All Employees by Mode'!$BE:$BE,"=No"),SUMIFS('All Employees by Mode'!AO:AO,'All Employees by Mode'!$C:$C,"="&amp;$C69))</f>
        <v>30135072</v>
      </c>
      <c r="V69" s="161">
        <f>IF($AF$1,SUMIFS('All Employees by Mode'!AQ:AQ,'All Employees by Mode'!$C:$C,"="&amp;$C69,'All Employees by Mode'!$BE:$BE,"=No"),SUMIFS('All Employees by Mode'!AQ:AQ,'All Employees by Mode'!$C:$C,"="&amp;$C69))</f>
        <v>51731722</v>
      </c>
      <c r="W69" s="161">
        <f>IF($AF$1,SUMIFS('All Employees by Mode'!AS:AS,'All Employees by Mode'!$C:$C,"="&amp;$C69,'All Employees by Mode'!$BE:$BE,"=No"),SUMIFS('All Employees by Mode'!AS:AS,'All Employees by Mode'!$C:$C,"="&amp;$C69))</f>
        <v>241461992</v>
      </c>
      <c r="X69" s="162">
        <f t="shared" si="33"/>
        <v>20.592356171790957</v>
      </c>
      <c r="Y69" s="162">
        <f t="shared" si="34"/>
        <v>21.866058009405208</v>
      </c>
      <c r="Z69" s="162">
        <f t="shared" si="35"/>
        <v>25.241121445227694</v>
      </c>
      <c r="AA69" s="162">
        <f t="shared" si="36"/>
        <v>31.050876004107966</v>
      </c>
      <c r="AB69" s="271">
        <f t="shared" si="37"/>
        <v>22.967742696439828</v>
      </c>
      <c r="AC69" s="97"/>
      <c r="AD69" s="98"/>
      <c r="AE69" s="98"/>
      <c r="AF69" s="98"/>
      <c r="AG69" s="98"/>
      <c r="AH69" s="98"/>
      <c r="AI69" s="98"/>
      <c r="AJ69" s="98"/>
      <c r="AK69" s="98"/>
      <c r="AL69" s="98"/>
      <c r="AM69" s="98"/>
      <c r="AN69" s="98"/>
      <c r="AO69" s="304"/>
      <c r="AP69" s="304"/>
      <c r="AQ69" s="304"/>
      <c r="AR69" s="304"/>
      <c r="AS69" s="304"/>
      <c r="AT69" s="304"/>
      <c r="AU69" s="98"/>
      <c r="AV69" s="98"/>
    </row>
    <row r="70" spans="1:48">
      <c r="A70" s="96"/>
      <c r="B70" s="96"/>
      <c r="C70" s="195" t="s">
        <v>965</v>
      </c>
      <c r="D70" s="196" t="s">
        <v>966</v>
      </c>
      <c r="E70" s="197"/>
      <c r="F70" s="198">
        <f>IF($AF$1,SUMIFS('All Employees by Mode'!L:L,'All Employees by Mode'!$C:$C,"="&amp;$C70,'All Employees by Mode'!$BE:$BE,"=No"),SUMIFS('All Employees by Mode'!L:L,'All Employees by Mode'!$C:$C,"="&amp;$C70))</f>
        <v>0</v>
      </c>
      <c r="G70" s="160">
        <f>IF($AF$1,SUMIFS('All Employees by Mode'!M:M,'All Employees by Mode'!$C:$C,"="&amp;$C70,'All Employees by Mode'!$BE:$BE,"=No"),SUMIFS('All Employees by Mode'!M:M,'All Employees by Mode'!$C:$C,"="&amp;$C70))</f>
        <v>0</v>
      </c>
      <c r="H70" s="160">
        <f>IF($AF$1,SUMIFS('All Employees by Mode'!O:O,'All Employees by Mode'!$C:$C,"="&amp;$C70,'All Employees by Mode'!$BE:$BE,"=No"),SUMIFS('All Employees by Mode'!O:O,'All Employees by Mode'!$C:$C,"="&amp;$C70))</f>
        <v>0</v>
      </c>
      <c r="I70" s="160">
        <f>IF($AF$1,SUMIFS('All Employees by Mode'!Q:Q,'All Employees by Mode'!$C:$C,"="&amp;$C70,'All Employees by Mode'!$BE:$BE,"=No"),SUMIFS('All Employees by Mode'!Q:Q,'All Employees by Mode'!$C:$C,"="&amp;$C70))</f>
        <v>0</v>
      </c>
      <c r="J70" s="160">
        <f>IF($AF$1,SUMIFS('All Employees by Mode'!S:S,'All Employees by Mode'!$C:$C,"="&amp;$C70,'All Employees by Mode'!$BE:$BE,"=No"),SUMIFS('All Employees by Mode'!S:S,'All Employees by Mode'!$C:$C,"="&amp;$C70))</f>
        <v>0</v>
      </c>
      <c r="K70" s="160">
        <f>IF($AF$1,SUMIFS('All Employees by Mode'!U:U,'All Employees by Mode'!$C:$C,"="&amp;$C70,'All Employees by Mode'!$BE:$BE,"=No"),SUMIFS('All Employees by Mode'!U:U,'All Employees by Mode'!$C:$C,"="&amp;$C70))</f>
        <v>0</v>
      </c>
      <c r="L70" s="160">
        <f>IF($AF$1,SUMIFS('All Employees by Mode'!W:W,'All Employees by Mode'!$C:$C,"="&amp;$C70,'All Employees by Mode'!$BE:$BE,"=No"),SUMIFS('All Employees by Mode'!W:W,'All Employees by Mode'!$C:$C,"="&amp;$C70))</f>
        <v>0</v>
      </c>
      <c r="M70" s="160">
        <f>IF($AF$1,SUMIFS('All Employees by Mode'!Y:Y,'All Employees by Mode'!$C:$C,"="&amp;$C70,'All Employees by Mode'!$BE:$BE,"=No"),SUMIFS('All Employees by Mode'!Y:Y,'All Employees by Mode'!$C:$C,"="&amp;$C70))</f>
        <v>0</v>
      </c>
      <c r="N70" s="160">
        <f>IF($AF$1,SUMIFS('All Employees by Mode'!AA:AA,'All Employees by Mode'!$C:$C,"="&amp;$C70,'All Employees by Mode'!$BE:$BE,"=No"),SUMIFS('All Employees by Mode'!AA:AA,'All Employees by Mode'!$C:$C,"="&amp;$C70))</f>
        <v>0</v>
      </c>
      <c r="O70" s="160">
        <f>IF($AF$1,SUMIFS('All Employees by Mode'!AC:AC,'All Employees by Mode'!$C:$C,"="&amp;$C70,'All Employees by Mode'!$BE:$BE,"=No"),SUMIFS('All Employees by Mode'!AC:AC,'All Employees by Mode'!$C:$C,"="&amp;$C70))</f>
        <v>0</v>
      </c>
      <c r="P70" s="160">
        <f>IF($AF$1,SUMIFS('All Employees by Mode'!AE:AE,'All Employees by Mode'!$C:$C,"="&amp;$C70,'All Employees by Mode'!$BE:$BE,"=No"),SUMIFS('All Employees by Mode'!AE:AE,'All Employees by Mode'!$C:$C,"="&amp;$C70))</f>
        <v>0</v>
      </c>
      <c r="Q70" s="160">
        <f>IF($AF$1,SUMIFS('All Employees by Mode'!AG:AG,'All Employees by Mode'!$C:$C,"="&amp;$C70,'All Employees by Mode'!$BE:$BE,"=No"),SUMIFS('All Employees by Mode'!AG:AG,'All Employees by Mode'!$C:$C,"="&amp;$C70))</f>
        <v>0</v>
      </c>
      <c r="R70" s="160">
        <f>IF($AF$1,SUMIFS('All Employees by Mode'!AI:AI,'All Employees by Mode'!$C:$C,"="&amp;$C70,'All Employees by Mode'!$BE:$BE,"=No"),SUMIFS('All Employees by Mode'!AI:AI,'All Employees by Mode'!$C:$C,"="&amp;$C70))</f>
        <v>0</v>
      </c>
      <c r="S70" s="161">
        <f>IF($AF$1,SUMIFS('All Employees by Mode'!AK:AK,'All Employees by Mode'!$C:$C,"="&amp;$C70,'All Employees by Mode'!$BE:$BE,"=No"),SUMIFS('All Employees by Mode'!AK:AK,'All Employees by Mode'!$C:$C,"="&amp;$C70))</f>
        <v>0</v>
      </c>
      <c r="T70" s="161">
        <f>IF($AF$1,SUMIFS('All Employees by Mode'!AM:AM,'All Employees by Mode'!$C:$C,"="&amp;$C70,'All Employees by Mode'!$BE:$BE,"=No"),SUMIFS('All Employees by Mode'!AM:AM,'All Employees by Mode'!$C:$C,"="&amp;$C70))</f>
        <v>0</v>
      </c>
      <c r="U70" s="161">
        <f>IF($AF$1,SUMIFS('All Employees by Mode'!AO:AO,'All Employees by Mode'!$C:$C,"="&amp;$C70,'All Employees by Mode'!$BE:$BE,"=No"),SUMIFS('All Employees by Mode'!AO:AO,'All Employees by Mode'!$C:$C,"="&amp;$C70))</f>
        <v>0</v>
      </c>
      <c r="V70" s="161">
        <f>IF($AF$1,SUMIFS('All Employees by Mode'!AQ:AQ,'All Employees by Mode'!$C:$C,"="&amp;$C70,'All Employees by Mode'!$BE:$BE,"=No"),SUMIFS('All Employees by Mode'!AQ:AQ,'All Employees by Mode'!$C:$C,"="&amp;$C70))</f>
        <v>0</v>
      </c>
      <c r="W70" s="161">
        <f>IF($AF$1,SUMIFS('All Employees by Mode'!AS:AS,'All Employees by Mode'!$C:$C,"="&amp;$C70,'All Employees by Mode'!$BE:$BE,"=No"),SUMIFS('All Employees by Mode'!AS:AS,'All Employees by Mode'!$C:$C,"="&amp;$C70))</f>
        <v>0</v>
      </c>
      <c r="X70" s="162" t="str">
        <f t="shared" si="33"/>
        <v>-</v>
      </c>
      <c r="Y70" s="162" t="str">
        <f t="shared" si="34"/>
        <v>-</v>
      </c>
      <c r="Z70" s="162" t="str">
        <f t="shared" si="35"/>
        <v>-</v>
      </c>
      <c r="AA70" s="162" t="str">
        <f t="shared" si="36"/>
        <v>-</v>
      </c>
      <c r="AB70" s="271" t="str">
        <f t="shared" si="37"/>
        <v>-</v>
      </c>
      <c r="AC70" s="97"/>
      <c r="AD70" s="98"/>
      <c r="AE70" s="98"/>
      <c r="AF70" s="98"/>
      <c r="AG70" s="98"/>
      <c r="AH70" s="98"/>
      <c r="AI70" s="98"/>
      <c r="AJ70" s="98"/>
      <c r="AK70" s="98"/>
      <c r="AL70" s="98"/>
      <c r="AM70" s="98"/>
      <c r="AN70" s="98"/>
      <c r="AO70" s="304"/>
      <c r="AP70" s="304"/>
      <c r="AQ70" s="304"/>
      <c r="AR70" s="304"/>
      <c r="AS70" s="304"/>
      <c r="AT70" s="304"/>
      <c r="AU70" s="98"/>
      <c r="AV70" s="98"/>
    </row>
    <row r="71" spans="1:48">
      <c r="A71" s="96"/>
      <c r="B71" s="96"/>
      <c r="C71" s="195" t="s">
        <v>793</v>
      </c>
      <c r="D71" s="196" t="s">
        <v>967</v>
      </c>
      <c r="E71" s="197"/>
      <c r="F71" s="198">
        <f>IF($AF$1,SUMIFS('All Employees by Mode'!L:L,'All Employees by Mode'!$C:$C,"="&amp;$C71,'All Employees by Mode'!$BE:$BE,"=No"),SUMIFS('All Employees by Mode'!L:L,'All Employees by Mode'!$C:$C,"="&amp;$C71))</f>
        <v>0</v>
      </c>
      <c r="G71" s="160">
        <f>IF($AF$1,SUMIFS('All Employees by Mode'!M:M,'All Employees by Mode'!$C:$C,"="&amp;$C71,'All Employees by Mode'!$BE:$BE,"=No"),SUMIFS('All Employees by Mode'!M:M,'All Employees by Mode'!$C:$C,"="&amp;$C71))</f>
        <v>0</v>
      </c>
      <c r="H71" s="160">
        <f>IF($AF$1,SUMIFS('All Employees by Mode'!O:O,'All Employees by Mode'!$C:$C,"="&amp;$C71,'All Employees by Mode'!$BE:$BE,"=No"),SUMIFS('All Employees by Mode'!O:O,'All Employees by Mode'!$C:$C,"="&amp;$C71))</f>
        <v>0</v>
      </c>
      <c r="I71" s="160">
        <f>IF($AF$1,SUMIFS('All Employees by Mode'!Q:Q,'All Employees by Mode'!$C:$C,"="&amp;$C71,'All Employees by Mode'!$BE:$BE,"=No"),SUMIFS('All Employees by Mode'!Q:Q,'All Employees by Mode'!$C:$C,"="&amp;$C71))</f>
        <v>0</v>
      </c>
      <c r="J71" s="160">
        <f>IF($AF$1,SUMIFS('All Employees by Mode'!S:S,'All Employees by Mode'!$C:$C,"="&amp;$C71,'All Employees by Mode'!$BE:$BE,"=No"),SUMIFS('All Employees by Mode'!S:S,'All Employees by Mode'!$C:$C,"="&amp;$C71))</f>
        <v>0</v>
      </c>
      <c r="K71" s="160">
        <f>IF($AF$1,SUMIFS('All Employees by Mode'!U:U,'All Employees by Mode'!$C:$C,"="&amp;$C71,'All Employees by Mode'!$BE:$BE,"=No"),SUMIFS('All Employees by Mode'!U:U,'All Employees by Mode'!$C:$C,"="&amp;$C71))</f>
        <v>0</v>
      </c>
      <c r="L71" s="160">
        <f>IF($AF$1,SUMIFS('All Employees by Mode'!W:W,'All Employees by Mode'!$C:$C,"="&amp;$C71,'All Employees by Mode'!$BE:$BE,"=No"),SUMIFS('All Employees by Mode'!W:W,'All Employees by Mode'!$C:$C,"="&amp;$C71))</f>
        <v>0</v>
      </c>
      <c r="M71" s="160">
        <f>IF($AF$1,SUMIFS('All Employees by Mode'!Y:Y,'All Employees by Mode'!$C:$C,"="&amp;$C71,'All Employees by Mode'!$BE:$BE,"=No"),SUMIFS('All Employees by Mode'!Y:Y,'All Employees by Mode'!$C:$C,"="&amp;$C71))</f>
        <v>0</v>
      </c>
      <c r="N71" s="160">
        <f>IF($AF$1,SUMIFS('All Employees by Mode'!AA:AA,'All Employees by Mode'!$C:$C,"="&amp;$C71,'All Employees by Mode'!$BE:$BE,"=No"),SUMIFS('All Employees by Mode'!AA:AA,'All Employees by Mode'!$C:$C,"="&amp;$C71))</f>
        <v>0</v>
      </c>
      <c r="O71" s="160">
        <f>IF($AF$1,SUMIFS('All Employees by Mode'!AC:AC,'All Employees by Mode'!$C:$C,"="&amp;$C71,'All Employees by Mode'!$BE:$BE,"=No"),SUMIFS('All Employees by Mode'!AC:AC,'All Employees by Mode'!$C:$C,"="&amp;$C71))</f>
        <v>0</v>
      </c>
      <c r="P71" s="160">
        <f>IF($AF$1,SUMIFS('All Employees by Mode'!AE:AE,'All Employees by Mode'!$C:$C,"="&amp;$C71,'All Employees by Mode'!$BE:$BE,"=No"),SUMIFS('All Employees by Mode'!AE:AE,'All Employees by Mode'!$C:$C,"="&amp;$C71))</f>
        <v>0</v>
      </c>
      <c r="Q71" s="160">
        <f>IF($AF$1,SUMIFS('All Employees by Mode'!AG:AG,'All Employees by Mode'!$C:$C,"="&amp;$C71,'All Employees by Mode'!$BE:$BE,"=No"),SUMIFS('All Employees by Mode'!AG:AG,'All Employees by Mode'!$C:$C,"="&amp;$C71))</f>
        <v>0</v>
      </c>
      <c r="R71" s="160">
        <f>IF($AF$1,SUMIFS('All Employees by Mode'!AI:AI,'All Employees by Mode'!$C:$C,"="&amp;$C71,'All Employees by Mode'!$BE:$BE,"=No"),SUMIFS('All Employees by Mode'!AI:AI,'All Employees by Mode'!$C:$C,"="&amp;$C71))</f>
        <v>0</v>
      </c>
      <c r="S71" s="161">
        <f>IF($AF$1,SUMIFS('All Employees by Mode'!AK:AK,'All Employees by Mode'!$C:$C,"="&amp;$C71,'All Employees by Mode'!$BE:$BE,"=No"),SUMIFS('All Employees by Mode'!AK:AK,'All Employees by Mode'!$C:$C,"="&amp;$C71))</f>
        <v>0</v>
      </c>
      <c r="T71" s="161">
        <f>IF($AF$1,SUMIFS('All Employees by Mode'!AM:AM,'All Employees by Mode'!$C:$C,"="&amp;$C71,'All Employees by Mode'!$BE:$BE,"=No"),SUMIFS('All Employees by Mode'!AM:AM,'All Employees by Mode'!$C:$C,"="&amp;$C71))</f>
        <v>0</v>
      </c>
      <c r="U71" s="161">
        <f>IF($AF$1,SUMIFS('All Employees by Mode'!AO:AO,'All Employees by Mode'!$C:$C,"="&amp;$C71,'All Employees by Mode'!$BE:$BE,"=No"),SUMIFS('All Employees by Mode'!AO:AO,'All Employees by Mode'!$C:$C,"="&amp;$C71))</f>
        <v>0</v>
      </c>
      <c r="V71" s="161">
        <f>IF($AF$1,SUMIFS('All Employees by Mode'!AQ:AQ,'All Employees by Mode'!$C:$C,"="&amp;$C71,'All Employees by Mode'!$BE:$BE,"=No"),SUMIFS('All Employees by Mode'!AQ:AQ,'All Employees by Mode'!$C:$C,"="&amp;$C71))</f>
        <v>0</v>
      </c>
      <c r="W71" s="161">
        <f>IF($AF$1,SUMIFS('All Employees by Mode'!AS:AS,'All Employees by Mode'!$C:$C,"="&amp;$C71,'All Employees by Mode'!$BE:$BE,"=No"),SUMIFS('All Employees by Mode'!AS:AS,'All Employees by Mode'!$C:$C,"="&amp;$C71))</f>
        <v>0</v>
      </c>
      <c r="X71" s="162" t="str">
        <f t="shared" si="33"/>
        <v>-</v>
      </c>
      <c r="Y71" s="162" t="str">
        <f t="shared" si="34"/>
        <v>-</v>
      </c>
      <c r="Z71" s="162" t="str">
        <f t="shared" si="35"/>
        <v>-</v>
      </c>
      <c r="AA71" s="162" t="str">
        <f t="shared" si="36"/>
        <v>-</v>
      </c>
      <c r="AB71" s="271" t="str">
        <f t="shared" si="37"/>
        <v>-</v>
      </c>
      <c r="AC71" s="97"/>
      <c r="AD71" s="98"/>
      <c r="AE71" s="98"/>
      <c r="AF71" s="98"/>
      <c r="AG71" s="98"/>
      <c r="AH71" s="98"/>
      <c r="AI71" s="98"/>
      <c r="AJ71" s="98"/>
      <c r="AK71" s="98"/>
      <c r="AL71" s="98"/>
      <c r="AM71" s="98"/>
      <c r="AN71" s="98"/>
      <c r="AO71" s="304"/>
      <c r="AP71" s="304"/>
      <c r="AQ71" s="304"/>
      <c r="AR71" s="304"/>
      <c r="AS71" s="304"/>
      <c r="AT71" s="304"/>
      <c r="AU71" s="98"/>
      <c r="AV71" s="98"/>
    </row>
    <row r="72" spans="1:48">
      <c r="A72" s="96"/>
      <c r="B72" s="96"/>
      <c r="C72" s="195" t="s">
        <v>38</v>
      </c>
      <c r="D72" s="196" t="s">
        <v>968</v>
      </c>
      <c r="E72" s="197"/>
      <c r="F72" s="198">
        <f>IF($AF$1,SUMIFS('All Employees by Mode'!L:L,'All Employees by Mode'!$C:$C,"="&amp;$C72,'All Employees by Mode'!$BE:$BE,"=No"),SUMIFS('All Employees by Mode'!L:L,'All Employees by Mode'!$C:$C,"="&amp;$C72))</f>
        <v>454</v>
      </c>
      <c r="G72" s="160">
        <f>IF($AF$1,SUMIFS('All Employees by Mode'!M:M,'All Employees by Mode'!$C:$C,"="&amp;$C72,'All Employees by Mode'!$BE:$BE,"=No"),SUMIFS('All Employees by Mode'!M:M,'All Employees by Mode'!$C:$C,"="&amp;$C72))</f>
        <v>1064229</v>
      </c>
      <c r="H72" s="160">
        <f>IF($AF$1,SUMIFS('All Employees by Mode'!O:O,'All Employees by Mode'!$C:$C,"="&amp;$C72,'All Employees by Mode'!$BE:$BE,"=No"),SUMIFS('All Employees by Mode'!O:O,'All Employees by Mode'!$C:$C,"="&amp;$C72))</f>
        <v>152476</v>
      </c>
      <c r="I72" s="160">
        <f>IF($AF$1,SUMIFS('All Employees by Mode'!Q:Q,'All Employees by Mode'!$C:$C,"="&amp;$C72,'All Employees by Mode'!$BE:$BE,"=No"),SUMIFS('All Employees by Mode'!Q:Q,'All Employees by Mode'!$C:$C,"="&amp;$C72))</f>
        <v>25242</v>
      </c>
      <c r="J72" s="160">
        <f>IF($AF$1,SUMIFS('All Employees by Mode'!S:S,'All Employees by Mode'!$C:$C,"="&amp;$C72,'All Employees by Mode'!$BE:$BE,"=No"),SUMIFS('All Employees by Mode'!S:S,'All Employees by Mode'!$C:$C,"="&amp;$C72))</f>
        <v>114677</v>
      </c>
      <c r="K72" s="160">
        <f>IF($AF$1,SUMIFS('All Employees by Mode'!U:U,'All Employees by Mode'!$C:$C,"="&amp;$C72,'All Employees by Mode'!$BE:$BE,"=No"),SUMIFS('All Employees by Mode'!U:U,'All Employees by Mode'!$C:$C,"="&amp;$C72))</f>
        <v>0</v>
      </c>
      <c r="L72" s="160">
        <f>IF($AF$1,SUMIFS('All Employees by Mode'!W:W,'All Employees by Mode'!$C:$C,"="&amp;$C72,'All Employees by Mode'!$BE:$BE,"=No"),SUMIFS('All Employees by Mode'!W:W,'All Employees by Mode'!$C:$C,"="&amp;$C72))</f>
        <v>1356624</v>
      </c>
      <c r="M72" s="160">
        <f>IF($AF$1,SUMIFS('All Employees by Mode'!Y:Y,'All Employees by Mode'!$C:$C,"="&amp;$C72,'All Employees by Mode'!$BE:$BE,"=No"),SUMIFS('All Employees by Mode'!Y:Y,'All Employees by Mode'!$C:$C,"="&amp;$C72))</f>
        <v>800.88</v>
      </c>
      <c r="N72" s="160">
        <f>IF($AF$1,SUMIFS('All Employees by Mode'!AA:AA,'All Employees by Mode'!$C:$C,"="&amp;$C72,'All Employees by Mode'!$BE:$BE,"=No"),SUMIFS('All Employees by Mode'!AA:AA,'All Employees by Mode'!$C:$C,"="&amp;$C72))</f>
        <v>100.88</v>
      </c>
      <c r="O72" s="160">
        <f>IF($AF$1,SUMIFS('All Employees by Mode'!AC:AC,'All Employees by Mode'!$C:$C,"="&amp;$C72,'All Employees by Mode'!$BE:$BE,"=No"),SUMIFS('All Employees by Mode'!AC:AC,'All Employees by Mode'!$C:$C,"="&amp;$C72))</f>
        <v>28.45</v>
      </c>
      <c r="P72" s="160">
        <f>IF($AF$1,SUMIFS('All Employees by Mode'!AE:AE,'All Employees by Mode'!$C:$C,"="&amp;$C72,'All Employees by Mode'!$BE:$BE,"=No"),SUMIFS('All Employees by Mode'!AE:AE,'All Employees by Mode'!$C:$C,"="&amp;$C72))</f>
        <v>71.400000000000006</v>
      </c>
      <c r="Q72" s="160">
        <f>IF($AF$1,SUMIFS('All Employees by Mode'!AG:AG,'All Employees by Mode'!$C:$C,"="&amp;$C72,'All Employees by Mode'!$BE:$BE,"=No"),SUMIFS('All Employees by Mode'!AG:AG,'All Employees by Mode'!$C:$C,"="&amp;$C72))</f>
        <v>0</v>
      </c>
      <c r="R72" s="160">
        <f>IF($AF$1,SUMIFS('All Employees by Mode'!AI:AI,'All Employees by Mode'!$C:$C,"="&amp;$C72,'All Employees by Mode'!$BE:$BE,"=No"),SUMIFS('All Employees by Mode'!AI:AI,'All Employees by Mode'!$C:$C,"="&amp;$C72))</f>
        <v>1001.61</v>
      </c>
      <c r="S72" s="161">
        <f>IF($AF$1,SUMIFS('All Employees by Mode'!AK:AK,'All Employees by Mode'!$C:$C,"="&amp;$C72,'All Employees by Mode'!$BE:$BE,"=No"),SUMIFS('All Employees by Mode'!AK:AK,'All Employees by Mode'!$C:$C,"="&amp;$C72))</f>
        <v>21861017</v>
      </c>
      <c r="T72" s="161">
        <f>IF($AF$1,SUMIFS('All Employees by Mode'!AM:AM,'All Employees by Mode'!$C:$C,"="&amp;$C72,'All Employees by Mode'!$BE:$BE,"=No"),SUMIFS('All Employees by Mode'!AM:AM,'All Employees by Mode'!$C:$C,"="&amp;$C72))</f>
        <v>3657235</v>
      </c>
      <c r="U72" s="161">
        <f>IF($AF$1,SUMIFS('All Employees by Mode'!AO:AO,'All Employees by Mode'!$C:$C,"="&amp;$C72,'All Employees by Mode'!$BE:$BE,"=No"),SUMIFS('All Employees by Mode'!AO:AO,'All Employees by Mode'!$C:$C,"="&amp;$C72))</f>
        <v>534913</v>
      </c>
      <c r="V72" s="161">
        <f>IF($AF$1,SUMIFS('All Employees by Mode'!AQ:AQ,'All Employees by Mode'!$C:$C,"="&amp;$C72,'All Employees by Mode'!$BE:$BE,"=No"),SUMIFS('All Employees by Mode'!AQ:AQ,'All Employees by Mode'!$C:$C,"="&amp;$C72))</f>
        <v>3831039</v>
      </c>
      <c r="W72" s="161">
        <f>IF($AF$1,SUMIFS('All Employees by Mode'!AS:AS,'All Employees by Mode'!$C:$C,"="&amp;$C72,'All Employees by Mode'!$BE:$BE,"=No"),SUMIFS('All Employees by Mode'!AS:AS,'All Employees by Mode'!$C:$C,"="&amp;$C72))</f>
        <v>29884204</v>
      </c>
      <c r="X72" s="162">
        <f t="shared" si="33"/>
        <v>20.541647521351138</v>
      </c>
      <c r="Y72" s="162">
        <f t="shared" si="34"/>
        <v>23.985643642278131</v>
      </c>
      <c r="Z72" s="162">
        <f t="shared" si="35"/>
        <v>21.191387370255924</v>
      </c>
      <c r="AA72" s="162">
        <f t="shared" si="36"/>
        <v>33.407213303452302</v>
      </c>
      <c r="AB72" s="271">
        <f t="shared" si="37"/>
        <v>22.028361579921924</v>
      </c>
      <c r="AC72" s="97"/>
      <c r="AD72" s="98"/>
      <c r="AE72" s="98"/>
      <c r="AF72" s="98"/>
      <c r="AG72" s="98"/>
      <c r="AH72" s="98"/>
      <c r="AI72" s="98"/>
      <c r="AJ72" s="98"/>
      <c r="AK72" s="98"/>
      <c r="AL72" s="98"/>
      <c r="AM72" s="98"/>
      <c r="AN72" s="98"/>
      <c r="AO72" s="304"/>
      <c r="AP72" s="304"/>
      <c r="AQ72" s="304"/>
      <c r="AR72" s="304"/>
      <c r="AS72" s="304"/>
      <c r="AT72" s="304"/>
      <c r="AU72" s="98"/>
      <c r="AV72" s="98"/>
    </row>
    <row r="73" spans="1:48">
      <c r="A73" s="96"/>
      <c r="B73" s="96"/>
      <c r="C73" s="195" t="s">
        <v>2</v>
      </c>
      <c r="D73" s="196" t="s">
        <v>969</v>
      </c>
      <c r="E73" s="197"/>
      <c r="F73" s="198">
        <f>IF($AF$1,SUMIFS('All Employees by Mode'!L:L,'All Employees by Mode'!$C:$C,"="&amp;$C73,'All Employees by Mode'!$BE:$BE,"=No"),SUMIFS('All Employees by Mode'!L:L,'All Employees by Mode'!$C:$C,"="&amp;$C73))</f>
        <v>60</v>
      </c>
      <c r="G73" s="160">
        <f>IF($AF$1,SUMIFS('All Employees by Mode'!M:M,'All Employees by Mode'!$C:$C,"="&amp;$C73,'All Employees by Mode'!$BE:$BE,"=No"),SUMIFS('All Employees by Mode'!M:M,'All Employees by Mode'!$C:$C,"="&amp;$C73))</f>
        <v>171849</v>
      </c>
      <c r="H73" s="160">
        <f>IF($AF$1,SUMIFS('All Employees by Mode'!O:O,'All Employees by Mode'!$C:$C,"="&amp;$C73,'All Employees by Mode'!$BE:$BE,"=No"),SUMIFS('All Employees by Mode'!O:O,'All Employees by Mode'!$C:$C,"="&amp;$C73))</f>
        <v>42108</v>
      </c>
      <c r="I73" s="160">
        <f>IF($AF$1,SUMIFS('All Employees by Mode'!Q:Q,'All Employees by Mode'!$C:$C,"="&amp;$C73,'All Employees by Mode'!$BE:$BE,"=No"),SUMIFS('All Employees by Mode'!Q:Q,'All Employees by Mode'!$C:$C,"="&amp;$C73))</f>
        <v>0</v>
      </c>
      <c r="J73" s="160">
        <f>IF($AF$1,SUMIFS('All Employees by Mode'!S:S,'All Employees by Mode'!$C:$C,"="&amp;$C73,'All Employees by Mode'!$BE:$BE,"=No"),SUMIFS('All Employees by Mode'!S:S,'All Employees by Mode'!$C:$C,"="&amp;$C73))</f>
        <v>13564</v>
      </c>
      <c r="K73" s="160">
        <f>IF($AF$1,SUMIFS('All Employees by Mode'!U:U,'All Employees by Mode'!$C:$C,"="&amp;$C73,'All Employees by Mode'!$BE:$BE,"=No"),SUMIFS('All Employees by Mode'!U:U,'All Employees by Mode'!$C:$C,"="&amp;$C73))</f>
        <v>0</v>
      </c>
      <c r="L73" s="160">
        <f>IF($AF$1,SUMIFS('All Employees by Mode'!W:W,'All Employees by Mode'!$C:$C,"="&amp;$C73,'All Employees by Mode'!$BE:$BE,"=No"),SUMIFS('All Employees by Mode'!W:W,'All Employees by Mode'!$C:$C,"="&amp;$C73))</f>
        <v>227521</v>
      </c>
      <c r="M73" s="160">
        <f>IF($AF$1,SUMIFS('All Employees by Mode'!Y:Y,'All Employees by Mode'!$C:$C,"="&amp;$C73,'All Employees by Mode'!$BE:$BE,"=No"),SUMIFS('All Employees by Mode'!Y:Y,'All Employees by Mode'!$C:$C,"="&amp;$C73))</f>
        <v>96.7</v>
      </c>
      <c r="N73" s="160">
        <f>IF($AF$1,SUMIFS('All Employees by Mode'!AA:AA,'All Employees by Mode'!$C:$C,"="&amp;$C73,'All Employees by Mode'!$BE:$BE,"=No"),SUMIFS('All Employees by Mode'!AA:AA,'All Employees by Mode'!$C:$C,"="&amp;$C73))</f>
        <v>22.91</v>
      </c>
      <c r="O73" s="160">
        <f>IF($AF$1,SUMIFS('All Employees by Mode'!AC:AC,'All Employees by Mode'!$C:$C,"="&amp;$C73,'All Employees by Mode'!$BE:$BE,"=No"),SUMIFS('All Employees by Mode'!AC:AC,'All Employees by Mode'!$C:$C,"="&amp;$C73))</f>
        <v>0</v>
      </c>
      <c r="P73" s="160">
        <f>IF($AF$1,SUMIFS('All Employees by Mode'!AE:AE,'All Employees by Mode'!$C:$C,"="&amp;$C73,'All Employees by Mode'!$BE:$BE,"=No"),SUMIFS('All Employees by Mode'!AE:AE,'All Employees by Mode'!$C:$C,"="&amp;$C73))</f>
        <v>7.71</v>
      </c>
      <c r="Q73" s="160">
        <f>IF($AF$1,SUMIFS('All Employees by Mode'!AG:AG,'All Employees by Mode'!$C:$C,"="&amp;$C73,'All Employees by Mode'!$BE:$BE,"=No"),SUMIFS('All Employees by Mode'!AG:AG,'All Employees by Mode'!$C:$C,"="&amp;$C73))</f>
        <v>0</v>
      </c>
      <c r="R73" s="160">
        <f>IF($AF$1,SUMIFS('All Employees by Mode'!AI:AI,'All Employees by Mode'!$C:$C,"="&amp;$C73,'All Employees by Mode'!$BE:$BE,"=No"),SUMIFS('All Employees by Mode'!AI:AI,'All Employees by Mode'!$C:$C,"="&amp;$C73))</f>
        <v>127.32</v>
      </c>
      <c r="S73" s="161">
        <f>IF($AF$1,SUMIFS('All Employees by Mode'!AK:AK,'All Employees by Mode'!$C:$C,"="&amp;$C73,'All Employees by Mode'!$BE:$BE,"=No"),SUMIFS('All Employees by Mode'!AK:AK,'All Employees by Mode'!$C:$C,"="&amp;$C73))</f>
        <v>3447587</v>
      </c>
      <c r="T73" s="161">
        <f>IF($AF$1,SUMIFS('All Employees by Mode'!AM:AM,'All Employees by Mode'!$C:$C,"="&amp;$C73,'All Employees by Mode'!$BE:$BE,"=No"),SUMIFS('All Employees by Mode'!AM:AM,'All Employees by Mode'!$C:$C,"="&amp;$C73))</f>
        <v>929113</v>
      </c>
      <c r="U73" s="161">
        <f>IF($AF$1,SUMIFS('All Employees by Mode'!AO:AO,'All Employees by Mode'!$C:$C,"="&amp;$C73,'All Employees by Mode'!$BE:$BE,"=No"),SUMIFS('All Employees by Mode'!AO:AO,'All Employees by Mode'!$C:$C,"="&amp;$C73))</f>
        <v>0</v>
      </c>
      <c r="V73" s="161">
        <f>IF($AF$1,SUMIFS('All Employees by Mode'!AQ:AQ,'All Employees by Mode'!$C:$C,"="&amp;$C73,'All Employees by Mode'!$BE:$BE,"=No"),SUMIFS('All Employees by Mode'!AQ:AQ,'All Employees by Mode'!$C:$C,"="&amp;$C73))</f>
        <v>296681</v>
      </c>
      <c r="W73" s="161">
        <f>IF($AF$1,SUMIFS('All Employees by Mode'!AS:AS,'All Employees by Mode'!$C:$C,"="&amp;$C73,'All Employees by Mode'!$BE:$BE,"=No"),SUMIFS('All Employees by Mode'!AS:AS,'All Employees by Mode'!$C:$C,"="&amp;$C73))</f>
        <v>4673381</v>
      </c>
      <c r="X73" s="162">
        <f t="shared" si="33"/>
        <v>20.061722791520463</v>
      </c>
      <c r="Y73" s="162">
        <f t="shared" si="34"/>
        <v>22.064999525030874</v>
      </c>
      <c r="Z73" s="162" t="str">
        <f t="shared" si="35"/>
        <v>-</v>
      </c>
      <c r="AA73" s="162">
        <f t="shared" si="36"/>
        <v>21.872677676201711</v>
      </c>
      <c r="AB73" s="271">
        <f t="shared" si="37"/>
        <v>20.540438025500944</v>
      </c>
      <c r="AC73" s="97"/>
      <c r="AD73" s="98"/>
      <c r="AE73" s="98"/>
      <c r="AF73" s="98"/>
      <c r="AG73" s="98"/>
      <c r="AH73" s="98"/>
      <c r="AI73" s="98"/>
      <c r="AJ73" s="98"/>
      <c r="AK73" s="98"/>
      <c r="AL73" s="98"/>
      <c r="AM73" s="98"/>
      <c r="AN73" s="98"/>
      <c r="AO73" s="304"/>
      <c r="AP73" s="304"/>
      <c r="AQ73" s="304"/>
      <c r="AR73" s="304"/>
      <c r="AS73" s="304"/>
      <c r="AT73" s="304"/>
      <c r="AU73" s="98"/>
      <c r="AV73" s="98"/>
    </row>
    <row r="74" spans="1:48">
      <c r="A74" s="96"/>
      <c r="B74" s="96"/>
      <c r="C74" s="195" t="s">
        <v>40</v>
      </c>
      <c r="D74" s="196" t="s">
        <v>970</v>
      </c>
      <c r="E74" s="197"/>
      <c r="F74" s="198">
        <f>IF($AF$1,SUMIFS('All Employees by Mode'!L:L,'All Employees by Mode'!$C:$C,"="&amp;$C74,'All Employees by Mode'!$BE:$BE,"=No"),SUMIFS('All Employees by Mode'!L:L,'All Employees by Mode'!$C:$C,"="&amp;$C74))</f>
        <v>5538</v>
      </c>
      <c r="G74" s="160">
        <f>IF($AF$1,SUMIFS('All Employees by Mode'!M:M,'All Employees by Mode'!$C:$C,"="&amp;$C74,'All Employees by Mode'!$BE:$BE,"=No"),SUMIFS('All Employees by Mode'!M:M,'All Employees by Mode'!$C:$C,"="&amp;$C74))</f>
        <v>19626386</v>
      </c>
      <c r="H74" s="160">
        <f>IF($AF$1,SUMIFS('All Employees by Mode'!O:O,'All Employees by Mode'!$C:$C,"="&amp;$C74,'All Employees by Mode'!$BE:$BE,"=No"),SUMIFS('All Employees by Mode'!O:O,'All Employees by Mode'!$C:$C,"="&amp;$C74))</f>
        <v>6293724</v>
      </c>
      <c r="I74" s="160">
        <f>IF($AF$1,SUMIFS('All Employees by Mode'!Q:Q,'All Employees by Mode'!$C:$C,"="&amp;$C74,'All Employees by Mode'!$BE:$BE,"=No"),SUMIFS('All Employees by Mode'!Q:Q,'All Employees by Mode'!$C:$C,"="&amp;$C74))</f>
        <v>4086727</v>
      </c>
      <c r="J74" s="160">
        <f>IF($AF$1,SUMIFS('All Employees by Mode'!S:S,'All Employees by Mode'!$C:$C,"="&amp;$C74,'All Employees by Mode'!$BE:$BE,"=No"),SUMIFS('All Employees by Mode'!S:S,'All Employees by Mode'!$C:$C,"="&amp;$C74))</f>
        <v>2526738</v>
      </c>
      <c r="K74" s="160">
        <f>IF($AF$1,SUMIFS('All Employees by Mode'!U:U,'All Employees by Mode'!$C:$C,"="&amp;$C74,'All Employees by Mode'!$BE:$BE,"=No"),SUMIFS('All Employees by Mode'!U:U,'All Employees by Mode'!$C:$C,"="&amp;$C74))</f>
        <v>1861526</v>
      </c>
      <c r="L74" s="160">
        <f>IF($AF$1,SUMIFS('All Employees by Mode'!W:W,'All Employees by Mode'!$C:$C,"="&amp;$C74,'All Employees by Mode'!$BE:$BE,"=No"),SUMIFS('All Employees by Mode'!W:W,'All Employees by Mode'!$C:$C,"="&amp;$C74))</f>
        <v>34395101</v>
      </c>
      <c r="M74" s="160">
        <f>IF($AF$1,SUMIFS('All Employees by Mode'!Y:Y,'All Employees by Mode'!$C:$C,"="&amp;$C74,'All Employees by Mode'!$BE:$BE,"=No"),SUMIFS('All Employees by Mode'!Y:Y,'All Employees by Mode'!$C:$C,"="&amp;$C74))</f>
        <v>10876.4</v>
      </c>
      <c r="N74" s="160">
        <f>IF($AF$1,SUMIFS('All Employees by Mode'!AA:AA,'All Employees by Mode'!$C:$C,"="&amp;$C74,'All Employees by Mode'!$BE:$BE,"=No"),SUMIFS('All Employees by Mode'!AA:AA,'All Employees by Mode'!$C:$C,"="&amp;$C74))</f>
        <v>3468.7599999999993</v>
      </c>
      <c r="O74" s="160">
        <f>IF($AF$1,SUMIFS('All Employees by Mode'!AC:AC,'All Employees by Mode'!$C:$C,"="&amp;$C74,'All Employees by Mode'!$BE:$BE,"=No"),SUMIFS('All Employees by Mode'!AC:AC,'All Employees by Mode'!$C:$C,"="&amp;$C74))</f>
        <v>2207.9900000000002</v>
      </c>
      <c r="P74" s="160">
        <f>IF($AF$1,SUMIFS('All Employees by Mode'!AE:AE,'All Employees by Mode'!$C:$C,"="&amp;$C74,'All Employees by Mode'!$BE:$BE,"=No"),SUMIFS('All Employees by Mode'!AE:AE,'All Employees by Mode'!$C:$C,"="&amp;$C74))</f>
        <v>1423.35</v>
      </c>
      <c r="Q74" s="160">
        <f>IF($AF$1,SUMIFS('All Employees by Mode'!AG:AG,'All Employees by Mode'!$C:$C,"="&amp;$C74,'All Employees by Mode'!$BE:$BE,"=No"),SUMIFS('All Employees by Mode'!AG:AG,'All Employees by Mode'!$C:$C,"="&amp;$C74))</f>
        <v>999.27</v>
      </c>
      <c r="R74" s="160">
        <f>IF($AF$1,SUMIFS('All Employees by Mode'!AI:AI,'All Employees by Mode'!$C:$C,"="&amp;$C74,'All Employees by Mode'!$BE:$BE,"=No"),SUMIFS('All Employees by Mode'!AI:AI,'All Employees by Mode'!$C:$C,"="&amp;$C74))</f>
        <v>18975.770000000004</v>
      </c>
      <c r="S74" s="161">
        <f>IF($AF$1,SUMIFS('All Employees by Mode'!AK:AK,'All Employees by Mode'!$C:$C,"="&amp;$C74,'All Employees by Mode'!$BE:$BE,"=No"),SUMIFS('All Employees by Mode'!AK:AK,'All Employees by Mode'!$C:$C,"="&amp;$C74))</f>
        <v>594049487</v>
      </c>
      <c r="T74" s="161">
        <f>IF($AF$1,SUMIFS('All Employees by Mode'!AM:AM,'All Employees by Mode'!$C:$C,"="&amp;$C74,'All Employees by Mode'!$BE:$BE,"=No"),SUMIFS('All Employees by Mode'!AM:AM,'All Employees by Mode'!$C:$C,"="&amp;$C74))</f>
        <v>195209550</v>
      </c>
      <c r="U74" s="161">
        <f>IF($AF$1,SUMIFS('All Employees by Mode'!AO:AO,'All Employees by Mode'!$C:$C,"="&amp;$C74,'All Employees by Mode'!$BE:$BE,"=No"),SUMIFS('All Employees by Mode'!AO:AO,'All Employees by Mode'!$C:$C,"="&amp;$C74))</f>
        <v>150246546</v>
      </c>
      <c r="V74" s="161">
        <f>IF($AF$1,SUMIFS('All Employees by Mode'!AQ:AQ,'All Employees by Mode'!$C:$C,"="&amp;$C74,'All Employees by Mode'!$BE:$BE,"=No"),SUMIFS('All Employees by Mode'!AQ:AQ,'All Employees by Mode'!$C:$C,"="&amp;$C74))</f>
        <v>81481430</v>
      </c>
      <c r="W74" s="161">
        <f>IF($AF$1,SUMIFS('All Employees by Mode'!AS:AS,'All Employees by Mode'!$C:$C,"="&amp;$C74,'All Employees by Mode'!$BE:$BE,"=No"),SUMIFS('All Employees by Mode'!AS:AS,'All Employees by Mode'!$C:$C,"="&amp;$C74))</f>
        <v>1020987013</v>
      </c>
      <c r="X74" s="162">
        <f t="shared" si="33"/>
        <v>30.267899907807784</v>
      </c>
      <c r="Y74" s="162">
        <f t="shared" si="34"/>
        <v>31.016541240130646</v>
      </c>
      <c r="Z74" s="162">
        <f t="shared" si="35"/>
        <v>36.764517424334926</v>
      </c>
      <c r="AA74" s="162">
        <f t="shared" si="36"/>
        <v>32.247676648706751</v>
      </c>
      <c r="AB74" s="271">
        <f t="shared" si="37"/>
        <v>31.382564412303289</v>
      </c>
      <c r="AC74" s="97"/>
      <c r="AD74" s="98"/>
      <c r="AE74" s="98"/>
      <c r="AF74" s="98"/>
      <c r="AG74" s="98"/>
      <c r="AH74" s="98"/>
      <c r="AI74" s="98"/>
      <c r="AJ74" s="98"/>
      <c r="AK74" s="98"/>
      <c r="AL74" s="98"/>
      <c r="AM74" s="98"/>
      <c r="AN74" s="98"/>
      <c r="AO74" s="304"/>
      <c r="AP74" s="304"/>
      <c r="AQ74" s="304"/>
      <c r="AR74" s="304"/>
      <c r="AS74" s="304"/>
      <c r="AT74" s="304"/>
      <c r="AU74" s="98"/>
      <c r="AV74" s="98"/>
    </row>
    <row r="75" spans="1:48">
      <c r="A75" s="96"/>
      <c r="B75" s="96"/>
      <c r="C75" s="195" t="s">
        <v>42</v>
      </c>
      <c r="D75" s="196" t="s">
        <v>971</v>
      </c>
      <c r="E75" s="197"/>
      <c r="F75" s="198">
        <f>IF($AF$1,SUMIFS('All Employees by Mode'!L:L,'All Employees by Mode'!$C:$C,"="&amp;$C75,'All Employees by Mode'!$BE:$BE,"=No"),SUMIFS('All Employees by Mode'!L:L,'All Employees by Mode'!$C:$C,"="&amp;$C75))</f>
        <v>574</v>
      </c>
      <c r="G75" s="160">
        <f>IF($AF$1,SUMIFS('All Employees by Mode'!M:M,'All Employees by Mode'!$C:$C,"="&amp;$C75,'All Employees by Mode'!$BE:$BE,"=No"),SUMIFS('All Employees by Mode'!M:M,'All Employees by Mode'!$C:$C,"="&amp;$C75))</f>
        <v>2254180</v>
      </c>
      <c r="H75" s="160">
        <f>IF($AF$1,SUMIFS('All Employees by Mode'!O:O,'All Employees by Mode'!$C:$C,"="&amp;$C75,'All Employees by Mode'!$BE:$BE,"=No"),SUMIFS('All Employees by Mode'!O:O,'All Employees by Mode'!$C:$C,"="&amp;$C75))</f>
        <v>524542</v>
      </c>
      <c r="I75" s="160">
        <f>IF($AF$1,SUMIFS('All Employees by Mode'!Q:Q,'All Employees by Mode'!$C:$C,"="&amp;$C75,'All Employees by Mode'!$BE:$BE,"=No"),SUMIFS('All Employees by Mode'!Q:Q,'All Employees by Mode'!$C:$C,"="&amp;$C75))</f>
        <v>222392</v>
      </c>
      <c r="J75" s="160">
        <f>IF($AF$1,SUMIFS('All Employees by Mode'!S:S,'All Employees by Mode'!$C:$C,"="&amp;$C75,'All Employees by Mode'!$BE:$BE,"=No"),SUMIFS('All Employees by Mode'!S:S,'All Employees by Mode'!$C:$C,"="&amp;$C75))</f>
        <v>285822</v>
      </c>
      <c r="K75" s="160">
        <f>IF($AF$1,SUMIFS('All Employees by Mode'!U:U,'All Employees by Mode'!$C:$C,"="&amp;$C75,'All Employees by Mode'!$BE:$BE,"=No"),SUMIFS('All Employees by Mode'!U:U,'All Employees by Mode'!$C:$C,"="&amp;$C75))</f>
        <v>46020</v>
      </c>
      <c r="L75" s="160">
        <f>IF($AF$1,SUMIFS('All Employees by Mode'!W:W,'All Employees by Mode'!$C:$C,"="&amp;$C75,'All Employees by Mode'!$BE:$BE,"=No"),SUMIFS('All Employees by Mode'!W:W,'All Employees by Mode'!$C:$C,"="&amp;$C75))</f>
        <v>3332956</v>
      </c>
      <c r="M75" s="160">
        <f>IF($AF$1,SUMIFS('All Employees by Mode'!Y:Y,'All Employees by Mode'!$C:$C,"="&amp;$C75,'All Employees by Mode'!$BE:$BE,"=No"),SUMIFS('All Employees by Mode'!Y:Y,'All Employees by Mode'!$C:$C,"="&amp;$C75))</f>
        <v>1193.5</v>
      </c>
      <c r="N75" s="160">
        <f>IF($AF$1,SUMIFS('All Employees by Mode'!AA:AA,'All Employees by Mode'!$C:$C,"="&amp;$C75,'All Employees by Mode'!$BE:$BE,"=No"),SUMIFS('All Employees by Mode'!AA:AA,'All Employees by Mode'!$C:$C,"="&amp;$C75))</f>
        <v>273.84000000000003</v>
      </c>
      <c r="O75" s="160">
        <f>IF($AF$1,SUMIFS('All Employees by Mode'!AC:AC,'All Employees by Mode'!$C:$C,"="&amp;$C75,'All Employees by Mode'!$BE:$BE,"=No"),SUMIFS('All Employees by Mode'!AC:AC,'All Employees by Mode'!$C:$C,"="&amp;$C75))</f>
        <v>118.43</v>
      </c>
      <c r="P75" s="160">
        <f>IF($AF$1,SUMIFS('All Employees by Mode'!AE:AE,'All Employees by Mode'!$C:$C,"="&amp;$C75,'All Employees by Mode'!$BE:$BE,"=No"),SUMIFS('All Employees by Mode'!AE:AE,'All Employees by Mode'!$C:$C,"="&amp;$C75))</f>
        <v>167</v>
      </c>
      <c r="Q75" s="160">
        <f>IF($AF$1,SUMIFS('All Employees by Mode'!AG:AG,'All Employees by Mode'!$C:$C,"="&amp;$C75,'All Employees by Mode'!$BE:$BE,"=No"),SUMIFS('All Employees by Mode'!AG:AG,'All Employees by Mode'!$C:$C,"="&amp;$C75))</f>
        <v>22</v>
      </c>
      <c r="R75" s="160">
        <f>IF($AF$1,SUMIFS('All Employees by Mode'!AI:AI,'All Employees by Mode'!$C:$C,"="&amp;$C75,'All Employees by Mode'!$BE:$BE,"=No"),SUMIFS('All Employees by Mode'!AI:AI,'All Employees by Mode'!$C:$C,"="&amp;$C75))</f>
        <v>1774.77</v>
      </c>
      <c r="S75" s="161">
        <f>IF($AF$1,SUMIFS('All Employees by Mode'!AK:AK,'All Employees by Mode'!$C:$C,"="&amp;$C75,'All Employees by Mode'!$BE:$BE,"=No"),SUMIFS('All Employees by Mode'!AK:AK,'All Employees by Mode'!$C:$C,"="&amp;$C75))</f>
        <v>47486147</v>
      </c>
      <c r="T75" s="161">
        <f>IF($AF$1,SUMIFS('All Employees by Mode'!AM:AM,'All Employees by Mode'!$C:$C,"="&amp;$C75,'All Employees by Mode'!$BE:$BE,"=No"),SUMIFS('All Employees by Mode'!AM:AM,'All Employees by Mode'!$C:$C,"="&amp;$C75))</f>
        <v>12731617</v>
      </c>
      <c r="U75" s="161">
        <f>IF($AF$1,SUMIFS('All Employees by Mode'!AO:AO,'All Employees by Mode'!$C:$C,"="&amp;$C75,'All Employees by Mode'!$BE:$BE,"=No"),SUMIFS('All Employees by Mode'!AO:AO,'All Employees by Mode'!$C:$C,"="&amp;$C75))</f>
        <v>3902892</v>
      </c>
      <c r="V75" s="161">
        <f>IF($AF$1,SUMIFS('All Employees by Mode'!AQ:AQ,'All Employees by Mode'!$C:$C,"="&amp;$C75,'All Employees by Mode'!$BE:$BE,"=No"),SUMIFS('All Employees by Mode'!AQ:AQ,'All Employees by Mode'!$C:$C,"="&amp;$C75))</f>
        <v>7940086</v>
      </c>
      <c r="W75" s="161">
        <f>IF($AF$1,SUMIFS('All Employees by Mode'!AS:AS,'All Employees by Mode'!$C:$C,"="&amp;$C75,'All Employees by Mode'!$BE:$BE,"=No"),SUMIFS('All Employees by Mode'!AS:AS,'All Employees by Mode'!$C:$C,"="&amp;$C75))</f>
        <v>72060742</v>
      </c>
      <c r="X75" s="162">
        <f t="shared" si="33"/>
        <v>21.06581861253316</v>
      </c>
      <c r="Y75" s="162">
        <f t="shared" si="34"/>
        <v>24.271873367623567</v>
      </c>
      <c r="Z75" s="162">
        <f t="shared" si="35"/>
        <v>17.549606100938881</v>
      </c>
      <c r="AA75" s="162">
        <f t="shared" si="36"/>
        <v>27.779828004842173</v>
      </c>
      <c r="AB75" s="271">
        <f t="shared" si="37"/>
        <v>21.923378489876285</v>
      </c>
      <c r="AC75" s="97"/>
      <c r="AD75" s="98"/>
      <c r="AE75" s="98"/>
      <c r="AF75" s="98"/>
      <c r="AG75" s="98"/>
      <c r="AH75" s="98"/>
      <c r="AI75" s="98"/>
      <c r="AJ75" s="98"/>
      <c r="AK75" s="98"/>
      <c r="AL75" s="98"/>
      <c r="AM75" s="98"/>
      <c r="AN75" s="98"/>
      <c r="AO75" s="304"/>
      <c r="AP75" s="304"/>
      <c r="AQ75" s="304"/>
      <c r="AR75" s="304"/>
      <c r="AS75" s="304"/>
      <c r="AT75" s="304"/>
      <c r="AU75" s="98"/>
      <c r="AV75" s="98"/>
    </row>
    <row r="76" spans="1:48">
      <c r="A76" s="96"/>
      <c r="B76" s="96"/>
      <c r="C76" s="195" t="s">
        <v>44</v>
      </c>
      <c r="D76" s="196" t="s">
        <v>972</v>
      </c>
      <c r="E76" s="197"/>
      <c r="F76" s="198">
        <f>IF($AF$1,SUMIFS('All Employees by Mode'!L:L,'All Employees by Mode'!$C:$C,"="&amp;$C76,'All Employees by Mode'!$BE:$BE,"=No"),SUMIFS('All Employees by Mode'!L:L,'All Employees by Mode'!$C:$C,"="&amp;$C76))</f>
        <v>91</v>
      </c>
      <c r="G76" s="160">
        <f>IF($AF$1,SUMIFS('All Employees by Mode'!M:M,'All Employees by Mode'!$C:$C,"="&amp;$C76,'All Employees by Mode'!$BE:$BE,"=No"),SUMIFS('All Employees by Mode'!M:M,'All Employees by Mode'!$C:$C,"="&amp;$C76))</f>
        <v>313327</v>
      </c>
      <c r="H76" s="160">
        <f>IF($AF$1,SUMIFS('All Employees by Mode'!O:O,'All Employees by Mode'!$C:$C,"="&amp;$C76,'All Employees by Mode'!$BE:$BE,"=No"),SUMIFS('All Employees by Mode'!O:O,'All Employees by Mode'!$C:$C,"="&amp;$C76))</f>
        <v>52370</v>
      </c>
      <c r="I76" s="160">
        <f>IF($AF$1,SUMIFS('All Employees by Mode'!Q:Q,'All Employees by Mode'!$C:$C,"="&amp;$C76,'All Employees by Mode'!$BE:$BE,"=No"),SUMIFS('All Employees by Mode'!Q:Q,'All Employees by Mode'!$C:$C,"="&amp;$C76))</f>
        <v>13247</v>
      </c>
      <c r="J76" s="160">
        <f>IF($AF$1,SUMIFS('All Employees by Mode'!S:S,'All Employees by Mode'!$C:$C,"="&amp;$C76,'All Employees by Mode'!$BE:$BE,"=No"),SUMIFS('All Employees by Mode'!S:S,'All Employees by Mode'!$C:$C,"="&amp;$C76))</f>
        <v>47647</v>
      </c>
      <c r="K76" s="160">
        <f>IF($AF$1,SUMIFS('All Employees by Mode'!U:U,'All Employees by Mode'!$C:$C,"="&amp;$C76,'All Employees by Mode'!$BE:$BE,"=No"),SUMIFS('All Employees by Mode'!U:U,'All Employees by Mode'!$C:$C,"="&amp;$C76))</f>
        <v>0</v>
      </c>
      <c r="L76" s="160">
        <f>IF($AF$1,SUMIFS('All Employees by Mode'!W:W,'All Employees by Mode'!$C:$C,"="&amp;$C76,'All Employees by Mode'!$BE:$BE,"=No"),SUMIFS('All Employees by Mode'!W:W,'All Employees by Mode'!$C:$C,"="&amp;$C76))</f>
        <v>426591</v>
      </c>
      <c r="M76" s="160">
        <f>IF($AF$1,SUMIFS('All Employees by Mode'!Y:Y,'All Employees by Mode'!$C:$C,"="&amp;$C76,'All Employees by Mode'!$BE:$BE,"=No"),SUMIFS('All Employees by Mode'!Y:Y,'All Employees by Mode'!$C:$C,"="&amp;$C76))</f>
        <v>164.20000000000002</v>
      </c>
      <c r="N76" s="160">
        <f>IF($AF$1,SUMIFS('All Employees by Mode'!AA:AA,'All Employees by Mode'!$C:$C,"="&amp;$C76,'All Employees by Mode'!$BE:$BE,"=No"),SUMIFS('All Employees by Mode'!AA:AA,'All Employees by Mode'!$C:$C,"="&amp;$C76))</f>
        <v>27.330000000000002</v>
      </c>
      <c r="O76" s="160">
        <f>IF($AF$1,SUMIFS('All Employees by Mode'!AC:AC,'All Employees by Mode'!$C:$C,"="&amp;$C76,'All Employees by Mode'!$BE:$BE,"=No"),SUMIFS('All Employees by Mode'!AC:AC,'All Employees by Mode'!$C:$C,"="&amp;$C76))</f>
        <v>7.0600000000000005</v>
      </c>
      <c r="P76" s="160">
        <f>IF($AF$1,SUMIFS('All Employees by Mode'!AE:AE,'All Employees by Mode'!$C:$C,"="&amp;$C76,'All Employees by Mode'!$BE:$BE,"=No"),SUMIFS('All Employees by Mode'!AE:AE,'All Employees by Mode'!$C:$C,"="&amp;$C76))</f>
        <v>27.189999999999998</v>
      </c>
      <c r="Q76" s="160">
        <f>IF($AF$1,SUMIFS('All Employees by Mode'!AG:AG,'All Employees by Mode'!$C:$C,"="&amp;$C76,'All Employees by Mode'!$BE:$BE,"=No"),SUMIFS('All Employees by Mode'!AG:AG,'All Employees by Mode'!$C:$C,"="&amp;$C76))</f>
        <v>0</v>
      </c>
      <c r="R76" s="160">
        <f>IF($AF$1,SUMIFS('All Employees by Mode'!AI:AI,'All Employees by Mode'!$C:$C,"="&amp;$C76,'All Employees by Mode'!$BE:$BE,"=No"),SUMIFS('All Employees by Mode'!AI:AI,'All Employees by Mode'!$C:$C,"="&amp;$C76))</f>
        <v>225.78</v>
      </c>
      <c r="S76" s="161">
        <f>IF($AF$1,SUMIFS('All Employees by Mode'!AK:AK,'All Employees by Mode'!$C:$C,"="&amp;$C76,'All Employees by Mode'!$BE:$BE,"=No"),SUMIFS('All Employees by Mode'!AK:AK,'All Employees by Mode'!$C:$C,"="&amp;$C76))</f>
        <v>6181824</v>
      </c>
      <c r="T76" s="161">
        <f>IF($AF$1,SUMIFS('All Employees by Mode'!AM:AM,'All Employees by Mode'!$C:$C,"="&amp;$C76,'All Employees by Mode'!$BE:$BE,"=No"),SUMIFS('All Employees by Mode'!AM:AM,'All Employees by Mode'!$C:$C,"="&amp;$C76))</f>
        <v>1157564</v>
      </c>
      <c r="U76" s="161">
        <f>IF($AF$1,SUMIFS('All Employees by Mode'!AO:AO,'All Employees by Mode'!$C:$C,"="&amp;$C76,'All Employees by Mode'!$BE:$BE,"=No"),SUMIFS('All Employees by Mode'!AO:AO,'All Employees by Mode'!$C:$C,"="&amp;$C76))</f>
        <v>213040</v>
      </c>
      <c r="V76" s="161">
        <f>IF($AF$1,SUMIFS('All Employees by Mode'!AQ:AQ,'All Employees by Mode'!$C:$C,"="&amp;$C76,'All Employees by Mode'!$BE:$BE,"=No"),SUMIFS('All Employees by Mode'!AQ:AQ,'All Employees by Mode'!$C:$C,"="&amp;$C76))</f>
        <v>1431526</v>
      </c>
      <c r="W76" s="161">
        <f>IF($AF$1,SUMIFS('All Employees by Mode'!AS:AS,'All Employees by Mode'!$C:$C,"="&amp;$C76,'All Employees by Mode'!$BE:$BE,"=No"),SUMIFS('All Employees by Mode'!AS:AS,'All Employees by Mode'!$C:$C,"="&amp;$C76))</f>
        <v>8983954</v>
      </c>
      <c r="X76" s="162">
        <f t="shared" si="33"/>
        <v>19.729624322193747</v>
      </c>
      <c r="Y76" s="162">
        <f t="shared" si="34"/>
        <v>22.103570746610654</v>
      </c>
      <c r="Z76" s="162">
        <f t="shared" si="35"/>
        <v>16.082131803427192</v>
      </c>
      <c r="AA76" s="162">
        <f t="shared" si="36"/>
        <v>30.044409931370286</v>
      </c>
      <c r="AB76" s="271">
        <f t="shared" si="37"/>
        <v>21.059877025066164</v>
      </c>
      <c r="AC76" s="97"/>
      <c r="AD76" s="98"/>
      <c r="AE76" s="98"/>
      <c r="AF76" s="98"/>
      <c r="AG76" s="98"/>
      <c r="AH76" s="98"/>
      <c r="AI76" s="98"/>
      <c r="AJ76" s="98"/>
      <c r="AK76" s="98"/>
      <c r="AL76" s="98"/>
      <c r="AM76" s="98"/>
      <c r="AN76" s="98"/>
      <c r="AO76" s="304"/>
      <c r="AP76" s="304"/>
      <c r="AQ76" s="304"/>
      <c r="AR76" s="304"/>
      <c r="AS76" s="304"/>
      <c r="AT76" s="304"/>
      <c r="AU76" s="98"/>
      <c r="AV76" s="98"/>
    </row>
    <row r="77" spans="1:48">
      <c r="A77" s="96"/>
      <c r="B77" s="96"/>
      <c r="C77" s="195" t="s">
        <v>45</v>
      </c>
      <c r="D77" s="196" t="s">
        <v>973</v>
      </c>
      <c r="E77" s="197"/>
      <c r="F77" s="198">
        <f>IF($AF$1,SUMIFS('All Employees by Mode'!L:L,'All Employees by Mode'!$C:$C,"="&amp;$C77,'All Employees by Mode'!$BE:$BE,"=No"),SUMIFS('All Employees by Mode'!L:L,'All Employees by Mode'!$C:$C,"="&amp;$C77))</f>
        <v>557</v>
      </c>
      <c r="G77" s="160">
        <f>IF($AF$1,SUMIFS('All Employees by Mode'!M:M,'All Employees by Mode'!$C:$C,"="&amp;$C77,'All Employees by Mode'!$BE:$BE,"=No"),SUMIFS('All Employees by Mode'!M:M,'All Employees by Mode'!$C:$C,"="&amp;$C77))</f>
        <v>1715312</v>
      </c>
      <c r="H77" s="160">
        <f>IF($AF$1,SUMIFS('All Employees by Mode'!O:O,'All Employees by Mode'!$C:$C,"="&amp;$C77,'All Employees by Mode'!$BE:$BE,"=No"),SUMIFS('All Employees by Mode'!O:O,'All Employees by Mode'!$C:$C,"="&amp;$C77))</f>
        <v>365206</v>
      </c>
      <c r="I77" s="160">
        <f>IF($AF$1,SUMIFS('All Employees by Mode'!Q:Q,'All Employees by Mode'!$C:$C,"="&amp;$C77,'All Employees by Mode'!$BE:$BE,"=No"),SUMIFS('All Employees by Mode'!Q:Q,'All Employees by Mode'!$C:$C,"="&amp;$C77))</f>
        <v>47412</v>
      </c>
      <c r="J77" s="160">
        <f>IF($AF$1,SUMIFS('All Employees by Mode'!S:S,'All Employees by Mode'!$C:$C,"="&amp;$C77,'All Employees by Mode'!$BE:$BE,"=No"),SUMIFS('All Employees by Mode'!S:S,'All Employees by Mode'!$C:$C,"="&amp;$C77))</f>
        <v>231000</v>
      </c>
      <c r="K77" s="160">
        <f>IF($AF$1,SUMIFS('All Employees by Mode'!U:U,'All Employees by Mode'!$C:$C,"="&amp;$C77,'All Employees by Mode'!$BE:$BE,"=No"),SUMIFS('All Employees by Mode'!U:U,'All Employees by Mode'!$C:$C,"="&amp;$C77))</f>
        <v>0</v>
      </c>
      <c r="L77" s="160">
        <f>IF($AF$1,SUMIFS('All Employees by Mode'!W:W,'All Employees by Mode'!$C:$C,"="&amp;$C77,'All Employees by Mode'!$BE:$BE,"=No"),SUMIFS('All Employees by Mode'!W:W,'All Employees by Mode'!$C:$C,"="&amp;$C77))</f>
        <v>2358930</v>
      </c>
      <c r="M77" s="160">
        <f>IF($AF$1,SUMIFS('All Employees by Mode'!Y:Y,'All Employees by Mode'!$C:$C,"="&amp;$C77,'All Employees by Mode'!$BE:$BE,"=No"),SUMIFS('All Employees by Mode'!Y:Y,'All Employees by Mode'!$C:$C,"="&amp;$C77))</f>
        <v>971.5</v>
      </c>
      <c r="N77" s="160">
        <f>IF($AF$1,SUMIFS('All Employees by Mode'!AA:AA,'All Employees by Mode'!$C:$C,"="&amp;$C77,'All Employees by Mode'!$BE:$BE,"=No"),SUMIFS('All Employees by Mode'!AA:AA,'All Employees by Mode'!$C:$C,"="&amp;$C77))</f>
        <v>197.99</v>
      </c>
      <c r="O77" s="160">
        <f>IF($AF$1,SUMIFS('All Employees by Mode'!AC:AC,'All Employees by Mode'!$C:$C,"="&amp;$C77,'All Employees by Mode'!$BE:$BE,"=No"),SUMIFS('All Employees by Mode'!AC:AC,'All Employees by Mode'!$C:$C,"="&amp;$C77))</f>
        <v>25.06</v>
      </c>
      <c r="P77" s="160">
        <f>IF($AF$1,SUMIFS('All Employees by Mode'!AE:AE,'All Employees by Mode'!$C:$C,"="&amp;$C77,'All Employees by Mode'!$BE:$BE,"=No"),SUMIFS('All Employees by Mode'!AE:AE,'All Employees by Mode'!$C:$C,"="&amp;$C77))</f>
        <v>137</v>
      </c>
      <c r="Q77" s="160">
        <f>IF($AF$1,SUMIFS('All Employees by Mode'!AG:AG,'All Employees by Mode'!$C:$C,"="&amp;$C77,'All Employees by Mode'!$BE:$BE,"=No"),SUMIFS('All Employees by Mode'!AG:AG,'All Employees by Mode'!$C:$C,"="&amp;$C77))</f>
        <v>0</v>
      </c>
      <c r="R77" s="160">
        <f>IF($AF$1,SUMIFS('All Employees by Mode'!AI:AI,'All Employees by Mode'!$C:$C,"="&amp;$C77,'All Employees by Mode'!$BE:$BE,"=No"),SUMIFS('All Employees by Mode'!AI:AI,'All Employees by Mode'!$C:$C,"="&amp;$C77))</f>
        <v>1331.55</v>
      </c>
      <c r="S77" s="161">
        <f>IF($AF$1,SUMIFS('All Employees by Mode'!AK:AK,'All Employees by Mode'!$C:$C,"="&amp;$C77,'All Employees by Mode'!$BE:$BE,"=No"),SUMIFS('All Employees by Mode'!AK:AK,'All Employees by Mode'!$C:$C,"="&amp;$C77))</f>
        <v>35001556</v>
      </c>
      <c r="T77" s="161">
        <f>IF($AF$1,SUMIFS('All Employees by Mode'!AM:AM,'All Employees by Mode'!$C:$C,"="&amp;$C77,'All Employees by Mode'!$BE:$BE,"=No"),SUMIFS('All Employees by Mode'!AM:AM,'All Employees by Mode'!$C:$C,"="&amp;$C77))</f>
        <v>8332836</v>
      </c>
      <c r="U77" s="161">
        <f>IF($AF$1,SUMIFS('All Employees by Mode'!AO:AO,'All Employees by Mode'!$C:$C,"="&amp;$C77,'All Employees by Mode'!$BE:$BE,"=No"),SUMIFS('All Employees by Mode'!AO:AO,'All Employees by Mode'!$C:$C,"="&amp;$C77))</f>
        <v>923817</v>
      </c>
      <c r="V77" s="161">
        <f>IF($AF$1,SUMIFS('All Employees by Mode'!AQ:AQ,'All Employees by Mode'!$C:$C,"="&amp;$C77,'All Employees by Mode'!$BE:$BE,"=No"),SUMIFS('All Employees by Mode'!AQ:AQ,'All Employees by Mode'!$C:$C,"="&amp;$C77))</f>
        <v>5494590</v>
      </c>
      <c r="W77" s="161">
        <f>IF($AF$1,SUMIFS('All Employees by Mode'!AS:AS,'All Employees by Mode'!$C:$C,"="&amp;$C77,'All Employees by Mode'!$BE:$BE,"=No"),SUMIFS('All Employees by Mode'!AS:AS,'All Employees by Mode'!$C:$C,"="&amp;$C77))</f>
        <v>49752799</v>
      </c>
      <c r="X77" s="162">
        <f t="shared" si="33"/>
        <v>20.405358325482478</v>
      </c>
      <c r="Y77" s="162">
        <f t="shared" si="34"/>
        <v>22.816810238605061</v>
      </c>
      <c r="Z77" s="162">
        <f t="shared" si="35"/>
        <v>19.48487724626677</v>
      </c>
      <c r="AA77" s="162">
        <f t="shared" si="36"/>
        <v>23.786103896103896</v>
      </c>
      <c r="AB77" s="271">
        <f t="shared" si="37"/>
        <v>21.091257052985888</v>
      </c>
      <c r="AC77" s="97"/>
      <c r="AD77" s="98"/>
      <c r="AE77" s="98"/>
      <c r="AF77" s="98"/>
      <c r="AG77" s="98"/>
      <c r="AH77" s="98"/>
      <c r="AI77" s="98"/>
      <c r="AJ77" s="98"/>
      <c r="AK77" s="98"/>
      <c r="AL77" s="98"/>
      <c r="AM77" s="98"/>
      <c r="AN77" s="98"/>
      <c r="AO77" s="304"/>
      <c r="AP77" s="304"/>
      <c r="AQ77" s="304"/>
      <c r="AR77" s="304"/>
      <c r="AS77" s="304"/>
      <c r="AT77" s="304"/>
      <c r="AU77" s="98"/>
      <c r="AV77" s="98"/>
    </row>
    <row r="78" spans="1:48">
      <c r="A78" s="96"/>
      <c r="B78" s="96"/>
      <c r="C78" s="195" t="s">
        <v>46</v>
      </c>
      <c r="D78" s="196" t="s">
        <v>974</v>
      </c>
      <c r="E78" s="197"/>
      <c r="F78" s="198">
        <f>IF($AF$1,SUMIFS('All Employees by Mode'!L:L,'All Employees by Mode'!$C:$C,"="&amp;$C78,'All Employees by Mode'!$BE:$BE,"=No"),SUMIFS('All Employees by Mode'!L:L,'All Employees by Mode'!$C:$C,"="&amp;$C78))</f>
        <v>133</v>
      </c>
      <c r="G78" s="160">
        <f>IF($AF$1,SUMIFS('All Employees by Mode'!M:M,'All Employees by Mode'!$C:$C,"="&amp;$C78,'All Employees by Mode'!$BE:$BE,"=No"),SUMIFS('All Employees by Mode'!M:M,'All Employees by Mode'!$C:$C,"="&amp;$C78))</f>
        <v>749604</v>
      </c>
      <c r="H78" s="160">
        <f>IF($AF$1,SUMIFS('All Employees by Mode'!O:O,'All Employees by Mode'!$C:$C,"="&amp;$C78,'All Employees by Mode'!$BE:$BE,"=No"),SUMIFS('All Employees by Mode'!O:O,'All Employees by Mode'!$C:$C,"="&amp;$C78))</f>
        <v>135244</v>
      </c>
      <c r="I78" s="160">
        <f>IF($AF$1,SUMIFS('All Employees by Mode'!Q:Q,'All Employees by Mode'!$C:$C,"="&amp;$C78,'All Employees by Mode'!$BE:$BE,"=No"),SUMIFS('All Employees by Mode'!Q:Q,'All Employees by Mode'!$C:$C,"="&amp;$C78))</f>
        <v>62639</v>
      </c>
      <c r="J78" s="160">
        <f>IF($AF$1,SUMIFS('All Employees by Mode'!S:S,'All Employees by Mode'!$C:$C,"="&amp;$C78,'All Employees by Mode'!$BE:$BE,"=No"),SUMIFS('All Employees by Mode'!S:S,'All Employees by Mode'!$C:$C,"="&amp;$C78))</f>
        <v>134127</v>
      </c>
      <c r="K78" s="160">
        <f>IF($AF$1,SUMIFS('All Employees by Mode'!U:U,'All Employees by Mode'!$C:$C,"="&amp;$C78,'All Employees by Mode'!$BE:$BE,"=No"),SUMIFS('All Employees by Mode'!U:U,'All Employees by Mode'!$C:$C,"="&amp;$C78))</f>
        <v>0</v>
      </c>
      <c r="L78" s="160">
        <f>IF($AF$1,SUMIFS('All Employees by Mode'!W:W,'All Employees by Mode'!$C:$C,"="&amp;$C78,'All Employees by Mode'!$BE:$BE,"=No"),SUMIFS('All Employees by Mode'!W:W,'All Employees by Mode'!$C:$C,"="&amp;$C78))</f>
        <v>1081614</v>
      </c>
      <c r="M78" s="160">
        <f>IF($AF$1,SUMIFS('All Employees by Mode'!Y:Y,'All Employees by Mode'!$C:$C,"="&amp;$C78,'All Employees by Mode'!$BE:$BE,"=No"),SUMIFS('All Employees by Mode'!Y:Y,'All Employees by Mode'!$C:$C,"="&amp;$C78))</f>
        <v>380</v>
      </c>
      <c r="N78" s="160">
        <f>IF($AF$1,SUMIFS('All Employees by Mode'!AA:AA,'All Employees by Mode'!$C:$C,"="&amp;$C78,'All Employees by Mode'!$BE:$BE,"=No"),SUMIFS('All Employees by Mode'!AA:AA,'All Employees by Mode'!$C:$C,"="&amp;$C78))</f>
        <v>70</v>
      </c>
      <c r="O78" s="160">
        <f>IF($AF$1,SUMIFS('All Employees by Mode'!AC:AC,'All Employees by Mode'!$C:$C,"="&amp;$C78,'All Employees by Mode'!$BE:$BE,"=No"),SUMIFS('All Employees by Mode'!AC:AC,'All Employees by Mode'!$C:$C,"="&amp;$C78))</f>
        <v>29.799999999999997</v>
      </c>
      <c r="P78" s="160">
        <f>IF($AF$1,SUMIFS('All Employees by Mode'!AE:AE,'All Employees by Mode'!$C:$C,"="&amp;$C78,'All Employees by Mode'!$BE:$BE,"=No"),SUMIFS('All Employees by Mode'!AE:AE,'All Employees by Mode'!$C:$C,"="&amp;$C78))</f>
        <v>89.399999999999991</v>
      </c>
      <c r="Q78" s="160">
        <f>IF($AF$1,SUMIFS('All Employees by Mode'!AG:AG,'All Employees by Mode'!$C:$C,"="&amp;$C78,'All Employees by Mode'!$BE:$BE,"=No"),SUMIFS('All Employees by Mode'!AG:AG,'All Employees by Mode'!$C:$C,"="&amp;$C78))</f>
        <v>0</v>
      </c>
      <c r="R78" s="160">
        <f>IF($AF$1,SUMIFS('All Employees by Mode'!AI:AI,'All Employees by Mode'!$C:$C,"="&amp;$C78,'All Employees by Mode'!$BE:$BE,"=No"),SUMIFS('All Employees by Mode'!AI:AI,'All Employees by Mode'!$C:$C,"="&amp;$C78))</f>
        <v>569.20000000000005</v>
      </c>
      <c r="S78" s="161">
        <f>IF($AF$1,SUMIFS('All Employees by Mode'!AK:AK,'All Employees by Mode'!$C:$C,"="&amp;$C78,'All Employees by Mode'!$BE:$BE,"=No"),SUMIFS('All Employees by Mode'!AK:AK,'All Employees by Mode'!$C:$C,"="&amp;$C78))</f>
        <v>15153544</v>
      </c>
      <c r="T78" s="161">
        <f>IF($AF$1,SUMIFS('All Employees by Mode'!AM:AM,'All Employees by Mode'!$C:$C,"="&amp;$C78,'All Employees by Mode'!$BE:$BE,"=No"),SUMIFS('All Employees by Mode'!AM:AM,'All Employees by Mode'!$C:$C,"="&amp;$C78))</f>
        <v>3222556</v>
      </c>
      <c r="U78" s="161">
        <f>IF($AF$1,SUMIFS('All Employees by Mode'!AO:AO,'All Employees by Mode'!$C:$C,"="&amp;$C78,'All Employees by Mode'!$BE:$BE,"=No"),SUMIFS('All Employees by Mode'!AO:AO,'All Employees by Mode'!$C:$C,"="&amp;$C78))</f>
        <v>967245</v>
      </c>
      <c r="V78" s="161">
        <f>IF($AF$1,SUMIFS('All Employees by Mode'!AQ:AQ,'All Employees by Mode'!$C:$C,"="&amp;$C78,'All Employees by Mode'!$BE:$BE,"=No"),SUMIFS('All Employees by Mode'!AQ:AQ,'All Employees by Mode'!$C:$C,"="&amp;$C78))</f>
        <v>2335120</v>
      </c>
      <c r="W78" s="161">
        <f>IF($AF$1,SUMIFS('All Employees by Mode'!AS:AS,'All Employees by Mode'!$C:$C,"="&amp;$C78,'All Employees by Mode'!$BE:$BE,"=No"),SUMIFS('All Employees by Mode'!AS:AS,'All Employees by Mode'!$C:$C,"="&amp;$C78))</f>
        <v>21678465</v>
      </c>
      <c r="X78" s="162">
        <f t="shared" si="33"/>
        <v>20.215399064039147</v>
      </c>
      <c r="Y78" s="162">
        <f t="shared" si="34"/>
        <v>23.827718789742985</v>
      </c>
      <c r="Z78" s="162">
        <f t="shared" si="35"/>
        <v>15.441577930682163</v>
      </c>
      <c r="AA78" s="162">
        <f t="shared" si="36"/>
        <v>17.409768353873567</v>
      </c>
      <c r="AB78" s="271">
        <f t="shared" si="37"/>
        <v>20.042700075997537</v>
      </c>
      <c r="AC78" s="97"/>
      <c r="AD78" s="98"/>
      <c r="AE78" s="98"/>
      <c r="AF78" s="98"/>
      <c r="AG78" s="98"/>
      <c r="AH78" s="98"/>
      <c r="AI78" s="98"/>
      <c r="AJ78" s="98"/>
      <c r="AK78" s="98"/>
      <c r="AL78" s="98"/>
      <c r="AM78" s="98"/>
      <c r="AN78" s="98"/>
      <c r="AO78" s="304"/>
      <c r="AP78" s="304"/>
      <c r="AQ78" s="304"/>
      <c r="AR78" s="304"/>
      <c r="AS78" s="304"/>
      <c r="AT78" s="304"/>
      <c r="AU78" s="98"/>
      <c r="AV78" s="98"/>
    </row>
    <row r="79" spans="1:48">
      <c r="A79" s="96"/>
      <c r="B79" s="96"/>
      <c r="C79" s="195" t="s">
        <v>47</v>
      </c>
      <c r="D79" s="196" t="s">
        <v>975</v>
      </c>
      <c r="E79" s="197"/>
      <c r="F79" s="198">
        <f>IF($AF$1,SUMIFS('All Employees by Mode'!L:L,'All Employees by Mode'!$C:$C,"="&amp;$C79,'All Employees by Mode'!$BE:$BE,"=No"),SUMIFS('All Employees by Mode'!L:L,'All Employees by Mode'!$C:$C,"="&amp;$C79))</f>
        <v>1429</v>
      </c>
      <c r="G79" s="160">
        <f>IF($AF$1,SUMIFS('All Employees by Mode'!M:M,'All Employees by Mode'!$C:$C,"="&amp;$C79,'All Employees by Mode'!$BE:$BE,"=No"),SUMIFS('All Employees by Mode'!M:M,'All Employees by Mode'!$C:$C,"="&amp;$C79))</f>
        <v>7768452</v>
      </c>
      <c r="H79" s="160">
        <f>IF($AF$1,SUMIFS('All Employees by Mode'!O:O,'All Employees by Mode'!$C:$C,"="&amp;$C79,'All Employees by Mode'!$BE:$BE,"=No"),SUMIFS('All Employees by Mode'!O:O,'All Employees by Mode'!$C:$C,"="&amp;$C79))</f>
        <v>2241485</v>
      </c>
      <c r="I79" s="160">
        <f>IF($AF$1,SUMIFS('All Employees by Mode'!Q:Q,'All Employees by Mode'!$C:$C,"="&amp;$C79,'All Employees by Mode'!$BE:$BE,"=No"),SUMIFS('All Employees by Mode'!Q:Q,'All Employees by Mode'!$C:$C,"="&amp;$C79))</f>
        <v>1781962</v>
      </c>
      <c r="J79" s="160">
        <f>IF($AF$1,SUMIFS('All Employees by Mode'!S:S,'All Employees by Mode'!$C:$C,"="&amp;$C79,'All Employees by Mode'!$BE:$BE,"=No"),SUMIFS('All Employees by Mode'!S:S,'All Employees by Mode'!$C:$C,"="&amp;$C79))</f>
        <v>1320151</v>
      </c>
      <c r="K79" s="160">
        <f>IF($AF$1,SUMIFS('All Employees by Mode'!U:U,'All Employees by Mode'!$C:$C,"="&amp;$C79,'All Employees by Mode'!$BE:$BE,"=No"),SUMIFS('All Employees by Mode'!U:U,'All Employees by Mode'!$C:$C,"="&amp;$C79))</f>
        <v>79312</v>
      </c>
      <c r="L79" s="160">
        <f>IF($AF$1,SUMIFS('All Employees by Mode'!W:W,'All Employees by Mode'!$C:$C,"="&amp;$C79,'All Employees by Mode'!$BE:$BE,"=No"),SUMIFS('All Employees by Mode'!W:W,'All Employees by Mode'!$C:$C,"="&amp;$C79))</f>
        <v>13191362</v>
      </c>
      <c r="M79" s="160">
        <f>IF($AF$1,SUMIFS('All Employees by Mode'!Y:Y,'All Employees by Mode'!$C:$C,"="&amp;$C79,'All Employees by Mode'!$BE:$BE,"=No"),SUMIFS('All Employees by Mode'!Y:Y,'All Employees by Mode'!$C:$C,"="&amp;$C79))</f>
        <v>4405.5</v>
      </c>
      <c r="N79" s="160">
        <f>IF($AF$1,SUMIFS('All Employees by Mode'!AA:AA,'All Employees by Mode'!$C:$C,"="&amp;$C79,'All Employees by Mode'!$BE:$BE,"=No"),SUMIFS('All Employees by Mode'!AA:AA,'All Employees by Mode'!$C:$C,"="&amp;$C79))</f>
        <v>1214</v>
      </c>
      <c r="O79" s="160">
        <f>IF($AF$1,SUMIFS('All Employees by Mode'!AC:AC,'All Employees by Mode'!$C:$C,"="&amp;$C79,'All Employees by Mode'!$BE:$BE,"=No"),SUMIFS('All Employees by Mode'!AC:AC,'All Employees by Mode'!$C:$C,"="&amp;$C79))</f>
        <v>985</v>
      </c>
      <c r="P79" s="160">
        <f>IF($AF$1,SUMIFS('All Employees by Mode'!AE:AE,'All Employees by Mode'!$C:$C,"="&amp;$C79,'All Employees by Mode'!$BE:$BE,"=No"),SUMIFS('All Employees by Mode'!AE:AE,'All Employees by Mode'!$C:$C,"="&amp;$C79))</f>
        <v>708.1</v>
      </c>
      <c r="Q79" s="160">
        <f>IF($AF$1,SUMIFS('All Employees by Mode'!AG:AG,'All Employees by Mode'!$C:$C,"="&amp;$C79,'All Employees by Mode'!$BE:$BE,"=No"),SUMIFS('All Employees by Mode'!AG:AG,'All Employees by Mode'!$C:$C,"="&amp;$C79))</f>
        <v>44</v>
      </c>
      <c r="R79" s="160">
        <f>IF($AF$1,SUMIFS('All Employees by Mode'!AI:AI,'All Employees by Mode'!$C:$C,"="&amp;$C79,'All Employees by Mode'!$BE:$BE,"=No"),SUMIFS('All Employees by Mode'!AI:AI,'All Employees by Mode'!$C:$C,"="&amp;$C79))</f>
        <v>7356.6</v>
      </c>
      <c r="S79" s="161">
        <f>IF($AF$1,SUMIFS('All Employees by Mode'!AK:AK,'All Employees by Mode'!$C:$C,"="&amp;$C79,'All Employees by Mode'!$BE:$BE,"=No"),SUMIFS('All Employees by Mode'!AK:AK,'All Employees by Mode'!$C:$C,"="&amp;$C79))</f>
        <v>257545758</v>
      </c>
      <c r="T79" s="161">
        <f>IF($AF$1,SUMIFS('All Employees by Mode'!AM:AM,'All Employees by Mode'!$C:$C,"="&amp;$C79,'All Employees by Mode'!$BE:$BE,"=No"),SUMIFS('All Employees by Mode'!AM:AM,'All Employees by Mode'!$C:$C,"="&amp;$C79))</f>
        <v>95998452</v>
      </c>
      <c r="U79" s="161">
        <f>IF($AF$1,SUMIFS('All Employees by Mode'!AO:AO,'All Employees by Mode'!$C:$C,"="&amp;$C79,'All Employees by Mode'!$BE:$BE,"=No"),SUMIFS('All Employees by Mode'!AO:AO,'All Employees by Mode'!$C:$C,"="&amp;$C79))</f>
        <v>65753512</v>
      </c>
      <c r="V79" s="161">
        <f>IF($AF$1,SUMIFS('All Employees by Mode'!AQ:AQ,'All Employees by Mode'!$C:$C,"="&amp;$C79,'All Employees by Mode'!$BE:$BE,"=No"),SUMIFS('All Employees by Mode'!AQ:AQ,'All Employees by Mode'!$C:$C,"="&amp;$C79))</f>
        <v>55368952</v>
      </c>
      <c r="W79" s="161">
        <f>IF($AF$1,SUMIFS('All Employees by Mode'!AS:AS,'All Employees by Mode'!$C:$C,"="&amp;$C79,'All Employees by Mode'!$BE:$BE,"=No"),SUMIFS('All Employees by Mode'!AS:AS,'All Employees by Mode'!$C:$C,"="&amp;$C79))</f>
        <v>474666674</v>
      </c>
      <c r="X79" s="162">
        <f t="shared" si="33"/>
        <v>33.152777155603204</v>
      </c>
      <c r="Y79" s="162">
        <f t="shared" si="34"/>
        <v>42.828059076906605</v>
      </c>
      <c r="Z79" s="162">
        <f t="shared" si="35"/>
        <v>36.899502907469405</v>
      </c>
      <c r="AA79" s="162">
        <f t="shared" si="36"/>
        <v>41.94137791813209</v>
      </c>
      <c r="AB79" s="271">
        <f t="shared" si="37"/>
        <v>36.200798044546808</v>
      </c>
      <c r="AC79" s="97"/>
      <c r="AD79" s="98"/>
      <c r="AE79" s="98"/>
      <c r="AF79" s="98"/>
      <c r="AG79" s="98"/>
      <c r="AH79" s="98"/>
      <c r="AI79" s="98"/>
      <c r="AJ79" s="98"/>
      <c r="AK79" s="98"/>
      <c r="AL79" s="98"/>
      <c r="AM79" s="98"/>
      <c r="AN79" s="98"/>
      <c r="AO79" s="304"/>
      <c r="AP79" s="304"/>
      <c r="AQ79" s="304"/>
      <c r="AR79" s="304"/>
      <c r="AS79" s="304"/>
      <c r="AT79" s="304"/>
      <c r="AU79" s="98"/>
      <c r="AV79" s="98"/>
    </row>
    <row r="80" spans="1:48">
      <c r="A80" s="96"/>
      <c r="B80" s="96"/>
      <c r="C80" s="195" t="s">
        <v>48</v>
      </c>
      <c r="D80" s="196" t="s">
        <v>976</v>
      </c>
      <c r="E80" s="197"/>
      <c r="F80" s="198">
        <f>IF($AF$1,SUMIFS('All Employees by Mode'!L:L,'All Employees by Mode'!$C:$C,"="&amp;$C80,'All Employees by Mode'!$BE:$BE,"=No"),SUMIFS('All Employees by Mode'!L:L,'All Employees by Mode'!$C:$C,"="&amp;$C80))</f>
        <v>1161</v>
      </c>
      <c r="G80" s="160">
        <f>IF($AF$1,SUMIFS('All Employees by Mode'!M:M,'All Employees by Mode'!$C:$C,"="&amp;$C80,'All Employees by Mode'!$BE:$BE,"=No"),SUMIFS('All Employees by Mode'!M:M,'All Employees by Mode'!$C:$C,"="&amp;$C80))</f>
        <v>5783815</v>
      </c>
      <c r="H80" s="160">
        <f>IF($AF$1,SUMIFS('All Employees by Mode'!O:O,'All Employees by Mode'!$C:$C,"="&amp;$C80,'All Employees by Mode'!$BE:$BE,"=No"),SUMIFS('All Employees by Mode'!O:O,'All Employees by Mode'!$C:$C,"="&amp;$C80))</f>
        <v>1378172</v>
      </c>
      <c r="I80" s="160">
        <f>IF($AF$1,SUMIFS('All Employees by Mode'!Q:Q,'All Employees by Mode'!$C:$C,"="&amp;$C80,'All Employees by Mode'!$BE:$BE,"=No"),SUMIFS('All Employees by Mode'!Q:Q,'All Employees by Mode'!$C:$C,"="&amp;$C80))</f>
        <v>519498</v>
      </c>
      <c r="J80" s="160">
        <f>IF($AF$1,SUMIFS('All Employees by Mode'!S:S,'All Employees by Mode'!$C:$C,"="&amp;$C80,'All Employees by Mode'!$BE:$BE,"=No"),SUMIFS('All Employees by Mode'!S:S,'All Employees by Mode'!$C:$C,"="&amp;$C80))</f>
        <v>1213333</v>
      </c>
      <c r="K80" s="160">
        <f>IF($AF$1,SUMIFS('All Employees by Mode'!U:U,'All Employees by Mode'!$C:$C,"="&amp;$C80,'All Employees by Mode'!$BE:$BE,"=No"),SUMIFS('All Employees by Mode'!U:U,'All Employees by Mode'!$C:$C,"="&amp;$C80))</f>
        <v>79835</v>
      </c>
      <c r="L80" s="160">
        <f>IF($AF$1,SUMIFS('All Employees by Mode'!W:W,'All Employees by Mode'!$C:$C,"="&amp;$C80,'All Employees by Mode'!$BE:$BE,"=No"),SUMIFS('All Employees by Mode'!W:W,'All Employees by Mode'!$C:$C,"="&amp;$C80))</f>
        <v>8974653</v>
      </c>
      <c r="M80" s="160">
        <f>IF($AF$1,SUMIFS('All Employees by Mode'!Y:Y,'All Employees by Mode'!$C:$C,"="&amp;$C80,'All Employees by Mode'!$BE:$BE,"=No"),SUMIFS('All Employees by Mode'!Y:Y,'All Employees by Mode'!$C:$C,"="&amp;$C80))</f>
        <v>2825.5</v>
      </c>
      <c r="N80" s="160">
        <f>IF($AF$1,SUMIFS('All Employees by Mode'!AA:AA,'All Employees by Mode'!$C:$C,"="&amp;$C80,'All Employees by Mode'!$BE:$BE,"=No"),SUMIFS('All Employees by Mode'!AA:AA,'All Employees by Mode'!$C:$C,"="&amp;$C80))</f>
        <v>657.95</v>
      </c>
      <c r="O80" s="160">
        <f>IF($AF$1,SUMIFS('All Employees by Mode'!AC:AC,'All Employees by Mode'!$C:$C,"="&amp;$C80,'All Employees by Mode'!$BE:$BE,"=No"),SUMIFS('All Employees by Mode'!AC:AC,'All Employees by Mode'!$C:$C,"="&amp;$C80))</f>
        <v>218.8</v>
      </c>
      <c r="P80" s="160">
        <f>IF($AF$1,SUMIFS('All Employees by Mode'!AE:AE,'All Employees by Mode'!$C:$C,"="&amp;$C80,'All Employees by Mode'!$BE:$BE,"=No"),SUMIFS('All Employees by Mode'!AE:AE,'All Employees by Mode'!$C:$C,"="&amp;$C80))</f>
        <v>673.65</v>
      </c>
      <c r="Q80" s="160">
        <f>IF($AF$1,SUMIFS('All Employees by Mode'!AG:AG,'All Employees by Mode'!$C:$C,"="&amp;$C80,'All Employees by Mode'!$BE:$BE,"=No"),SUMIFS('All Employees by Mode'!AG:AG,'All Employees by Mode'!$C:$C,"="&amp;$C80))</f>
        <v>50</v>
      </c>
      <c r="R80" s="160">
        <f>IF($AF$1,SUMIFS('All Employees by Mode'!AI:AI,'All Employees by Mode'!$C:$C,"="&amp;$C80,'All Employees by Mode'!$BE:$BE,"=No"),SUMIFS('All Employees by Mode'!AI:AI,'All Employees by Mode'!$C:$C,"="&amp;$C80))</f>
        <v>4425.8999999999996</v>
      </c>
      <c r="S80" s="161">
        <f>IF($AF$1,SUMIFS('All Employees by Mode'!AK:AK,'All Employees by Mode'!$C:$C,"="&amp;$C80,'All Employees by Mode'!$BE:$BE,"=No"),SUMIFS('All Employees by Mode'!AK:AK,'All Employees by Mode'!$C:$C,"="&amp;$C80))</f>
        <v>143390271</v>
      </c>
      <c r="T80" s="161">
        <f>IF($AF$1,SUMIFS('All Employees by Mode'!AM:AM,'All Employees by Mode'!$C:$C,"="&amp;$C80,'All Employees by Mode'!$BE:$BE,"=No"),SUMIFS('All Employees by Mode'!AM:AM,'All Employees by Mode'!$C:$C,"="&amp;$C80))</f>
        <v>34045350</v>
      </c>
      <c r="U80" s="161">
        <f>IF($AF$1,SUMIFS('All Employees by Mode'!AO:AO,'All Employees by Mode'!$C:$C,"="&amp;$C80,'All Employees by Mode'!$BE:$BE,"=No"),SUMIFS('All Employees by Mode'!AO:AO,'All Employees by Mode'!$C:$C,"="&amp;$C80))</f>
        <v>15761899</v>
      </c>
      <c r="V80" s="161">
        <f>IF($AF$1,SUMIFS('All Employees by Mode'!AQ:AQ,'All Employees by Mode'!$C:$C,"="&amp;$C80,'All Employees by Mode'!$BE:$BE,"=No"),SUMIFS('All Employees by Mode'!AQ:AQ,'All Employees by Mode'!$C:$C,"="&amp;$C80))</f>
        <v>33408712</v>
      </c>
      <c r="W80" s="161">
        <f>IF($AF$1,SUMIFS('All Employees by Mode'!AS:AS,'All Employees by Mode'!$C:$C,"="&amp;$C80,'All Employees by Mode'!$BE:$BE,"=No"),SUMIFS('All Employees by Mode'!AS:AS,'All Employees by Mode'!$C:$C,"="&amp;$C80))</f>
        <v>226606232</v>
      </c>
      <c r="X80" s="162">
        <f t="shared" si="33"/>
        <v>24.791642021745162</v>
      </c>
      <c r="Y80" s="162">
        <f t="shared" si="34"/>
        <v>24.703266355723379</v>
      </c>
      <c r="Z80" s="162">
        <f t="shared" si="35"/>
        <v>30.340634612645285</v>
      </c>
      <c r="AA80" s="162">
        <f t="shared" si="36"/>
        <v>27.534660311719865</v>
      </c>
      <c r="AB80" s="271">
        <f t="shared" si="37"/>
        <v>25.476207832470546</v>
      </c>
      <c r="AC80" s="97"/>
      <c r="AD80" s="98"/>
      <c r="AE80" s="98"/>
      <c r="AF80" s="98"/>
      <c r="AG80" s="98"/>
      <c r="AH80" s="98"/>
      <c r="AI80" s="98"/>
      <c r="AJ80" s="98"/>
      <c r="AK80" s="98"/>
      <c r="AL80" s="98"/>
      <c r="AM80" s="98"/>
      <c r="AN80" s="98"/>
      <c r="AO80" s="304"/>
      <c r="AP80" s="304"/>
      <c r="AQ80" s="304"/>
      <c r="AR80" s="304"/>
      <c r="AS80" s="304"/>
      <c r="AT80" s="304"/>
      <c r="AU80" s="98"/>
      <c r="AV80" s="98"/>
    </row>
    <row r="81" spans="1:48">
      <c r="A81" s="96"/>
      <c r="B81" s="96"/>
      <c r="C81" s="195" t="s">
        <v>51</v>
      </c>
      <c r="D81" s="196" t="s">
        <v>977</v>
      </c>
      <c r="E81" s="197"/>
      <c r="F81" s="198">
        <f>IF($AF$1,SUMIFS('All Employees by Mode'!L:L,'All Employees by Mode'!$C:$C,"="&amp;$C81,'All Employees by Mode'!$BE:$BE,"=No"),SUMIFS('All Employees by Mode'!L:L,'All Employees by Mode'!$C:$C,"="&amp;$C81))</f>
        <v>62</v>
      </c>
      <c r="G81" s="160">
        <f>IF($AF$1,SUMIFS('All Employees by Mode'!M:M,'All Employees by Mode'!$C:$C,"="&amp;$C81,'All Employees by Mode'!$BE:$BE,"=No"),SUMIFS('All Employees by Mode'!M:M,'All Employees by Mode'!$C:$C,"="&amp;$C81))</f>
        <v>297845</v>
      </c>
      <c r="H81" s="160">
        <f>IF($AF$1,SUMIFS('All Employees by Mode'!O:O,'All Employees by Mode'!$C:$C,"="&amp;$C81,'All Employees by Mode'!$BE:$BE,"=No"),SUMIFS('All Employees by Mode'!O:O,'All Employees by Mode'!$C:$C,"="&amp;$C81))</f>
        <v>32980</v>
      </c>
      <c r="I81" s="160">
        <f>IF($AF$1,SUMIFS('All Employees by Mode'!Q:Q,'All Employees by Mode'!$C:$C,"="&amp;$C81,'All Employees by Mode'!$BE:$BE,"=No"),SUMIFS('All Employees by Mode'!Q:Q,'All Employees by Mode'!$C:$C,"="&amp;$C81))</f>
        <v>5275</v>
      </c>
      <c r="J81" s="160">
        <f>IF($AF$1,SUMIFS('All Employees by Mode'!S:S,'All Employees by Mode'!$C:$C,"="&amp;$C81,'All Employees by Mode'!$BE:$BE,"=No"),SUMIFS('All Employees by Mode'!S:S,'All Employees by Mode'!$C:$C,"="&amp;$C81))</f>
        <v>37342</v>
      </c>
      <c r="K81" s="160">
        <f>IF($AF$1,SUMIFS('All Employees by Mode'!U:U,'All Employees by Mode'!$C:$C,"="&amp;$C81,'All Employees by Mode'!$BE:$BE,"=No"),SUMIFS('All Employees by Mode'!U:U,'All Employees by Mode'!$C:$C,"="&amp;$C81))</f>
        <v>0</v>
      </c>
      <c r="L81" s="160">
        <f>IF($AF$1,SUMIFS('All Employees by Mode'!W:W,'All Employees by Mode'!$C:$C,"="&amp;$C81,'All Employees by Mode'!$BE:$BE,"=No"),SUMIFS('All Employees by Mode'!W:W,'All Employees by Mode'!$C:$C,"="&amp;$C81))</f>
        <v>373442</v>
      </c>
      <c r="M81" s="160">
        <f>IF($AF$1,SUMIFS('All Employees by Mode'!Y:Y,'All Employees by Mode'!$C:$C,"="&amp;$C81,'All Employees by Mode'!$BE:$BE,"=No"),SUMIFS('All Employees by Mode'!Y:Y,'All Employees by Mode'!$C:$C,"="&amp;$C81))</f>
        <v>200</v>
      </c>
      <c r="N81" s="160">
        <f>IF($AF$1,SUMIFS('All Employees by Mode'!AA:AA,'All Employees by Mode'!$C:$C,"="&amp;$C81,'All Employees by Mode'!$BE:$BE,"=No"),SUMIFS('All Employees by Mode'!AA:AA,'All Employees by Mode'!$C:$C,"="&amp;$C81))</f>
        <v>23.55</v>
      </c>
      <c r="O81" s="160">
        <f>IF($AF$1,SUMIFS('All Employees by Mode'!AC:AC,'All Employees by Mode'!$C:$C,"="&amp;$C81,'All Employees by Mode'!$BE:$BE,"=No"),SUMIFS('All Employees by Mode'!AC:AC,'All Employees by Mode'!$C:$C,"="&amp;$C81))</f>
        <v>4.45</v>
      </c>
      <c r="P81" s="160">
        <f>IF($AF$1,SUMIFS('All Employees by Mode'!AE:AE,'All Employees by Mode'!$C:$C,"="&amp;$C81,'All Employees by Mode'!$BE:$BE,"=No"),SUMIFS('All Employees by Mode'!AE:AE,'All Employees by Mode'!$C:$C,"="&amp;$C81))</f>
        <v>33</v>
      </c>
      <c r="Q81" s="160">
        <f>IF($AF$1,SUMIFS('All Employees by Mode'!AG:AG,'All Employees by Mode'!$C:$C,"="&amp;$C81,'All Employees by Mode'!$BE:$BE,"=No"),SUMIFS('All Employees by Mode'!AG:AG,'All Employees by Mode'!$C:$C,"="&amp;$C81))</f>
        <v>0</v>
      </c>
      <c r="R81" s="160">
        <f>IF($AF$1,SUMIFS('All Employees by Mode'!AI:AI,'All Employees by Mode'!$C:$C,"="&amp;$C81,'All Employees by Mode'!$BE:$BE,"=No"),SUMIFS('All Employees by Mode'!AI:AI,'All Employees by Mode'!$C:$C,"="&amp;$C81))</f>
        <v>261</v>
      </c>
      <c r="S81" s="161">
        <f>IF($AF$1,SUMIFS('All Employees by Mode'!AK:AK,'All Employees by Mode'!$C:$C,"="&amp;$C81,'All Employees by Mode'!$BE:$BE,"=No"),SUMIFS('All Employees by Mode'!AK:AK,'All Employees by Mode'!$C:$C,"="&amp;$C81))</f>
        <v>5658809</v>
      </c>
      <c r="T81" s="161">
        <f>IF($AF$1,SUMIFS('All Employees by Mode'!AM:AM,'All Employees by Mode'!$C:$C,"="&amp;$C81,'All Employees by Mode'!$BE:$BE,"=No"),SUMIFS('All Employees by Mode'!AM:AM,'All Employees by Mode'!$C:$C,"="&amp;$C81))</f>
        <v>786728</v>
      </c>
      <c r="U81" s="161">
        <f>IF($AF$1,SUMIFS('All Employees by Mode'!AO:AO,'All Employees by Mode'!$C:$C,"="&amp;$C81,'All Employees by Mode'!$BE:$BE,"=No"),SUMIFS('All Employees by Mode'!AO:AO,'All Employees by Mode'!$C:$C,"="&amp;$C81))</f>
        <v>121870</v>
      </c>
      <c r="V81" s="161">
        <f>IF($AF$1,SUMIFS('All Employees by Mode'!AQ:AQ,'All Employees by Mode'!$C:$C,"="&amp;$C81,'All Employees by Mode'!$BE:$BE,"=No"),SUMIFS('All Employees by Mode'!AQ:AQ,'All Employees by Mode'!$C:$C,"="&amp;$C81))</f>
        <v>1016273</v>
      </c>
      <c r="W81" s="161">
        <f>IF($AF$1,SUMIFS('All Employees by Mode'!AS:AS,'All Employees by Mode'!$C:$C,"="&amp;$C81,'All Employees by Mode'!$BE:$BE,"=No"),SUMIFS('All Employees by Mode'!AS:AS,'All Employees by Mode'!$C:$C,"="&amp;$C81))</f>
        <v>7583680</v>
      </c>
      <c r="X81" s="162">
        <f t="shared" si="33"/>
        <v>18.999174067048298</v>
      </c>
      <c r="Y81" s="162">
        <f t="shared" si="34"/>
        <v>23.854699818071559</v>
      </c>
      <c r="Z81" s="162">
        <f t="shared" si="35"/>
        <v>23.103317535545024</v>
      </c>
      <c r="AA81" s="162">
        <f t="shared" si="36"/>
        <v>27.215280381340047</v>
      </c>
      <c r="AB81" s="271">
        <f t="shared" si="37"/>
        <v>20.307517633260318</v>
      </c>
      <c r="AC81" s="97"/>
      <c r="AD81" s="98"/>
      <c r="AE81" s="98"/>
      <c r="AF81" s="98"/>
      <c r="AG81" s="98"/>
      <c r="AH81" s="98"/>
      <c r="AI81" s="98"/>
      <c r="AJ81" s="98"/>
      <c r="AK81" s="98"/>
      <c r="AL81" s="98"/>
      <c r="AM81" s="98"/>
      <c r="AN81" s="98"/>
      <c r="AO81" s="304"/>
      <c r="AP81" s="304"/>
      <c r="AQ81" s="304"/>
      <c r="AR81" s="304"/>
      <c r="AS81" s="304"/>
      <c r="AT81" s="304"/>
      <c r="AU81" s="98"/>
      <c r="AV81" s="98"/>
    </row>
    <row r="82" spans="1:48">
      <c r="A82" s="96"/>
      <c r="B82" s="96"/>
      <c r="C82" s="195" t="s">
        <v>52</v>
      </c>
      <c r="D82" s="196" t="s">
        <v>978</v>
      </c>
      <c r="E82" s="197"/>
      <c r="F82" s="198">
        <f>IF($AF$1,SUMIFS('All Employees by Mode'!L:L,'All Employees by Mode'!$C:$C,"="&amp;$C82,'All Employees by Mode'!$BE:$BE,"=No"),SUMIFS('All Employees by Mode'!L:L,'All Employees by Mode'!$C:$C,"="&amp;$C82))</f>
        <v>1870</v>
      </c>
      <c r="G82" s="160">
        <f>IF($AF$1,SUMIFS('All Employees by Mode'!M:M,'All Employees by Mode'!$C:$C,"="&amp;$C82,'All Employees by Mode'!$BE:$BE,"=No"),SUMIFS('All Employees by Mode'!M:M,'All Employees by Mode'!$C:$C,"="&amp;$C82))</f>
        <v>5554998</v>
      </c>
      <c r="H82" s="160">
        <f>IF($AF$1,SUMIFS('All Employees by Mode'!O:O,'All Employees by Mode'!$C:$C,"="&amp;$C82,'All Employees by Mode'!$BE:$BE,"=No"),SUMIFS('All Employees by Mode'!O:O,'All Employees by Mode'!$C:$C,"="&amp;$C82))</f>
        <v>1217052</v>
      </c>
      <c r="I82" s="160">
        <f>IF($AF$1,SUMIFS('All Employees by Mode'!Q:Q,'All Employees by Mode'!$C:$C,"="&amp;$C82,'All Employees by Mode'!$BE:$BE,"=No"),SUMIFS('All Employees by Mode'!Q:Q,'All Employees by Mode'!$C:$C,"="&amp;$C82))</f>
        <v>211731</v>
      </c>
      <c r="J82" s="160">
        <f>IF($AF$1,SUMIFS('All Employees by Mode'!S:S,'All Employees by Mode'!$C:$C,"="&amp;$C82,'All Employees by Mode'!$BE:$BE,"=No"),SUMIFS('All Employees by Mode'!S:S,'All Employees by Mode'!$C:$C,"="&amp;$C82))</f>
        <v>660663</v>
      </c>
      <c r="K82" s="160">
        <f>IF($AF$1,SUMIFS('All Employees by Mode'!U:U,'All Employees by Mode'!$C:$C,"="&amp;$C82,'All Employees by Mode'!$BE:$BE,"=No"),SUMIFS('All Employees by Mode'!U:U,'All Employees by Mode'!$C:$C,"="&amp;$C82))</f>
        <v>2352</v>
      </c>
      <c r="L82" s="160">
        <f>IF($AF$1,SUMIFS('All Employees by Mode'!W:W,'All Employees by Mode'!$C:$C,"="&amp;$C82,'All Employees by Mode'!$BE:$BE,"=No"),SUMIFS('All Employees by Mode'!W:W,'All Employees by Mode'!$C:$C,"="&amp;$C82))</f>
        <v>7646796</v>
      </c>
      <c r="M82" s="160">
        <f>IF($AF$1,SUMIFS('All Employees by Mode'!Y:Y,'All Employees by Mode'!$C:$C,"="&amp;$C82,'All Employees by Mode'!$BE:$BE,"=No"),SUMIFS('All Employees by Mode'!Y:Y,'All Employees by Mode'!$C:$C,"="&amp;$C82))</f>
        <v>2860.2400000000002</v>
      </c>
      <c r="N82" s="160">
        <f>IF($AF$1,SUMIFS('All Employees by Mode'!AA:AA,'All Employees by Mode'!$C:$C,"="&amp;$C82,'All Employees by Mode'!$BE:$BE,"=No"),SUMIFS('All Employees by Mode'!AA:AA,'All Employees by Mode'!$C:$C,"="&amp;$C82))</f>
        <v>587.07999999999993</v>
      </c>
      <c r="O82" s="160">
        <f>IF($AF$1,SUMIFS('All Employees by Mode'!AC:AC,'All Employees by Mode'!$C:$C,"="&amp;$C82,'All Employees by Mode'!$BE:$BE,"=No"),SUMIFS('All Employees by Mode'!AC:AC,'All Employees by Mode'!$C:$C,"="&amp;$C82))</f>
        <v>109.68</v>
      </c>
      <c r="P82" s="160">
        <f>IF($AF$1,SUMIFS('All Employees by Mode'!AE:AE,'All Employees by Mode'!$C:$C,"="&amp;$C82,'All Employees by Mode'!$BE:$BE,"=No"),SUMIFS('All Employees by Mode'!AE:AE,'All Employees by Mode'!$C:$C,"="&amp;$C82))</f>
        <v>397.75</v>
      </c>
      <c r="Q82" s="160">
        <f>IF($AF$1,SUMIFS('All Employees by Mode'!AG:AG,'All Employees by Mode'!$C:$C,"="&amp;$C82,'All Employees by Mode'!$BE:$BE,"=No"),SUMIFS('All Employees by Mode'!AG:AG,'All Employees by Mode'!$C:$C,"="&amp;$C82))</f>
        <v>2</v>
      </c>
      <c r="R82" s="160">
        <f>IF($AF$1,SUMIFS('All Employees by Mode'!AI:AI,'All Employees by Mode'!$C:$C,"="&amp;$C82,'All Employees by Mode'!$BE:$BE,"=No"),SUMIFS('All Employees by Mode'!AI:AI,'All Employees by Mode'!$C:$C,"="&amp;$C82))</f>
        <v>3956.7499999999995</v>
      </c>
      <c r="S82" s="161">
        <f>IF($AF$1,SUMIFS('All Employees by Mode'!AK:AK,'All Employees by Mode'!$C:$C,"="&amp;$C82,'All Employees by Mode'!$BE:$BE,"=No"),SUMIFS('All Employees by Mode'!AK:AK,'All Employees by Mode'!$C:$C,"="&amp;$C82))</f>
        <v>110814583</v>
      </c>
      <c r="T82" s="161">
        <f>IF($AF$1,SUMIFS('All Employees by Mode'!AM:AM,'All Employees by Mode'!$C:$C,"="&amp;$C82,'All Employees by Mode'!$BE:$BE,"=No"),SUMIFS('All Employees by Mode'!AM:AM,'All Employees by Mode'!$C:$C,"="&amp;$C82))</f>
        <v>30923748</v>
      </c>
      <c r="U82" s="161">
        <f>IF($AF$1,SUMIFS('All Employees by Mode'!AO:AO,'All Employees by Mode'!$C:$C,"="&amp;$C82,'All Employees by Mode'!$BE:$BE,"=No"),SUMIFS('All Employees by Mode'!AO:AO,'All Employees by Mode'!$C:$C,"="&amp;$C82))</f>
        <v>4197778</v>
      </c>
      <c r="V82" s="161">
        <f>IF($AF$1,SUMIFS('All Employees by Mode'!AQ:AQ,'All Employees by Mode'!$C:$C,"="&amp;$C82,'All Employees by Mode'!$BE:$BE,"=No"),SUMIFS('All Employees by Mode'!AQ:AQ,'All Employees by Mode'!$C:$C,"="&amp;$C82))</f>
        <v>17112981</v>
      </c>
      <c r="W82" s="161">
        <f>IF($AF$1,SUMIFS('All Employees by Mode'!AS:AS,'All Employees by Mode'!$C:$C,"="&amp;$C82,'All Employees by Mode'!$BE:$BE,"=No"),SUMIFS('All Employees by Mode'!AS:AS,'All Employees by Mode'!$C:$C,"="&amp;$C82))</f>
        <v>163049090</v>
      </c>
      <c r="X82" s="162">
        <f t="shared" si="33"/>
        <v>19.948626984204136</v>
      </c>
      <c r="Y82" s="162">
        <f t="shared" si="34"/>
        <v>25.408731919424969</v>
      </c>
      <c r="Z82" s="162">
        <f t="shared" si="35"/>
        <v>19.825996193282986</v>
      </c>
      <c r="AA82" s="162">
        <f t="shared" si="36"/>
        <v>25.902738612575551</v>
      </c>
      <c r="AB82" s="271">
        <f t="shared" si="37"/>
        <v>21.329097315645193</v>
      </c>
      <c r="AC82" s="97"/>
      <c r="AD82" s="98"/>
      <c r="AE82" s="98"/>
      <c r="AF82" s="98"/>
      <c r="AG82" s="98"/>
      <c r="AH82" s="98"/>
      <c r="AI82" s="98"/>
      <c r="AJ82" s="98"/>
      <c r="AK82" s="98"/>
      <c r="AL82" s="98"/>
      <c r="AM82" s="98"/>
      <c r="AN82" s="98"/>
      <c r="AO82" s="304"/>
      <c r="AP82" s="304"/>
      <c r="AQ82" s="304"/>
      <c r="AR82" s="304"/>
      <c r="AS82" s="304"/>
      <c r="AT82" s="304"/>
      <c r="AU82" s="98"/>
      <c r="AV82" s="98"/>
    </row>
    <row r="83" spans="1:48">
      <c r="A83" s="96"/>
      <c r="B83" s="96"/>
      <c r="C83" s="195" t="s">
        <v>54</v>
      </c>
      <c r="D83" s="196" t="s">
        <v>979</v>
      </c>
      <c r="E83" s="197"/>
      <c r="F83" s="198">
        <f>IF($AF$1,SUMIFS('All Employees by Mode'!L:L,'All Employees by Mode'!$C:$C,"="&amp;$C83,'All Employees by Mode'!$BE:$BE,"=No"),SUMIFS('All Employees by Mode'!L:L,'All Employees by Mode'!$C:$C,"="&amp;$C83))</f>
        <v>928</v>
      </c>
      <c r="G83" s="160">
        <f>IF($AF$1,SUMIFS('All Employees by Mode'!M:M,'All Employees by Mode'!$C:$C,"="&amp;$C83,'All Employees by Mode'!$BE:$BE,"=No"),SUMIFS('All Employees by Mode'!M:M,'All Employees by Mode'!$C:$C,"="&amp;$C83))</f>
        <v>4879803</v>
      </c>
      <c r="H83" s="160">
        <f>IF($AF$1,SUMIFS('All Employees by Mode'!O:O,'All Employees by Mode'!$C:$C,"="&amp;$C83,'All Employees by Mode'!$BE:$BE,"=No"),SUMIFS('All Employees by Mode'!O:O,'All Employees by Mode'!$C:$C,"="&amp;$C83))</f>
        <v>1054786</v>
      </c>
      <c r="I83" s="160">
        <f>IF($AF$1,SUMIFS('All Employees by Mode'!Q:Q,'All Employees by Mode'!$C:$C,"="&amp;$C83,'All Employees by Mode'!$BE:$BE,"=No"),SUMIFS('All Employees by Mode'!Q:Q,'All Employees by Mode'!$C:$C,"="&amp;$C83))</f>
        <v>445118</v>
      </c>
      <c r="J83" s="160">
        <f>IF($AF$1,SUMIFS('All Employees by Mode'!S:S,'All Employees by Mode'!$C:$C,"="&amp;$C83,'All Employees by Mode'!$BE:$BE,"=No"),SUMIFS('All Employees by Mode'!S:S,'All Employees by Mode'!$C:$C,"="&amp;$C83))</f>
        <v>978242</v>
      </c>
      <c r="K83" s="160">
        <f>IF($AF$1,SUMIFS('All Employees by Mode'!U:U,'All Employees by Mode'!$C:$C,"="&amp;$C83,'All Employees by Mode'!$BE:$BE,"=No"),SUMIFS('All Employees by Mode'!U:U,'All Employees by Mode'!$C:$C,"="&amp;$C83))</f>
        <v>199325</v>
      </c>
      <c r="L83" s="160">
        <f>IF($AF$1,SUMIFS('All Employees by Mode'!W:W,'All Employees by Mode'!$C:$C,"="&amp;$C83,'All Employees by Mode'!$BE:$BE,"=No"),SUMIFS('All Employees by Mode'!W:W,'All Employees by Mode'!$C:$C,"="&amp;$C83))</f>
        <v>7557274</v>
      </c>
      <c r="M83" s="160">
        <f>IF($AF$1,SUMIFS('All Employees by Mode'!Y:Y,'All Employees by Mode'!$C:$C,"="&amp;$C83,'All Employees by Mode'!$BE:$BE,"=No"),SUMIFS('All Employees by Mode'!Y:Y,'All Employees by Mode'!$C:$C,"="&amp;$C83))</f>
        <v>2541.0500000000002</v>
      </c>
      <c r="N83" s="160">
        <f>IF($AF$1,SUMIFS('All Employees by Mode'!AA:AA,'All Employees by Mode'!$C:$C,"="&amp;$C83,'All Employees by Mode'!$BE:$BE,"=No"),SUMIFS('All Employees by Mode'!AA:AA,'All Employees by Mode'!$C:$C,"="&amp;$C83))</f>
        <v>523.79</v>
      </c>
      <c r="O83" s="160">
        <f>IF($AF$1,SUMIFS('All Employees by Mode'!AC:AC,'All Employees by Mode'!$C:$C,"="&amp;$C83,'All Employees by Mode'!$BE:$BE,"=No"),SUMIFS('All Employees by Mode'!AC:AC,'All Employees by Mode'!$C:$C,"="&amp;$C83))</f>
        <v>220.89</v>
      </c>
      <c r="P83" s="160">
        <f>IF($AF$1,SUMIFS('All Employees by Mode'!AE:AE,'All Employees by Mode'!$C:$C,"="&amp;$C83,'All Employees by Mode'!$BE:$BE,"=No"),SUMIFS('All Employees by Mode'!AE:AE,'All Employees by Mode'!$C:$C,"="&amp;$C83))</f>
        <v>486.50000000000006</v>
      </c>
      <c r="Q83" s="160">
        <f>IF($AF$1,SUMIFS('All Employees by Mode'!AG:AG,'All Employees by Mode'!$C:$C,"="&amp;$C83,'All Employees by Mode'!$BE:$BE,"=No"),SUMIFS('All Employees by Mode'!AG:AG,'All Employees by Mode'!$C:$C,"="&amp;$C83))</f>
        <v>98.9</v>
      </c>
      <c r="R83" s="160">
        <f>IF($AF$1,SUMIFS('All Employees by Mode'!AI:AI,'All Employees by Mode'!$C:$C,"="&amp;$C83,'All Employees by Mode'!$BE:$BE,"=No"),SUMIFS('All Employees by Mode'!AI:AI,'All Employees by Mode'!$C:$C,"="&amp;$C83))</f>
        <v>3871.1300000000006</v>
      </c>
      <c r="S83" s="161">
        <f>IF($AF$1,SUMIFS('All Employees by Mode'!AK:AK,'All Employees by Mode'!$C:$C,"="&amp;$C83,'All Employees by Mode'!$BE:$BE,"=No"),SUMIFS('All Employees by Mode'!AK:AK,'All Employees by Mode'!$C:$C,"="&amp;$C83))</f>
        <v>116805718</v>
      </c>
      <c r="T83" s="161">
        <f>IF($AF$1,SUMIFS('All Employees by Mode'!AM:AM,'All Employees by Mode'!$C:$C,"="&amp;$C83,'All Employees by Mode'!$BE:$BE,"=No"),SUMIFS('All Employees by Mode'!AM:AM,'All Employees by Mode'!$C:$C,"="&amp;$C83))</f>
        <v>30388606</v>
      </c>
      <c r="U83" s="161">
        <f>IF($AF$1,SUMIFS('All Employees by Mode'!AO:AO,'All Employees by Mode'!$C:$C,"="&amp;$C83,'All Employees by Mode'!$BE:$BE,"=No"),SUMIFS('All Employees by Mode'!AO:AO,'All Employees by Mode'!$C:$C,"="&amp;$C83))</f>
        <v>13195464</v>
      </c>
      <c r="V83" s="161">
        <f>IF($AF$1,SUMIFS('All Employees by Mode'!AQ:AQ,'All Employees by Mode'!$C:$C,"="&amp;$C83,'All Employees by Mode'!$BE:$BE,"=No"),SUMIFS('All Employees by Mode'!AQ:AQ,'All Employees by Mode'!$C:$C,"="&amp;$C83))</f>
        <v>27281493</v>
      </c>
      <c r="W83" s="161">
        <f>IF($AF$1,SUMIFS('All Employees by Mode'!AS:AS,'All Employees by Mode'!$C:$C,"="&amp;$C83,'All Employees by Mode'!$BE:$BE,"=No"),SUMIFS('All Employees by Mode'!AS:AS,'All Employees by Mode'!$C:$C,"="&amp;$C83))</f>
        <v>187671281</v>
      </c>
      <c r="X83" s="162">
        <f t="shared" si="33"/>
        <v>23.936564242449951</v>
      </c>
      <c r="Y83" s="162">
        <f t="shared" si="34"/>
        <v>28.810209843513281</v>
      </c>
      <c r="Z83" s="162">
        <f t="shared" si="35"/>
        <v>29.644867203752714</v>
      </c>
      <c r="AA83" s="162">
        <f t="shared" si="36"/>
        <v>27.888286334056399</v>
      </c>
      <c r="AB83" s="271">
        <f t="shared" si="37"/>
        <v>25.50592305002386</v>
      </c>
      <c r="AC83" s="97"/>
      <c r="AD83" s="98"/>
      <c r="AE83" s="98"/>
      <c r="AF83" s="98"/>
      <c r="AG83" s="98"/>
      <c r="AH83" s="98"/>
      <c r="AI83" s="98"/>
      <c r="AJ83" s="98"/>
      <c r="AK83" s="98"/>
      <c r="AL83" s="98"/>
      <c r="AM83" s="98"/>
      <c r="AN83" s="98"/>
      <c r="AO83" s="304"/>
      <c r="AP83" s="304"/>
      <c r="AQ83" s="304"/>
      <c r="AR83" s="304"/>
      <c r="AS83" s="304"/>
      <c r="AT83" s="304"/>
      <c r="AU83" s="98"/>
      <c r="AV83" s="98"/>
    </row>
    <row r="84" spans="1:48">
      <c r="A84" s="96"/>
      <c r="B84" s="96"/>
      <c r="C84" s="195" t="s">
        <v>55</v>
      </c>
      <c r="D84" s="196" t="s">
        <v>980</v>
      </c>
      <c r="E84" s="197"/>
      <c r="F84" s="198">
        <f>IF($AF$1,SUMIFS('All Employees by Mode'!L:L,'All Employees by Mode'!$C:$C,"="&amp;$C84,'All Employees by Mode'!$BE:$BE,"=No"),SUMIFS('All Employees by Mode'!L:L,'All Employees by Mode'!$C:$C,"="&amp;$C84))</f>
        <v>762</v>
      </c>
      <c r="G84" s="160">
        <f>IF($AF$1,SUMIFS('All Employees by Mode'!M:M,'All Employees by Mode'!$C:$C,"="&amp;$C84,'All Employees by Mode'!$BE:$BE,"=No"),SUMIFS('All Employees by Mode'!M:M,'All Employees by Mode'!$C:$C,"="&amp;$C84))</f>
        <v>4096772</v>
      </c>
      <c r="H84" s="160">
        <f>IF($AF$1,SUMIFS('All Employees by Mode'!O:O,'All Employees by Mode'!$C:$C,"="&amp;$C84,'All Employees by Mode'!$BE:$BE,"=No"),SUMIFS('All Employees by Mode'!O:O,'All Employees by Mode'!$C:$C,"="&amp;$C84))</f>
        <v>884597</v>
      </c>
      <c r="I84" s="160">
        <f>IF($AF$1,SUMIFS('All Employees by Mode'!Q:Q,'All Employees by Mode'!$C:$C,"="&amp;$C84,'All Employees by Mode'!$BE:$BE,"=No"),SUMIFS('All Employees by Mode'!Q:Q,'All Employees by Mode'!$C:$C,"="&amp;$C84))</f>
        <v>428725</v>
      </c>
      <c r="J84" s="160">
        <f>IF($AF$1,SUMIFS('All Employees by Mode'!S:S,'All Employees by Mode'!$C:$C,"="&amp;$C84,'All Employees by Mode'!$BE:$BE,"=No"),SUMIFS('All Employees by Mode'!S:S,'All Employees by Mode'!$C:$C,"="&amp;$C84))</f>
        <v>643074</v>
      </c>
      <c r="K84" s="160">
        <f>IF($AF$1,SUMIFS('All Employees by Mode'!U:U,'All Employees by Mode'!$C:$C,"="&amp;$C84,'All Employees by Mode'!$BE:$BE,"=No"),SUMIFS('All Employees by Mode'!U:U,'All Employees by Mode'!$C:$C,"="&amp;$C84))</f>
        <v>44546</v>
      </c>
      <c r="L84" s="160">
        <f>IF($AF$1,SUMIFS('All Employees by Mode'!W:W,'All Employees by Mode'!$C:$C,"="&amp;$C84,'All Employees by Mode'!$BE:$BE,"=No"),SUMIFS('All Employees by Mode'!W:W,'All Employees by Mode'!$C:$C,"="&amp;$C84))</f>
        <v>6097714</v>
      </c>
      <c r="M84" s="160">
        <f>IF($AF$1,SUMIFS('All Employees by Mode'!Y:Y,'All Employees by Mode'!$C:$C,"="&amp;$C84,'All Employees by Mode'!$BE:$BE,"=No"),SUMIFS('All Employees by Mode'!Y:Y,'All Employees by Mode'!$C:$C,"="&amp;$C84))</f>
        <v>2228</v>
      </c>
      <c r="N84" s="160">
        <f>IF($AF$1,SUMIFS('All Employees by Mode'!AA:AA,'All Employees by Mode'!$C:$C,"="&amp;$C84,'All Employees by Mode'!$BE:$BE,"=No"),SUMIFS('All Employees by Mode'!AA:AA,'All Employees by Mode'!$C:$C,"="&amp;$C84))</f>
        <v>457.20000000000005</v>
      </c>
      <c r="O84" s="160">
        <f>IF($AF$1,SUMIFS('All Employees by Mode'!AC:AC,'All Employees by Mode'!$C:$C,"="&amp;$C84,'All Employees by Mode'!$BE:$BE,"=No"),SUMIFS('All Employees by Mode'!AC:AC,'All Employees by Mode'!$C:$C,"="&amp;$C84))</f>
        <v>224.14</v>
      </c>
      <c r="P84" s="160">
        <f>IF($AF$1,SUMIFS('All Employees by Mode'!AE:AE,'All Employees by Mode'!$C:$C,"="&amp;$C84,'All Employees by Mode'!$BE:$BE,"=No"),SUMIFS('All Employees by Mode'!AE:AE,'All Employees by Mode'!$C:$C,"="&amp;$C84))</f>
        <v>385.8</v>
      </c>
      <c r="Q84" s="160">
        <f>IF($AF$1,SUMIFS('All Employees by Mode'!AG:AG,'All Employees by Mode'!$C:$C,"="&amp;$C84,'All Employees by Mode'!$BE:$BE,"=No"),SUMIFS('All Employees by Mode'!AG:AG,'All Employees by Mode'!$C:$C,"="&amp;$C84))</f>
        <v>24.47</v>
      </c>
      <c r="R84" s="160">
        <f>IF($AF$1,SUMIFS('All Employees by Mode'!AI:AI,'All Employees by Mode'!$C:$C,"="&amp;$C84,'All Employees by Mode'!$BE:$BE,"=No"),SUMIFS('All Employees by Mode'!AI:AI,'All Employees by Mode'!$C:$C,"="&amp;$C84))</f>
        <v>3319.61</v>
      </c>
      <c r="S84" s="161">
        <f>IF($AF$1,SUMIFS('All Employees by Mode'!AK:AK,'All Employees by Mode'!$C:$C,"="&amp;$C84,'All Employees by Mode'!$BE:$BE,"=No"),SUMIFS('All Employees by Mode'!AK:AK,'All Employees by Mode'!$C:$C,"="&amp;$C84))</f>
        <v>91701703</v>
      </c>
      <c r="T84" s="161">
        <f>IF($AF$1,SUMIFS('All Employees by Mode'!AM:AM,'All Employees by Mode'!$C:$C,"="&amp;$C84,'All Employees by Mode'!$BE:$BE,"=No"),SUMIFS('All Employees by Mode'!AM:AM,'All Employees by Mode'!$C:$C,"="&amp;$C84))</f>
        <v>23886149</v>
      </c>
      <c r="U84" s="161">
        <f>IF($AF$1,SUMIFS('All Employees by Mode'!AO:AO,'All Employees by Mode'!$C:$C,"="&amp;$C84,'All Employees by Mode'!$BE:$BE,"=No"),SUMIFS('All Employees by Mode'!AO:AO,'All Employees by Mode'!$C:$C,"="&amp;$C84))</f>
        <v>12323387</v>
      </c>
      <c r="V84" s="161">
        <f>IF($AF$1,SUMIFS('All Employees by Mode'!AQ:AQ,'All Employees by Mode'!$C:$C,"="&amp;$C84,'All Employees by Mode'!$BE:$BE,"=No"),SUMIFS('All Employees by Mode'!AQ:AQ,'All Employees by Mode'!$C:$C,"="&amp;$C84))</f>
        <v>19268873</v>
      </c>
      <c r="W84" s="161">
        <f>IF($AF$1,SUMIFS('All Employees by Mode'!AS:AS,'All Employees by Mode'!$C:$C,"="&amp;$C84,'All Employees by Mode'!$BE:$BE,"=No"),SUMIFS('All Employees by Mode'!AS:AS,'All Employees by Mode'!$C:$C,"="&amp;$C84))</f>
        <v>147180112</v>
      </c>
      <c r="X84" s="162">
        <f t="shared" si="33"/>
        <v>22.383892244918684</v>
      </c>
      <c r="Y84" s="162">
        <f t="shared" si="34"/>
        <v>27.002294830301256</v>
      </c>
      <c r="Z84" s="162">
        <f t="shared" si="35"/>
        <v>28.744269636713511</v>
      </c>
      <c r="AA84" s="162">
        <f t="shared" si="36"/>
        <v>29.963694691435201</v>
      </c>
      <c r="AB84" s="271">
        <f t="shared" si="37"/>
        <v>24.314559252279135</v>
      </c>
      <c r="AC84" s="97"/>
      <c r="AD84" s="98"/>
      <c r="AE84" s="98"/>
      <c r="AF84" s="98"/>
      <c r="AG84" s="98"/>
      <c r="AH84" s="98"/>
      <c r="AI84" s="98"/>
      <c r="AJ84" s="98"/>
      <c r="AK84" s="98"/>
      <c r="AL84" s="98"/>
      <c r="AM84" s="98"/>
      <c r="AN84" s="98"/>
      <c r="AO84" s="304"/>
      <c r="AP84" s="304"/>
      <c r="AQ84" s="304"/>
      <c r="AR84" s="304"/>
      <c r="AS84" s="304"/>
      <c r="AT84" s="304"/>
      <c r="AU84" s="98"/>
      <c r="AV84" s="98"/>
    </row>
    <row r="85" spans="1:48">
      <c r="A85" s="96"/>
      <c r="B85" s="96"/>
      <c r="C85" s="195" t="s">
        <v>981</v>
      </c>
      <c r="D85" s="196" t="s">
        <v>982</v>
      </c>
      <c r="E85" s="197"/>
      <c r="F85" s="198">
        <f>IF($AF$1,SUMIFS('All Employees by Mode'!L:L,'All Employees by Mode'!$C:$C,"="&amp;$C85,'All Employees by Mode'!$BE:$BE,"=No"),SUMIFS('All Employees by Mode'!L:L,'All Employees by Mode'!$C:$C,"="&amp;$C85))</f>
        <v>0</v>
      </c>
      <c r="G85" s="160">
        <f>IF($AF$1,SUMIFS('All Employees by Mode'!M:M,'All Employees by Mode'!$C:$C,"="&amp;$C85,'All Employees by Mode'!$BE:$BE,"=No"),SUMIFS('All Employees by Mode'!M:M,'All Employees by Mode'!$C:$C,"="&amp;$C85))</f>
        <v>0</v>
      </c>
      <c r="H85" s="160">
        <f>IF($AF$1,SUMIFS('All Employees by Mode'!O:O,'All Employees by Mode'!$C:$C,"="&amp;$C85,'All Employees by Mode'!$BE:$BE,"=No"),SUMIFS('All Employees by Mode'!O:O,'All Employees by Mode'!$C:$C,"="&amp;$C85))</f>
        <v>0</v>
      </c>
      <c r="I85" s="160">
        <f>IF($AF$1,SUMIFS('All Employees by Mode'!Q:Q,'All Employees by Mode'!$C:$C,"="&amp;$C85,'All Employees by Mode'!$BE:$BE,"=No"),SUMIFS('All Employees by Mode'!Q:Q,'All Employees by Mode'!$C:$C,"="&amp;$C85))</f>
        <v>0</v>
      </c>
      <c r="J85" s="160">
        <f>IF($AF$1,SUMIFS('All Employees by Mode'!S:S,'All Employees by Mode'!$C:$C,"="&amp;$C85,'All Employees by Mode'!$BE:$BE,"=No"),SUMIFS('All Employees by Mode'!S:S,'All Employees by Mode'!$C:$C,"="&amp;$C85))</f>
        <v>0</v>
      </c>
      <c r="K85" s="160">
        <f>IF($AF$1,SUMIFS('All Employees by Mode'!U:U,'All Employees by Mode'!$C:$C,"="&amp;$C85,'All Employees by Mode'!$BE:$BE,"=No"),SUMIFS('All Employees by Mode'!U:U,'All Employees by Mode'!$C:$C,"="&amp;$C85))</f>
        <v>0</v>
      </c>
      <c r="L85" s="160">
        <f>IF($AF$1,SUMIFS('All Employees by Mode'!W:W,'All Employees by Mode'!$C:$C,"="&amp;$C85,'All Employees by Mode'!$BE:$BE,"=No"),SUMIFS('All Employees by Mode'!W:W,'All Employees by Mode'!$C:$C,"="&amp;$C85))</f>
        <v>0</v>
      </c>
      <c r="M85" s="160">
        <f>IF($AF$1,SUMIFS('All Employees by Mode'!Y:Y,'All Employees by Mode'!$C:$C,"="&amp;$C85,'All Employees by Mode'!$BE:$BE,"=No"),SUMIFS('All Employees by Mode'!Y:Y,'All Employees by Mode'!$C:$C,"="&amp;$C85))</f>
        <v>0</v>
      </c>
      <c r="N85" s="160">
        <f>IF($AF$1,SUMIFS('All Employees by Mode'!AA:AA,'All Employees by Mode'!$C:$C,"="&amp;$C85,'All Employees by Mode'!$BE:$BE,"=No"),SUMIFS('All Employees by Mode'!AA:AA,'All Employees by Mode'!$C:$C,"="&amp;$C85))</f>
        <v>0</v>
      </c>
      <c r="O85" s="160">
        <f>IF($AF$1,SUMIFS('All Employees by Mode'!AC:AC,'All Employees by Mode'!$C:$C,"="&amp;$C85,'All Employees by Mode'!$BE:$BE,"=No"),SUMIFS('All Employees by Mode'!AC:AC,'All Employees by Mode'!$C:$C,"="&amp;$C85))</f>
        <v>0</v>
      </c>
      <c r="P85" s="160">
        <f>IF($AF$1,SUMIFS('All Employees by Mode'!AE:AE,'All Employees by Mode'!$C:$C,"="&amp;$C85,'All Employees by Mode'!$BE:$BE,"=No"),SUMIFS('All Employees by Mode'!AE:AE,'All Employees by Mode'!$C:$C,"="&amp;$C85))</f>
        <v>0</v>
      </c>
      <c r="Q85" s="160">
        <f>IF($AF$1,SUMIFS('All Employees by Mode'!AG:AG,'All Employees by Mode'!$C:$C,"="&amp;$C85,'All Employees by Mode'!$BE:$BE,"=No"),SUMIFS('All Employees by Mode'!AG:AG,'All Employees by Mode'!$C:$C,"="&amp;$C85))</f>
        <v>0</v>
      </c>
      <c r="R85" s="160">
        <f>IF($AF$1,SUMIFS('All Employees by Mode'!AI:AI,'All Employees by Mode'!$C:$C,"="&amp;$C85,'All Employees by Mode'!$BE:$BE,"=No"),SUMIFS('All Employees by Mode'!AI:AI,'All Employees by Mode'!$C:$C,"="&amp;$C85))</f>
        <v>0</v>
      </c>
      <c r="S85" s="161">
        <f>IF($AF$1,SUMIFS('All Employees by Mode'!AK:AK,'All Employees by Mode'!$C:$C,"="&amp;$C85,'All Employees by Mode'!$BE:$BE,"=No"),SUMIFS('All Employees by Mode'!AK:AK,'All Employees by Mode'!$C:$C,"="&amp;$C85))</f>
        <v>0</v>
      </c>
      <c r="T85" s="161">
        <f>IF($AF$1,SUMIFS('All Employees by Mode'!AM:AM,'All Employees by Mode'!$C:$C,"="&amp;$C85,'All Employees by Mode'!$BE:$BE,"=No"),SUMIFS('All Employees by Mode'!AM:AM,'All Employees by Mode'!$C:$C,"="&amp;$C85))</f>
        <v>0</v>
      </c>
      <c r="U85" s="161">
        <f>IF($AF$1,SUMIFS('All Employees by Mode'!AO:AO,'All Employees by Mode'!$C:$C,"="&amp;$C85,'All Employees by Mode'!$BE:$BE,"=No"),SUMIFS('All Employees by Mode'!AO:AO,'All Employees by Mode'!$C:$C,"="&amp;$C85))</f>
        <v>0</v>
      </c>
      <c r="V85" s="161">
        <f>IF($AF$1,SUMIFS('All Employees by Mode'!AQ:AQ,'All Employees by Mode'!$C:$C,"="&amp;$C85,'All Employees by Mode'!$BE:$BE,"=No"),SUMIFS('All Employees by Mode'!AQ:AQ,'All Employees by Mode'!$C:$C,"="&amp;$C85))</f>
        <v>0</v>
      </c>
      <c r="W85" s="161">
        <f>IF($AF$1,SUMIFS('All Employees by Mode'!AS:AS,'All Employees by Mode'!$C:$C,"="&amp;$C85,'All Employees by Mode'!$BE:$BE,"=No"),SUMIFS('All Employees by Mode'!AS:AS,'All Employees by Mode'!$C:$C,"="&amp;$C85))</f>
        <v>0</v>
      </c>
      <c r="X85" s="162" t="str">
        <f t="shared" si="33"/>
        <v>-</v>
      </c>
      <c r="Y85" s="162" t="str">
        <f t="shared" si="34"/>
        <v>-</v>
      </c>
      <c r="Z85" s="162" t="str">
        <f t="shared" si="35"/>
        <v>-</v>
      </c>
      <c r="AA85" s="162" t="str">
        <f t="shared" si="36"/>
        <v>-</v>
      </c>
      <c r="AB85" s="271" t="str">
        <f t="shared" si="37"/>
        <v>-</v>
      </c>
      <c r="AC85" s="97"/>
      <c r="AD85" s="98"/>
      <c r="AE85" s="98"/>
      <c r="AF85" s="98"/>
      <c r="AG85" s="98"/>
      <c r="AH85" s="98"/>
      <c r="AI85" s="98"/>
      <c r="AJ85" s="98"/>
      <c r="AK85" s="98"/>
      <c r="AL85" s="98"/>
      <c r="AM85" s="98"/>
      <c r="AN85" s="98"/>
      <c r="AO85" s="304"/>
      <c r="AP85" s="304"/>
      <c r="AQ85" s="304"/>
      <c r="AR85" s="304"/>
      <c r="AS85" s="304"/>
      <c r="AT85" s="304"/>
      <c r="AU85" s="98"/>
      <c r="AV85" s="98"/>
    </row>
    <row r="86" spans="1:48">
      <c r="A86" s="96"/>
      <c r="B86" s="96"/>
      <c r="C86" s="195" t="s">
        <v>56</v>
      </c>
      <c r="D86" s="196" t="s">
        <v>983</v>
      </c>
      <c r="E86" s="197"/>
      <c r="F86" s="198">
        <f>IF($AF$1,SUMIFS('All Employees by Mode'!L:L,'All Employees by Mode'!$C:$C,"="&amp;$C86,'All Employees by Mode'!$BE:$BE,"=No"),SUMIFS('All Employees by Mode'!L:L,'All Employees by Mode'!$C:$C,"="&amp;$C86))</f>
        <v>32</v>
      </c>
      <c r="G86" s="160">
        <f>IF($AF$1,SUMIFS('All Employees by Mode'!M:M,'All Employees by Mode'!$C:$C,"="&amp;$C86,'All Employees by Mode'!$BE:$BE,"=No"),SUMIFS('All Employees by Mode'!M:M,'All Employees by Mode'!$C:$C,"="&amp;$C86))</f>
        <v>128868</v>
      </c>
      <c r="H86" s="160">
        <f>IF($AF$1,SUMIFS('All Employees by Mode'!O:O,'All Employees by Mode'!$C:$C,"="&amp;$C86,'All Employees by Mode'!$BE:$BE,"=No"),SUMIFS('All Employees by Mode'!O:O,'All Employees by Mode'!$C:$C,"="&amp;$C86))</f>
        <v>23162</v>
      </c>
      <c r="I86" s="160">
        <f>IF($AF$1,SUMIFS('All Employees by Mode'!Q:Q,'All Employees by Mode'!$C:$C,"="&amp;$C86,'All Employees by Mode'!$BE:$BE,"=No"),SUMIFS('All Employees by Mode'!Q:Q,'All Employees by Mode'!$C:$C,"="&amp;$C86))</f>
        <v>4407</v>
      </c>
      <c r="J86" s="160">
        <f>IF($AF$1,SUMIFS('All Employees by Mode'!S:S,'All Employees by Mode'!$C:$C,"="&amp;$C86,'All Employees by Mode'!$BE:$BE,"=No"),SUMIFS('All Employees by Mode'!S:S,'All Employees by Mode'!$C:$C,"="&amp;$C86))</f>
        <v>39319</v>
      </c>
      <c r="K86" s="160">
        <f>IF($AF$1,SUMIFS('All Employees by Mode'!U:U,'All Employees by Mode'!$C:$C,"="&amp;$C86,'All Employees by Mode'!$BE:$BE,"=No"),SUMIFS('All Employees by Mode'!U:U,'All Employees by Mode'!$C:$C,"="&amp;$C86))</f>
        <v>0</v>
      </c>
      <c r="L86" s="160">
        <f>IF($AF$1,SUMIFS('All Employees by Mode'!W:W,'All Employees by Mode'!$C:$C,"="&amp;$C86,'All Employees by Mode'!$BE:$BE,"=No"),SUMIFS('All Employees by Mode'!W:W,'All Employees by Mode'!$C:$C,"="&amp;$C86))</f>
        <v>195756</v>
      </c>
      <c r="M86" s="160">
        <f>IF($AF$1,SUMIFS('All Employees by Mode'!Y:Y,'All Employees by Mode'!$C:$C,"="&amp;$C86,'All Employees by Mode'!$BE:$BE,"=No"),SUMIFS('All Employees by Mode'!Y:Y,'All Employees by Mode'!$C:$C,"="&amp;$C86))</f>
        <v>68</v>
      </c>
      <c r="N86" s="160">
        <f>IF($AF$1,SUMIFS('All Employees by Mode'!AA:AA,'All Employees by Mode'!$C:$C,"="&amp;$C86,'All Employees by Mode'!$BE:$BE,"=No"),SUMIFS('All Employees by Mode'!AA:AA,'All Employees by Mode'!$C:$C,"="&amp;$C86))</f>
        <v>11.729999999999999</v>
      </c>
      <c r="O86" s="160">
        <f>IF($AF$1,SUMIFS('All Employees by Mode'!AC:AC,'All Employees by Mode'!$C:$C,"="&amp;$C86,'All Employees by Mode'!$BE:$BE,"=No"),SUMIFS('All Employees by Mode'!AC:AC,'All Employees by Mode'!$C:$C,"="&amp;$C86))</f>
        <v>1.92</v>
      </c>
      <c r="P86" s="160">
        <f>IF($AF$1,SUMIFS('All Employees by Mode'!AE:AE,'All Employees by Mode'!$C:$C,"="&amp;$C86,'All Employees by Mode'!$BE:$BE,"=No"),SUMIFS('All Employees by Mode'!AE:AE,'All Employees by Mode'!$C:$C,"="&amp;$C86))</f>
        <v>18.350000000000001</v>
      </c>
      <c r="Q86" s="160">
        <f>IF($AF$1,SUMIFS('All Employees by Mode'!AG:AG,'All Employees by Mode'!$C:$C,"="&amp;$C86,'All Employees by Mode'!$BE:$BE,"=No"),SUMIFS('All Employees by Mode'!AG:AG,'All Employees by Mode'!$C:$C,"="&amp;$C86))</f>
        <v>0</v>
      </c>
      <c r="R86" s="160">
        <f>IF($AF$1,SUMIFS('All Employees by Mode'!AI:AI,'All Employees by Mode'!$C:$C,"="&amp;$C86,'All Employees by Mode'!$BE:$BE,"=No"),SUMIFS('All Employees by Mode'!AI:AI,'All Employees by Mode'!$C:$C,"="&amp;$C86))</f>
        <v>100</v>
      </c>
      <c r="S86" s="161">
        <f>IF($AF$1,SUMIFS('All Employees by Mode'!AK:AK,'All Employees by Mode'!$C:$C,"="&amp;$C86,'All Employees by Mode'!$BE:$BE,"=No"),SUMIFS('All Employees by Mode'!AK:AK,'All Employees by Mode'!$C:$C,"="&amp;$C86))</f>
        <v>1895775</v>
      </c>
      <c r="T86" s="161">
        <f>IF($AF$1,SUMIFS('All Employees by Mode'!AM:AM,'All Employees by Mode'!$C:$C,"="&amp;$C86,'All Employees by Mode'!$BE:$BE,"=No"),SUMIFS('All Employees by Mode'!AM:AM,'All Employees by Mode'!$C:$C,"="&amp;$C86))</f>
        <v>359674</v>
      </c>
      <c r="U86" s="161">
        <f>IF($AF$1,SUMIFS('All Employees by Mode'!AO:AO,'All Employees by Mode'!$C:$C,"="&amp;$C86,'All Employees by Mode'!$BE:$BE,"=No"),SUMIFS('All Employees by Mode'!AO:AO,'All Employees by Mode'!$C:$C,"="&amp;$C86))</f>
        <v>63020</v>
      </c>
      <c r="V86" s="161">
        <f>IF($AF$1,SUMIFS('All Employees by Mode'!AQ:AQ,'All Employees by Mode'!$C:$C,"="&amp;$C86,'All Employees by Mode'!$BE:$BE,"=No"),SUMIFS('All Employees by Mode'!AQ:AQ,'All Employees by Mode'!$C:$C,"="&amp;$C86))</f>
        <v>635116</v>
      </c>
      <c r="W86" s="161">
        <f>IF($AF$1,SUMIFS('All Employees by Mode'!AS:AS,'All Employees by Mode'!$C:$C,"="&amp;$C86,'All Employees by Mode'!$BE:$BE,"=No"),SUMIFS('All Employees by Mode'!AS:AS,'All Employees by Mode'!$C:$C,"="&amp;$C86))</f>
        <v>2953585</v>
      </c>
      <c r="X86" s="162">
        <f t="shared" si="33"/>
        <v>14.710983331781359</v>
      </c>
      <c r="Y86" s="162">
        <f t="shared" si="34"/>
        <v>15.528624471116483</v>
      </c>
      <c r="Z86" s="162">
        <f t="shared" si="35"/>
        <v>14.299977308826866</v>
      </c>
      <c r="AA86" s="162">
        <f t="shared" si="36"/>
        <v>16.152903176581297</v>
      </c>
      <c r="AB86" s="271">
        <f t="shared" si="37"/>
        <v>15.08809436236948</v>
      </c>
      <c r="AC86" s="97"/>
      <c r="AD86" s="98"/>
      <c r="AE86" s="98"/>
      <c r="AF86" s="98"/>
      <c r="AG86" s="98"/>
      <c r="AH86" s="98"/>
      <c r="AI86" s="98"/>
      <c r="AJ86" s="98"/>
      <c r="AK86" s="98"/>
      <c r="AL86" s="98"/>
      <c r="AM86" s="98"/>
      <c r="AN86" s="98"/>
      <c r="AO86" s="304"/>
      <c r="AP86" s="304"/>
      <c r="AQ86" s="304"/>
      <c r="AR86" s="304"/>
      <c r="AS86" s="304"/>
      <c r="AT86" s="304"/>
      <c r="AU86" s="98"/>
      <c r="AV86" s="98"/>
    </row>
    <row r="87" spans="1:48">
      <c r="A87" s="96"/>
      <c r="B87" s="96"/>
      <c r="C87" s="195" t="s">
        <v>57</v>
      </c>
      <c r="D87" s="196" t="s">
        <v>984</v>
      </c>
      <c r="E87" s="197"/>
      <c r="F87" s="198">
        <f>IF($AF$1,SUMIFS('All Employees by Mode'!L:L,'All Employees by Mode'!$C:$C,"="&amp;$C87,'All Employees by Mode'!$BE:$BE,"=No"),SUMIFS('All Employees by Mode'!L:L,'All Employees by Mode'!$C:$C,"="&amp;$C87))</f>
        <v>89</v>
      </c>
      <c r="G87" s="160">
        <f>IF($AF$1,SUMIFS('All Employees by Mode'!M:M,'All Employees by Mode'!$C:$C,"="&amp;$C87,'All Employees by Mode'!$BE:$BE,"=No"),SUMIFS('All Employees by Mode'!M:M,'All Employees by Mode'!$C:$C,"="&amp;$C87))</f>
        <v>245060</v>
      </c>
      <c r="H87" s="160">
        <f>IF($AF$1,SUMIFS('All Employees by Mode'!O:O,'All Employees by Mode'!$C:$C,"="&amp;$C87,'All Employees by Mode'!$BE:$BE,"=No"),SUMIFS('All Employees by Mode'!O:O,'All Employees by Mode'!$C:$C,"="&amp;$C87))</f>
        <v>32128</v>
      </c>
      <c r="I87" s="160">
        <f>IF($AF$1,SUMIFS('All Employees by Mode'!Q:Q,'All Employees by Mode'!$C:$C,"="&amp;$C87,'All Employees by Mode'!$BE:$BE,"=No"),SUMIFS('All Employees by Mode'!Q:Q,'All Employees by Mode'!$C:$C,"="&amp;$C87))</f>
        <v>8883</v>
      </c>
      <c r="J87" s="160">
        <f>IF($AF$1,SUMIFS('All Employees by Mode'!S:S,'All Employees by Mode'!$C:$C,"="&amp;$C87,'All Employees by Mode'!$BE:$BE,"=No"),SUMIFS('All Employees by Mode'!S:S,'All Employees by Mode'!$C:$C,"="&amp;$C87))</f>
        <v>37157</v>
      </c>
      <c r="K87" s="160">
        <f>IF($AF$1,SUMIFS('All Employees by Mode'!U:U,'All Employees by Mode'!$C:$C,"="&amp;$C87,'All Employees by Mode'!$BE:$BE,"=No"),SUMIFS('All Employees by Mode'!U:U,'All Employees by Mode'!$C:$C,"="&amp;$C87))</f>
        <v>880</v>
      </c>
      <c r="L87" s="160">
        <f>IF($AF$1,SUMIFS('All Employees by Mode'!W:W,'All Employees by Mode'!$C:$C,"="&amp;$C87,'All Employees by Mode'!$BE:$BE,"=No"),SUMIFS('All Employees by Mode'!W:W,'All Employees by Mode'!$C:$C,"="&amp;$C87))</f>
        <v>324108</v>
      </c>
      <c r="M87" s="160">
        <f>IF($AF$1,SUMIFS('All Employees by Mode'!Y:Y,'All Employees by Mode'!$C:$C,"="&amp;$C87,'All Employees by Mode'!$BE:$BE,"=No"),SUMIFS('All Employees by Mode'!Y:Y,'All Employees by Mode'!$C:$C,"="&amp;$C87))</f>
        <v>172.01999999999998</v>
      </c>
      <c r="N87" s="160">
        <f>IF($AF$1,SUMIFS('All Employees by Mode'!AA:AA,'All Employees by Mode'!$C:$C,"="&amp;$C87,'All Employees by Mode'!$BE:$BE,"=No"),SUMIFS('All Employees by Mode'!AA:AA,'All Employees by Mode'!$C:$C,"="&amp;$C87))</f>
        <v>18.660000000000004</v>
      </c>
      <c r="O87" s="160">
        <f>IF($AF$1,SUMIFS('All Employees by Mode'!AC:AC,'All Employees by Mode'!$C:$C,"="&amp;$C87,'All Employees by Mode'!$BE:$BE,"=No"),SUMIFS('All Employees by Mode'!AC:AC,'All Employees by Mode'!$C:$C,"="&amp;$C87))</f>
        <v>4.9799999999999995</v>
      </c>
      <c r="P87" s="160">
        <f>IF($AF$1,SUMIFS('All Employees by Mode'!AE:AE,'All Employees by Mode'!$C:$C,"="&amp;$C87,'All Employees by Mode'!$BE:$BE,"=No"),SUMIFS('All Employees by Mode'!AE:AE,'All Employees by Mode'!$C:$C,"="&amp;$C87))</f>
        <v>21.260000000000005</v>
      </c>
      <c r="Q87" s="160">
        <f>IF($AF$1,SUMIFS('All Employees by Mode'!AG:AG,'All Employees by Mode'!$C:$C,"="&amp;$C87,'All Employees by Mode'!$BE:$BE,"=No"),SUMIFS('All Employees by Mode'!AG:AG,'All Employees by Mode'!$C:$C,"="&amp;$C87))</f>
        <v>0.4</v>
      </c>
      <c r="R87" s="160">
        <f>IF($AF$1,SUMIFS('All Employees by Mode'!AI:AI,'All Employees by Mode'!$C:$C,"="&amp;$C87,'All Employees by Mode'!$BE:$BE,"=No"),SUMIFS('All Employees by Mode'!AI:AI,'All Employees by Mode'!$C:$C,"="&amp;$C87))</f>
        <v>217.32</v>
      </c>
      <c r="S87" s="161">
        <f>IF($AF$1,SUMIFS('All Employees by Mode'!AK:AK,'All Employees by Mode'!$C:$C,"="&amp;$C87,'All Employees by Mode'!$BE:$BE,"=No"),SUMIFS('All Employees by Mode'!AK:AK,'All Employees by Mode'!$C:$C,"="&amp;$C87))</f>
        <v>5081219</v>
      </c>
      <c r="T87" s="161">
        <f>IF($AF$1,SUMIFS('All Employees by Mode'!AM:AM,'All Employees by Mode'!$C:$C,"="&amp;$C87,'All Employees by Mode'!$BE:$BE,"=No"),SUMIFS('All Employees by Mode'!AM:AM,'All Employees by Mode'!$C:$C,"="&amp;$C87))</f>
        <v>666386</v>
      </c>
      <c r="U87" s="161">
        <f>IF($AF$1,SUMIFS('All Employees by Mode'!AO:AO,'All Employees by Mode'!$C:$C,"="&amp;$C87,'All Employees by Mode'!$BE:$BE,"=No"),SUMIFS('All Employees by Mode'!AO:AO,'All Employees by Mode'!$C:$C,"="&amp;$C87))</f>
        <v>213148</v>
      </c>
      <c r="V87" s="161">
        <f>IF($AF$1,SUMIFS('All Employees by Mode'!AQ:AQ,'All Employees by Mode'!$C:$C,"="&amp;$C87,'All Employees by Mode'!$BE:$BE,"=No"),SUMIFS('All Employees by Mode'!AQ:AQ,'All Employees by Mode'!$C:$C,"="&amp;$C87))</f>
        <v>942135</v>
      </c>
      <c r="W87" s="161">
        <f>IF($AF$1,SUMIFS('All Employees by Mode'!AS:AS,'All Employees by Mode'!$C:$C,"="&amp;$C87,'All Employees by Mode'!$BE:$BE,"=No"),SUMIFS('All Employees by Mode'!AS:AS,'All Employees by Mode'!$C:$C,"="&amp;$C87))</f>
        <v>6902888</v>
      </c>
      <c r="X87" s="162">
        <f t="shared" si="33"/>
        <v>20.73459152860524</v>
      </c>
      <c r="Y87" s="162">
        <f t="shared" si="34"/>
        <v>20.741596115537849</v>
      </c>
      <c r="Z87" s="162">
        <f t="shared" si="35"/>
        <v>23.995046718450975</v>
      </c>
      <c r="AA87" s="162">
        <f t="shared" si="36"/>
        <v>25.355518475657345</v>
      </c>
      <c r="AB87" s="271">
        <f t="shared" si="37"/>
        <v>21.356095387775813</v>
      </c>
      <c r="AC87" s="97"/>
      <c r="AD87" s="98"/>
      <c r="AE87" s="98"/>
      <c r="AF87" s="98"/>
      <c r="AG87" s="98"/>
      <c r="AH87" s="98"/>
      <c r="AI87" s="98"/>
      <c r="AJ87" s="98"/>
      <c r="AK87" s="98"/>
      <c r="AL87" s="98"/>
      <c r="AM87" s="98"/>
      <c r="AN87" s="98"/>
      <c r="AO87" s="304"/>
      <c r="AP87" s="304"/>
      <c r="AQ87" s="304"/>
      <c r="AR87" s="304"/>
      <c r="AS87" s="304"/>
      <c r="AT87" s="304"/>
      <c r="AU87" s="98"/>
      <c r="AV87" s="98"/>
    </row>
    <row r="88" spans="1:48">
      <c r="A88" s="96"/>
      <c r="B88" s="96"/>
      <c r="C88" s="195" t="s">
        <v>58</v>
      </c>
      <c r="D88" s="196" t="s">
        <v>985</v>
      </c>
      <c r="E88" s="197"/>
      <c r="F88" s="198">
        <f>IF($AF$1,SUMIFS('All Employees by Mode'!L:L,'All Employees by Mode'!$C:$C,"="&amp;$C88,'All Employees by Mode'!$BE:$BE,"=No"),SUMIFS('All Employees by Mode'!L:L,'All Employees by Mode'!$C:$C,"="&amp;$C88))</f>
        <v>957</v>
      </c>
      <c r="G88" s="160">
        <f>IF($AF$1,SUMIFS('All Employees by Mode'!M:M,'All Employees by Mode'!$C:$C,"="&amp;$C88,'All Employees by Mode'!$BE:$BE,"=No"),SUMIFS('All Employees by Mode'!M:M,'All Employees by Mode'!$C:$C,"="&amp;$C88))</f>
        <v>3150957</v>
      </c>
      <c r="H88" s="160">
        <f>IF($AF$1,SUMIFS('All Employees by Mode'!O:O,'All Employees by Mode'!$C:$C,"="&amp;$C88,'All Employees by Mode'!$BE:$BE,"=No"),SUMIFS('All Employees by Mode'!O:O,'All Employees by Mode'!$C:$C,"="&amp;$C88))</f>
        <v>686042</v>
      </c>
      <c r="I88" s="160">
        <f>IF($AF$1,SUMIFS('All Employees by Mode'!Q:Q,'All Employees by Mode'!$C:$C,"="&amp;$C88,'All Employees by Mode'!$BE:$BE,"=No"),SUMIFS('All Employees by Mode'!Q:Q,'All Employees by Mode'!$C:$C,"="&amp;$C88))</f>
        <v>73432</v>
      </c>
      <c r="J88" s="160">
        <f>IF($AF$1,SUMIFS('All Employees by Mode'!S:S,'All Employees by Mode'!$C:$C,"="&amp;$C88,'All Employees by Mode'!$BE:$BE,"=No"),SUMIFS('All Employees by Mode'!S:S,'All Employees by Mode'!$C:$C,"="&amp;$C88))</f>
        <v>264938</v>
      </c>
      <c r="K88" s="160">
        <f>IF($AF$1,SUMIFS('All Employees by Mode'!U:U,'All Employees by Mode'!$C:$C,"="&amp;$C88,'All Employees by Mode'!$BE:$BE,"=No"),SUMIFS('All Employees by Mode'!U:U,'All Employees by Mode'!$C:$C,"="&amp;$C88))</f>
        <v>0</v>
      </c>
      <c r="L88" s="160">
        <f>IF($AF$1,SUMIFS('All Employees by Mode'!W:W,'All Employees by Mode'!$C:$C,"="&amp;$C88,'All Employees by Mode'!$BE:$BE,"=No"),SUMIFS('All Employees by Mode'!W:W,'All Employees by Mode'!$C:$C,"="&amp;$C88))</f>
        <v>4175369</v>
      </c>
      <c r="M88" s="160">
        <f>IF($AF$1,SUMIFS('All Employees by Mode'!Y:Y,'All Employees by Mode'!$C:$C,"="&amp;$C88,'All Employees by Mode'!$BE:$BE,"=No"),SUMIFS('All Employees by Mode'!Y:Y,'All Employees by Mode'!$C:$C,"="&amp;$C88))</f>
        <v>1713.1999999999998</v>
      </c>
      <c r="N88" s="160">
        <f>IF($AF$1,SUMIFS('All Employees by Mode'!AA:AA,'All Employees by Mode'!$C:$C,"="&amp;$C88,'All Employees by Mode'!$BE:$BE,"=No"),SUMIFS('All Employees by Mode'!AA:AA,'All Employees by Mode'!$C:$C,"="&amp;$C88))</f>
        <v>377.28</v>
      </c>
      <c r="O88" s="160">
        <f>IF($AF$1,SUMIFS('All Employees by Mode'!AC:AC,'All Employees by Mode'!$C:$C,"="&amp;$C88,'All Employees by Mode'!$BE:$BE,"=No"),SUMIFS('All Employees by Mode'!AC:AC,'All Employees by Mode'!$C:$C,"="&amp;$C88))</f>
        <v>43.089999999999996</v>
      </c>
      <c r="P88" s="160">
        <f>IF($AF$1,SUMIFS('All Employees by Mode'!AE:AE,'All Employees by Mode'!$C:$C,"="&amp;$C88,'All Employees by Mode'!$BE:$BE,"=No"),SUMIFS('All Employees by Mode'!AE:AE,'All Employees by Mode'!$C:$C,"="&amp;$C88))</f>
        <v>159.95000000000002</v>
      </c>
      <c r="Q88" s="160">
        <f>IF($AF$1,SUMIFS('All Employees by Mode'!AG:AG,'All Employees by Mode'!$C:$C,"="&amp;$C88,'All Employees by Mode'!$BE:$BE,"=No"),SUMIFS('All Employees by Mode'!AG:AG,'All Employees by Mode'!$C:$C,"="&amp;$C88))</f>
        <v>0</v>
      </c>
      <c r="R88" s="160">
        <f>IF($AF$1,SUMIFS('All Employees by Mode'!AI:AI,'All Employees by Mode'!$C:$C,"="&amp;$C88,'All Employees by Mode'!$BE:$BE,"=No"),SUMIFS('All Employees by Mode'!AI:AI,'All Employees by Mode'!$C:$C,"="&amp;$C88))</f>
        <v>2293.5200000000004</v>
      </c>
      <c r="S88" s="161">
        <f>IF($AF$1,SUMIFS('All Employees by Mode'!AK:AK,'All Employees by Mode'!$C:$C,"="&amp;$C88,'All Employees by Mode'!$BE:$BE,"=No"),SUMIFS('All Employees by Mode'!AK:AK,'All Employees by Mode'!$C:$C,"="&amp;$C88))</f>
        <v>66427789</v>
      </c>
      <c r="T88" s="161">
        <f>IF($AF$1,SUMIFS('All Employees by Mode'!AM:AM,'All Employees by Mode'!$C:$C,"="&amp;$C88,'All Employees by Mode'!$BE:$BE,"=No"),SUMIFS('All Employees by Mode'!AM:AM,'All Employees by Mode'!$C:$C,"="&amp;$C88))</f>
        <v>16275260</v>
      </c>
      <c r="U88" s="161">
        <f>IF($AF$1,SUMIFS('All Employees by Mode'!AO:AO,'All Employees by Mode'!$C:$C,"="&amp;$C88,'All Employees by Mode'!$BE:$BE,"=No"),SUMIFS('All Employees by Mode'!AO:AO,'All Employees by Mode'!$C:$C,"="&amp;$C88))</f>
        <v>1547469</v>
      </c>
      <c r="V88" s="161">
        <f>IF($AF$1,SUMIFS('All Employees by Mode'!AQ:AQ,'All Employees by Mode'!$C:$C,"="&amp;$C88,'All Employees by Mode'!$BE:$BE,"=No"),SUMIFS('All Employees by Mode'!AQ:AQ,'All Employees by Mode'!$C:$C,"="&amp;$C88))</f>
        <v>11072991</v>
      </c>
      <c r="W88" s="161">
        <f>IF($AF$1,SUMIFS('All Employees by Mode'!AS:AS,'All Employees by Mode'!$C:$C,"="&amp;$C88,'All Employees by Mode'!$BE:$BE,"=No"),SUMIFS('All Employees by Mode'!AS:AS,'All Employees by Mode'!$C:$C,"="&amp;$C88))</f>
        <v>95323509</v>
      </c>
      <c r="X88" s="162">
        <f t="shared" si="33"/>
        <v>21.081782137934603</v>
      </c>
      <c r="Y88" s="162">
        <f t="shared" si="34"/>
        <v>23.723416350602442</v>
      </c>
      <c r="Z88" s="162">
        <f t="shared" si="35"/>
        <v>21.073496568253624</v>
      </c>
      <c r="AA88" s="162">
        <f t="shared" si="36"/>
        <v>41.794650069072766</v>
      </c>
      <c r="AB88" s="271">
        <f t="shared" si="37"/>
        <v>22.829960417869653</v>
      </c>
      <c r="AC88" s="97"/>
      <c r="AD88" s="98"/>
      <c r="AE88" s="98"/>
      <c r="AF88" s="98"/>
      <c r="AG88" s="98"/>
      <c r="AH88" s="98"/>
      <c r="AI88" s="98"/>
      <c r="AJ88" s="98"/>
      <c r="AK88" s="98"/>
      <c r="AL88" s="98"/>
      <c r="AM88" s="98"/>
      <c r="AN88" s="98"/>
      <c r="AO88" s="304"/>
      <c r="AP88" s="304"/>
      <c r="AQ88" s="304"/>
      <c r="AR88" s="304"/>
      <c r="AS88" s="304"/>
      <c r="AT88" s="304"/>
      <c r="AU88" s="98"/>
      <c r="AV88" s="98"/>
    </row>
    <row r="89" spans="1:48">
      <c r="A89" s="96"/>
      <c r="B89" s="96"/>
      <c r="C89" s="195" t="s">
        <v>59</v>
      </c>
      <c r="D89" s="196" t="s">
        <v>986</v>
      </c>
      <c r="E89" s="197"/>
      <c r="F89" s="198">
        <f>IF($AF$1,SUMIFS('All Employees by Mode'!L:L,'All Employees by Mode'!$C:$C,"="&amp;$C89,'All Employees by Mode'!$BE:$BE,"=No"),SUMIFS('All Employees by Mode'!L:L,'All Employees by Mode'!$C:$C,"="&amp;$C89))</f>
        <v>8</v>
      </c>
      <c r="G89" s="160">
        <f>IF($AF$1,SUMIFS('All Employees by Mode'!M:M,'All Employees by Mode'!$C:$C,"="&amp;$C89,'All Employees by Mode'!$BE:$BE,"=No"),SUMIFS('All Employees by Mode'!M:M,'All Employees by Mode'!$C:$C,"="&amp;$C89))</f>
        <v>30495</v>
      </c>
      <c r="H89" s="160">
        <f>IF($AF$1,SUMIFS('All Employees by Mode'!O:O,'All Employees by Mode'!$C:$C,"="&amp;$C89,'All Employees by Mode'!$BE:$BE,"=No"),SUMIFS('All Employees by Mode'!O:O,'All Employees by Mode'!$C:$C,"="&amp;$C89))</f>
        <v>4542</v>
      </c>
      <c r="I89" s="160">
        <f>IF($AF$1,SUMIFS('All Employees by Mode'!Q:Q,'All Employees by Mode'!$C:$C,"="&amp;$C89,'All Employees by Mode'!$BE:$BE,"=No"),SUMIFS('All Employees by Mode'!Q:Q,'All Employees by Mode'!$C:$C,"="&amp;$C89))</f>
        <v>606</v>
      </c>
      <c r="J89" s="160">
        <f>IF($AF$1,SUMIFS('All Employees by Mode'!S:S,'All Employees by Mode'!$C:$C,"="&amp;$C89,'All Employees by Mode'!$BE:$BE,"=No"),SUMIFS('All Employees by Mode'!S:S,'All Employees by Mode'!$C:$C,"="&amp;$C89))</f>
        <v>6540</v>
      </c>
      <c r="K89" s="160">
        <f>IF($AF$1,SUMIFS('All Employees by Mode'!U:U,'All Employees by Mode'!$C:$C,"="&amp;$C89,'All Employees by Mode'!$BE:$BE,"=No"),SUMIFS('All Employees by Mode'!U:U,'All Employees by Mode'!$C:$C,"="&amp;$C89))</f>
        <v>0</v>
      </c>
      <c r="L89" s="160">
        <f>IF($AF$1,SUMIFS('All Employees by Mode'!W:W,'All Employees by Mode'!$C:$C,"="&amp;$C89,'All Employees by Mode'!$BE:$BE,"=No"),SUMIFS('All Employees by Mode'!W:W,'All Employees by Mode'!$C:$C,"="&amp;$C89))</f>
        <v>42183</v>
      </c>
      <c r="M89" s="160">
        <f>IF($AF$1,SUMIFS('All Employees by Mode'!Y:Y,'All Employees by Mode'!$C:$C,"="&amp;$C89,'All Employees by Mode'!$BE:$BE,"=No"),SUMIFS('All Employees by Mode'!Y:Y,'All Employees by Mode'!$C:$C,"="&amp;$C89))</f>
        <v>25</v>
      </c>
      <c r="N89" s="160">
        <f>IF($AF$1,SUMIFS('All Employees by Mode'!AA:AA,'All Employees by Mode'!$C:$C,"="&amp;$C89,'All Employees by Mode'!$BE:$BE,"=No"),SUMIFS('All Employees by Mode'!AA:AA,'All Employees by Mode'!$C:$C,"="&amp;$C89))</f>
        <v>2.5</v>
      </c>
      <c r="O89" s="160">
        <f>IF($AF$1,SUMIFS('All Employees by Mode'!AC:AC,'All Employees by Mode'!$C:$C,"="&amp;$C89,'All Employees by Mode'!$BE:$BE,"=No"),SUMIFS('All Employees by Mode'!AC:AC,'All Employees by Mode'!$C:$C,"="&amp;$C89))</f>
        <v>1</v>
      </c>
      <c r="P89" s="160">
        <f>IF($AF$1,SUMIFS('All Employees by Mode'!AE:AE,'All Employees by Mode'!$C:$C,"="&amp;$C89,'All Employees by Mode'!$BE:$BE,"=No"),SUMIFS('All Employees by Mode'!AE:AE,'All Employees by Mode'!$C:$C,"="&amp;$C89))</f>
        <v>4.5</v>
      </c>
      <c r="Q89" s="160">
        <f>IF($AF$1,SUMIFS('All Employees by Mode'!AG:AG,'All Employees by Mode'!$C:$C,"="&amp;$C89,'All Employees by Mode'!$BE:$BE,"=No"),SUMIFS('All Employees by Mode'!AG:AG,'All Employees by Mode'!$C:$C,"="&amp;$C89))</f>
        <v>0</v>
      </c>
      <c r="R89" s="160">
        <f>IF($AF$1,SUMIFS('All Employees by Mode'!AI:AI,'All Employees by Mode'!$C:$C,"="&amp;$C89,'All Employees by Mode'!$BE:$BE,"=No"),SUMIFS('All Employees by Mode'!AI:AI,'All Employees by Mode'!$C:$C,"="&amp;$C89))</f>
        <v>33</v>
      </c>
      <c r="S89" s="161">
        <f>IF($AF$1,SUMIFS('All Employees by Mode'!AK:AK,'All Employees by Mode'!$C:$C,"="&amp;$C89,'All Employees by Mode'!$BE:$BE,"=No"),SUMIFS('All Employees by Mode'!AK:AK,'All Employees by Mode'!$C:$C,"="&amp;$C89))</f>
        <v>765868</v>
      </c>
      <c r="T89" s="161">
        <f>IF($AF$1,SUMIFS('All Employees by Mode'!AM:AM,'All Employees by Mode'!$C:$C,"="&amp;$C89,'All Employees by Mode'!$BE:$BE,"=No"),SUMIFS('All Employees by Mode'!AM:AM,'All Employees by Mode'!$C:$C,"="&amp;$C89))</f>
        <v>60146</v>
      </c>
      <c r="U89" s="161">
        <f>IF($AF$1,SUMIFS('All Employees by Mode'!AO:AO,'All Employees by Mode'!$C:$C,"="&amp;$C89,'All Employees by Mode'!$BE:$BE,"=No"),SUMIFS('All Employees by Mode'!AO:AO,'All Employees by Mode'!$C:$C,"="&amp;$C89))</f>
        <v>9228</v>
      </c>
      <c r="V89" s="161">
        <f>IF($AF$1,SUMIFS('All Employees by Mode'!AQ:AQ,'All Employees by Mode'!$C:$C,"="&amp;$C89,'All Employees by Mode'!$BE:$BE,"=No"),SUMIFS('All Employees by Mode'!AQ:AQ,'All Employees by Mode'!$C:$C,"="&amp;$C89))</f>
        <v>117291</v>
      </c>
      <c r="W89" s="161">
        <f>IF($AF$1,SUMIFS('All Employees by Mode'!AS:AS,'All Employees by Mode'!$C:$C,"="&amp;$C89,'All Employees by Mode'!$BE:$BE,"=No"),SUMIFS('All Employees by Mode'!AS:AS,'All Employees by Mode'!$C:$C,"="&amp;$C89))</f>
        <v>952533</v>
      </c>
      <c r="X89" s="162">
        <f t="shared" si="33"/>
        <v>25.114543367765208</v>
      </c>
      <c r="Y89" s="162">
        <f t="shared" si="34"/>
        <v>13.242184059885513</v>
      </c>
      <c r="Z89" s="162">
        <f t="shared" si="35"/>
        <v>15.227722772277227</v>
      </c>
      <c r="AA89" s="162">
        <f t="shared" si="36"/>
        <v>17.93440366972477</v>
      </c>
      <c r="AB89" s="271">
        <f t="shared" si="37"/>
        <v>22.580968636654575</v>
      </c>
      <c r="AC89" s="97"/>
      <c r="AD89" s="98"/>
      <c r="AE89" s="98"/>
      <c r="AF89" s="98"/>
      <c r="AG89" s="98"/>
      <c r="AH89" s="98"/>
      <c r="AI89" s="98"/>
      <c r="AJ89" s="98"/>
      <c r="AK89" s="98"/>
      <c r="AL89" s="98"/>
      <c r="AM89" s="98"/>
      <c r="AN89" s="98"/>
      <c r="AO89" s="304"/>
      <c r="AP89" s="304"/>
      <c r="AQ89" s="304"/>
      <c r="AR89" s="304"/>
      <c r="AS89" s="304"/>
      <c r="AT89" s="304"/>
      <c r="AU89" s="98"/>
      <c r="AV89" s="98"/>
    </row>
    <row r="90" spans="1:48">
      <c r="A90" s="96"/>
      <c r="B90" s="96"/>
      <c r="C90" s="195" t="s">
        <v>60</v>
      </c>
      <c r="D90" s="196" t="s">
        <v>987</v>
      </c>
      <c r="E90" s="197"/>
      <c r="F90" s="198">
        <f>IF($AF$1,SUMIFS('All Employees by Mode'!L:L,'All Employees by Mode'!$C:$C,"="&amp;$C90,'All Employees by Mode'!$BE:$BE,"=No"),SUMIFS('All Employees by Mode'!L:L,'All Employees by Mode'!$C:$C,"="&amp;$C90))</f>
        <v>177</v>
      </c>
      <c r="G90" s="160">
        <f>IF($AF$1,SUMIFS('All Employees by Mode'!M:M,'All Employees by Mode'!$C:$C,"="&amp;$C90,'All Employees by Mode'!$BE:$BE,"=No"),SUMIFS('All Employees by Mode'!M:M,'All Employees by Mode'!$C:$C,"="&amp;$C90))</f>
        <v>583013</v>
      </c>
      <c r="H90" s="160">
        <f>IF($AF$1,SUMIFS('All Employees by Mode'!O:O,'All Employees by Mode'!$C:$C,"="&amp;$C90,'All Employees by Mode'!$BE:$BE,"=No"),SUMIFS('All Employees by Mode'!O:O,'All Employees by Mode'!$C:$C,"="&amp;$C90))</f>
        <v>96249</v>
      </c>
      <c r="I90" s="160">
        <f>IF($AF$1,SUMIFS('All Employees by Mode'!Q:Q,'All Employees by Mode'!$C:$C,"="&amp;$C90,'All Employees by Mode'!$BE:$BE,"=No"),SUMIFS('All Employees by Mode'!Q:Q,'All Employees by Mode'!$C:$C,"="&amp;$C90))</f>
        <v>30086</v>
      </c>
      <c r="J90" s="160">
        <f>IF($AF$1,SUMIFS('All Employees by Mode'!S:S,'All Employees by Mode'!$C:$C,"="&amp;$C90,'All Employees by Mode'!$BE:$BE,"=No"),SUMIFS('All Employees by Mode'!S:S,'All Employees by Mode'!$C:$C,"="&amp;$C90))</f>
        <v>83610</v>
      </c>
      <c r="K90" s="160">
        <f>IF($AF$1,SUMIFS('All Employees by Mode'!U:U,'All Employees by Mode'!$C:$C,"="&amp;$C90,'All Employees by Mode'!$BE:$BE,"=No"),SUMIFS('All Employees by Mode'!U:U,'All Employees by Mode'!$C:$C,"="&amp;$C90))</f>
        <v>0</v>
      </c>
      <c r="L90" s="160">
        <f>IF($AF$1,SUMIFS('All Employees by Mode'!W:W,'All Employees by Mode'!$C:$C,"="&amp;$C90,'All Employees by Mode'!$BE:$BE,"=No"),SUMIFS('All Employees by Mode'!W:W,'All Employees by Mode'!$C:$C,"="&amp;$C90))</f>
        <v>792958</v>
      </c>
      <c r="M90" s="160">
        <f>IF($AF$1,SUMIFS('All Employees by Mode'!Y:Y,'All Employees by Mode'!$C:$C,"="&amp;$C90,'All Employees by Mode'!$BE:$BE,"=No"),SUMIFS('All Employees by Mode'!Y:Y,'All Employees by Mode'!$C:$C,"="&amp;$C90))</f>
        <v>270.2</v>
      </c>
      <c r="N90" s="160">
        <f>IF($AF$1,SUMIFS('All Employees by Mode'!AA:AA,'All Employees by Mode'!$C:$C,"="&amp;$C90,'All Employees by Mode'!$BE:$BE,"=No"),SUMIFS('All Employees by Mode'!AA:AA,'All Employees by Mode'!$C:$C,"="&amp;$C90))</f>
        <v>51.599999999999994</v>
      </c>
      <c r="O90" s="160">
        <f>IF($AF$1,SUMIFS('All Employees by Mode'!AC:AC,'All Employees by Mode'!$C:$C,"="&amp;$C90,'All Employees by Mode'!$BE:$BE,"=No"),SUMIFS('All Employees by Mode'!AC:AC,'All Employees by Mode'!$C:$C,"="&amp;$C90))</f>
        <v>18</v>
      </c>
      <c r="P90" s="160">
        <f>IF($AF$1,SUMIFS('All Employees by Mode'!AE:AE,'All Employees by Mode'!$C:$C,"="&amp;$C90,'All Employees by Mode'!$BE:$BE,"=No"),SUMIFS('All Employees by Mode'!AE:AE,'All Employees by Mode'!$C:$C,"="&amp;$C90))</f>
        <v>46.800000000000004</v>
      </c>
      <c r="Q90" s="160">
        <f>IF($AF$1,SUMIFS('All Employees by Mode'!AG:AG,'All Employees by Mode'!$C:$C,"="&amp;$C90,'All Employees by Mode'!$BE:$BE,"=No"),SUMIFS('All Employees by Mode'!AG:AG,'All Employees by Mode'!$C:$C,"="&amp;$C90))</f>
        <v>0</v>
      </c>
      <c r="R90" s="160">
        <f>IF($AF$1,SUMIFS('All Employees by Mode'!AI:AI,'All Employees by Mode'!$C:$C,"="&amp;$C90,'All Employees by Mode'!$BE:$BE,"=No"),SUMIFS('All Employees by Mode'!AI:AI,'All Employees by Mode'!$C:$C,"="&amp;$C90))</f>
        <v>386.6</v>
      </c>
      <c r="S90" s="161">
        <f>IF($AF$1,SUMIFS('All Employees by Mode'!AK:AK,'All Employees by Mode'!$C:$C,"="&amp;$C90,'All Employees by Mode'!$BE:$BE,"=No"),SUMIFS('All Employees by Mode'!AK:AK,'All Employees by Mode'!$C:$C,"="&amp;$C90))</f>
        <v>13418853</v>
      </c>
      <c r="T90" s="161">
        <f>IF($AF$1,SUMIFS('All Employees by Mode'!AM:AM,'All Employees by Mode'!$C:$C,"="&amp;$C90,'All Employees by Mode'!$BE:$BE,"=No"),SUMIFS('All Employees by Mode'!AM:AM,'All Employees by Mode'!$C:$C,"="&amp;$C90))</f>
        <v>2583289</v>
      </c>
      <c r="U90" s="161">
        <f>IF($AF$1,SUMIFS('All Employees by Mode'!AO:AO,'All Employees by Mode'!$C:$C,"="&amp;$C90,'All Employees by Mode'!$BE:$BE,"=No"),SUMIFS('All Employees by Mode'!AO:AO,'All Employees by Mode'!$C:$C,"="&amp;$C90))</f>
        <v>698394</v>
      </c>
      <c r="V90" s="161">
        <f>IF($AF$1,SUMIFS('All Employees by Mode'!AQ:AQ,'All Employees by Mode'!$C:$C,"="&amp;$C90,'All Employees by Mode'!$BE:$BE,"=No"),SUMIFS('All Employees by Mode'!AQ:AQ,'All Employees by Mode'!$C:$C,"="&amp;$C90))</f>
        <v>1439034</v>
      </c>
      <c r="W90" s="161">
        <f>IF($AF$1,SUMIFS('All Employees by Mode'!AS:AS,'All Employees by Mode'!$C:$C,"="&amp;$C90,'All Employees by Mode'!$BE:$BE,"=No"),SUMIFS('All Employees by Mode'!AS:AS,'All Employees by Mode'!$C:$C,"="&amp;$C90))</f>
        <v>18139570</v>
      </c>
      <c r="X90" s="162">
        <f t="shared" si="33"/>
        <v>23.016387284674614</v>
      </c>
      <c r="Y90" s="162">
        <f t="shared" si="34"/>
        <v>26.839645087221687</v>
      </c>
      <c r="Z90" s="162">
        <f t="shared" si="35"/>
        <v>23.213255334707174</v>
      </c>
      <c r="AA90" s="162">
        <f t="shared" si="36"/>
        <v>17.211266594904917</v>
      </c>
      <c r="AB90" s="271">
        <f t="shared" si="37"/>
        <v>22.875826966875927</v>
      </c>
      <c r="AC90" s="97"/>
      <c r="AD90" s="98"/>
      <c r="AE90" s="98"/>
      <c r="AF90" s="98"/>
      <c r="AG90" s="98"/>
      <c r="AH90" s="98"/>
      <c r="AI90" s="98"/>
      <c r="AJ90" s="98"/>
      <c r="AK90" s="98"/>
      <c r="AL90" s="98"/>
      <c r="AM90" s="98"/>
      <c r="AN90" s="98"/>
      <c r="AO90" s="304"/>
      <c r="AP90" s="304"/>
      <c r="AQ90" s="304"/>
      <c r="AR90" s="304"/>
      <c r="AS90" s="304"/>
      <c r="AT90" s="304"/>
      <c r="AU90" s="98"/>
      <c r="AV90" s="98"/>
    </row>
    <row r="91" spans="1:48">
      <c r="A91" s="96"/>
      <c r="B91" s="96"/>
      <c r="C91" s="195" t="s">
        <v>62</v>
      </c>
      <c r="D91" s="196" t="s">
        <v>988</v>
      </c>
      <c r="E91" s="197"/>
      <c r="F91" s="198">
        <f>IF($AF$1,SUMIFS('All Employees by Mode'!L:L,'All Employees by Mode'!$C:$C,"="&amp;$C91,'All Employees by Mode'!$BE:$BE,"=No"),SUMIFS('All Employees by Mode'!L:L,'All Employees by Mode'!$C:$C,"="&amp;$C91))</f>
        <v>43</v>
      </c>
      <c r="G91" s="160">
        <f>IF($AF$1,SUMIFS('All Employees by Mode'!M:M,'All Employees by Mode'!$C:$C,"="&amp;$C91,'All Employees by Mode'!$BE:$BE,"=No"),SUMIFS('All Employees by Mode'!M:M,'All Employees by Mode'!$C:$C,"="&amp;$C91))</f>
        <v>169408</v>
      </c>
      <c r="H91" s="160">
        <f>IF($AF$1,SUMIFS('All Employees by Mode'!O:O,'All Employees by Mode'!$C:$C,"="&amp;$C91,'All Employees by Mode'!$BE:$BE,"=No"),SUMIFS('All Employees by Mode'!O:O,'All Employees by Mode'!$C:$C,"="&amp;$C91))</f>
        <v>21522</v>
      </c>
      <c r="I91" s="160">
        <f>IF($AF$1,SUMIFS('All Employees by Mode'!Q:Q,'All Employees by Mode'!$C:$C,"="&amp;$C91,'All Employees by Mode'!$BE:$BE,"=No"),SUMIFS('All Employees by Mode'!Q:Q,'All Employees by Mode'!$C:$C,"="&amp;$C91))</f>
        <v>0</v>
      </c>
      <c r="J91" s="160">
        <f>IF($AF$1,SUMIFS('All Employees by Mode'!S:S,'All Employees by Mode'!$C:$C,"="&amp;$C91,'All Employees by Mode'!$BE:$BE,"=No"),SUMIFS('All Employees by Mode'!S:S,'All Employees by Mode'!$C:$C,"="&amp;$C91))</f>
        <v>48313</v>
      </c>
      <c r="K91" s="160">
        <f>IF($AF$1,SUMIFS('All Employees by Mode'!U:U,'All Employees by Mode'!$C:$C,"="&amp;$C91,'All Employees by Mode'!$BE:$BE,"=No"),SUMIFS('All Employees by Mode'!U:U,'All Employees by Mode'!$C:$C,"="&amp;$C91))</f>
        <v>0</v>
      </c>
      <c r="L91" s="160">
        <f>IF($AF$1,SUMIFS('All Employees by Mode'!W:W,'All Employees by Mode'!$C:$C,"="&amp;$C91,'All Employees by Mode'!$BE:$BE,"=No"),SUMIFS('All Employees by Mode'!W:W,'All Employees by Mode'!$C:$C,"="&amp;$C91))</f>
        <v>239243</v>
      </c>
      <c r="M91" s="160">
        <f>IF($AF$1,SUMIFS('All Employees by Mode'!Y:Y,'All Employees by Mode'!$C:$C,"="&amp;$C91,'All Employees by Mode'!$BE:$BE,"=No"),SUMIFS('All Employees by Mode'!Y:Y,'All Employees by Mode'!$C:$C,"="&amp;$C91))</f>
        <v>185</v>
      </c>
      <c r="N91" s="160">
        <f>IF($AF$1,SUMIFS('All Employees by Mode'!AA:AA,'All Employees by Mode'!$C:$C,"="&amp;$C91,'All Employees by Mode'!$BE:$BE,"=No"),SUMIFS('All Employees by Mode'!AA:AA,'All Employees by Mode'!$C:$C,"="&amp;$C91))</f>
        <v>19</v>
      </c>
      <c r="O91" s="160">
        <f>IF($AF$1,SUMIFS('All Employees by Mode'!AC:AC,'All Employees by Mode'!$C:$C,"="&amp;$C91,'All Employees by Mode'!$BE:$BE,"=No"),SUMIFS('All Employees by Mode'!AC:AC,'All Employees by Mode'!$C:$C,"="&amp;$C91))</f>
        <v>0</v>
      </c>
      <c r="P91" s="160">
        <f>IF($AF$1,SUMIFS('All Employees by Mode'!AE:AE,'All Employees by Mode'!$C:$C,"="&amp;$C91,'All Employees by Mode'!$BE:$BE,"=No"),SUMIFS('All Employees by Mode'!AE:AE,'All Employees by Mode'!$C:$C,"="&amp;$C91))</f>
        <v>38</v>
      </c>
      <c r="Q91" s="160">
        <f>IF($AF$1,SUMIFS('All Employees by Mode'!AG:AG,'All Employees by Mode'!$C:$C,"="&amp;$C91,'All Employees by Mode'!$BE:$BE,"=No"),SUMIFS('All Employees by Mode'!AG:AG,'All Employees by Mode'!$C:$C,"="&amp;$C91))</f>
        <v>0</v>
      </c>
      <c r="R91" s="160">
        <f>IF($AF$1,SUMIFS('All Employees by Mode'!AI:AI,'All Employees by Mode'!$C:$C,"="&amp;$C91,'All Employees by Mode'!$BE:$BE,"=No"),SUMIFS('All Employees by Mode'!AI:AI,'All Employees by Mode'!$C:$C,"="&amp;$C91))</f>
        <v>242</v>
      </c>
      <c r="S91" s="161">
        <f>IF($AF$1,SUMIFS('All Employees by Mode'!AK:AK,'All Employees by Mode'!$C:$C,"="&amp;$C91,'All Employees by Mode'!$BE:$BE,"=No"),SUMIFS('All Employees by Mode'!AK:AK,'All Employees by Mode'!$C:$C,"="&amp;$C91))</f>
        <v>2651696</v>
      </c>
      <c r="T91" s="161">
        <f>IF($AF$1,SUMIFS('All Employees by Mode'!AM:AM,'All Employees by Mode'!$C:$C,"="&amp;$C91,'All Employees by Mode'!$BE:$BE,"=No"),SUMIFS('All Employees by Mode'!AM:AM,'All Employees by Mode'!$C:$C,"="&amp;$C91))</f>
        <v>505744</v>
      </c>
      <c r="U91" s="161">
        <f>IF($AF$1,SUMIFS('All Employees by Mode'!AO:AO,'All Employees by Mode'!$C:$C,"="&amp;$C91,'All Employees by Mode'!$BE:$BE,"=No"),SUMIFS('All Employees by Mode'!AO:AO,'All Employees by Mode'!$C:$C,"="&amp;$C91))</f>
        <v>0</v>
      </c>
      <c r="V91" s="161">
        <f>IF($AF$1,SUMIFS('All Employees by Mode'!AQ:AQ,'All Employees by Mode'!$C:$C,"="&amp;$C91,'All Employees by Mode'!$BE:$BE,"=No"),SUMIFS('All Employees by Mode'!AQ:AQ,'All Employees by Mode'!$C:$C,"="&amp;$C91))</f>
        <v>935999</v>
      </c>
      <c r="W91" s="161">
        <f>IF($AF$1,SUMIFS('All Employees by Mode'!AS:AS,'All Employees by Mode'!$C:$C,"="&amp;$C91,'All Employees by Mode'!$BE:$BE,"=No"),SUMIFS('All Employees by Mode'!AS:AS,'All Employees by Mode'!$C:$C,"="&amp;$C91))</f>
        <v>4093439</v>
      </c>
      <c r="X91" s="162">
        <f t="shared" si="33"/>
        <v>15.652720060445787</v>
      </c>
      <c r="Y91" s="162">
        <f t="shared" si="34"/>
        <v>23.498931326084936</v>
      </c>
      <c r="Z91" s="162" t="str">
        <f t="shared" si="35"/>
        <v>-</v>
      </c>
      <c r="AA91" s="162">
        <f t="shared" si="36"/>
        <v>19.373646844534598</v>
      </c>
      <c r="AB91" s="271">
        <f t="shared" si="37"/>
        <v>17.109963509904155</v>
      </c>
      <c r="AC91" s="97"/>
      <c r="AD91" s="98"/>
      <c r="AE91" s="98"/>
      <c r="AF91" s="98"/>
      <c r="AG91" s="98"/>
      <c r="AH91" s="98"/>
      <c r="AI91" s="98"/>
      <c r="AJ91" s="98"/>
      <c r="AK91" s="98"/>
      <c r="AL91" s="98"/>
      <c r="AM91" s="98"/>
      <c r="AN91" s="98"/>
      <c r="AO91" s="304"/>
      <c r="AP91" s="304"/>
      <c r="AQ91" s="304"/>
      <c r="AR91" s="304"/>
      <c r="AS91" s="304"/>
      <c r="AT91" s="304"/>
      <c r="AU91" s="98"/>
      <c r="AV91" s="98"/>
    </row>
    <row r="92" spans="1:48">
      <c r="A92" s="96"/>
      <c r="B92" s="96"/>
      <c r="C92" s="195" t="s">
        <v>63</v>
      </c>
      <c r="D92" s="196" t="s">
        <v>989</v>
      </c>
      <c r="E92" s="197"/>
      <c r="F92" s="198">
        <f>IF($AF$1,SUMIFS('All Employees by Mode'!L:L,'All Employees by Mode'!$C:$C,"="&amp;$C92,'All Employees by Mode'!$BE:$BE,"=No"),SUMIFS('All Employees by Mode'!L:L,'All Employees by Mode'!$C:$C,"="&amp;$C92))</f>
        <v>4658</v>
      </c>
      <c r="G92" s="160">
        <f>IF($AF$1,SUMIFS('All Employees by Mode'!M:M,'All Employees by Mode'!$C:$C,"="&amp;$C92,'All Employees by Mode'!$BE:$BE,"=No"),SUMIFS('All Employees by Mode'!M:M,'All Employees by Mode'!$C:$C,"="&amp;$C92))</f>
        <v>14501594</v>
      </c>
      <c r="H92" s="160">
        <f>IF($AF$1,SUMIFS('All Employees by Mode'!O:O,'All Employees by Mode'!$C:$C,"="&amp;$C92,'All Employees by Mode'!$BE:$BE,"=No"),SUMIFS('All Employees by Mode'!O:O,'All Employees by Mode'!$C:$C,"="&amp;$C92))</f>
        <v>5532687</v>
      </c>
      <c r="I92" s="160">
        <f>IF($AF$1,SUMIFS('All Employees by Mode'!Q:Q,'All Employees by Mode'!$C:$C,"="&amp;$C92,'All Employees by Mode'!$BE:$BE,"=No"),SUMIFS('All Employees by Mode'!Q:Q,'All Employees by Mode'!$C:$C,"="&amp;$C92))</f>
        <v>2686310</v>
      </c>
      <c r="J92" s="160">
        <f>IF($AF$1,SUMIFS('All Employees by Mode'!S:S,'All Employees by Mode'!$C:$C,"="&amp;$C92,'All Employees by Mode'!$BE:$BE,"=No"),SUMIFS('All Employees by Mode'!S:S,'All Employees by Mode'!$C:$C,"="&amp;$C92))</f>
        <v>3346894</v>
      </c>
      <c r="K92" s="160">
        <f>IF($AF$1,SUMIFS('All Employees by Mode'!U:U,'All Employees by Mode'!$C:$C,"="&amp;$C92,'All Employees by Mode'!$BE:$BE,"=No"),SUMIFS('All Employees by Mode'!U:U,'All Employees by Mode'!$C:$C,"="&amp;$C92))</f>
        <v>805258</v>
      </c>
      <c r="L92" s="160">
        <f>IF($AF$1,SUMIFS('All Employees by Mode'!W:W,'All Employees by Mode'!$C:$C,"="&amp;$C92,'All Employees by Mode'!$BE:$BE,"=No"),SUMIFS('All Employees by Mode'!W:W,'All Employees by Mode'!$C:$C,"="&amp;$C92))</f>
        <v>26872743</v>
      </c>
      <c r="M92" s="160">
        <f>IF($AF$1,SUMIFS('All Employees by Mode'!Y:Y,'All Employees by Mode'!$C:$C,"="&amp;$C92,'All Employees by Mode'!$BE:$BE,"=No"),SUMIFS('All Employees by Mode'!Y:Y,'All Employees by Mode'!$C:$C,"="&amp;$C92))</f>
        <v>7951</v>
      </c>
      <c r="N92" s="160">
        <f>IF($AF$1,SUMIFS('All Employees by Mode'!AA:AA,'All Employees by Mode'!$C:$C,"="&amp;$C92,'All Employees by Mode'!$BE:$BE,"=No"),SUMIFS('All Employees by Mode'!AA:AA,'All Employees by Mode'!$C:$C,"="&amp;$C92))</f>
        <v>3129.5</v>
      </c>
      <c r="O92" s="160">
        <f>IF($AF$1,SUMIFS('All Employees by Mode'!AC:AC,'All Employees by Mode'!$C:$C,"="&amp;$C92,'All Employees by Mode'!$BE:$BE,"=No"),SUMIFS('All Employees by Mode'!AC:AC,'All Employees by Mode'!$C:$C,"="&amp;$C92))</f>
        <v>1396</v>
      </c>
      <c r="P92" s="160">
        <f>IF($AF$1,SUMIFS('All Employees by Mode'!AE:AE,'All Employees by Mode'!$C:$C,"="&amp;$C92,'All Employees by Mode'!$BE:$BE,"=No"),SUMIFS('All Employees by Mode'!AE:AE,'All Employees by Mode'!$C:$C,"="&amp;$C92))</f>
        <v>1978</v>
      </c>
      <c r="Q92" s="160">
        <f>IF($AF$1,SUMIFS('All Employees by Mode'!AG:AG,'All Employees by Mode'!$C:$C,"="&amp;$C92,'All Employees by Mode'!$BE:$BE,"=No"),SUMIFS('All Employees by Mode'!AG:AG,'All Employees by Mode'!$C:$C,"="&amp;$C92))</f>
        <v>521</v>
      </c>
      <c r="R92" s="160">
        <f>IF($AF$1,SUMIFS('All Employees by Mode'!AI:AI,'All Employees by Mode'!$C:$C,"="&amp;$C92,'All Employees by Mode'!$BE:$BE,"=No"),SUMIFS('All Employees by Mode'!AI:AI,'All Employees by Mode'!$C:$C,"="&amp;$C92))</f>
        <v>14975.5</v>
      </c>
      <c r="S92" s="161">
        <f>IF($AF$1,SUMIFS('All Employees by Mode'!AK:AK,'All Employees by Mode'!$C:$C,"="&amp;$C92,'All Employees by Mode'!$BE:$BE,"=No"),SUMIFS('All Employees by Mode'!AK:AK,'All Employees by Mode'!$C:$C,"="&amp;$C92))</f>
        <v>522351205</v>
      </c>
      <c r="T92" s="161">
        <f>IF($AF$1,SUMIFS('All Employees by Mode'!AM:AM,'All Employees by Mode'!$C:$C,"="&amp;$C92,'All Employees by Mode'!$BE:$BE,"=No"),SUMIFS('All Employees by Mode'!AM:AM,'All Employees by Mode'!$C:$C,"="&amp;$C92))</f>
        <v>183483924</v>
      </c>
      <c r="U92" s="161">
        <f>IF($AF$1,SUMIFS('All Employees by Mode'!AO:AO,'All Employees by Mode'!$C:$C,"="&amp;$C92,'All Employees by Mode'!$BE:$BE,"=No"),SUMIFS('All Employees by Mode'!AO:AO,'All Employees by Mode'!$C:$C,"="&amp;$C92))</f>
        <v>98959099</v>
      </c>
      <c r="V92" s="161">
        <f>IF($AF$1,SUMIFS('All Employees by Mode'!AQ:AQ,'All Employees by Mode'!$C:$C,"="&amp;$C92,'All Employees by Mode'!$BE:$BE,"=No"),SUMIFS('All Employees by Mode'!AQ:AQ,'All Employees by Mode'!$C:$C,"="&amp;$C92))</f>
        <v>150678300</v>
      </c>
      <c r="W92" s="161">
        <f>IF($AF$1,SUMIFS('All Employees by Mode'!AS:AS,'All Employees by Mode'!$C:$C,"="&amp;$C92,'All Employees by Mode'!$BE:$BE,"=No"),SUMIFS('All Employees by Mode'!AS:AS,'All Employees by Mode'!$C:$C,"="&amp;$C92))</f>
        <v>955472528</v>
      </c>
      <c r="X92" s="162">
        <f t="shared" si="33"/>
        <v>36.020261289896823</v>
      </c>
      <c r="Y92" s="162">
        <f t="shared" si="34"/>
        <v>33.163619051647053</v>
      </c>
      <c r="Z92" s="162">
        <f t="shared" si="35"/>
        <v>36.838301983017594</v>
      </c>
      <c r="AA92" s="162">
        <f t="shared" si="36"/>
        <v>45.020338259891112</v>
      </c>
      <c r="AB92" s="271">
        <f t="shared" si="37"/>
        <v>36.653805612624311</v>
      </c>
      <c r="AC92" s="97"/>
      <c r="AD92" s="98"/>
      <c r="AE92" s="98"/>
      <c r="AF92" s="98"/>
      <c r="AG92" s="98"/>
      <c r="AH92" s="98"/>
      <c r="AI92" s="98"/>
      <c r="AJ92" s="98"/>
      <c r="AK92" s="98"/>
      <c r="AL92" s="98"/>
      <c r="AM92" s="98"/>
      <c r="AN92" s="98"/>
      <c r="AO92" s="304"/>
      <c r="AP92" s="304"/>
      <c r="AQ92" s="304"/>
      <c r="AR92" s="304"/>
      <c r="AS92" s="304"/>
      <c r="AT92" s="304"/>
      <c r="AU92" s="98"/>
      <c r="AV92" s="98"/>
    </row>
    <row r="93" spans="1:48">
      <c r="A93" s="96"/>
      <c r="B93" s="96"/>
      <c r="C93" s="195" t="s">
        <v>69</v>
      </c>
      <c r="D93" s="196" t="s">
        <v>990</v>
      </c>
      <c r="E93" s="197"/>
      <c r="F93" s="198">
        <f>IF($AF$1,SUMIFS('All Employees by Mode'!L:L,'All Employees by Mode'!$C:$C,"="&amp;$C93,'All Employees by Mode'!$BE:$BE,"=No"),SUMIFS('All Employees by Mode'!L:L,'All Employees by Mode'!$C:$C,"="&amp;$C93))</f>
        <v>257</v>
      </c>
      <c r="G93" s="160">
        <f>IF($AF$1,SUMIFS('All Employees by Mode'!M:M,'All Employees by Mode'!$C:$C,"="&amp;$C93,'All Employees by Mode'!$BE:$BE,"=No"),SUMIFS('All Employees by Mode'!M:M,'All Employees by Mode'!$C:$C,"="&amp;$C93))</f>
        <v>979577</v>
      </c>
      <c r="H93" s="160">
        <f>IF($AF$1,SUMIFS('All Employees by Mode'!O:O,'All Employees by Mode'!$C:$C,"="&amp;$C93,'All Employees by Mode'!$BE:$BE,"=No"),SUMIFS('All Employees by Mode'!O:O,'All Employees by Mode'!$C:$C,"="&amp;$C93))</f>
        <v>192570</v>
      </c>
      <c r="I93" s="160">
        <f>IF($AF$1,SUMIFS('All Employees by Mode'!Q:Q,'All Employees by Mode'!$C:$C,"="&amp;$C93,'All Employees by Mode'!$BE:$BE,"=No"),SUMIFS('All Employees by Mode'!Q:Q,'All Employees by Mode'!$C:$C,"="&amp;$C93))</f>
        <v>29661</v>
      </c>
      <c r="J93" s="160">
        <f>IF($AF$1,SUMIFS('All Employees by Mode'!S:S,'All Employees by Mode'!$C:$C,"="&amp;$C93,'All Employees by Mode'!$BE:$BE,"=No"),SUMIFS('All Employees by Mode'!S:S,'All Employees by Mode'!$C:$C,"="&amp;$C93))</f>
        <v>109848</v>
      </c>
      <c r="K93" s="160">
        <f>IF($AF$1,SUMIFS('All Employees by Mode'!U:U,'All Employees by Mode'!$C:$C,"="&amp;$C93,'All Employees by Mode'!$BE:$BE,"=No"),SUMIFS('All Employees by Mode'!U:U,'All Employees by Mode'!$C:$C,"="&amp;$C93))</f>
        <v>0</v>
      </c>
      <c r="L93" s="160">
        <f>IF($AF$1,SUMIFS('All Employees by Mode'!W:W,'All Employees by Mode'!$C:$C,"="&amp;$C93,'All Employees by Mode'!$BE:$BE,"=No"),SUMIFS('All Employees by Mode'!W:W,'All Employees by Mode'!$C:$C,"="&amp;$C93))</f>
        <v>1311656</v>
      </c>
      <c r="M93" s="160">
        <f>IF($AF$1,SUMIFS('All Employees by Mode'!Y:Y,'All Employees by Mode'!$C:$C,"="&amp;$C93,'All Employees by Mode'!$BE:$BE,"=No"),SUMIFS('All Employees by Mode'!Y:Y,'All Employees by Mode'!$C:$C,"="&amp;$C93))</f>
        <v>464.5</v>
      </c>
      <c r="N93" s="160">
        <f>IF($AF$1,SUMIFS('All Employees by Mode'!AA:AA,'All Employees by Mode'!$C:$C,"="&amp;$C93,'All Employees by Mode'!$BE:$BE,"=No"),SUMIFS('All Employees by Mode'!AA:AA,'All Employees by Mode'!$C:$C,"="&amp;$C93))</f>
        <v>106</v>
      </c>
      <c r="O93" s="160">
        <f>IF($AF$1,SUMIFS('All Employees by Mode'!AC:AC,'All Employees by Mode'!$C:$C,"="&amp;$C93,'All Employees by Mode'!$BE:$BE,"=No"),SUMIFS('All Employees by Mode'!AC:AC,'All Employees by Mode'!$C:$C,"="&amp;$C93))</f>
        <v>18</v>
      </c>
      <c r="P93" s="160">
        <f>IF($AF$1,SUMIFS('All Employees by Mode'!AE:AE,'All Employees by Mode'!$C:$C,"="&amp;$C93,'All Employees by Mode'!$BE:$BE,"=No"),SUMIFS('All Employees by Mode'!AE:AE,'All Employees by Mode'!$C:$C,"="&amp;$C93))</f>
        <v>57.900000000000006</v>
      </c>
      <c r="Q93" s="160">
        <f>IF($AF$1,SUMIFS('All Employees by Mode'!AG:AG,'All Employees by Mode'!$C:$C,"="&amp;$C93,'All Employees by Mode'!$BE:$BE,"=No"),SUMIFS('All Employees by Mode'!AG:AG,'All Employees by Mode'!$C:$C,"="&amp;$C93))</f>
        <v>0</v>
      </c>
      <c r="R93" s="160">
        <f>IF($AF$1,SUMIFS('All Employees by Mode'!AI:AI,'All Employees by Mode'!$C:$C,"="&amp;$C93,'All Employees by Mode'!$BE:$BE,"=No"),SUMIFS('All Employees by Mode'!AI:AI,'All Employees by Mode'!$C:$C,"="&amp;$C93))</f>
        <v>646.40000000000009</v>
      </c>
      <c r="S93" s="161">
        <f>IF($AF$1,SUMIFS('All Employees by Mode'!AK:AK,'All Employees by Mode'!$C:$C,"="&amp;$C93,'All Employees by Mode'!$BE:$BE,"=No"),SUMIFS('All Employees by Mode'!AK:AK,'All Employees by Mode'!$C:$C,"="&amp;$C93))</f>
        <v>17697923</v>
      </c>
      <c r="T93" s="161">
        <f>IF($AF$1,SUMIFS('All Employees by Mode'!AM:AM,'All Employees by Mode'!$C:$C,"="&amp;$C93,'All Employees by Mode'!$BE:$BE,"=No"),SUMIFS('All Employees by Mode'!AM:AM,'All Employees by Mode'!$C:$C,"="&amp;$C93))</f>
        <v>4246529</v>
      </c>
      <c r="U93" s="161">
        <f>IF($AF$1,SUMIFS('All Employees by Mode'!AO:AO,'All Employees by Mode'!$C:$C,"="&amp;$C93,'All Employees by Mode'!$BE:$BE,"=No"),SUMIFS('All Employees by Mode'!AO:AO,'All Employees by Mode'!$C:$C,"="&amp;$C93))</f>
        <v>524202</v>
      </c>
      <c r="V93" s="161">
        <f>IF($AF$1,SUMIFS('All Employees by Mode'!AQ:AQ,'All Employees by Mode'!$C:$C,"="&amp;$C93,'All Employees by Mode'!$BE:$BE,"=No"),SUMIFS('All Employees by Mode'!AQ:AQ,'All Employees by Mode'!$C:$C,"="&amp;$C93))</f>
        <v>3019036</v>
      </c>
      <c r="W93" s="161">
        <f>IF($AF$1,SUMIFS('All Employees by Mode'!AS:AS,'All Employees by Mode'!$C:$C,"="&amp;$C93,'All Employees by Mode'!$BE:$BE,"=No"),SUMIFS('All Employees by Mode'!AS:AS,'All Employees by Mode'!$C:$C,"="&amp;$C93))</f>
        <v>25487690</v>
      </c>
      <c r="X93" s="162">
        <f t="shared" si="33"/>
        <v>18.06690336747392</v>
      </c>
      <c r="Y93" s="162">
        <f t="shared" si="34"/>
        <v>22.051872046528533</v>
      </c>
      <c r="Z93" s="162">
        <f t="shared" si="35"/>
        <v>17.673106098917771</v>
      </c>
      <c r="AA93" s="162">
        <f t="shared" si="36"/>
        <v>27.48375937659311</v>
      </c>
      <c r="AB93" s="271">
        <f t="shared" si="37"/>
        <v>19.431687881578707</v>
      </c>
      <c r="AC93" s="97"/>
      <c r="AD93" s="98"/>
      <c r="AE93" s="98"/>
      <c r="AF93" s="98"/>
      <c r="AG93" s="98"/>
      <c r="AH93" s="98"/>
      <c r="AI93" s="98"/>
      <c r="AJ93" s="98"/>
      <c r="AK93" s="98"/>
      <c r="AL93" s="98"/>
      <c r="AM93" s="98"/>
      <c r="AN93" s="98"/>
      <c r="AO93" s="304"/>
      <c r="AP93" s="304"/>
      <c r="AQ93" s="304"/>
      <c r="AR93" s="304"/>
      <c r="AS93" s="304"/>
      <c r="AT93" s="304"/>
      <c r="AU93" s="98"/>
      <c r="AV93" s="98"/>
    </row>
    <row r="94" spans="1:48">
      <c r="A94" s="96"/>
      <c r="B94" s="96"/>
      <c r="C94" s="195" t="s">
        <v>792</v>
      </c>
      <c r="D94" s="196" t="s">
        <v>991</v>
      </c>
      <c r="E94" s="197"/>
      <c r="F94" s="198">
        <f>IF($AF$1,SUMIFS('All Employees by Mode'!L:L,'All Employees by Mode'!$C:$C,"="&amp;$C94,'All Employees by Mode'!$BE:$BE,"=No"),SUMIFS('All Employees by Mode'!L:L,'All Employees by Mode'!$C:$C,"="&amp;$C94))</f>
        <v>24</v>
      </c>
      <c r="G94" s="160">
        <f>IF($AF$1,SUMIFS('All Employees by Mode'!M:M,'All Employees by Mode'!$C:$C,"="&amp;$C94,'All Employees by Mode'!$BE:$BE,"=No"),SUMIFS('All Employees by Mode'!M:M,'All Employees by Mode'!$C:$C,"="&amp;$C94))</f>
        <v>164800</v>
      </c>
      <c r="H94" s="160">
        <f>IF($AF$1,SUMIFS('All Employees by Mode'!O:O,'All Employees by Mode'!$C:$C,"="&amp;$C94,'All Employees by Mode'!$BE:$BE,"=No"),SUMIFS('All Employees by Mode'!O:O,'All Employees by Mode'!$C:$C,"="&amp;$C94))</f>
        <v>41120</v>
      </c>
      <c r="I94" s="160">
        <f>IF($AF$1,SUMIFS('All Employees by Mode'!Q:Q,'All Employees by Mode'!$C:$C,"="&amp;$C94,'All Employees by Mode'!$BE:$BE,"=No"),SUMIFS('All Employees by Mode'!Q:Q,'All Employees by Mode'!$C:$C,"="&amp;$C94))</f>
        <v>5680</v>
      </c>
      <c r="J94" s="160">
        <f>IF($AF$1,SUMIFS('All Employees by Mode'!S:S,'All Employees by Mode'!$C:$C,"="&amp;$C94,'All Employees by Mode'!$BE:$BE,"=No"),SUMIFS('All Employees by Mode'!S:S,'All Employees by Mode'!$C:$C,"="&amp;$C94))</f>
        <v>33750</v>
      </c>
      <c r="K94" s="160">
        <f>IF($AF$1,SUMIFS('All Employees by Mode'!U:U,'All Employees by Mode'!$C:$C,"="&amp;$C94,'All Employees by Mode'!$BE:$BE,"=No"),SUMIFS('All Employees by Mode'!U:U,'All Employees by Mode'!$C:$C,"="&amp;$C94))</f>
        <v>0</v>
      </c>
      <c r="L94" s="160">
        <f>IF($AF$1,SUMIFS('All Employees by Mode'!W:W,'All Employees by Mode'!$C:$C,"="&amp;$C94,'All Employees by Mode'!$BE:$BE,"=No"),SUMIFS('All Employees by Mode'!W:W,'All Employees by Mode'!$C:$C,"="&amp;$C94))</f>
        <v>245350</v>
      </c>
      <c r="M94" s="160">
        <f>IF($AF$1,SUMIFS('All Employees by Mode'!Y:Y,'All Employees by Mode'!$C:$C,"="&amp;$C94,'All Employees by Mode'!$BE:$BE,"=No"),SUMIFS('All Employees by Mode'!Y:Y,'All Employees by Mode'!$C:$C,"="&amp;$C94))</f>
        <v>88</v>
      </c>
      <c r="N94" s="160">
        <f>IF($AF$1,SUMIFS('All Employees by Mode'!AA:AA,'All Employees by Mode'!$C:$C,"="&amp;$C94,'All Employees by Mode'!$BE:$BE,"=No"),SUMIFS('All Employees by Mode'!AA:AA,'All Employees by Mode'!$C:$C,"="&amp;$C94))</f>
        <v>24</v>
      </c>
      <c r="O94" s="160">
        <f>IF($AF$1,SUMIFS('All Employees by Mode'!AC:AC,'All Employees by Mode'!$C:$C,"="&amp;$C94,'All Employees by Mode'!$BE:$BE,"=No"),SUMIFS('All Employees by Mode'!AC:AC,'All Employees by Mode'!$C:$C,"="&amp;$C94))</f>
        <v>3</v>
      </c>
      <c r="P94" s="160">
        <f>IF($AF$1,SUMIFS('All Employees by Mode'!AE:AE,'All Employees by Mode'!$C:$C,"="&amp;$C94,'All Employees by Mode'!$BE:$BE,"=No"),SUMIFS('All Employees by Mode'!AE:AE,'All Employees by Mode'!$C:$C,"="&amp;$C94))</f>
        <v>19</v>
      </c>
      <c r="Q94" s="160">
        <f>IF($AF$1,SUMIFS('All Employees by Mode'!AG:AG,'All Employees by Mode'!$C:$C,"="&amp;$C94,'All Employees by Mode'!$BE:$BE,"=No"),SUMIFS('All Employees by Mode'!AG:AG,'All Employees by Mode'!$C:$C,"="&amp;$C94))</f>
        <v>0</v>
      </c>
      <c r="R94" s="160">
        <f>IF($AF$1,SUMIFS('All Employees by Mode'!AI:AI,'All Employees by Mode'!$C:$C,"="&amp;$C94,'All Employees by Mode'!$BE:$BE,"=No"),SUMIFS('All Employees by Mode'!AI:AI,'All Employees by Mode'!$C:$C,"="&amp;$C94))</f>
        <v>134</v>
      </c>
      <c r="S94" s="161">
        <f>IF($AF$1,SUMIFS('All Employees by Mode'!AK:AK,'All Employees by Mode'!$C:$C,"="&amp;$C94,'All Employees by Mode'!$BE:$BE,"=No"),SUMIFS('All Employees by Mode'!AK:AK,'All Employees by Mode'!$C:$C,"="&amp;$C94))</f>
        <v>3797804</v>
      </c>
      <c r="T94" s="161">
        <f>IF($AF$1,SUMIFS('All Employees by Mode'!AM:AM,'All Employees by Mode'!$C:$C,"="&amp;$C94,'All Employees by Mode'!$BE:$BE,"=No"),SUMIFS('All Employees by Mode'!AM:AM,'All Employees by Mode'!$C:$C,"="&amp;$C94))</f>
        <v>1204120</v>
      </c>
      <c r="U94" s="161">
        <f>IF($AF$1,SUMIFS('All Employees by Mode'!AO:AO,'All Employees by Mode'!$C:$C,"="&amp;$C94,'All Employees by Mode'!$BE:$BE,"=No"),SUMIFS('All Employees by Mode'!AO:AO,'All Employees by Mode'!$C:$C,"="&amp;$C94))</f>
        <v>202128</v>
      </c>
      <c r="V94" s="161">
        <f>IF($AF$1,SUMIFS('All Employees by Mode'!AQ:AQ,'All Employees by Mode'!$C:$C,"="&amp;$C94,'All Employees by Mode'!$BE:$BE,"=No"),SUMIFS('All Employees by Mode'!AQ:AQ,'All Employees by Mode'!$C:$C,"="&amp;$C94))</f>
        <v>2246117</v>
      </c>
      <c r="W94" s="161">
        <f>IF($AF$1,SUMIFS('All Employees by Mode'!AS:AS,'All Employees by Mode'!$C:$C,"="&amp;$C94,'All Employees by Mode'!$BE:$BE,"=No"),SUMIFS('All Employees by Mode'!AS:AS,'All Employees by Mode'!$C:$C,"="&amp;$C94))</f>
        <v>7450169</v>
      </c>
      <c r="X94" s="162">
        <f t="shared" si="33"/>
        <v>23.044927184466019</v>
      </c>
      <c r="Y94" s="162">
        <f t="shared" si="34"/>
        <v>29.283073929961091</v>
      </c>
      <c r="Z94" s="162">
        <f t="shared" si="35"/>
        <v>35.585915492957746</v>
      </c>
      <c r="AA94" s="162">
        <f t="shared" si="36"/>
        <v>66.551614814814812</v>
      </c>
      <c r="AB94" s="271">
        <f t="shared" si="37"/>
        <v>30.365473812920317</v>
      </c>
      <c r="AC94" s="97"/>
      <c r="AD94" s="98"/>
      <c r="AE94" s="98"/>
      <c r="AF94" s="98"/>
      <c r="AG94" s="98"/>
      <c r="AH94" s="98"/>
      <c r="AI94" s="98"/>
      <c r="AJ94" s="98"/>
      <c r="AK94" s="98"/>
      <c r="AL94" s="98"/>
      <c r="AM94" s="98"/>
      <c r="AN94" s="98"/>
      <c r="AO94" s="304"/>
      <c r="AP94" s="304"/>
      <c r="AQ94" s="304"/>
      <c r="AR94" s="304"/>
      <c r="AS94" s="304"/>
      <c r="AT94" s="304"/>
      <c r="AU94" s="98"/>
      <c r="AV94" s="98"/>
    </row>
    <row r="95" spans="1:48">
      <c r="A95" s="96"/>
      <c r="B95" s="96"/>
      <c r="C95" s="195" t="s">
        <v>70</v>
      </c>
      <c r="D95" s="196" t="s">
        <v>479</v>
      </c>
      <c r="E95" s="197"/>
      <c r="F95" s="198">
        <f>IF($AF$1,SUMIFS('All Employees by Mode'!L:L,'All Employees by Mode'!$C:$C,"="&amp;$C95,'All Employees by Mode'!$BE:$BE,"=No"),SUMIFS('All Employees by Mode'!L:L,'All Employees by Mode'!$C:$C,"="&amp;$C95))</f>
        <v>13915</v>
      </c>
      <c r="G95" s="160">
        <f>IF($AF$1,SUMIFS('All Employees by Mode'!M:M,'All Employees by Mode'!$C:$C,"="&amp;$C95,'All Employees by Mode'!$BE:$BE,"=No"),SUMIFS('All Employees by Mode'!M:M,'All Employees by Mode'!$C:$C,"="&amp;$C95))</f>
        <v>63687351</v>
      </c>
      <c r="H95" s="160">
        <f>IF($AF$1,SUMIFS('All Employees by Mode'!O:O,'All Employees by Mode'!$C:$C,"="&amp;$C95,'All Employees by Mode'!$BE:$BE,"=No"),SUMIFS('All Employees by Mode'!O:O,'All Employees by Mode'!$C:$C,"="&amp;$C95))</f>
        <v>27506862</v>
      </c>
      <c r="I95" s="160">
        <f>IF($AF$1,SUMIFS('All Employees by Mode'!Q:Q,'All Employees by Mode'!$C:$C,"="&amp;$C95,'All Employees by Mode'!$BE:$BE,"=No"),SUMIFS('All Employees by Mode'!Q:Q,'All Employees by Mode'!$C:$C,"="&amp;$C95))</f>
        <v>27314179</v>
      </c>
      <c r="J95" s="160">
        <f>IF($AF$1,SUMIFS('All Employees by Mode'!S:S,'All Employees by Mode'!$C:$C,"="&amp;$C95,'All Employees by Mode'!$BE:$BE,"=No"),SUMIFS('All Employees by Mode'!S:S,'All Employees by Mode'!$C:$C,"="&amp;$C95))</f>
        <v>8927981</v>
      </c>
      <c r="K95" s="160">
        <f>IF($AF$1,SUMIFS('All Employees by Mode'!U:U,'All Employees by Mode'!$C:$C,"="&amp;$C95,'All Employees by Mode'!$BE:$BE,"=No"),SUMIFS('All Employees by Mode'!U:U,'All Employees by Mode'!$C:$C,"="&amp;$C95))</f>
        <v>11444496</v>
      </c>
      <c r="L95" s="160">
        <f>IF($AF$1,SUMIFS('All Employees by Mode'!W:W,'All Employees by Mode'!$C:$C,"="&amp;$C95,'All Employees by Mode'!$BE:$BE,"=No"),SUMIFS('All Employees by Mode'!W:W,'All Employees by Mode'!$C:$C,"="&amp;$C95))</f>
        <v>138880869</v>
      </c>
      <c r="M95" s="160">
        <f>IF($AF$1,SUMIFS('All Employees by Mode'!Y:Y,'All Employees by Mode'!$C:$C,"="&amp;$C95,'All Employees by Mode'!$BE:$BE,"=No"),SUMIFS('All Employees by Mode'!Y:Y,'All Employees by Mode'!$C:$C,"="&amp;$C95))</f>
        <v>31333.51</v>
      </c>
      <c r="N95" s="160">
        <f>IF($AF$1,SUMIFS('All Employees by Mode'!AA:AA,'All Employees by Mode'!$C:$C,"="&amp;$C95,'All Employees by Mode'!$BE:$BE,"=No"),SUMIFS('All Employees by Mode'!AA:AA,'All Employees by Mode'!$C:$C,"="&amp;$C95))</f>
        <v>14730.61</v>
      </c>
      <c r="O95" s="160">
        <f>IF($AF$1,SUMIFS('All Employees by Mode'!AC:AC,'All Employees by Mode'!$C:$C,"="&amp;$C95,'All Employees by Mode'!$BE:$BE,"=No"),SUMIFS('All Employees by Mode'!AC:AC,'All Employees by Mode'!$C:$C,"="&amp;$C95))</f>
        <v>14785.51</v>
      </c>
      <c r="P95" s="160">
        <f>IF($AF$1,SUMIFS('All Employees by Mode'!AE:AE,'All Employees by Mode'!$C:$C,"="&amp;$C95,'All Employees by Mode'!$BE:$BE,"=No"),SUMIFS('All Employees by Mode'!AE:AE,'All Employees by Mode'!$C:$C,"="&amp;$C95))</f>
        <v>4996.75</v>
      </c>
      <c r="Q95" s="160">
        <f>IF($AF$1,SUMIFS('All Employees by Mode'!AG:AG,'All Employees by Mode'!$C:$C,"="&amp;$C95,'All Employees by Mode'!$BE:$BE,"=No"),SUMIFS('All Employees by Mode'!AG:AG,'All Employees by Mode'!$C:$C,"="&amp;$C95))</f>
        <v>5405.9500000000007</v>
      </c>
      <c r="R95" s="160">
        <f>IF($AF$1,SUMIFS('All Employees by Mode'!AI:AI,'All Employees by Mode'!$C:$C,"="&amp;$C95,'All Employees by Mode'!$BE:$BE,"=No"),SUMIFS('All Employees by Mode'!AI:AI,'All Employees by Mode'!$C:$C,"="&amp;$C95))</f>
        <v>71252.33</v>
      </c>
      <c r="S95" s="161">
        <f>IF($AF$1,SUMIFS('All Employees by Mode'!AK:AK,'All Employees by Mode'!$C:$C,"="&amp;$C95,'All Employees by Mode'!$BE:$BE,"=No"),SUMIFS('All Employees by Mode'!AK:AK,'All Employees by Mode'!$C:$C,"="&amp;$C95))</f>
        <v>2462538716</v>
      </c>
      <c r="T95" s="161">
        <f>IF($AF$1,SUMIFS('All Employees by Mode'!AM:AM,'All Employees by Mode'!$C:$C,"="&amp;$C95,'All Employees by Mode'!$BE:$BE,"=No"),SUMIFS('All Employees by Mode'!AM:AM,'All Employees by Mode'!$C:$C,"="&amp;$C95))</f>
        <v>991886181</v>
      </c>
      <c r="U95" s="161">
        <f>IF($AF$1,SUMIFS('All Employees by Mode'!AO:AO,'All Employees by Mode'!$C:$C,"="&amp;$C95,'All Employees by Mode'!$BE:$BE,"=No"),SUMIFS('All Employees by Mode'!AO:AO,'All Employees by Mode'!$C:$C,"="&amp;$C95))</f>
        <v>1067448625</v>
      </c>
      <c r="V95" s="161">
        <f>IF($AF$1,SUMIFS('All Employees by Mode'!AQ:AQ,'All Employees by Mode'!$C:$C,"="&amp;$C95,'All Employees by Mode'!$BE:$BE,"=No"),SUMIFS('All Employees by Mode'!AQ:AQ,'All Employees by Mode'!$C:$C,"="&amp;$C95))</f>
        <v>526998549</v>
      </c>
      <c r="W95" s="161">
        <f>IF($AF$1,SUMIFS('All Employees by Mode'!AS:AS,'All Employees by Mode'!$C:$C,"="&amp;$C95,'All Employees by Mode'!$BE:$BE,"=No"),SUMIFS('All Employees by Mode'!AS:AS,'All Employees by Mode'!$C:$C,"="&amp;$C95))</f>
        <v>5048872071</v>
      </c>
      <c r="X95" s="162">
        <f t="shared" si="33"/>
        <v>38.66605656121574</v>
      </c>
      <c r="Y95" s="162">
        <f t="shared" si="34"/>
        <v>36.059590548714716</v>
      </c>
      <c r="Z95" s="162">
        <f t="shared" si="35"/>
        <v>39.080384770122507</v>
      </c>
      <c r="AA95" s="162">
        <f t="shared" si="36"/>
        <v>59.027740874448547</v>
      </c>
      <c r="AB95" s="271">
        <f t="shared" si="37"/>
        <v>39.618767798735135</v>
      </c>
      <c r="AC95" s="97"/>
      <c r="AD95" s="98"/>
      <c r="AE95" s="98"/>
      <c r="AF95" s="98"/>
      <c r="AG95" s="98"/>
      <c r="AH95" s="98"/>
      <c r="AI95" s="98"/>
      <c r="AJ95" s="98"/>
      <c r="AK95" s="98"/>
      <c r="AL95" s="98"/>
      <c r="AM95" s="98"/>
      <c r="AN95" s="98"/>
      <c r="AO95" s="304"/>
      <c r="AP95" s="304"/>
      <c r="AQ95" s="304"/>
      <c r="AR95" s="304"/>
      <c r="AS95" s="304"/>
      <c r="AT95" s="304"/>
      <c r="AU95" s="98"/>
      <c r="AV95" s="98"/>
    </row>
    <row r="96" spans="1:48">
      <c r="A96" s="96"/>
      <c r="B96" s="96"/>
      <c r="C96" s="195" t="s">
        <v>73</v>
      </c>
      <c r="D96" s="196" t="s">
        <v>992</v>
      </c>
      <c r="E96" s="197"/>
      <c r="F96" s="198">
        <f>IF($AF$1,SUMIFS('All Employees by Mode'!L:L,'All Employees by Mode'!$C:$C,"="&amp;$C96,'All Employees by Mode'!$BE:$BE,"=No"),SUMIFS('All Employees by Mode'!L:L,'All Employees by Mode'!$C:$C,"="&amp;$C96))</f>
        <v>1977</v>
      </c>
      <c r="G96" s="160">
        <f>IF($AF$1,SUMIFS('All Employees by Mode'!M:M,'All Employees by Mode'!$C:$C,"="&amp;$C96,'All Employees by Mode'!$BE:$BE,"=No"),SUMIFS('All Employees by Mode'!M:M,'All Employees by Mode'!$C:$C,"="&amp;$C96))</f>
        <v>8564774</v>
      </c>
      <c r="H96" s="160">
        <f>IF($AF$1,SUMIFS('All Employees by Mode'!O:O,'All Employees by Mode'!$C:$C,"="&amp;$C96,'All Employees by Mode'!$BE:$BE,"=No"),SUMIFS('All Employees by Mode'!O:O,'All Employees by Mode'!$C:$C,"="&amp;$C96))</f>
        <v>1996551</v>
      </c>
      <c r="I96" s="160">
        <f>IF($AF$1,SUMIFS('All Employees by Mode'!Q:Q,'All Employees by Mode'!$C:$C,"="&amp;$C96,'All Employees by Mode'!$BE:$BE,"=No"),SUMIFS('All Employees by Mode'!Q:Q,'All Employees by Mode'!$C:$C,"="&amp;$C96))</f>
        <v>770825</v>
      </c>
      <c r="J96" s="160">
        <f>IF($AF$1,SUMIFS('All Employees by Mode'!S:S,'All Employees by Mode'!$C:$C,"="&amp;$C96,'All Employees by Mode'!$BE:$BE,"=No"),SUMIFS('All Employees by Mode'!S:S,'All Employees by Mode'!$C:$C,"="&amp;$C96))</f>
        <v>1338181</v>
      </c>
      <c r="K96" s="160">
        <f>IF($AF$1,SUMIFS('All Employees by Mode'!U:U,'All Employees by Mode'!$C:$C,"="&amp;$C96,'All Employees by Mode'!$BE:$BE,"=No"),SUMIFS('All Employees by Mode'!U:U,'All Employees by Mode'!$C:$C,"="&amp;$C96))</f>
        <v>8131</v>
      </c>
      <c r="L96" s="160">
        <f>IF($AF$1,SUMIFS('All Employees by Mode'!W:W,'All Employees by Mode'!$C:$C,"="&amp;$C96,'All Employees by Mode'!$BE:$BE,"=No"),SUMIFS('All Employees by Mode'!W:W,'All Employees by Mode'!$C:$C,"="&amp;$C96))</f>
        <v>12678462</v>
      </c>
      <c r="M96" s="160">
        <f>IF($AF$1,SUMIFS('All Employees by Mode'!Y:Y,'All Employees by Mode'!$C:$C,"="&amp;$C96,'All Employees by Mode'!$BE:$BE,"=No"),SUMIFS('All Employees by Mode'!Y:Y,'All Employees by Mode'!$C:$C,"="&amp;$C96))</f>
        <v>4256.88</v>
      </c>
      <c r="N96" s="160">
        <f>IF($AF$1,SUMIFS('All Employees by Mode'!AA:AA,'All Employees by Mode'!$C:$C,"="&amp;$C96,'All Employees by Mode'!$BE:$BE,"=No"),SUMIFS('All Employees by Mode'!AA:AA,'All Employees by Mode'!$C:$C,"="&amp;$C96))</f>
        <v>969.44999999999993</v>
      </c>
      <c r="O96" s="160">
        <f>IF($AF$1,SUMIFS('All Employees by Mode'!AC:AC,'All Employees by Mode'!$C:$C,"="&amp;$C96,'All Employees by Mode'!$BE:$BE,"=No"),SUMIFS('All Employees by Mode'!AC:AC,'All Employees by Mode'!$C:$C,"="&amp;$C96))</f>
        <v>355.26000000000005</v>
      </c>
      <c r="P96" s="160">
        <f>IF($AF$1,SUMIFS('All Employees by Mode'!AE:AE,'All Employees by Mode'!$C:$C,"="&amp;$C96,'All Employees by Mode'!$BE:$BE,"=No"),SUMIFS('All Employees by Mode'!AE:AE,'All Employees by Mode'!$C:$C,"="&amp;$C96))</f>
        <v>737.51999999999987</v>
      </c>
      <c r="Q96" s="160">
        <f>IF($AF$1,SUMIFS('All Employees by Mode'!AG:AG,'All Employees by Mode'!$C:$C,"="&amp;$C96,'All Employees by Mode'!$BE:$BE,"=No"),SUMIFS('All Employees by Mode'!AG:AG,'All Employees by Mode'!$C:$C,"="&amp;$C96))</f>
        <v>4.5</v>
      </c>
      <c r="R96" s="160">
        <f>IF($AF$1,SUMIFS('All Employees by Mode'!AI:AI,'All Employees by Mode'!$C:$C,"="&amp;$C96,'All Employees by Mode'!$BE:$BE,"=No"),SUMIFS('All Employees by Mode'!AI:AI,'All Employees by Mode'!$C:$C,"="&amp;$C96))</f>
        <v>6323.61</v>
      </c>
      <c r="S96" s="161">
        <f>IF($AF$1,SUMIFS('All Employees by Mode'!AK:AK,'All Employees by Mode'!$C:$C,"="&amp;$C96,'All Employees by Mode'!$BE:$BE,"=No"),SUMIFS('All Employees by Mode'!AK:AK,'All Employees by Mode'!$C:$C,"="&amp;$C96))</f>
        <v>189204449</v>
      </c>
      <c r="T96" s="161">
        <f>IF($AF$1,SUMIFS('All Employees by Mode'!AM:AM,'All Employees by Mode'!$C:$C,"="&amp;$C96,'All Employees by Mode'!$BE:$BE,"=No"),SUMIFS('All Employees by Mode'!AM:AM,'All Employees by Mode'!$C:$C,"="&amp;$C96))</f>
        <v>52308734</v>
      </c>
      <c r="U96" s="161">
        <f>IF($AF$1,SUMIFS('All Employees by Mode'!AO:AO,'All Employees by Mode'!$C:$C,"="&amp;$C96,'All Employees by Mode'!$BE:$BE,"=No"),SUMIFS('All Employees by Mode'!AO:AO,'All Employees by Mode'!$C:$C,"="&amp;$C96))</f>
        <v>18402667</v>
      </c>
      <c r="V96" s="161">
        <f>IF($AF$1,SUMIFS('All Employees by Mode'!AQ:AQ,'All Employees by Mode'!$C:$C,"="&amp;$C96,'All Employees by Mode'!$BE:$BE,"=No"),SUMIFS('All Employees by Mode'!AQ:AQ,'All Employees by Mode'!$C:$C,"="&amp;$C96))</f>
        <v>42252024</v>
      </c>
      <c r="W96" s="161">
        <f>IF($AF$1,SUMIFS('All Employees by Mode'!AS:AS,'All Employees by Mode'!$C:$C,"="&amp;$C96,'All Employees by Mode'!$BE:$BE,"=No"),SUMIFS('All Employees by Mode'!AS:AS,'All Employees by Mode'!$C:$C,"="&amp;$C96))</f>
        <v>302167874</v>
      </c>
      <c r="X96" s="162">
        <f t="shared" si="33"/>
        <v>22.091003101774781</v>
      </c>
      <c r="Y96" s="162">
        <f t="shared" si="34"/>
        <v>26.199548120734207</v>
      </c>
      <c r="Z96" s="162">
        <f t="shared" si="35"/>
        <v>23.873988259332535</v>
      </c>
      <c r="AA96" s="162">
        <f t="shared" si="36"/>
        <v>31.574222022282488</v>
      </c>
      <c r="AB96" s="271">
        <f t="shared" si="37"/>
        <v>23.848459365426208</v>
      </c>
      <c r="AC96" s="97"/>
      <c r="AD96" s="98"/>
      <c r="AE96" s="98"/>
      <c r="AF96" s="98"/>
      <c r="AG96" s="98"/>
      <c r="AH96" s="98"/>
      <c r="AI96" s="98"/>
      <c r="AJ96" s="98"/>
      <c r="AK96" s="98"/>
      <c r="AL96" s="98"/>
      <c r="AM96" s="98"/>
      <c r="AN96" s="98"/>
      <c r="AO96" s="304"/>
      <c r="AP96" s="304"/>
      <c r="AQ96" s="304"/>
      <c r="AR96" s="304"/>
      <c r="AS96" s="304"/>
      <c r="AT96" s="304"/>
      <c r="AU96" s="98"/>
      <c r="AV96" s="98"/>
    </row>
    <row r="97" spans="1:48">
      <c r="A97" s="96"/>
      <c r="B97" s="96"/>
      <c r="C97" s="195" t="s">
        <v>75</v>
      </c>
      <c r="D97" s="196" t="s">
        <v>993</v>
      </c>
      <c r="E97" s="197"/>
      <c r="F97" s="198">
        <f>IF($AF$1,SUMIFS('All Employees by Mode'!L:L,'All Employees by Mode'!$C:$C,"="&amp;$C97,'All Employees by Mode'!$BE:$BE,"=No"),SUMIFS('All Employees by Mode'!L:L,'All Employees by Mode'!$C:$C,"="&amp;$C97))</f>
        <v>118</v>
      </c>
      <c r="G97" s="160">
        <f>IF($AF$1,SUMIFS('All Employees by Mode'!M:M,'All Employees by Mode'!$C:$C,"="&amp;$C97,'All Employees by Mode'!$BE:$BE,"=No"),SUMIFS('All Employees by Mode'!M:M,'All Employees by Mode'!$C:$C,"="&amp;$C97))</f>
        <v>522780</v>
      </c>
      <c r="H97" s="160">
        <f>IF($AF$1,SUMIFS('All Employees by Mode'!O:O,'All Employees by Mode'!$C:$C,"="&amp;$C97,'All Employees by Mode'!$BE:$BE,"=No"),SUMIFS('All Employees by Mode'!O:O,'All Employees by Mode'!$C:$C,"="&amp;$C97))</f>
        <v>140116</v>
      </c>
      <c r="I97" s="160">
        <f>IF($AF$1,SUMIFS('All Employees by Mode'!Q:Q,'All Employees by Mode'!$C:$C,"="&amp;$C97,'All Employees by Mode'!$BE:$BE,"=No"),SUMIFS('All Employees by Mode'!Q:Q,'All Employees by Mode'!$C:$C,"="&amp;$C97))</f>
        <v>18519</v>
      </c>
      <c r="J97" s="160">
        <f>IF($AF$1,SUMIFS('All Employees by Mode'!S:S,'All Employees by Mode'!$C:$C,"="&amp;$C97,'All Employees by Mode'!$BE:$BE,"=No"),SUMIFS('All Employees by Mode'!S:S,'All Employees by Mode'!$C:$C,"="&amp;$C97))</f>
        <v>119591</v>
      </c>
      <c r="K97" s="160">
        <f>IF($AF$1,SUMIFS('All Employees by Mode'!U:U,'All Employees by Mode'!$C:$C,"="&amp;$C97,'All Employees by Mode'!$BE:$BE,"=No"),SUMIFS('All Employees by Mode'!U:U,'All Employees by Mode'!$C:$C,"="&amp;$C97))</f>
        <v>0</v>
      </c>
      <c r="L97" s="160">
        <f>IF($AF$1,SUMIFS('All Employees by Mode'!W:W,'All Employees by Mode'!$C:$C,"="&amp;$C97,'All Employees by Mode'!$BE:$BE,"=No"),SUMIFS('All Employees by Mode'!W:W,'All Employees by Mode'!$C:$C,"="&amp;$C97))</f>
        <v>801006</v>
      </c>
      <c r="M97" s="160">
        <f>IF($AF$1,SUMIFS('All Employees by Mode'!Y:Y,'All Employees by Mode'!$C:$C,"="&amp;$C97,'All Employees by Mode'!$BE:$BE,"=No"),SUMIFS('All Employees by Mode'!Y:Y,'All Employees by Mode'!$C:$C,"="&amp;$C97))</f>
        <v>261</v>
      </c>
      <c r="N97" s="160">
        <f>IF($AF$1,SUMIFS('All Employees by Mode'!AA:AA,'All Employees by Mode'!$C:$C,"="&amp;$C97,'All Employees by Mode'!$BE:$BE,"=No"),SUMIFS('All Employees by Mode'!AA:AA,'All Employees by Mode'!$C:$C,"="&amp;$C97))</f>
        <v>76</v>
      </c>
      <c r="O97" s="160">
        <f>IF($AF$1,SUMIFS('All Employees by Mode'!AC:AC,'All Employees by Mode'!$C:$C,"="&amp;$C97,'All Employees by Mode'!$BE:$BE,"=No"),SUMIFS('All Employees by Mode'!AC:AC,'All Employees by Mode'!$C:$C,"="&amp;$C97))</f>
        <v>11</v>
      </c>
      <c r="P97" s="160">
        <f>IF($AF$1,SUMIFS('All Employees by Mode'!AE:AE,'All Employees by Mode'!$C:$C,"="&amp;$C97,'All Employees by Mode'!$BE:$BE,"=No"),SUMIFS('All Employees by Mode'!AE:AE,'All Employees by Mode'!$C:$C,"="&amp;$C97))</f>
        <v>75.050000000000011</v>
      </c>
      <c r="Q97" s="160">
        <f>IF($AF$1,SUMIFS('All Employees by Mode'!AG:AG,'All Employees by Mode'!$C:$C,"="&amp;$C97,'All Employees by Mode'!$BE:$BE,"=No"),SUMIFS('All Employees by Mode'!AG:AG,'All Employees by Mode'!$C:$C,"="&amp;$C97))</f>
        <v>0</v>
      </c>
      <c r="R97" s="160">
        <f>IF($AF$1,SUMIFS('All Employees by Mode'!AI:AI,'All Employees by Mode'!$C:$C,"="&amp;$C97,'All Employees by Mode'!$BE:$BE,"=No"),SUMIFS('All Employees by Mode'!AI:AI,'All Employees by Mode'!$C:$C,"="&amp;$C97))</f>
        <v>423.05</v>
      </c>
      <c r="S97" s="161">
        <f>IF($AF$1,SUMIFS('All Employees by Mode'!AK:AK,'All Employees by Mode'!$C:$C,"="&amp;$C97,'All Employees by Mode'!$BE:$BE,"=No"),SUMIFS('All Employees by Mode'!AK:AK,'All Employees by Mode'!$C:$C,"="&amp;$C97))</f>
        <v>10229888</v>
      </c>
      <c r="T97" s="161">
        <f>IF($AF$1,SUMIFS('All Employees by Mode'!AM:AM,'All Employees by Mode'!$C:$C,"="&amp;$C97,'All Employees by Mode'!$BE:$BE,"=No"),SUMIFS('All Employees by Mode'!AM:AM,'All Employees by Mode'!$C:$C,"="&amp;$C97))</f>
        <v>3208380</v>
      </c>
      <c r="U97" s="161">
        <f>IF($AF$1,SUMIFS('All Employees by Mode'!AO:AO,'All Employees by Mode'!$C:$C,"="&amp;$C97,'All Employees by Mode'!$BE:$BE,"=No"),SUMIFS('All Employees by Mode'!AO:AO,'All Employees by Mode'!$C:$C,"="&amp;$C97))</f>
        <v>460923</v>
      </c>
      <c r="V97" s="161">
        <f>IF($AF$1,SUMIFS('All Employees by Mode'!AQ:AQ,'All Employees by Mode'!$C:$C,"="&amp;$C97,'All Employees by Mode'!$BE:$BE,"=No"),SUMIFS('All Employees by Mode'!AQ:AQ,'All Employees by Mode'!$C:$C,"="&amp;$C97))</f>
        <v>2898825</v>
      </c>
      <c r="W97" s="161">
        <f>IF($AF$1,SUMIFS('All Employees by Mode'!AS:AS,'All Employees by Mode'!$C:$C,"="&amp;$C97,'All Employees by Mode'!$BE:$BE,"=No"),SUMIFS('All Employees by Mode'!AS:AS,'All Employees by Mode'!$C:$C,"="&amp;$C97))</f>
        <v>16798016</v>
      </c>
      <c r="X97" s="162">
        <f t="shared" si="33"/>
        <v>19.568246681204332</v>
      </c>
      <c r="Y97" s="162">
        <f t="shared" si="34"/>
        <v>22.898027348768164</v>
      </c>
      <c r="Z97" s="162">
        <f t="shared" si="35"/>
        <v>24.889194880933097</v>
      </c>
      <c r="AA97" s="162">
        <f t="shared" si="36"/>
        <v>24.239491266065173</v>
      </c>
      <c r="AB97" s="271">
        <f t="shared" si="37"/>
        <v>20.971148780408637</v>
      </c>
      <c r="AC97" s="97"/>
      <c r="AD97" s="98"/>
      <c r="AE97" s="98"/>
      <c r="AF97" s="98"/>
      <c r="AG97" s="98"/>
      <c r="AH97" s="98"/>
      <c r="AI97" s="98"/>
      <c r="AJ97" s="98"/>
      <c r="AK97" s="98"/>
      <c r="AL97" s="98"/>
      <c r="AM97" s="98"/>
      <c r="AN97" s="98"/>
      <c r="AO97" s="304"/>
      <c r="AP97" s="304"/>
      <c r="AQ97" s="304"/>
      <c r="AR97" s="304"/>
      <c r="AS97" s="304"/>
      <c r="AT97" s="304"/>
      <c r="AU97" s="98"/>
      <c r="AV97" s="98"/>
    </row>
    <row r="98" spans="1:48">
      <c r="A98" s="96"/>
      <c r="B98" s="96"/>
      <c r="C98" s="195" t="s">
        <v>76</v>
      </c>
      <c r="D98" s="196" t="s">
        <v>994</v>
      </c>
      <c r="E98" s="197"/>
      <c r="F98" s="198">
        <f>IF($AF$1,SUMIFS('All Employees by Mode'!L:L,'All Employees by Mode'!$C:$C,"="&amp;$C98,'All Employees by Mode'!$BE:$BE,"=No"),SUMIFS('All Employees by Mode'!L:L,'All Employees by Mode'!$C:$C,"="&amp;$C98))</f>
        <v>828</v>
      </c>
      <c r="G98" s="160">
        <f>IF($AF$1,SUMIFS('All Employees by Mode'!M:M,'All Employees by Mode'!$C:$C,"="&amp;$C98,'All Employees by Mode'!$BE:$BE,"=No"),SUMIFS('All Employees by Mode'!M:M,'All Employees by Mode'!$C:$C,"="&amp;$C98))</f>
        <v>3865631</v>
      </c>
      <c r="H98" s="160">
        <f>IF($AF$1,SUMIFS('All Employees by Mode'!O:O,'All Employees by Mode'!$C:$C,"="&amp;$C98,'All Employees by Mode'!$BE:$BE,"=No"),SUMIFS('All Employees by Mode'!O:O,'All Employees by Mode'!$C:$C,"="&amp;$C98))</f>
        <v>1068335</v>
      </c>
      <c r="I98" s="160">
        <f>IF($AF$1,SUMIFS('All Employees by Mode'!Q:Q,'All Employees by Mode'!$C:$C,"="&amp;$C98,'All Employees by Mode'!$BE:$BE,"=No"),SUMIFS('All Employees by Mode'!Q:Q,'All Employees by Mode'!$C:$C,"="&amp;$C98))</f>
        <v>392354</v>
      </c>
      <c r="J98" s="160">
        <f>IF($AF$1,SUMIFS('All Employees by Mode'!S:S,'All Employees by Mode'!$C:$C,"="&amp;$C98,'All Employees by Mode'!$BE:$BE,"=No"),SUMIFS('All Employees by Mode'!S:S,'All Employees by Mode'!$C:$C,"="&amp;$C98))</f>
        <v>643328</v>
      </c>
      <c r="K98" s="160">
        <f>IF($AF$1,SUMIFS('All Employees by Mode'!U:U,'All Employees by Mode'!$C:$C,"="&amp;$C98,'All Employees by Mode'!$BE:$BE,"=No"),SUMIFS('All Employees by Mode'!U:U,'All Employees by Mode'!$C:$C,"="&amp;$C98))</f>
        <v>181469</v>
      </c>
      <c r="L98" s="160">
        <f>IF($AF$1,SUMIFS('All Employees by Mode'!W:W,'All Employees by Mode'!$C:$C,"="&amp;$C98,'All Employees by Mode'!$BE:$BE,"=No"),SUMIFS('All Employees by Mode'!W:W,'All Employees by Mode'!$C:$C,"="&amp;$C98))</f>
        <v>6151117</v>
      </c>
      <c r="M98" s="160">
        <f>IF($AF$1,SUMIFS('All Employees by Mode'!Y:Y,'All Employees by Mode'!$C:$C,"="&amp;$C98,'All Employees by Mode'!$BE:$BE,"=No"),SUMIFS('All Employees by Mode'!Y:Y,'All Employees by Mode'!$C:$C,"="&amp;$C98))</f>
        <v>2067.87</v>
      </c>
      <c r="N98" s="160">
        <f>IF($AF$1,SUMIFS('All Employees by Mode'!AA:AA,'All Employees by Mode'!$C:$C,"="&amp;$C98,'All Employees by Mode'!$BE:$BE,"=No"),SUMIFS('All Employees by Mode'!AA:AA,'All Employees by Mode'!$C:$C,"="&amp;$C98))</f>
        <v>550.9</v>
      </c>
      <c r="O98" s="160">
        <f>IF($AF$1,SUMIFS('All Employees by Mode'!AC:AC,'All Employees by Mode'!$C:$C,"="&amp;$C98,'All Employees by Mode'!$BE:$BE,"=No"),SUMIFS('All Employees by Mode'!AC:AC,'All Employees by Mode'!$C:$C,"="&amp;$C98))</f>
        <v>217.89999999999998</v>
      </c>
      <c r="P98" s="160">
        <f>IF($AF$1,SUMIFS('All Employees by Mode'!AE:AE,'All Employees by Mode'!$C:$C,"="&amp;$C98,'All Employees by Mode'!$BE:$BE,"=No"),SUMIFS('All Employees by Mode'!AE:AE,'All Employees by Mode'!$C:$C,"="&amp;$C98))</f>
        <v>338.7</v>
      </c>
      <c r="Q98" s="160">
        <f>IF($AF$1,SUMIFS('All Employees by Mode'!AG:AG,'All Employees by Mode'!$C:$C,"="&amp;$C98,'All Employees by Mode'!$BE:$BE,"=No"),SUMIFS('All Employees by Mode'!AG:AG,'All Employees by Mode'!$C:$C,"="&amp;$C98))</f>
        <v>101.39999999999999</v>
      </c>
      <c r="R98" s="160">
        <f>IF($AF$1,SUMIFS('All Employees by Mode'!AI:AI,'All Employees by Mode'!$C:$C,"="&amp;$C98,'All Employees by Mode'!$BE:$BE,"=No"),SUMIFS('All Employees by Mode'!AI:AI,'All Employees by Mode'!$C:$C,"="&amp;$C98))</f>
        <v>3276.77</v>
      </c>
      <c r="S98" s="161">
        <f>IF($AF$1,SUMIFS('All Employees by Mode'!AK:AK,'All Employees by Mode'!$C:$C,"="&amp;$C98,'All Employees by Mode'!$BE:$BE,"=No"),SUMIFS('All Employees by Mode'!AK:AK,'All Employees by Mode'!$C:$C,"="&amp;$C98))</f>
        <v>107966469</v>
      </c>
      <c r="T98" s="161">
        <f>IF($AF$1,SUMIFS('All Employees by Mode'!AM:AM,'All Employees by Mode'!$C:$C,"="&amp;$C98,'All Employees by Mode'!$BE:$BE,"=No"),SUMIFS('All Employees by Mode'!AM:AM,'All Employees by Mode'!$C:$C,"="&amp;$C98))</f>
        <v>30668887</v>
      </c>
      <c r="U98" s="161">
        <f>IF($AF$1,SUMIFS('All Employees by Mode'!AO:AO,'All Employees by Mode'!$C:$C,"="&amp;$C98,'All Employees by Mode'!$BE:$BE,"=No"),SUMIFS('All Employees by Mode'!AO:AO,'All Employees by Mode'!$C:$C,"="&amp;$C98))</f>
        <v>12593790</v>
      </c>
      <c r="V98" s="161">
        <f>IF($AF$1,SUMIFS('All Employees by Mode'!AQ:AQ,'All Employees by Mode'!$C:$C,"="&amp;$C98,'All Employees by Mode'!$BE:$BE,"=No"),SUMIFS('All Employees by Mode'!AQ:AQ,'All Employees by Mode'!$C:$C,"="&amp;$C98))</f>
        <v>22652305</v>
      </c>
      <c r="W98" s="161">
        <f>IF($AF$1,SUMIFS('All Employees by Mode'!AS:AS,'All Employees by Mode'!$C:$C,"="&amp;$C98,'All Employees by Mode'!$BE:$BE,"=No"),SUMIFS('All Employees by Mode'!AS:AS,'All Employees by Mode'!$C:$C,"="&amp;$C98))</f>
        <v>173881451</v>
      </c>
      <c r="X98" s="162">
        <f t="shared" si="33"/>
        <v>27.929843536540346</v>
      </c>
      <c r="Y98" s="162">
        <f t="shared" si="34"/>
        <v>28.707181736065934</v>
      </c>
      <c r="Z98" s="162">
        <f t="shared" si="35"/>
        <v>32.098028820911729</v>
      </c>
      <c r="AA98" s="162">
        <f t="shared" si="36"/>
        <v>35.211128693294867</v>
      </c>
      <c r="AB98" s="271">
        <f t="shared" si="37"/>
        <v>29.127588594838421</v>
      </c>
      <c r="AC98" s="97"/>
      <c r="AD98" s="98"/>
      <c r="AE98" s="98"/>
      <c r="AF98" s="98"/>
      <c r="AG98" s="98"/>
      <c r="AH98" s="98"/>
      <c r="AI98" s="98"/>
      <c r="AJ98" s="98"/>
      <c r="AK98" s="98"/>
      <c r="AL98" s="98"/>
      <c r="AM98" s="98"/>
      <c r="AN98" s="98"/>
      <c r="AO98" s="304"/>
      <c r="AP98" s="304"/>
      <c r="AQ98" s="304"/>
      <c r="AR98" s="304"/>
      <c r="AS98" s="304"/>
      <c r="AT98" s="304"/>
      <c r="AU98" s="98"/>
      <c r="AV98" s="98"/>
    </row>
    <row r="99" spans="1:48">
      <c r="A99" s="96"/>
      <c r="B99" s="96"/>
      <c r="C99" s="195" t="s">
        <v>77</v>
      </c>
      <c r="D99" s="196" t="s">
        <v>995</v>
      </c>
      <c r="E99" s="197"/>
      <c r="F99" s="198">
        <f>IF($AF$1,SUMIFS('All Employees by Mode'!L:L,'All Employees by Mode'!$C:$C,"="&amp;$C99,'All Employees by Mode'!$BE:$BE,"=No"),SUMIFS('All Employees by Mode'!L:L,'All Employees by Mode'!$C:$C,"="&amp;$C99))</f>
        <v>3732</v>
      </c>
      <c r="G99" s="160">
        <f>IF($AF$1,SUMIFS('All Employees by Mode'!M:M,'All Employees by Mode'!$C:$C,"="&amp;$C99,'All Employees by Mode'!$BE:$BE,"=No"),SUMIFS('All Employees by Mode'!M:M,'All Employees by Mode'!$C:$C,"="&amp;$C99))</f>
        <v>16995499</v>
      </c>
      <c r="H99" s="160">
        <f>IF($AF$1,SUMIFS('All Employees by Mode'!O:O,'All Employees by Mode'!$C:$C,"="&amp;$C99,'All Employees by Mode'!$BE:$BE,"=No"),SUMIFS('All Employees by Mode'!O:O,'All Employees by Mode'!$C:$C,"="&amp;$C99))</f>
        <v>4999963</v>
      </c>
      <c r="I99" s="160">
        <f>IF($AF$1,SUMIFS('All Employees by Mode'!Q:Q,'All Employees by Mode'!$C:$C,"="&amp;$C99,'All Employees by Mode'!$BE:$BE,"=No"),SUMIFS('All Employees by Mode'!Q:Q,'All Employees by Mode'!$C:$C,"="&amp;$C99))</f>
        <v>3238130</v>
      </c>
      <c r="J99" s="160">
        <f>IF($AF$1,SUMIFS('All Employees by Mode'!S:S,'All Employees by Mode'!$C:$C,"="&amp;$C99,'All Employees by Mode'!$BE:$BE,"=No"),SUMIFS('All Employees by Mode'!S:S,'All Employees by Mode'!$C:$C,"="&amp;$C99))</f>
        <v>2494664</v>
      </c>
      <c r="K99" s="160">
        <f>IF($AF$1,SUMIFS('All Employees by Mode'!U:U,'All Employees by Mode'!$C:$C,"="&amp;$C99,'All Employees by Mode'!$BE:$BE,"=No"),SUMIFS('All Employees by Mode'!U:U,'All Employees by Mode'!$C:$C,"="&amp;$C99))</f>
        <v>1758323</v>
      </c>
      <c r="L99" s="160">
        <f>IF($AF$1,SUMIFS('All Employees by Mode'!W:W,'All Employees by Mode'!$C:$C,"="&amp;$C99,'All Employees by Mode'!$BE:$BE,"=No"),SUMIFS('All Employees by Mode'!W:W,'All Employees by Mode'!$C:$C,"="&amp;$C99))</f>
        <v>29486579</v>
      </c>
      <c r="M99" s="160">
        <f>IF($AF$1,SUMIFS('All Employees by Mode'!Y:Y,'All Employees by Mode'!$C:$C,"="&amp;$C99,'All Employees by Mode'!$BE:$BE,"=No"),SUMIFS('All Employees by Mode'!Y:Y,'All Employees by Mode'!$C:$C,"="&amp;$C99))</f>
        <v>8386.9900000000016</v>
      </c>
      <c r="N99" s="160">
        <f>IF($AF$1,SUMIFS('All Employees by Mode'!AA:AA,'All Employees by Mode'!$C:$C,"="&amp;$C99,'All Employees by Mode'!$BE:$BE,"=No"),SUMIFS('All Employees by Mode'!AA:AA,'All Employees by Mode'!$C:$C,"="&amp;$C99))</f>
        <v>2474.0500000000006</v>
      </c>
      <c r="O99" s="160">
        <f>IF($AF$1,SUMIFS('All Employees by Mode'!AC:AC,'All Employees by Mode'!$C:$C,"="&amp;$C99,'All Employees by Mode'!$BE:$BE,"=No"),SUMIFS('All Employees by Mode'!AC:AC,'All Employees by Mode'!$C:$C,"="&amp;$C99))</f>
        <v>1571.12</v>
      </c>
      <c r="P99" s="160">
        <f>IF($AF$1,SUMIFS('All Employees by Mode'!AE:AE,'All Employees by Mode'!$C:$C,"="&amp;$C99,'All Employees by Mode'!$BE:$BE,"=No"),SUMIFS('All Employees by Mode'!AE:AE,'All Employees by Mode'!$C:$C,"="&amp;$C99))</f>
        <v>1376.47</v>
      </c>
      <c r="Q99" s="160">
        <f>IF($AF$1,SUMIFS('All Employees by Mode'!AG:AG,'All Employees by Mode'!$C:$C,"="&amp;$C99,'All Employees by Mode'!$BE:$BE,"=No"),SUMIFS('All Employees by Mode'!AG:AG,'All Employees by Mode'!$C:$C,"="&amp;$C99))</f>
        <v>828.76</v>
      </c>
      <c r="R99" s="160">
        <f>IF($AF$1,SUMIFS('All Employees by Mode'!AI:AI,'All Employees by Mode'!$C:$C,"="&amp;$C99,'All Employees by Mode'!$BE:$BE,"=No"),SUMIFS('All Employees by Mode'!AI:AI,'All Employees by Mode'!$C:$C,"="&amp;$C99))</f>
        <v>14637.390000000001</v>
      </c>
      <c r="S99" s="161">
        <f>IF($AF$1,SUMIFS('All Employees by Mode'!AK:AK,'All Employees by Mode'!$C:$C,"="&amp;$C99,'All Employees by Mode'!$BE:$BE,"=No"),SUMIFS('All Employees by Mode'!AK:AK,'All Employees by Mode'!$C:$C,"="&amp;$C99))</f>
        <v>457105766</v>
      </c>
      <c r="T99" s="161">
        <f>IF($AF$1,SUMIFS('All Employees by Mode'!AM:AM,'All Employees by Mode'!$C:$C,"="&amp;$C99,'All Employees by Mode'!$BE:$BE,"=No"),SUMIFS('All Employees by Mode'!AM:AM,'All Employees by Mode'!$C:$C,"="&amp;$C99))</f>
        <v>144989388</v>
      </c>
      <c r="U99" s="161">
        <f>IF($AF$1,SUMIFS('All Employees by Mode'!AO:AO,'All Employees by Mode'!$C:$C,"="&amp;$C99,'All Employees by Mode'!$BE:$BE,"=No"),SUMIFS('All Employees by Mode'!AO:AO,'All Employees by Mode'!$C:$C,"="&amp;$C99))</f>
        <v>97341030</v>
      </c>
      <c r="V99" s="161">
        <f>IF($AF$1,SUMIFS('All Employees by Mode'!AQ:AQ,'All Employees by Mode'!$C:$C,"="&amp;$C99,'All Employees by Mode'!$BE:$BE,"=No"),SUMIFS('All Employees by Mode'!AQ:AQ,'All Employees by Mode'!$C:$C,"="&amp;$C99))</f>
        <v>72411605</v>
      </c>
      <c r="W99" s="161">
        <f>IF($AF$1,SUMIFS('All Employees by Mode'!AS:AS,'All Employees by Mode'!$C:$C,"="&amp;$C99,'All Employees by Mode'!$BE:$BE,"=No"),SUMIFS('All Employees by Mode'!AS:AS,'All Employees by Mode'!$C:$C,"="&amp;$C99))</f>
        <v>771847789</v>
      </c>
      <c r="X99" s="162">
        <f t="shared" si="33"/>
        <v>26.89569550149719</v>
      </c>
      <c r="Y99" s="162">
        <f t="shared" si="34"/>
        <v>28.998092185882175</v>
      </c>
      <c r="Z99" s="162">
        <f t="shared" si="35"/>
        <v>30.060877728812617</v>
      </c>
      <c r="AA99" s="162">
        <f t="shared" si="36"/>
        <v>29.026596367286334</v>
      </c>
      <c r="AB99" s="271">
        <f t="shared" si="37"/>
        <v>27.836146240138579</v>
      </c>
      <c r="AC99" s="97"/>
      <c r="AD99" s="98"/>
      <c r="AE99" s="98"/>
      <c r="AF99" s="98"/>
      <c r="AG99" s="98"/>
      <c r="AH99" s="98"/>
      <c r="AI99" s="98"/>
      <c r="AJ99" s="98"/>
      <c r="AK99" s="98"/>
      <c r="AL99" s="98"/>
      <c r="AM99" s="98"/>
      <c r="AN99" s="98"/>
      <c r="AO99" s="304"/>
      <c r="AP99" s="304"/>
      <c r="AQ99" s="304"/>
      <c r="AR99" s="304"/>
      <c r="AS99" s="304"/>
      <c r="AT99" s="304"/>
      <c r="AU99" s="98"/>
      <c r="AV99" s="98"/>
    </row>
    <row r="100" spans="1:48">
      <c r="A100" s="96"/>
      <c r="B100" s="96"/>
      <c r="C100" s="195" t="s">
        <v>79</v>
      </c>
      <c r="D100" s="196" t="s">
        <v>996</v>
      </c>
      <c r="E100" s="197"/>
      <c r="F100" s="198">
        <f>IF($AF$1,SUMIFS('All Employees by Mode'!L:L,'All Employees by Mode'!$C:$C,"="&amp;$C100,'All Employees by Mode'!$BE:$BE,"=No"),SUMIFS('All Employees by Mode'!L:L,'All Employees by Mode'!$C:$C,"="&amp;$C100))</f>
        <v>128</v>
      </c>
      <c r="G100" s="160">
        <f>IF($AF$1,SUMIFS('All Employees by Mode'!M:M,'All Employees by Mode'!$C:$C,"="&amp;$C100,'All Employees by Mode'!$BE:$BE,"=No"),SUMIFS('All Employees by Mode'!M:M,'All Employees by Mode'!$C:$C,"="&amp;$C100))</f>
        <v>1008617</v>
      </c>
      <c r="H100" s="160">
        <f>IF($AF$1,SUMIFS('All Employees by Mode'!O:O,'All Employees by Mode'!$C:$C,"="&amp;$C100,'All Employees by Mode'!$BE:$BE,"=No"),SUMIFS('All Employees by Mode'!O:O,'All Employees by Mode'!$C:$C,"="&amp;$C100))</f>
        <v>488078</v>
      </c>
      <c r="I100" s="160">
        <f>IF($AF$1,SUMIFS('All Employees by Mode'!Q:Q,'All Employees by Mode'!$C:$C,"="&amp;$C100,'All Employees by Mode'!$BE:$BE,"=No"),SUMIFS('All Employees by Mode'!Q:Q,'All Employees by Mode'!$C:$C,"="&amp;$C100))</f>
        <v>138651</v>
      </c>
      <c r="J100" s="160">
        <f>IF($AF$1,SUMIFS('All Employees by Mode'!S:S,'All Employees by Mode'!$C:$C,"="&amp;$C100,'All Employees by Mode'!$BE:$BE,"=No"),SUMIFS('All Employees by Mode'!S:S,'All Employees by Mode'!$C:$C,"="&amp;$C100))</f>
        <v>264775</v>
      </c>
      <c r="K100" s="160">
        <f>IF($AF$1,SUMIFS('All Employees by Mode'!U:U,'All Employees by Mode'!$C:$C,"="&amp;$C100,'All Employees by Mode'!$BE:$BE,"=No"),SUMIFS('All Employees by Mode'!U:U,'All Employees by Mode'!$C:$C,"="&amp;$C100))</f>
        <v>0</v>
      </c>
      <c r="L100" s="160">
        <f>IF($AF$1,SUMIFS('All Employees by Mode'!W:W,'All Employees by Mode'!$C:$C,"="&amp;$C100,'All Employees by Mode'!$BE:$BE,"=No"),SUMIFS('All Employees by Mode'!W:W,'All Employees by Mode'!$C:$C,"="&amp;$C100))</f>
        <v>1900121</v>
      </c>
      <c r="M100" s="160">
        <f>IF($AF$1,SUMIFS('All Employees by Mode'!Y:Y,'All Employees by Mode'!$C:$C,"="&amp;$C100,'All Employees by Mode'!$BE:$BE,"=No"),SUMIFS('All Employees by Mode'!Y:Y,'All Employees by Mode'!$C:$C,"="&amp;$C100))</f>
        <v>552</v>
      </c>
      <c r="N100" s="160">
        <f>IF($AF$1,SUMIFS('All Employees by Mode'!AA:AA,'All Employees by Mode'!$C:$C,"="&amp;$C100,'All Employees by Mode'!$BE:$BE,"=No"),SUMIFS('All Employees by Mode'!AA:AA,'All Employees by Mode'!$C:$C,"="&amp;$C100))</f>
        <v>269</v>
      </c>
      <c r="O100" s="160">
        <f>IF($AF$1,SUMIFS('All Employees by Mode'!AC:AC,'All Employees by Mode'!$C:$C,"="&amp;$C100,'All Employees by Mode'!$BE:$BE,"=No"),SUMIFS('All Employees by Mode'!AC:AC,'All Employees by Mode'!$C:$C,"="&amp;$C100))</f>
        <v>83</v>
      </c>
      <c r="P100" s="160">
        <f>IF($AF$1,SUMIFS('All Employees by Mode'!AE:AE,'All Employees by Mode'!$C:$C,"="&amp;$C100,'All Employees by Mode'!$BE:$BE,"=No"),SUMIFS('All Employees by Mode'!AE:AE,'All Employees by Mode'!$C:$C,"="&amp;$C100))</f>
        <v>148</v>
      </c>
      <c r="Q100" s="160">
        <f>IF($AF$1,SUMIFS('All Employees by Mode'!AG:AG,'All Employees by Mode'!$C:$C,"="&amp;$C100,'All Employees by Mode'!$BE:$BE,"=No"),SUMIFS('All Employees by Mode'!AG:AG,'All Employees by Mode'!$C:$C,"="&amp;$C100))</f>
        <v>0</v>
      </c>
      <c r="R100" s="160">
        <f>IF($AF$1,SUMIFS('All Employees by Mode'!AI:AI,'All Employees by Mode'!$C:$C,"="&amp;$C100,'All Employees by Mode'!$BE:$BE,"=No"),SUMIFS('All Employees by Mode'!AI:AI,'All Employees by Mode'!$C:$C,"="&amp;$C100))</f>
        <v>1052</v>
      </c>
      <c r="S100" s="161">
        <f>IF($AF$1,SUMIFS('All Employees by Mode'!AK:AK,'All Employees by Mode'!$C:$C,"="&amp;$C100,'All Employees by Mode'!$BE:$BE,"=No"),SUMIFS('All Employees by Mode'!AK:AK,'All Employees by Mode'!$C:$C,"="&amp;$C100))</f>
        <v>22087658</v>
      </c>
      <c r="T100" s="161">
        <f>IF($AF$1,SUMIFS('All Employees by Mode'!AM:AM,'All Employees by Mode'!$C:$C,"="&amp;$C100,'All Employees by Mode'!$BE:$BE,"=No"),SUMIFS('All Employees by Mode'!AM:AM,'All Employees by Mode'!$C:$C,"="&amp;$C100))</f>
        <v>9075052</v>
      </c>
      <c r="U100" s="161">
        <f>IF($AF$1,SUMIFS('All Employees by Mode'!AO:AO,'All Employees by Mode'!$C:$C,"="&amp;$C100,'All Employees by Mode'!$BE:$BE,"=No"),SUMIFS('All Employees by Mode'!AO:AO,'All Employees by Mode'!$C:$C,"="&amp;$C100))</f>
        <v>2120300</v>
      </c>
      <c r="V100" s="161">
        <f>IF($AF$1,SUMIFS('All Employees by Mode'!AQ:AQ,'All Employees by Mode'!$C:$C,"="&amp;$C100,'All Employees by Mode'!$BE:$BE,"=No"),SUMIFS('All Employees by Mode'!AQ:AQ,'All Employees by Mode'!$C:$C,"="&amp;$C100))</f>
        <v>6000998</v>
      </c>
      <c r="W100" s="161">
        <f>IF($AF$1,SUMIFS('All Employees by Mode'!AS:AS,'All Employees by Mode'!$C:$C,"="&amp;$C100,'All Employees by Mode'!$BE:$BE,"=No"),SUMIFS('All Employees by Mode'!AS:AS,'All Employees by Mode'!$C:$C,"="&amp;$C100))</f>
        <v>39284008</v>
      </c>
      <c r="X100" s="162">
        <f t="shared" si="33"/>
        <v>21.898954707287306</v>
      </c>
      <c r="Y100" s="162">
        <f t="shared" si="34"/>
        <v>18.593446129512085</v>
      </c>
      <c r="Z100" s="162">
        <f t="shared" si="35"/>
        <v>15.292352741776114</v>
      </c>
      <c r="AA100" s="162">
        <f t="shared" si="36"/>
        <v>22.664518931167972</v>
      </c>
      <c r="AB100" s="271">
        <f t="shared" si="37"/>
        <v>20.674477046461778</v>
      </c>
      <c r="AC100" s="97"/>
      <c r="AD100" s="98"/>
      <c r="AE100" s="98"/>
      <c r="AF100" s="98"/>
      <c r="AG100" s="98"/>
      <c r="AH100" s="98"/>
      <c r="AI100" s="98"/>
      <c r="AJ100" s="98"/>
      <c r="AK100" s="98"/>
      <c r="AL100" s="98"/>
      <c r="AM100" s="98"/>
      <c r="AN100" s="98"/>
      <c r="AO100" s="304"/>
      <c r="AP100" s="304"/>
      <c r="AQ100" s="304"/>
      <c r="AR100" s="304"/>
      <c r="AS100" s="304"/>
      <c r="AT100" s="304"/>
      <c r="AU100" s="98"/>
      <c r="AV100" s="98"/>
    </row>
    <row r="101" spans="1:48">
      <c r="A101" s="96"/>
      <c r="B101" s="96"/>
      <c r="C101" s="195" t="s">
        <v>80</v>
      </c>
      <c r="D101" s="196" t="s">
        <v>997</v>
      </c>
      <c r="E101" s="197"/>
      <c r="F101" s="198">
        <f>IF($AF$1,SUMIFS('All Employees by Mode'!L:L,'All Employees by Mode'!$C:$C,"="&amp;$C101,'All Employees by Mode'!$BE:$BE,"=No"),SUMIFS('All Employees by Mode'!L:L,'All Employees by Mode'!$C:$C,"="&amp;$C101))</f>
        <v>274</v>
      </c>
      <c r="G101" s="160">
        <f>IF($AF$1,SUMIFS('All Employees by Mode'!M:M,'All Employees by Mode'!$C:$C,"="&amp;$C101,'All Employees by Mode'!$BE:$BE,"=No"),SUMIFS('All Employees by Mode'!M:M,'All Employees by Mode'!$C:$C,"="&amp;$C101))</f>
        <v>1111389</v>
      </c>
      <c r="H101" s="160">
        <f>IF($AF$1,SUMIFS('All Employees by Mode'!O:O,'All Employees by Mode'!$C:$C,"="&amp;$C101,'All Employees by Mode'!$BE:$BE,"=No"),SUMIFS('All Employees by Mode'!O:O,'All Employees by Mode'!$C:$C,"="&amp;$C101))</f>
        <v>161114</v>
      </c>
      <c r="I101" s="160">
        <f>IF($AF$1,SUMIFS('All Employees by Mode'!Q:Q,'All Employees by Mode'!$C:$C,"="&amp;$C101,'All Employees by Mode'!$BE:$BE,"=No"),SUMIFS('All Employees by Mode'!Q:Q,'All Employees by Mode'!$C:$C,"="&amp;$C101))</f>
        <v>72515</v>
      </c>
      <c r="J101" s="160">
        <f>IF($AF$1,SUMIFS('All Employees by Mode'!S:S,'All Employees by Mode'!$C:$C,"="&amp;$C101,'All Employees by Mode'!$BE:$BE,"=No"),SUMIFS('All Employees by Mode'!S:S,'All Employees by Mode'!$C:$C,"="&amp;$C101))</f>
        <v>157266</v>
      </c>
      <c r="K101" s="160">
        <f>IF($AF$1,SUMIFS('All Employees by Mode'!U:U,'All Employees by Mode'!$C:$C,"="&amp;$C101,'All Employees by Mode'!$BE:$BE,"=No"),SUMIFS('All Employees by Mode'!U:U,'All Employees by Mode'!$C:$C,"="&amp;$C101))</f>
        <v>0</v>
      </c>
      <c r="L101" s="160">
        <f>IF($AF$1,SUMIFS('All Employees by Mode'!W:W,'All Employees by Mode'!$C:$C,"="&amp;$C101,'All Employees by Mode'!$BE:$BE,"=No"),SUMIFS('All Employees by Mode'!W:W,'All Employees by Mode'!$C:$C,"="&amp;$C101))</f>
        <v>1502284</v>
      </c>
      <c r="M101" s="160">
        <f>IF($AF$1,SUMIFS('All Employees by Mode'!Y:Y,'All Employees by Mode'!$C:$C,"="&amp;$C101,'All Employees by Mode'!$BE:$BE,"=No"),SUMIFS('All Employees by Mode'!Y:Y,'All Employees by Mode'!$C:$C,"="&amp;$C101))</f>
        <v>554</v>
      </c>
      <c r="N101" s="160">
        <f>IF($AF$1,SUMIFS('All Employees by Mode'!AA:AA,'All Employees by Mode'!$C:$C,"="&amp;$C101,'All Employees by Mode'!$BE:$BE,"=No"),SUMIFS('All Employees by Mode'!AA:AA,'All Employees by Mode'!$C:$C,"="&amp;$C101))</f>
        <v>85</v>
      </c>
      <c r="O101" s="160">
        <f>IF($AF$1,SUMIFS('All Employees by Mode'!AC:AC,'All Employees by Mode'!$C:$C,"="&amp;$C101,'All Employees by Mode'!$BE:$BE,"=No"),SUMIFS('All Employees by Mode'!AC:AC,'All Employees by Mode'!$C:$C,"="&amp;$C101))</f>
        <v>43</v>
      </c>
      <c r="P101" s="160">
        <f>IF($AF$1,SUMIFS('All Employees by Mode'!AE:AE,'All Employees by Mode'!$C:$C,"="&amp;$C101,'All Employees by Mode'!$BE:$BE,"=No"),SUMIFS('All Employees by Mode'!AE:AE,'All Employees by Mode'!$C:$C,"="&amp;$C101))</f>
        <v>90</v>
      </c>
      <c r="Q101" s="160">
        <f>IF($AF$1,SUMIFS('All Employees by Mode'!AG:AG,'All Employees by Mode'!$C:$C,"="&amp;$C101,'All Employees by Mode'!$BE:$BE,"=No"),SUMIFS('All Employees by Mode'!AG:AG,'All Employees by Mode'!$C:$C,"="&amp;$C101))</f>
        <v>0</v>
      </c>
      <c r="R101" s="160">
        <f>IF($AF$1,SUMIFS('All Employees by Mode'!AI:AI,'All Employees by Mode'!$C:$C,"="&amp;$C101,'All Employees by Mode'!$BE:$BE,"=No"),SUMIFS('All Employees by Mode'!AI:AI,'All Employees by Mode'!$C:$C,"="&amp;$C101))</f>
        <v>772</v>
      </c>
      <c r="S101" s="161">
        <f>IF($AF$1,SUMIFS('All Employees by Mode'!AK:AK,'All Employees by Mode'!$C:$C,"="&amp;$C101,'All Employees by Mode'!$BE:$BE,"=No"),SUMIFS('All Employees by Mode'!AK:AK,'All Employees by Mode'!$C:$C,"="&amp;$C101))</f>
        <v>30184423</v>
      </c>
      <c r="T101" s="161">
        <f>IF($AF$1,SUMIFS('All Employees by Mode'!AM:AM,'All Employees by Mode'!$C:$C,"="&amp;$C101,'All Employees by Mode'!$BE:$BE,"=No"),SUMIFS('All Employees by Mode'!AM:AM,'All Employees by Mode'!$C:$C,"="&amp;$C101))</f>
        <v>5381101</v>
      </c>
      <c r="U101" s="161">
        <f>IF($AF$1,SUMIFS('All Employees by Mode'!AO:AO,'All Employees by Mode'!$C:$C,"="&amp;$C101,'All Employees by Mode'!$BE:$BE,"=No"),SUMIFS('All Employees by Mode'!AO:AO,'All Employees by Mode'!$C:$C,"="&amp;$C101))</f>
        <v>1418533</v>
      </c>
      <c r="V101" s="161">
        <f>IF($AF$1,SUMIFS('All Employees by Mode'!AQ:AQ,'All Employees by Mode'!$C:$C,"="&amp;$C101,'All Employees by Mode'!$BE:$BE,"=No"),SUMIFS('All Employees by Mode'!AQ:AQ,'All Employees by Mode'!$C:$C,"="&amp;$C101))</f>
        <v>4660256</v>
      </c>
      <c r="W101" s="161">
        <f>IF($AF$1,SUMIFS('All Employees by Mode'!AS:AS,'All Employees by Mode'!$C:$C,"="&amp;$C101,'All Employees by Mode'!$BE:$BE,"=No"),SUMIFS('All Employees by Mode'!AS:AS,'All Employees by Mode'!$C:$C,"="&amp;$C101))</f>
        <v>41644313</v>
      </c>
      <c r="X101" s="162">
        <f t="shared" si="33"/>
        <v>27.159188187034424</v>
      </c>
      <c r="Y101" s="162">
        <f t="shared" si="34"/>
        <v>33.399338356691537</v>
      </c>
      <c r="Z101" s="162">
        <f t="shared" si="35"/>
        <v>19.561925118940909</v>
      </c>
      <c r="AA101" s="162">
        <f t="shared" si="36"/>
        <v>29.632953085854538</v>
      </c>
      <c r="AB101" s="271">
        <f t="shared" si="37"/>
        <v>27.720665999238491</v>
      </c>
      <c r="AC101" s="97"/>
      <c r="AD101" s="98"/>
      <c r="AE101" s="98"/>
      <c r="AF101" s="98"/>
      <c r="AG101" s="98"/>
      <c r="AH101" s="98"/>
      <c r="AI101" s="98"/>
      <c r="AJ101" s="98"/>
      <c r="AK101" s="98"/>
      <c r="AL101" s="98"/>
      <c r="AM101" s="98"/>
      <c r="AN101" s="98"/>
      <c r="AO101" s="304"/>
      <c r="AP101" s="304"/>
      <c r="AQ101" s="304"/>
      <c r="AR101" s="304"/>
      <c r="AS101" s="304"/>
      <c r="AT101" s="304"/>
      <c r="AU101" s="98"/>
      <c r="AV101" s="98"/>
    </row>
    <row r="102" spans="1:48">
      <c r="A102" s="96"/>
      <c r="B102" s="96"/>
      <c r="C102" s="195" t="s">
        <v>81</v>
      </c>
      <c r="D102" s="196" t="s">
        <v>998</v>
      </c>
      <c r="E102" s="197"/>
      <c r="F102" s="198">
        <f>IF($AF$1,SUMIFS('All Employees by Mode'!L:L,'All Employees by Mode'!$C:$C,"="&amp;$C102,'All Employees by Mode'!$BE:$BE,"=No"),SUMIFS('All Employees by Mode'!L:L,'All Employees by Mode'!$C:$C,"="&amp;$C102))</f>
        <v>122</v>
      </c>
      <c r="G102" s="160">
        <f>IF($AF$1,SUMIFS('All Employees by Mode'!M:M,'All Employees by Mode'!$C:$C,"="&amp;$C102,'All Employees by Mode'!$BE:$BE,"=No"),SUMIFS('All Employees by Mode'!M:M,'All Employees by Mode'!$C:$C,"="&amp;$C102))</f>
        <v>306398</v>
      </c>
      <c r="H102" s="160">
        <f>IF($AF$1,SUMIFS('All Employees by Mode'!O:O,'All Employees by Mode'!$C:$C,"="&amp;$C102,'All Employees by Mode'!$BE:$BE,"=No"),SUMIFS('All Employees by Mode'!O:O,'All Employees by Mode'!$C:$C,"="&amp;$C102))</f>
        <v>39306</v>
      </c>
      <c r="I102" s="160">
        <f>IF($AF$1,SUMIFS('All Employees by Mode'!Q:Q,'All Employees by Mode'!$C:$C,"="&amp;$C102,'All Employees by Mode'!$BE:$BE,"=No"),SUMIFS('All Employees by Mode'!Q:Q,'All Employees by Mode'!$C:$C,"="&amp;$C102))</f>
        <v>3514</v>
      </c>
      <c r="J102" s="160">
        <f>IF($AF$1,SUMIFS('All Employees by Mode'!S:S,'All Employees by Mode'!$C:$C,"="&amp;$C102,'All Employees by Mode'!$BE:$BE,"=No"),SUMIFS('All Employees by Mode'!S:S,'All Employees by Mode'!$C:$C,"="&amp;$C102))</f>
        <v>80543</v>
      </c>
      <c r="K102" s="160">
        <f>IF($AF$1,SUMIFS('All Employees by Mode'!U:U,'All Employees by Mode'!$C:$C,"="&amp;$C102,'All Employees by Mode'!$BE:$BE,"=No"),SUMIFS('All Employees by Mode'!U:U,'All Employees by Mode'!$C:$C,"="&amp;$C102))</f>
        <v>0</v>
      </c>
      <c r="L102" s="160">
        <f>IF($AF$1,SUMIFS('All Employees by Mode'!W:W,'All Employees by Mode'!$C:$C,"="&amp;$C102,'All Employees by Mode'!$BE:$BE,"=No"),SUMIFS('All Employees by Mode'!W:W,'All Employees by Mode'!$C:$C,"="&amp;$C102))</f>
        <v>429761</v>
      </c>
      <c r="M102" s="160">
        <f>IF($AF$1,SUMIFS('All Employees by Mode'!Y:Y,'All Employees by Mode'!$C:$C,"="&amp;$C102,'All Employees by Mode'!$BE:$BE,"=No"),SUMIFS('All Employees by Mode'!Y:Y,'All Employees by Mode'!$C:$C,"="&amp;$C102))</f>
        <v>206.67000000000002</v>
      </c>
      <c r="N102" s="160">
        <f>IF($AF$1,SUMIFS('All Employees by Mode'!AA:AA,'All Employees by Mode'!$C:$C,"="&amp;$C102,'All Employees by Mode'!$BE:$BE,"=No"),SUMIFS('All Employees by Mode'!AA:AA,'All Employees by Mode'!$C:$C,"="&amp;$C102))</f>
        <v>18.5</v>
      </c>
      <c r="O102" s="160">
        <f>IF($AF$1,SUMIFS('All Employees by Mode'!AC:AC,'All Employees by Mode'!$C:$C,"="&amp;$C102,'All Employees by Mode'!$BE:$BE,"=No"),SUMIFS('All Employees by Mode'!AC:AC,'All Employees by Mode'!$C:$C,"="&amp;$C102))</f>
        <v>2</v>
      </c>
      <c r="P102" s="160">
        <f>IF($AF$1,SUMIFS('All Employees by Mode'!AE:AE,'All Employees by Mode'!$C:$C,"="&amp;$C102,'All Employees by Mode'!$BE:$BE,"=No"),SUMIFS('All Employees by Mode'!AE:AE,'All Employees by Mode'!$C:$C,"="&amp;$C102))</f>
        <v>48</v>
      </c>
      <c r="Q102" s="160">
        <f>IF($AF$1,SUMIFS('All Employees by Mode'!AG:AG,'All Employees by Mode'!$C:$C,"="&amp;$C102,'All Employees by Mode'!$BE:$BE,"=No"),SUMIFS('All Employees by Mode'!AG:AG,'All Employees by Mode'!$C:$C,"="&amp;$C102))</f>
        <v>0</v>
      </c>
      <c r="R102" s="160">
        <f>IF($AF$1,SUMIFS('All Employees by Mode'!AI:AI,'All Employees by Mode'!$C:$C,"="&amp;$C102,'All Employees by Mode'!$BE:$BE,"=No"),SUMIFS('All Employees by Mode'!AI:AI,'All Employees by Mode'!$C:$C,"="&amp;$C102))</f>
        <v>275.17</v>
      </c>
      <c r="S102" s="161">
        <f>IF($AF$1,SUMIFS('All Employees by Mode'!AK:AK,'All Employees by Mode'!$C:$C,"="&amp;$C102,'All Employees by Mode'!$BE:$BE,"=No"),SUMIFS('All Employees by Mode'!AK:AK,'All Employees by Mode'!$C:$C,"="&amp;$C102))</f>
        <v>4254688</v>
      </c>
      <c r="T102" s="161">
        <f>IF($AF$1,SUMIFS('All Employees by Mode'!AM:AM,'All Employees by Mode'!$C:$C,"="&amp;$C102,'All Employees by Mode'!$BE:$BE,"=No"),SUMIFS('All Employees by Mode'!AM:AM,'All Employees by Mode'!$C:$C,"="&amp;$C102))</f>
        <v>747856</v>
      </c>
      <c r="U102" s="161">
        <f>IF($AF$1,SUMIFS('All Employees by Mode'!AO:AO,'All Employees by Mode'!$C:$C,"="&amp;$C102,'All Employees by Mode'!$BE:$BE,"=No"),SUMIFS('All Employees by Mode'!AO:AO,'All Employees by Mode'!$C:$C,"="&amp;$C102))</f>
        <v>40836</v>
      </c>
      <c r="V102" s="161">
        <f>IF($AF$1,SUMIFS('All Employees by Mode'!AQ:AQ,'All Employees by Mode'!$C:$C,"="&amp;$C102,'All Employees by Mode'!$BE:$BE,"=No"),SUMIFS('All Employees by Mode'!AQ:AQ,'All Employees by Mode'!$C:$C,"="&amp;$C102))</f>
        <v>1607123</v>
      </c>
      <c r="W102" s="161">
        <f>IF($AF$1,SUMIFS('All Employees by Mode'!AS:AS,'All Employees by Mode'!$C:$C,"="&amp;$C102,'All Employees by Mode'!$BE:$BE,"=No"),SUMIFS('All Employees by Mode'!AS:AS,'All Employees by Mode'!$C:$C,"="&amp;$C102))</f>
        <v>6650503</v>
      </c>
      <c r="X102" s="162">
        <f t="shared" si="33"/>
        <v>13.886148081906541</v>
      </c>
      <c r="Y102" s="162">
        <f t="shared" si="34"/>
        <v>19.0265099475907</v>
      </c>
      <c r="Z102" s="162">
        <f t="shared" si="35"/>
        <v>11.620944792259534</v>
      </c>
      <c r="AA102" s="162">
        <f t="shared" si="36"/>
        <v>19.953602423550155</v>
      </c>
      <c r="AB102" s="271">
        <f t="shared" si="37"/>
        <v>15.474887204748686</v>
      </c>
      <c r="AC102" s="97"/>
      <c r="AD102" s="98"/>
      <c r="AE102" s="98"/>
      <c r="AF102" s="98"/>
      <c r="AG102" s="98"/>
      <c r="AH102" s="98"/>
      <c r="AI102" s="98"/>
      <c r="AJ102" s="98"/>
      <c r="AK102" s="98"/>
      <c r="AL102" s="98"/>
      <c r="AM102" s="98"/>
      <c r="AN102" s="98"/>
      <c r="AO102" s="304"/>
      <c r="AP102" s="304"/>
      <c r="AQ102" s="304"/>
      <c r="AR102" s="304"/>
      <c r="AS102" s="304"/>
      <c r="AT102" s="304"/>
      <c r="AU102" s="98"/>
      <c r="AV102" s="98"/>
    </row>
    <row r="103" spans="1:48">
      <c r="A103" s="96"/>
      <c r="B103" s="96"/>
      <c r="C103" s="195" t="s">
        <v>82</v>
      </c>
      <c r="D103" s="196" t="s">
        <v>999</v>
      </c>
      <c r="E103" s="197"/>
      <c r="F103" s="198">
        <f>IF($AF$1,SUMIFS('All Employees by Mode'!L:L,'All Employees by Mode'!$C:$C,"="&amp;$C103,'All Employees by Mode'!$BE:$BE,"=No"),SUMIFS('All Employees by Mode'!L:L,'All Employees by Mode'!$C:$C,"="&amp;$C103))</f>
        <v>42</v>
      </c>
      <c r="G103" s="160">
        <f>IF($AF$1,SUMIFS('All Employees by Mode'!M:M,'All Employees by Mode'!$C:$C,"="&amp;$C103,'All Employees by Mode'!$BE:$BE,"=No"),SUMIFS('All Employees by Mode'!M:M,'All Employees by Mode'!$C:$C,"="&amp;$C103))</f>
        <v>127398</v>
      </c>
      <c r="H103" s="160">
        <f>IF($AF$1,SUMIFS('All Employees by Mode'!O:O,'All Employees by Mode'!$C:$C,"="&amp;$C103,'All Employees by Mode'!$BE:$BE,"=No"),SUMIFS('All Employees by Mode'!O:O,'All Employees by Mode'!$C:$C,"="&amp;$C103))</f>
        <v>16134</v>
      </c>
      <c r="I103" s="160">
        <f>IF($AF$1,SUMIFS('All Employees by Mode'!Q:Q,'All Employees by Mode'!$C:$C,"="&amp;$C103,'All Employees by Mode'!$BE:$BE,"=No"),SUMIFS('All Employees by Mode'!Q:Q,'All Employees by Mode'!$C:$C,"="&amp;$C103))</f>
        <v>11389</v>
      </c>
      <c r="J103" s="160">
        <f>IF($AF$1,SUMIFS('All Employees by Mode'!S:S,'All Employees by Mode'!$C:$C,"="&amp;$C103,'All Employees by Mode'!$BE:$BE,"=No"),SUMIFS('All Employees by Mode'!S:S,'All Employees by Mode'!$C:$C,"="&amp;$C103))</f>
        <v>19758</v>
      </c>
      <c r="K103" s="160">
        <f>IF($AF$1,SUMIFS('All Employees by Mode'!U:U,'All Employees by Mode'!$C:$C,"="&amp;$C103,'All Employees by Mode'!$BE:$BE,"=No"),SUMIFS('All Employees by Mode'!U:U,'All Employees by Mode'!$C:$C,"="&amp;$C103))</f>
        <v>0</v>
      </c>
      <c r="L103" s="160">
        <f>IF($AF$1,SUMIFS('All Employees by Mode'!W:W,'All Employees by Mode'!$C:$C,"="&amp;$C103,'All Employees by Mode'!$BE:$BE,"=No"),SUMIFS('All Employees by Mode'!W:W,'All Employees by Mode'!$C:$C,"="&amp;$C103))</f>
        <v>174679</v>
      </c>
      <c r="M103" s="160">
        <f>IF($AF$1,SUMIFS('All Employees by Mode'!Y:Y,'All Employees by Mode'!$C:$C,"="&amp;$C103,'All Employees by Mode'!$BE:$BE,"=No"),SUMIFS('All Employees by Mode'!Y:Y,'All Employees by Mode'!$C:$C,"="&amp;$C103))</f>
        <v>66</v>
      </c>
      <c r="N103" s="160">
        <f>IF($AF$1,SUMIFS('All Employees by Mode'!AA:AA,'All Employees by Mode'!$C:$C,"="&amp;$C103,'All Employees by Mode'!$BE:$BE,"=No"),SUMIFS('All Employees by Mode'!AA:AA,'All Employees by Mode'!$C:$C,"="&amp;$C103))</f>
        <v>10.3</v>
      </c>
      <c r="O103" s="160">
        <f>IF($AF$1,SUMIFS('All Employees by Mode'!AC:AC,'All Employees by Mode'!$C:$C,"="&amp;$C103,'All Employees by Mode'!$BE:$BE,"=No"),SUMIFS('All Employees by Mode'!AC:AC,'All Employees by Mode'!$C:$C,"="&amp;$C103))</f>
        <v>6.8999999999999995</v>
      </c>
      <c r="P103" s="160">
        <f>IF($AF$1,SUMIFS('All Employees by Mode'!AE:AE,'All Employees by Mode'!$C:$C,"="&amp;$C103,'All Employees by Mode'!$BE:$BE,"=No"),SUMIFS('All Employees by Mode'!AE:AE,'All Employees by Mode'!$C:$C,"="&amp;$C103))</f>
        <v>13</v>
      </c>
      <c r="Q103" s="160">
        <f>IF($AF$1,SUMIFS('All Employees by Mode'!AG:AG,'All Employees by Mode'!$C:$C,"="&amp;$C103,'All Employees by Mode'!$BE:$BE,"=No"),SUMIFS('All Employees by Mode'!AG:AG,'All Employees by Mode'!$C:$C,"="&amp;$C103))</f>
        <v>0</v>
      </c>
      <c r="R103" s="160">
        <f>IF($AF$1,SUMIFS('All Employees by Mode'!AI:AI,'All Employees by Mode'!$C:$C,"="&amp;$C103,'All Employees by Mode'!$BE:$BE,"=No"),SUMIFS('All Employees by Mode'!AI:AI,'All Employees by Mode'!$C:$C,"="&amp;$C103))</f>
        <v>96.2</v>
      </c>
      <c r="S103" s="161">
        <f>IF($AF$1,SUMIFS('All Employees by Mode'!AK:AK,'All Employees by Mode'!$C:$C,"="&amp;$C103,'All Employees by Mode'!$BE:$BE,"=No"),SUMIFS('All Employees by Mode'!AK:AK,'All Employees by Mode'!$C:$C,"="&amp;$C103))</f>
        <v>2881881</v>
      </c>
      <c r="T103" s="161">
        <f>IF($AF$1,SUMIFS('All Employees by Mode'!AM:AM,'All Employees by Mode'!$C:$C,"="&amp;$C103,'All Employees by Mode'!$BE:$BE,"=No"),SUMIFS('All Employees by Mode'!AM:AM,'All Employees by Mode'!$C:$C,"="&amp;$C103))</f>
        <v>364985</v>
      </c>
      <c r="U103" s="161">
        <f>IF($AF$1,SUMIFS('All Employees by Mode'!AO:AO,'All Employees by Mode'!$C:$C,"="&amp;$C103,'All Employees by Mode'!$BE:$BE,"=No"),SUMIFS('All Employees by Mode'!AO:AO,'All Employees by Mode'!$C:$C,"="&amp;$C103))</f>
        <v>161574</v>
      </c>
      <c r="V103" s="161">
        <f>IF($AF$1,SUMIFS('All Employees by Mode'!AQ:AQ,'All Employees by Mode'!$C:$C,"="&amp;$C103,'All Employees by Mode'!$BE:$BE,"=No"),SUMIFS('All Employees by Mode'!AQ:AQ,'All Employees by Mode'!$C:$C,"="&amp;$C103))</f>
        <v>363452</v>
      </c>
      <c r="W103" s="161">
        <f>IF($AF$1,SUMIFS('All Employees by Mode'!AS:AS,'All Employees by Mode'!$C:$C,"="&amp;$C103,'All Employees by Mode'!$BE:$BE,"=No"),SUMIFS('All Employees by Mode'!AS:AS,'All Employees by Mode'!$C:$C,"="&amp;$C103))</f>
        <v>3771892</v>
      </c>
      <c r="X103" s="162">
        <f t="shared" si="33"/>
        <v>22.621085103376821</v>
      </c>
      <c r="Y103" s="162">
        <f t="shared" si="34"/>
        <v>22.62210239246312</v>
      </c>
      <c r="Z103" s="162">
        <f t="shared" si="35"/>
        <v>14.186846957590658</v>
      </c>
      <c r="AA103" s="162">
        <f t="shared" si="36"/>
        <v>18.395181698552484</v>
      </c>
      <c r="AB103" s="271">
        <f t="shared" si="37"/>
        <v>21.593276810606884</v>
      </c>
      <c r="AC103" s="97"/>
      <c r="AD103" s="98"/>
      <c r="AE103" s="98"/>
      <c r="AF103" s="98"/>
      <c r="AG103" s="98"/>
      <c r="AH103" s="98"/>
      <c r="AI103" s="98"/>
      <c r="AJ103" s="98"/>
      <c r="AK103" s="98"/>
      <c r="AL103" s="98"/>
      <c r="AM103" s="98"/>
      <c r="AN103" s="98"/>
      <c r="AO103" s="304"/>
      <c r="AP103" s="304"/>
      <c r="AQ103" s="304"/>
      <c r="AR103" s="304"/>
      <c r="AS103" s="304"/>
      <c r="AT103" s="304"/>
      <c r="AU103" s="98"/>
      <c r="AV103" s="98"/>
    </row>
    <row r="104" spans="1:48">
      <c r="A104" s="96"/>
      <c r="B104" s="96"/>
      <c r="C104" s="195" t="s">
        <v>83</v>
      </c>
      <c r="D104" s="196" t="s">
        <v>1000</v>
      </c>
      <c r="E104" s="197"/>
      <c r="F104" s="198">
        <f>IF($AF$1,SUMIFS('All Employees by Mode'!L:L,'All Employees by Mode'!$C:$C,"="&amp;$C104,'All Employees by Mode'!$BE:$BE,"=No"),SUMIFS('All Employees by Mode'!L:L,'All Employees by Mode'!$C:$C,"="&amp;$C104))</f>
        <v>588</v>
      </c>
      <c r="G104" s="160">
        <f>IF($AF$1,SUMIFS('All Employees by Mode'!M:M,'All Employees by Mode'!$C:$C,"="&amp;$C104,'All Employees by Mode'!$BE:$BE,"=No"),SUMIFS('All Employees by Mode'!M:M,'All Employees by Mode'!$C:$C,"="&amp;$C104))</f>
        <v>2350442</v>
      </c>
      <c r="H104" s="160">
        <f>IF($AF$1,SUMIFS('All Employees by Mode'!O:O,'All Employees by Mode'!$C:$C,"="&amp;$C104,'All Employees by Mode'!$BE:$BE,"=No"),SUMIFS('All Employees by Mode'!O:O,'All Employees by Mode'!$C:$C,"="&amp;$C104))</f>
        <v>472222</v>
      </c>
      <c r="I104" s="160">
        <f>IF($AF$1,SUMIFS('All Employees by Mode'!Q:Q,'All Employees by Mode'!$C:$C,"="&amp;$C104,'All Employees by Mode'!$BE:$BE,"=No"),SUMIFS('All Employees by Mode'!Q:Q,'All Employees by Mode'!$C:$C,"="&amp;$C104))</f>
        <v>124219</v>
      </c>
      <c r="J104" s="160">
        <f>IF($AF$1,SUMIFS('All Employees by Mode'!S:S,'All Employees by Mode'!$C:$C,"="&amp;$C104,'All Employees by Mode'!$BE:$BE,"=No"),SUMIFS('All Employees by Mode'!S:S,'All Employees by Mode'!$C:$C,"="&amp;$C104))</f>
        <v>292677</v>
      </c>
      <c r="K104" s="160">
        <f>IF($AF$1,SUMIFS('All Employees by Mode'!U:U,'All Employees by Mode'!$C:$C,"="&amp;$C104,'All Employees by Mode'!$BE:$BE,"=No"),SUMIFS('All Employees by Mode'!U:U,'All Employees by Mode'!$C:$C,"="&amp;$C104))</f>
        <v>1716</v>
      </c>
      <c r="L104" s="160">
        <f>IF($AF$1,SUMIFS('All Employees by Mode'!W:W,'All Employees by Mode'!$C:$C,"="&amp;$C104,'All Employees by Mode'!$BE:$BE,"=No"),SUMIFS('All Employees by Mode'!W:W,'All Employees by Mode'!$C:$C,"="&amp;$C104))</f>
        <v>3241276</v>
      </c>
      <c r="M104" s="160">
        <f>IF($AF$1,SUMIFS('All Employees by Mode'!Y:Y,'All Employees by Mode'!$C:$C,"="&amp;$C104,'All Employees by Mode'!$BE:$BE,"=No"),SUMIFS('All Employees by Mode'!Y:Y,'All Employees by Mode'!$C:$C,"="&amp;$C104))</f>
        <v>1205.98</v>
      </c>
      <c r="N104" s="160">
        <f>IF($AF$1,SUMIFS('All Employees by Mode'!AA:AA,'All Employees by Mode'!$C:$C,"="&amp;$C104,'All Employees by Mode'!$BE:$BE,"=No"),SUMIFS('All Employees by Mode'!AA:AA,'All Employees by Mode'!$C:$C,"="&amp;$C104))</f>
        <v>255.73999999999998</v>
      </c>
      <c r="O104" s="160">
        <f>IF($AF$1,SUMIFS('All Employees by Mode'!AC:AC,'All Employees by Mode'!$C:$C,"="&amp;$C104,'All Employees by Mode'!$BE:$BE,"=No"),SUMIFS('All Employees by Mode'!AC:AC,'All Employees by Mode'!$C:$C,"="&amp;$C104))</f>
        <v>55.03</v>
      </c>
      <c r="P104" s="160">
        <f>IF($AF$1,SUMIFS('All Employees by Mode'!AE:AE,'All Employees by Mode'!$C:$C,"="&amp;$C104,'All Employees by Mode'!$BE:$BE,"=No"),SUMIFS('All Employees by Mode'!AE:AE,'All Employees by Mode'!$C:$C,"="&amp;$C104))</f>
        <v>154.77000000000001</v>
      </c>
      <c r="Q104" s="160">
        <f>IF($AF$1,SUMIFS('All Employees by Mode'!AG:AG,'All Employees by Mode'!$C:$C,"="&amp;$C104,'All Employees by Mode'!$BE:$BE,"=No"),SUMIFS('All Employees by Mode'!AG:AG,'All Employees by Mode'!$C:$C,"="&amp;$C104))</f>
        <v>0.99</v>
      </c>
      <c r="R104" s="160">
        <f>IF($AF$1,SUMIFS('All Employees by Mode'!AI:AI,'All Employees by Mode'!$C:$C,"="&amp;$C104,'All Employees by Mode'!$BE:$BE,"=No"),SUMIFS('All Employees by Mode'!AI:AI,'All Employees by Mode'!$C:$C,"="&amp;$C104))</f>
        <v>1672.5100000000002</v>
      </c>
      <c r="S104" s="161">
        <f>IF($AF$1,SUMIFS('All Employees by Mode'!AK:AK,'All Employees by Mode'!$C:$C,"="&amp;$C104,'All Employees by Mode'!$BE:$BE,"=No"),SUMIFS('All Employees by Mode'!AK:AK,'All Employees by Mode'!$C:$C,"="&amp;$C104))</f>
        <v>48677556</v>
      </c>
      <c r="T104" s="161">
        <f>IF($AF$1,SUMIFS('All Employees by Mode'!AM:AM,'All Employees by Mode'!$C:$C,"="&amp;$C104,'All Employees by Mode'!$BE:$BE,"=No"),SUMIFS('All Employees by Mode'!AM:AM,'All Employees by Mode'!$C:$C,"="&amp;$C104))</f>
        <v>10328096</v>
      </c>
      <c r="U104" s="161">
        <f>IF($AF$1,SUMIFS('All Employees by Mode'!AO:AO,'All Employees by Mode'!$C:$C,"="&amp;$C104,'All Employees by Mode'!$BE:$BE,"=No"),SUMIFS('All Employees by Mode'!AO:AO,'All Employees by Mode'!$C:$C,"="&amp;$C104))</f>
        <v>2797288</v>
      </c>
      <c r="V104" s="161">
        <f>IF($AF$1,SUMIFS('All Employees by Mode'!AQ:AQ,'All Employees by Mode'!$C:$C,"="&amp;$C104,'All Employees by Mode'!$BE:$BE,"=No"),SUMIFS('All Employees by Mode'!AQ:AQ,'All Employees by Mode'!$C:$C,"="&amp;$C104))</f>
        <v>6994587</v>
      </c>
      <c r="W104" s="161">
        <f>IF($AF$1,SUMIFS('All Employees by Mode'!AS:AS,'All Employees by Mode'!$C:$C,"="&amp;$C104,'All Employees by Mode'!$BE:$BE,"=No"),SUMIFS('All Employees by Mode'!AS:AS,'All Employees by Mode'!$C:$C,"="&amp;$C104))</f>
        <v>68797527</v>
      </c>
      <c r="X104" s="162">
        <f t="shared" si="33"/>
        <v>20.709958382295756</v>
      </c>
      <c r="Y104" s="162">
        <f t="shared" si="34"/>
        <v>21.871272410010548</v>
      </c>
      <c r="Z104" s="162">
        <f t="shared" si="35"/>
        <v>22.51900272905111</v>
      </c>
      <c r="AA104" s="162">
        <f t="shared" si="36"/>
        <v>23.898656197788004</v>
      </c>
      <c r="AB104" s="271">
        <f t="shared" si="37"/>
        <v>21.236688624381088</v>
      </c>
      <c r="AC104" s="97"/>
      <c r="AD104" s="98"/>
      <c r="AE104" s="98"/>
      <c r="AF104" s="98"/>
      <c r="AG104" s="98"/>
      <c r="AH104" s="98"/>
      <c r="AI104" s="98"/>
      <c r="AJ104" s="98"/>
      <c r="AK104" s="98"/>
      <c r="AL104" s="98"/>
      <c r="AM104" s="98"/>
      <c r="AN104" s="98"/>
      <c r="AO104" s="304"/>
      <c r="AP104" s="304"/>
      <c r="AQ104" s="304"/>
      <c r="AR104" s="304"/>
      <c r="AS104" s="304"/>
      <c r="AT104" s="304"/>
      <c r="AU104" s="98"/>
      <c r="AV104" s="98"/>
    </row>
    <row r="105" spans="1:48">
      <c r="A105" s="96"/>
      <c r="B105" s="96"/>
      <c r="C105" s="195" t="s">
        <v>84</v>
      </c>
      <c r="D105" s="196" t="s">
        <v>1001</v>
      </c>
      <c r="E105" s="197"/>
      <c r="F105" s="198">
        <f>IF($AF$1,SUMIFS('All Employees by Mode'!L:L,'All Employees by Mode'!$C:$C,"="&amp;$C105,'All Employees by Mode'!$BE:$BE,"=No"),SUMIFS('All Employees by Mode'!L:L,'All Employees by Mode'!$C:$C,"="&amp;$C105))</f>
        <v>3150</v>
      </c>
      <c r="G105" s="160">
        <f>IF($AF$1,SUMIFS('All Employees by Mode'!M:M,'All Employees by Mode'!$C:$C,"="&amp;$C105,'All Employees by Mode'!$BE:$BE,"=No"),SUMIFS('All Employees by Mode'!M:M,'All Employees by Mode'!$C:$C,"="&amp;$C105))</f>
        <v>15738926</v>
      </c>
      <c r="H105" s="160">
        <f>IF($AF$1,SUMIFS('All Employees by Mode'!O:O,'All Employees by Mode'!$C:$C,"="&amp;$C105,'All Employees by Mode'!$BE:$BE,"=No"),SUMIFS('All Employees by Mode'!O:O,'All Employees by Mode'!$C:$C,"="&amp;$C105))</f>
        <v>4027823</v>
      </c>
      <c r="I105" s="160">
        <f>IF($AF$1,SUMIFS('All Employees by Mode'!Q:Q,'All Employees by Mode'!$C:$C,"="&amp;$C105,'All Employees by Mode'!$BE:$BE,"=No"),SUMIFS('All Employees by Mode'!Q:Q,'All Employees by Mode'!$C:$C,"="&amp;$C105))</f>
        <v>1687489</v>
      </c>
      <c r="J105" s="160">
        <f>IF($AF$1,SUMIFS('All Employees by Mode'!S:S,'All Employees by Mode'!$C:$C,"="&amp;$C105,'All Employees by Mode'!$BE:$BE,"=No"),SUMIFS('All Employees by Mode'!S:S,'All Employees by Mode'!$C:$C,"="&amp;$C105))</f>
        <v>2575972</v>
      </c>
      <c r="K105" s="160">
        <f>IF($AF$1,SUMIFS('All Employees by Mode'!U:U,'All Employees by Mode'!$C:$C,"="&amp;$C105,'All Employees by Mode'!$BE:$BE,"=No"),SUMIFS('All Employees by Mode'!U:U,'All Employees by Mode'!$C:$C,"="&amp;$C105))</f>
        <v>200781</v>
      </c>
      <c r="L105" s="160">
        <f>IF($AF$1,SUMIFS('All Employees by Mode'!W:W,'All Employees by Mode'!$C:$C,"="&amp;$C105,'All Employees by Mode'!$BE:$BE,"=No"),SUMIFS('All Employees by Mode'!W:W,'All Employees by Mode'!$C:$C,"="&amp;$C105))</f>
        <v>24230991</v>
      </c>
      <c r="M105" s="160">
        <f>IF($AF$1,SUMIFS('All Employees by Mode'!Y:Y,'All Employees by Mode'!$C:$C,"="&amp;$C105,'All Employees by Mode'!$BE:$BE,"=No"),SUMIFS('All Employees by Mode'!Y:Y,'All Employees by Mode'!$C:$C,"="&amp;$C105))</f>
        <v>7896.1200000000017</v>
      </c>
      <c r="N105" s="160">
        <f>IF($AF$1,SUMIFS('All Employees by Mode'!AA:AA,'All Employees by Mode'!$C:$C,"="&amp;$C105,'All Employees by Mode'!$BE:$BE,"=No"),SUMIFS('All Employees by Mode'!AA:AA,'All Employees by Mode'!$C:$C,"="&amp;$C105))</f>
        <v>2072.2799999999993</v>
      </c>
      <c r="O105" s="160">
        <f>IF($AF$1,SUMIFS('All Employees by Mode'!AC:AC,'All Employees by Mode'!$C:$C,"="&amp;$C105,'All Employees by Mode'!$BE:$BE,"=No"),SUMIFS('All Employees by Mode'!AC:AC,'All Employees by Mode'!$C:$C,"="&amp;$C105))</f>
        <v>899.33</v>
      </c>
      <c r="P105" s="160">
        <f>IF($AF$1,SUMIFS('All Employees by Mode'!AE:AE,'All Employees by Mode'!$C:$C,"="&amp;$C105,'All Employees by Mode'!$BE:$BE,"=No"),SUMIFS('All Employees by Mode'!AE:AE,'All Employees by Mode'!$C:$C,"="&amp;$C105))</f>
        <v>1436.0499999999997</v>
      </c>
      <c r="Q105" s="160">
        <f>IF($AF$1,SUMIFS('All Employees by Mode'!AG:AG,'All Employees by Mode'!$C:$C,"="&amp;$C105,'All Employees by Mode'!$BE:$BE,"=No"),SUMIFS('All Employees by Mode'!AG:AG,'All Employees by Mode'!$C:$C,"="&amp;$C105))</f>
        <v>109.72</v>
      </c>
      <c r="R105" s="160">
        <f>IF($AF$1,SUMIFS('All Employees by Mode'!AI:AI,'All Employees by Mode'!$C:$C,"="&amp;$C105,'All Employees by Mode'!$BE:$BE,"=No"),SUMIFS('All Employees by Mode'!AI:AI,'All Employees by Mode'!$C:$C,"="&amp;$C105))</f>
        <v>12413.500000000005</v>
      </c>
      <c r="S105" s="161">
        <f>IF($AF$1,SUMIFS('All Employees by Mode'!AK:AK,'All Employees by Mode'!$C:$C,"="&amp;$C105,'All Employees by Mode'!$BE:$BE,"=No"),SUMIFS('All Employees by Mode'!AK:AK,'All Employees by Mode'!$C:$C,"="&amp;$C105))</f>
        <v>328764630</v>
      </c>
      <c r="T105" s="161">
        <f>IF($AF$1,SUMIFS('All Employees by Mode'!AM:AM,'All Employees by Mode'!$C:$C,"="&amp;$C105,'All Employees by Mode'!$BE:$BE,"=No"),SUMIFS('All Employees by Mode'!AM:AM,'All Employees by Mode'!$C:$C,"="&amp;$C105))</f>
        <v>102781818</v>
      </c>
      <c r="U105" s="161">
        <f>IF($AF$1,SUMIFS('All Employees by Mode'!AO:AO,'All Employees by Mode'!$C:$C,"="&amp;$C105,'All Employees by Mode'!$BE:$BE,"=No"),SUMIFS('All Employees by Mode'!AO:AO,'All Employees by Mode'!$C:$C,"="&amp;$C105))</f>
        <v>41595104</v>
      </c>
      <c r="V105" s="161">
        <f>IF($AF$1,SUMIFS('All Employees by Mode'!AQ:AQ,'All Employees by Mode'!$C:$C,"="&amp;$C105,'All Employees by Mode'!$BE:$BE,"=No"),SUMIFS('All Employees by Mode'!AQ:AQ,'All Employees by Mode'!$C:$C,"="&amp;$C105))</f>
        <v>83574116</v>
      </c>
      <c r="W105" s="161">
        <f>IF($AF$1,SUMIFS('All Employees by Mode'!AS:AS,'All Employees by Mode'!$C:$C,"="&amp;$C105,'All Employees by Mode'!$BE:$BE,"=No"),SUMIFS('All Employees by Mode'!AS:AS,'All Employees by Mode'!$C:$C,"="&amp;$C105))</f>
        <v>556715668</v>
      </c>
      <c r="X105" s="162">
        <f t="shared" si="33"/>
        <v>20.888631791012934</v>
      </c>
      <c r="Y105" s="162">
        <f t="shared" si="34"/>
        <v>25.517957963892652</v>
      </c>
      <c r="Z105" s="162">
        <f t="shared" si="35"/>
        <v>24.649111194206302</v>
      </c>
      <c r="AA105" s="162">
        <f t="shared" si="36"/>
        <v>32.443720661559986</v>
      </c>
      <c r="AB105" s="271">
        <f t="shared" si="37"/>
        <v>23.167324297207557</v>
      </c>
      <c r="AC105" s="97"/>
      <c r="AD105" s="98"/>
      <c r="AE105" s="98"/>
      <c r="AF105" s="98"/>
      <c r="AG105" s="98"/>
      <c r="AH105" s="98"/>
      <c r="AI105" s="98"/>
      <c r="AJ105" s="98"/>
      <c r="AK105" s="98"/>
      <c r="AL105" s="98"/>
      <c r="AM105" s="98"/>
      <c r="AN105" s="98"/>
      <c r="AO105" s="304"/>
      <c r="AP105" s="304"/>
      <c r="AQ105" s="304"/>
      <c r="AR105" s="304"/>
      <c r="AS105" s="304"/>
      <c r="AT105" s="304"/>
      <c r="AU105" s="98"/>
      <c r="AV105" s="98"/>
    </row>
    <row r="106" spans="1:48">
      <c r="A106" s="96"/>
      <c r="B106" s="96"/>
      <c r="C106" s="195" t="s">
        <v>85</v>
      </c>
      <c r="D106" s="196" t="s">
        <v>1002</v>
      </c>
      <c r="E106" s="197"/>
      <c r="F106" s="198">
        <f>IF($AF$1,SUMIFS('All Employees by Mode'!L:L,'All Employees by Mode'!$C:$C,"="&amp;$C106,'All Employees by Mode'!$BE:$BE,"=No"),SUMIFS('All Employees by Mode'!L:L,'All Employees by Mode'!$C:$C,"="&amp;$C106))</f>
        <v>1059</v>
      </c>
      <c r="G106" s="160">
        <f>IF($AF$1,SUMIFS('All Employees by Mode'!M:M,'All Employees by Mode'!$C:$C,"="&amp;$C106,'All Employees by Mode'!$BE:$BE,"=No"),SUMIFS('All Employees by Mode'!M:M,'All Employees by Mode'!$C:$C,"="&amp;$C106))</f>
        <v>2517185</v>
      </c>
      <c r="H106" s="160">
        <f>IF($AF$1,SUMIFS('All Employees by Mode'!O:O,'All Employees by Mode'!$C:$C,"="&amp;$C106,'All Employees by Mode'!$BE:$BE,"=No"),SUMIFS('All Employees by Mode'!O:O,'All Employees by Mode'!$C:$C,"="&amp;$C106))</f>
        <v>816264</v>
      </c>
      <c r="I106" s="160">
        <f>IF($AF$1,SUMIFS('All Employees by Mode'!Q:Q,'All Employees by Mode'!$C:$C,"="&amp;$C106,'All Employees by Mode'!$BE:$BE,"=No"),SUMIFS('All Employees by Mode'!Q:Q,'All Employees by Mode'!$C:$C,"="&amp;$C106))</f>
        <v>727857</v>
      </c>
      <c r="J106" s="160">
        <f>IF($AF$1,SUMIFS('All Employees by Mode'!S:S,'All Employees by Mode'!$C:$C,"="&amp;$C106,'All Employees by Mode'!$BE:$BE,"=No"),SUMIFS('All Employees by Mode'!S:S,'All Employees by Mode'!$C:$C,"="&amp;$C106))</f>
        <v>591628</v>
      </c>
      <c r="K106" s="160">
        <f>IF($AF$1,SUMIFS('All Employees by Mode'!U:U,'All Employees by Mode'!$C:$C,"="&amp;$C106,'All Employees by Mode'!$BE:$BE,"=No"),SUMIFS('All Employees by Mode'!U:U,'All Employees by Mode'!$C:$C,"="&amp;$C106))</f>
        <v>73413</v>
      </c>
      <c r="L106" s="160">
        <f>IF($AF$1,SUMIFS('All Employees by Mode'!W:W,'All Employees by Mode'!$C:$C,"="&amp;$C106,'All Employees by Mode'!$BE:$BE,"=No"),SUMIFS('All Employees by Mode'!W:W,'All Employees by Mode'!$C:$C,"="&amp;$C106))</f>
        <v>4726347</v>
      </c>
      <c r="M106" s="160">
        <f>IF($AF$1,SUMIFS('All Employees by Mode'!Y:Y,'All Employees by Mode'!$C:$C,"="&amp;$C106,'All Employees by Mode'!$BE:$BE,"=No"),SUMIFS('All Employees by Mode'!Y:Y,'All Employees by Mode'!$C:$C,"="&amp;$C106))</f>
        <v>1385.8999999999999</v>
      </c>
      <c r="N106" s="160">
        <f>IF($AF$1,SUMIFS('All Employees by Mode'!AA:AA,'All Employees by Mode'!$C:$C,"="&amp;$C106,'All Employees by Mode'!$BE:$BE,"=No"),SUMIFS('All Employees by Mode'!AA:AA,'All Employees by Mode'!$C:$C,"="&amp;$C106))</f>
        <v>424.99999999999994</v>
      </c>
      <c r="O106" s="160">
        <f>IF($AF$1,SUMIFS('All Employees by Mode'!AC:AC,'All Employees by Mode'!$C:$C,"="&amp;$C106,'All Employees by Mode'!$BE:$BE,"=No"),SUMIFS('All Employees by Mode'!AC:AC,'All Employees by Mode'!$C:$C,"="&amp;$C106))</f>
        <v>399.9</v>
      </c>
      <c r="P106" s="160">
        <f>IF($AF$1,SUMIFS('All Employees by Mode'!AE:AE,'All Employees by Mode'!$C:$C,"="&amp;$C106,'All Employees by Mode'!$BE:$BE,"=No"),SUMIFS('All Employees by Mode'!AE:AE,'All Employees by Mode'!$C:$C,"="&amp;$C106))</f>
        <v>352.00000000000006</v>
      </c>
      <c r="Q106" s="160">
        <f>IF($AF$1,SUMIFS('All Employees by Mode'!AG:AG,'All Employees by Mode'!$C:$C,"="&amp;$C106,'All Employees by Mode'!$BE:$BE,"=No"),SUMIFS('All Employees by Mode'!AG:AG,'All Employees by Mode'!$C:$C,"="&amp;$C106))</f>
        <v>65.489999999999995</v>
      </c>
      <c r="R106" s="160">
        <f>IF($AF$1,SUMIFS('All Employees by Mode'!AI:AI,'All Employees by Mode'!$C:$C,"="&amp;$C106,'All Employees by Mode'!$BE:$BE,"=No"),SUMIFS('All Employees by Mode'!AI:AI,'All Employees by Mode'!$C:$C,"="&amp;$C106))</f>
        <v>2628.29</v>
      </c>
      <c r="S106" s="161">
        <f>IF($AF$1,SUMIFS('All Employees by Mode'!AK:AK,'All Employees by Mode'!$C:$C,"="&amp;$C106,'All Employees by Mode'!$BE:$BE,"=No"),SUMIFS('All Employees by Mode'!AK:AK,'All Employees by Mode'!$C:$C,"="&amp;$C106))</f>
        <v>52044503</v>
      </c>
      <c r="T106" s="161">
        <f>IF($AF$1,SUMIFS('All Employees by Mode'!AM:AM,'All Employees by Mode'!$C:$C,"="&amp;$C106,'All Employees by Mode'!$BE:$BE,"=No"),SUMIFS('All Employees by Mode'!AM:AM,'All Employees by Mode'!$C:$C,"="&amp;$C106))</f>
        <v>19805548</v>
      </c>
      <c r="U106" s="161">
        <f>IF($AF$1,SUMIFS('All Employees by Mode'!AO:AO,'All Employees by Mode'!$C:$C,"="&amp;$C106,'All Employees by Mode'!$BE:$BE,"=No"),SUMIFS('All Employees by Mode'!AO:AO,'All Employees by Mode'!$C:$C,"="&amp;$C106))</f>
        <v>14703168</v>
      </c>
      <c r="V106" s="161">
        <f>IF($AF$1,SUMIFS('All Employees by Mode'!AQ:AQ,'All Employees by Mode'!$C:$C,"="&amp;$C106,'All Employees by Mode'!$BE:$BE,"=No"),SUMIFS('All Employees by Mode'!AQ:AQ,'All Employees by Mode'!$C:$C,"="&amp;$C106))</f>
        <v>22274131</v>
      </c>
      <c r="W106" s="161">
        <f>IF($AF$1,SUMIFS('All Employees by Mode'!AS:AS,'All Employees by Mode'!$C:$C,"="&amp;$C106,'All Employees by Mode'!$BE:$BE,"=No"),SUMIFS('All Employees by Mode'!AS:AS,'All Employees by Mode'!$C:$C,"="&amp;$C106))</f>
        <v>108827350</v>
      </c>
      <c r="X106" s="162">
        <f t="shared" si="33"/>
        <v>20.675676599058075</v>
      </c>
      <c r="Y106" s="162">
        <f t="shared" si="34"/>
        <v>24.263654895965033</v>
      </c>
      <c r="Z106" s="162">
        <f t="shared" si="35"/>
        <v>20.200627321025969</v>
      </c>
      <c r="AA106" s="162">
        <f t="shared" si="36"/>
        <v>37.648879025333486</v>
      </c>
      <c r="AB106" s="271">
        <f t="shared" si="37"/>
        <v>23.388973495003366</v>
      </c>
      <c r="AC106" s="97"/>
      <c r="AD106" s="98"/>
      <c r="AE106" s="98"/>
      <c r="AF106" s="98"/>
      <c r="AG106" s="98"/>
      <c r="AH106" s="98"/>
      <c r="AI106" s="98"/>
      <c r="AJ106" s="98"/>
      <c r="AK106" s="98"/>
      <c r="AL106" s="98"/>
      <c r="AM106" s="98"/>
      <c r="AN106" s="98"/>
      <c r="AO106" s="304"/>
      <c r="AP106" s="304"/>
      <c r="AQ106" s="304"/>
      <c r="AR106" s="304"/>
      <c r="AS106" s="304"/>
      <c r="AT106" s="304"/>
      <c r="AU106" s="98"/>
      <c r="AV106" s="98"/>
    </row>
    <row r="107" spans="1:48">
      <c r="A107" s="96"/>
      <c r="B107" s="96"/>
      <c r="C107" s="195" t="s">
        <v>86</v>
      </c>
      <c r="D107" s="196" t="s">
        <v>1003</v>
      </c>
      <c r="E107" s="197"/>
      <c r="F107" s="198">
        <f>IF($AF$1,SUMIFS('All Employees by Mode'!L:L,'All Employees by Mode'!$C:$C,"="&amp;$C107,'All Employees by Mode'!$BE:$BE,"=No"),SUMIFS('All Employees by Mode'!L:L,'All Employees by Mode'!$C:$C,"="&amp;$C107))</f>
        <v>685</v>
      </c>
      <c r="G107" s="160">
        <f>IF($AF$1,SUMIFS('All Employees by Mode'!M:M,'All Employees by Mode'!$C:$C,"="&amp;$C107,'All Employees by Mode'!$BE:$BE,"=No"),SUMIFS('All Employees by Mode'!M:M,'All Employees by Mode'!$C:$C,"="&amp;$C107))</f>
        <v>2843650</v>
      </c>
      <c r="H107" s="160">
        <f>IF($AF$1,SUMIFS('All Employees by Mode'!O:O,'All Employees by Mode'!$C:$C,"="&amp;$C107,'All Employees by Mode'!$BE:$BE,"=No"),SUMIFS('All Employees by Mode'!O:O,'All Employees by Mode'!$C:$C,"="&amp;$C107))</f>
        <v>602603</v>
      </c>
      <c r="I107" s="160">
        <f>IF($AF$1,SUMIFS('All Employees by Mode'!Q:Q,'All Employees by Mode'!$C:$C,"="&amp;$C107,'All Employees by Mode'!$BE:$BE,"=No"),SUMIFS('All Employees by Mode'!Q:Q,'All Employees by Mode'!$C:$C,"="&amp;$C107))</f>
        <v>116361</v>
      </c>
      <c r="J107" s="160">
        <f>IF($AF$1,SUMIFS('All Employees by Mode'!S:S,'All Employees by Mode'!$C:$C,"="&amp;$C107,'All Employees by Mode'!$BE:$BE,"=No"),SUMIFS('All Employees by Mode'!S:S,'All Employees by Mode'!$C:$C,"="&amp;$C107))</f>
        <v>562447</v>
      </c>
      <c r="K107" s="160">
        <f>IF($AF$1,SUMIFS('All Employees by Mode'!U:U,'All Employees by Mode'!$C:$C,"="&amp;$C107,'All Employees by Mode'!$BE:$BE,"=No"),SUMIFS('All Employees by Mode'!U:U,'All Employees by Mode'!$C:$C,"="&amp;$C107))</f>
        <v>1020</v>
      </c>
      <c r="L107" s="160">
        <f>IF($AF$1,SUMIFS('All Employees by Mode'!W:W,'All Employees by Mode'!$C:$C,"="&amp;$C107,'All Employees by Mode'!$BE:$BE,"=No"),SUMIFS('All Employees by Mode'!W:W,'All Employees by Mode'!$C:$C,"="&amp;$C107))</f>
        <v>4126081</v>
      </c>
      <c r="M107" s="160">
        <f>IF($AF$1,SUMIFS('All Employees by Mode'!Y:Y,'All Employees by Mode'!$C:$C,"="&amp;$C107,'All Employees by Mode'!$BE:$BE,"=No"),SUMIFS('All Employees by Mode'!Y:Y,'All Employees by Mode'!$C:$C,"="&amp;$C107))</f>
        <v>1930.16</v>
      </c>
      <c r="N107" s="160">
        <f>IF($AF$1,SUMIFS('All Employees by Mode'!AA:AA,'All Employees by Mode'!$C:$C,"="&amp;$C107,'All Employees by Mode'!$BE:$BE,"=No"),SUMIFS('All Employees by Mode'!AA:AA,'All Employees by Mode'!$C:$C,"="&amp;$C107))</f>
        <v>337.18</v>
      </c>
      <c r="O107" s="160">
        <f>IF($AF$1,SUMIFS('All Employees by Mode'!AC:AC,'All Employees by Mode'!$C:$C,"="&amp;$C107,'All Employees by Mode'!$BE:$BE,"=No"),SUMIFS('All Employees by Mode'!AC:AC,'All Employees by Mode'!$C:$C,"="&amp;$C107))</f>
        <v>62.710000000000008</v>
      </c>
      <c r="P107" s="160">
        <f>IF($AF$1,SUMIFS('All Employees by Mode'!AE:AE,'All Employees by Mode'!$C:$C,"="&amp;$C107,'All Employees by Mode'!$BE:$BE,"=No"),SUMIFS('All Employees by Mode'!AE:AE,'All Employees by Mode'!$C:$C,"="&amp;$C107))</f>
        <v>365.3</v>
      </c>
      <c r="Q107" s="160">
        <f>IF($AF$1,SUMIFS('All Employees by Mode'!AG:AG,'All Employees by Mode'!$C:$C,"="&amp;$C107,'All Employees by Mode'!$BE:$BE,"=No"),SUMIFS('All Employees by Mode'!AG:AG,'All Employees by Mode'!$C:$C,"="&amp;$C107))</f>
        <v>1.4</v>
      </c>
      <c r="R107" s="160">
        <f>IF($AF$1,SUMIFS('All Employees by Mode'!AI:AI,'All Employees by Mode'!$C:$C,"="&amp;$C107,'All Employees by Mode'!$BE:$BE,"=No"),SUMIFS('All Employees by Mode'!AI:AI,'All Employees by Mode'!$C:$C,"="&amp;$C107))</f>
        <v>2696.75</v>
      </c>
      <c r="S107" s="161">
        <f>IF($AF$1,SUMIFS('All Employees by Mode'!AK:AK,'All Employees by Mode'!$C:$C,"="&amp;$C107,'All Employees by Mode'!$BE:$BE,"=No"),SUMIFS('All Employees by Mode'!AK:AK,'All Employees by Mode'!$C:$C,"="&amp;$C107))</f>
        <v>59450219</v>
      </c>
      <c r="T107" s="161">
        <f>IF($AF$1,SUMIFS('All Employees by Mode'!AM:AM,'All Employees by Mode'!$C:$C,"="&amp;$C107,'All Employees by Mode'!$BE:$BE,"=No"),SUMIFS('All Employees by Mode'!AM:AM,'All Employees by Mode'!$C:$C,"="&amp;$C107))</f>
        <v>14839381</v>
      </c>
      <c r="U107" s="161">
        <f>IF($AF$1,SUMIFS('All Employees by Mode'!AO:AO,'All Employees by Mode'!$C:$C,"="&amp;$C107,'All Employees by Mode'!$BE:$BE,"=No"),SUMIFS('All Employees by Mode'!AO:AO,'All Employees by Mode'!$C:$C,"="&amp;$C107))</f>
        <v>2331517</v>
      </c>
      <c r="V107" s="161">
        <f>IF($AF$1,SUMIFS('All Employees by Mode'!AQ:AQ,'All Employees by Mode'!$C:$C,"="&amp;$C107,'All Employees by Mode'!$BE:$BE,"=No"),SUMIFS('All Employees by Mode'!AQ:AQ,'All Employees by Mode'!$C:$C,"="&amp;$C107))</f>
        <v>17213760</v>
      </c>
      <c r="W107" s="161">
        <f>IF($AF$1,SUMIFS('All Employees by Mode'!AS:AS,'All Employees by Mode'!$C:$C,"="&amp;$C107,'All Employees by Mode'!$BE:$BE,"=No"),SUMIFS('All Employees by Mode'!AS:AS,'All Employees by Mode'!$C:$C,"="&amp;$C107))</f>
        <v>93834877</v>
      </c>
      <c r="X107" s="162">
        <f t="shared" si="33"/>
        <v>20.906306683311939</v>
      </c>
      <c r="Y107" s="162">
        <f t="shared" si="34"/>
        <v>24.625468177224473</v>
      </c>
      <c r="Z107" s="162">
        <f t="shared" si="35"/>
        <v>20.036928180404086</v>
      </c>
      <c r="AA107" s="162">
        <f t="shared" si="36"/>
        <v>30.605123682764777</v>
      </c>
      <c r="AB107" s="271">
        <f t="shared" si="37"/>
        <v>22.747512582238176</v>
      </c>
      <c r="AC107" s="97"/>
      <c r="AD107" s="98"/>
      <c r="AE107" s="98"/>
      <c r="AF107" s="98"/>
      <c r="AG107" s="98"/>
      <c r="AH107" s="98"/>
      <c r="AI107" s="98"/>
      <c r="AJ107" s="98"/>
      <c r="AK107" s="98"/>
      <c r="AL107" s="98"/>
      <c r="AM107" s="98"/>
      <c r="AN107" s="98"/>
      <c r="AO107" s="304"/>
      <c r="AP107" s="304"/>
      <c r="AQ107" s="304"/>
      <c r="AR107" s="304"/>
      <c r="AS107" s="304"/>
      <c r="AT107" s="304"/>
      <c r="AU107" s="98"/>
      <c r="AV107" s="98"/>
    </row>
    <row r="108" spans="1:48">
      <c r="A108" s="96"/>
      <c r="B108" s="96"/>
      <c r="C108" s="195" t="s">
        <v>1004</v>
      </c>
      <c r="D108" s="196" t="s">
        <v>1005</v>
      </c>
      <c r="E108" s="197"/>
      <c r="F108" s="198">
        <f>IF($AF$1,SUMIFS('All Employees by Mode'!L:L,'All Employees by Mode'!$C:$C,"="&amp;$C108,'All Employees by Mode'!$BE:$BE,"=No"),SUMIFS('All Employees by Mode'!L:L,'All Employees by Mode'!$C:$C,"="&amp;$C108))</f>
        <v>0</v>
      </c>
      <c r="G108" s="160">
        <f>IF($AF$1,SUMIFS('All Employees by Mode'!M:M,'All Employees by Mode'!$C:$C,"="&amp;$C108,'All Employees by Mode'!$BE:$BE,"=No"),SUMIFS('All Employees by Mode'!M:M,'All Employees by Mode'!$C:$C,"="&amp;$C108))</f>
        <v>0</v>
      </c>
      <c r="H108" s="160">
        <f>IF($AF$1,SUMIFS('All Employees by Mode'!O:O,'All Employees by Mode'!$C:$C,"="&amp;$C108,'All Employees by Mode'!$BE:$BE,"=No"),SUMIFS('All Employees by Mode'!O:O,'All Employees by Mode'!$C:$C,"="&amp;$C108))</f>
        <v>0</v>
      </c>
      <c r="I108" s="160">
        <f>IF($AF$1,SUMIFS('All Employees by Mode'!Q:Q,'All Employees by Mode'!$C:$C,"="&amp;$C108,'All Employees by Mode'!$BE:$BE,"=No"),SUMIFS('All Employees by Mode'!Q:Q,'All Employees by Mode'!$C:$C,"="&amp;$C108))</f>
        <v>0</v>
      </c>
      <c r="J108" s="160">
        <f>IF($AF$1,SUMIFS('All Employees by Mode'!S:S,'All Employees by Mode'!$C:$C,"="&amp;$C108,'All Employees by Mode'!$BE:$BE,"=No"),SUMIFS('All Employees by Mode'!S:S,'All Employees by Mode'!$C:$C,"="&amp;$C108))</f>
        <v>0</v>
      </c>
      <c r="K108" s="160">
        <f>IF($AF$1,SUMIFS('All Employees by Mode'!U:U,'All Employees by Mode'!$C:$C,"="&amp;$C108,'All Employees by Mode'!$BE:$BE,"=No"),SUMIFS('All Employees by Mode'!U:U,'All Employees by Mode'!$C:$C,"="&amp;$C108))</f>
        <v>0</v>
      </c>
      <c r="L108" s="160">
        <f>IF($AF$1,SUMIFS('All Employees by Mode'!W:W,'All Employees by Mode'!$C:$C,"="&amp;$C108,'All Employees by Mode'!$BE:$BE,"=No"),SUMIFS('All Employees by Mode'!W:W,'All Employees by Mode'!$C:$C,"="&amp;$C108))</f>
        <v>0</v>
      </c>
      <c r="M108" s="160">
        <f>IF($AF$1,SUMIFS('All Employees by Mode'!Y:Y,'All Employees by Mode'!$C:$C,"="&amp;$C108,'All Employees by Mode'!$BE:$BE,"=No"),SUMIFS('All Employees by Mode'!Y:Y,'All Employees by Mode'!$C:$C,"="&amp;$C108))</f>
        <v>0</v>
      </c>
      <c r="N108" s="160">
        <f>IF($AF$1,SUMIFS('All Employees by Mode'!AA:AA,'All Employees by Mode'!$C:$C,"="&amp;$C108,'All Employees by Mode'!$BE:$BE,"=No"),SUMIFS('All Employees by Mode'!AA:AA,'All Employees by Mode'!$C:$C,"="&amp;$C108))</f>
        <v>0</v>
      </c>
      <c r="O108" s="160">
        <f>IF($AF$1,SUMIFS('All Employees by Mode'!AC:AC,'All Employees by Mode'!$C:$C,"="&amp;$C108,'All Employees by Mode'!$BE:$BE,"=No"),SUMIFS('All Employees by Mode'!AC:AC,'All Employees by Mode'!$C:$C,"="&amp;$C108))</f>
        <v>0</v>
      </c>
      <c r="P108" s="160">
        <f>IF($AF$1,SUMIFS('All Employees by Mode'!AE:AE,'All Employees by Mode'!$C:$C,"="&amp;$C108,'All Employees by Mode'!$BE:$BE,"=No"),SUMIFS('All Employees by Mode'!AE:AE,'All Employees by Mode'!$C:$C,"="&amp;$C108))</f>
        <v>0</v>
      </c>
      <c r="Q108" s="160">
        <f>IF($AF$1,SUMIFS('All Employees by Mode'!AG:AG,'All Employees by Mode'!$C:$C,"="&amp;$C108,'All Employees by Mode'!$BE:$BE,"=No"),SUMIFS('All Employees by Mode'!AG:AG,'All Employees by Mode'!$C:$C,"="&amp;$C108))</f>
        <v>0</v>
      </c>
      <c r="R108" s="160">
        <f>IF($AF$1,SUMIFS('All Employees by Mode'!AI:AI,'All Employees by Mode'!$C:$C,"="&amp;$C108,'All Employees by Mode'!$BE:$BE,"=No"),SUMIFS('All Employees by Mode'!AI:AI,'All Employees by Mode'!$C:$C,"="&amp;$C108))</f>
        <v>0</v>
      </c>
      <c r="S108" s="161">
        <f>IF($AF$1,SUMIFS('All Employees by Mode'!AK:AK,'All Employees by Mode'!$C:$C,"="&amp;$C108,'All Employees by Mode'!$BE:$BE,"=No"),SUMIFS('All Employees by Mode'!AK:AK,'All Employees by Mode'!$C:$C,"="&amp;$C108))</f>
        <v>0</v>
      </c>
      <c r="T108" s="161">
        <f>IF($AF$1,SUMIFS('All Employees by Mode'!AM:AM,'All Employees by Mode'!$C:$C,"="&amp;$C108,'All Employees by Mode'!$BE:$BE,"=No"),SUMIFS('All Employees by Mode'!AM:AM,'All Employees by Mode'!$C:$C,"="&amp;$C108))</f>
        <v>0</v>
      </c>
      <c r="U108" s="161">
        <f>IF($AF$1,SUMIFS('All Employees by Mode'!AO:AO,'All Employees by Mode'!$C:$C,"="&amp;$C108,'All Employees by Mode'!$BE:$BE,"=No"),SUMIFS('All Employees by Mode'!AO:AO,'All Employees by Mode'!$C:$C,"="&amp;$C108))</f>
        <v>0</v>
      </c>
      <c r="V108" s="161">
        <f>IF($AF$1,SUMIFS('All Employees by Mode'!AQ:AQ,'All Employees by Mode'!$C:$C,"="&amp;$C108,'All Employees by Mode'!$BE:$BE,"=No"),SUMIFS('All Employees by Mode'!AQ:AQ,'All Employees by Mode'!$C:$C,"="&amp;$C108))</f>
        <v>0</v>
      </c>
      <c r="W108" s="161">
        <f>IF($AF$1,SUMIFS('All Employees by Mode'!AS:AS,'All Employees by Mode'!$C:$C,"="&amp;$C108,'All Employees by Mode'!$BE:$BE,"=No"),SUMIFS('All Employees by Mode'!AS:AS,'All Employees by Mode'!$C:$C,"="&amp;$C108))</f>
        <v>0</v>
      </c>
      <c r="X108" s="162" t="str">
        <f t="shared" si="33"/>
        <v>-</v>
      </c>
      <c r="Y108" s="162" t="str">
        <f t="shared" si="34"/>
        <v>-</v>
      </c>
      <c r="Z108" s="162" t="str">
        <f t="shared" si="35"/>
        <v>-</v>
      </c>
      <c r="AA108" s="162" t="str">
        <f t="shared" si="36"/>
        <v>-</v>
      </c>
      <c r="AB108" s="271" t="str">
        <f t="shared" si="37"/>
        <v>-</v>
      </c>
      <c r="AC108" s="97"/>
      <c r="AD108" s="98"/>
      <c r="AE108" s="98"/>
      <c r="AF108" s="98"/>
      <c r="AG108" s="98"/>
      <c r="AH108" s="98"/>
      <c r="AI108" s="98"/>
      <c r="AJ108" s="98"/>
      <c r="AK108" s="98"/>
      <c r="AL108" s="98"/>
      <c r="AM108" s="98"/>
      <c r="AN108" s="98"/>
      <c r="AO108" s="304"/>
      <c r="AP108" s="304"/>
      <c r="AQ108" s="304"/>
      <c r="AR108" s="304"/>
      <c r="AS108" s="304"/>
      <c r="AT108" s="304"/>
      <c r="AU108" s="98"/>
      <c r="AV108" s="98"/>
    </row>
    <row r="109" spans="1:48">
      <c r="A109" s="96"/>
      <c r="B109" s="96"/>
      <c r="C109" s="195" t="s">
        <v>88</v>
      </c>
      <c r="D109" s="196" t="s">
        <v>1006</v>
      </c>
      <c r="E109" s="197"/>
      <c r="F109" s="198">
        <f>IF($AF$1,SUMIFS('All Employees by Mode'!L:L,'All Employees by Mode'!$C:$C,"="&amp;$C109,'All Employees by Mode'!$BE:$BE,"=No"),SUMIFS('All Employees by Mode'!L:L,'All Employees by Mode'!$C:$C,"="&amp;$C109))</f>
        <v>54</v>
      </c>
      <c r="G109" s="160">
        <f>IF($AF$1,SUMIFS('All Employees by Mode'!M:M,'All Employees by Mode'!$C:$C,"="&amp;$C109,'All Employees by Mode'!$BE:$BE,"=No"),SUMIFS('All Employees by Mode'!M:M,'All Employees by Mode'!$C:$C,"="&amp;$C109))</f>
        <v>159489</v>
      </c>
      <c r="H109" s="160">
        <f>IF($AF$1,SUMIFS('All Employees by Mode'!O:O,'All Employees by Mode'!$C:$C,"="&amp;$C109,'All Employees by Mode'!$BE:$BE,"=No"),SUMIFS('All Employees by Mode'!O:O,'All Employees by Mode'!$C:$C,"="&amp;$C109))</f>
        <v>38572</v>
      </c>
      <c r="I109" s="160">
        <f>IF($AF$1,SUMIFS('All Employees by Mode'!Q:Q,'All Employees by Mode'!$C:$C,"="&amp;$C109,'All Employees by Mode'!$BE:$BE,"=No"),SUMIFS('All Employees by Mode'!Q:Q,'All Employees by Mode'!$C:$C,"="&amp;$C109))</f>
        <v>686</v>
      </c>
      <c r="J109" s="160">
        <f>IF($AF$1,SUMIFS('All Employees by Mode'!S:S,'All Employees by Mode'!$C:$C,"="&amp;$C109,'All Employees by Mode'!$BE:$BE,"=No"),SUMIFS('All Employees by Mode'!S:S,'All Employees by Mode'!$C:$C,"="&amp;$C109))</f>
        <v>29878</v>
      </c>
      <c r="K109" s="160">
        <f>IF($AF$1,SUMIFS('All Employees by Mode'!U:U,'All Employees by Mode'!$C:$C,"="&amp;$C109,'All Employees by Mode'!$BE:$BE,"=No"),SUMIFS('All Employees by Mode'!U:U,'All Employees by Mode'!$C:$C,"="&amp;$C109))</f>
        <v>1022</v>
      </c>
      <c r="L109" s="160">
        <f>IF($AF$1,SUMIFS('All Employees by Mode'!W:W,'All Employees by Mode'!$C:$C,"="&amp;$C109,'All Employees by Mode'!$BE:$BE,"=No"),SUMIFS('All Employees by Mode'!W:W,'All Employees by Mode'!$C:$C,"="&amp;$C109))</f>
        <v>229647</v>
      </c>
      <c r="M109" s="160">
        <f>IF($AF$1,SUMIFS('All Employees by Mode'!Y:Y,'All Employees by Mode'!$C:$C,"="&amp;$C109,'All Employees by Mode'!$BE:$BE,"=No"),SUMIFS('All Employees by Mode'!Y:Y,'All Employees by Mode'!$C:$C,"="&amp;$C109))</f>
        <v>76</v>
      </c>
      <c r="N109" s="160">
        <f>IF($AF$1,SUMIFS('All Employees by Mode'!AA:AA,'All Employees by Mode'!$C:$C,"="&amp;$C109,'All Employees by Mode'!$BE:$BE,"=No"),SUMIFS('All Employees by Mode'!AA:AA,'All Employees by Mode'!$C:$C,"="&amp;$C109))</f>
        <v>18.7</v>
      </c>
      <c r="O109" s="160">
        <f>IF($AF$1,SUMIFS('All Employees by Mode'!AC:AC,'All Employees by Mode'!$C:$C,"="&amp;$C109,'All Employees by Mode'!$BE:$BE,"=No"),SUMIFS('All Employees by Mode'!AC:AC,'All Employees by Mode'!$C:$C,"="&amp;$C109))</f>
        <v>0.37</v>
      </c>
      <c r="P109" s="160">
        <f>IF($AF$1,SUMIFS('All Employees by Mode'!AE:AE,'All Employees by Mode'!$C:$C,"="&amp;$C109,'All Employees by Mode'!$BE:$BE,"=No"),SUMIFS('All Employees by Mode'!AE:AE,'All Employees by Mode'!$C:$C,"="&amp;$C109))</f>
        <v>17.8</v>
      </c>
      <c r="Q109" s="160">
        <f>IF($AF$1,SUMIFS('All Employees by Mode'!AG:AG,'All Employees by Mode'!$C:$C,"="&amp;$C109,'All Employees by Mode'!$BE:$BE,"=No"),SUMIFS('All Employees by Mode'!AG:AG,'All Employees by Mode'!$C:$C,"="&amp;$C109))</f>
        <v>0.6</v>
      </c>
      <c r="R109" s="160">
        <f>IF($AF$1,SUMIFS('All Employees by Mode'!AI:AI,'All Employees by Mode'!$C:$C,"="&amp;$C109,'All Employees by Mode'!$BE:$BE,"=No"),SUMIFS('All Employees by Mode'!AI:AI,'All Employees by Mode'!$C:$C,"="&amp;$C109))</f>
        <v>113.47</v>
      </c>
      <c r="S109" s="161">
        <f>IF($AF$1,SUMIFS('All Employees by Mode'!AK:AK,'All Employees by Mode'!$C:$C,"="&amp;$C109,'All Employees by Mode'!$BE:$BE,"=No"),SUMIFS('All Employees by Mode'!AK:AK,'All Employees by Mode'!$C:$C,"="&amp;$C109))</f>
        <v>3913568</v>
      </c>
      <c r="T109" s="161">
        <f>IF($AF$1,SUMIFS('All Employees by Mode'!AM:AM,'All Employees by Mode'!$C:$C,"="&amp;$C109,'All Employees by Mode'!$BE:$BE,"=No"),SUMIFS('All Employees by Mode'!AM:AM,'All Employees by Mode'!$C:$C,"="&amp;$C109))</f>
        <v>849586</v>
      </c>
      <c r="U109" s="161">
        <f>IF($AF$1,SUMIFS('All Employees by Mode'!AO:AO,'All Employees by Mode'!$C:$C,"="&amp;$C109,'All Employees by Mode'!$BE:$BE,"=No"),SUMIFS('All Employees by Mode'!AO:AO,'All Employees by Mode'!$C:$C,"="&amp;$C109))</f>
        <v>16121</v>
      </c>
      <c r="V109" s="161">
        <f>IF($AF$1,SUMIFS('All Employees by Mode'!AQ:AQ,'All Employees by Mode'!$C:$C,"="&amp;$C109,'All Employees by Mode'!$BE:$BE,"=No"),SUMIFS('All Employees by Mode'!AQ:AQ,'All Employees by Mode'!$C:$C,"="&amp;$C109))</f>
        <v>665005</v>
      </c>
      <c r="W109" s="161">
        <f>IF($AF$1,SUMIFS('All Employees by Mode'!AS:AS,'All Employees by Mode'!$C:$C,"="&amp;$C109,'All Employees by Mode'!$BE:$BE,"=No"),SUMIFS('All Employees by Mode'!AS:AS,'All Employees by Mode'!$C:$C,"="&amp;$C109))</f>
        <v>5444280</v>
      </c>
      <c r="X109" s="162">
        <f t="shared" si="33"/>
        <v>24.538168776530043</v>
      </c>
      <c r="Y109" s="162">
        <f t="shared" si="34"/>
        <v>22.025977392927512</v>
      </c>
      <c r="Z109" s="162">
        <f t="shared" si="35"/>
        <v>23.5</v>
      </c>
      <c r="AA109" s="162">
        <f t="shared" si="36"/>
        <v>22.257346542606602</v>
      </c>
      <c r="AB109" s="271">
        <f t="shared" si="37"/>
        <v>23.813143794423183</v>
      </c>
      <c r="AC109" s="97"/>
      <c r="AD109" s="98"/>
      <c r="AE109" s="98"/>
      <c r="AF109" s="98"/>
      <c r="AG109" s="98"/>
      <c r="AH109" s="98"/>
      <c r="AI109" s="98"/>
      <c r="AJ109" s="98"/>
      <c r="AK109" s="98"/>
      <c r="AL109" s="98"/>
      <c r="AM109" s="98"/>
      <c r="AN109" s="98"/>
      <c r="AO109" s="304"/>
      <c r="AP109" s="304"/>
      <c r="AQ109" s="304"/>
      <c r="AR109" s="304"/>
      <c r="AS109" s="304"/>
      <c r="AT109" s="304"/>
      <c r="AU109" s="98"/>
      <c r="AV109" s="98"/>
    </row>
    <row r="110" spans="1:48">
      <c r="A110" s="96"/>
      <c r="B110" s="96"/>
      <c r="C110" s="195" t="s">
        <v>89</v>
      </c>
      <c r="D110" s="196" t="s">
        <v>681</v>
      </c>
      <c r="E110" s="197"/>
      <c r="F110" s="198">
        <f>IF($AF$1,SUMIFS('All Employees by Mode'!L:L,'All Employees by Mode'!$C:$C,"="&amp;$C110,'All Employees by Mode'!$BE:$BE,"=No"),SUMIFS('All Employees by Mode'!L:L,'All Employees by Mode'!$C:$C,"="&amp;$C110))</f>
        <v>5512</v>
      </c>
      <c r="G110" s="160">
        <f>IF($AF$1,SUMIFS('All Employees by Mode'!M:M,'All Employees by Mode'!$C:$C,"="&amp;$C110,'All Employees by Mode'!$BE:$BE,"=No"),SUMIFS('All Employees by Mode'!M:M,'All Employees by Mode'!$C:$C,"="&amp;$C110))</f>
        <v>12703656</v>
      </c>
      <c r="H110" s="160">
        <f>IF($AF$1,SUMIFS('All Employees by Mode'!O:O,'All Employees by Mode'!$C:$C,"="&amp;$C110,'All Employees by Mode'!$BE:$BE,"=No"),SUMIFS('All Employees by Mode'!O:O,'All Employees by Mode'!$C:$C,"="&amp;$C110))</f>
        <v>2327893</v>
      </c>
      <c r="I110" s="160">
        <f>IF($AF$1,SUMIFS('All Employees by Mode'!Q:Q,'All Employees by Mode'!$C:$C,"="&amp;$C110,'All Employees by Mode'!$BE:$BE,"=No"),SUMIFS('All Employees by Mode'!Q:Q,'All Employees by Mode'!$C:$C,"="&amp;$C110))</f>
        <v>1004662</v>
      </c>
      <c r="J110" s="160">
        <f>IF($AF$1,SUMIFS('All Employees by Mode'!S:S,'All Employees by Mode'!$C:$C,"="&amp;$C110,'All Employees by Mode'!$BE:$BE,"=No"),SUMIFS('All Employees by Mode'!S:S,'All Employees by Mode'!$C:$C,"="&amp;$C110))</f>
        <v>1715643</v>
      </c>
      <c r="K110" s="160">
        <f>IF($AF$1,SUMIFS('All Employees by Mode'!U:U,'All Employees by Mode'!$C:$C,"="&amp;$C110,'All Employees by Mode'!$BE:$BE,"=No"),SUMIFS('All Employees by Mode'!U:U,'All Employees by Mode'!$C:$C,"="&amp;$C110))</f>
        <v>1199806</v>
      </c>
      <c r="L110" s="160">
        <f>IF($AF$1,SUMIFS('All Employees by Mode'!W:W,'All Employees by Mode'!$C:$C,"="&amp;$C110,'All Employees by Mode'!$BE:$BE,"=No"),SUMIFS('All Employees by Mode'!W:W,'All Employees by Mode'!$C:$C,"="&amp;$C110))</f>
        <v>18951660</v>
      </c>
      <c r="M110" s="160">
        <f>IF($AF$1,SUMIFS('All Employees by Mode'!Y:Y,'All Employees by Mode'!$C:$C,"="&amp;$C110,'All Employees by Mode'!$BE:$BE,"=No"),SUMIFS('All Employees by Mode'!Y:Y,'All Employees by Mode'!$C:$C,"="&amp;$C110))</f>
        <v>8009.46</v>
      </c>
      <c r="N110" s="160">
        <f>IF($AF$1,SUMIFS('All Employees by Mode'!AA:AA,'All Employees by Mode'!$C:$C,"="&amp;$C110,'All Employees by Mode'!$BE:$BE,"=No"),SUMIFS('All Employees by Mode'!AA:AA,'All Employees by Mode'!$C:$C,"="&amp;$C110))</f>
        <v>1404.4999999999995</v>
      </c>
      <c r="O110" s="160">
        <f>IF($AF$1,SUMIFS('All Employees by Mode'!AC:AC,'All Employees by Mode'!$C:$C,"="&amp;$C110,'All Employees by Mode'!$BE:$BE,"=No"),SUMIFS('All Employees by Mode'!AC:AC,'All Employees by Mode'!$C:$C,"="&amp;$C110))</f>
        <v>642.17999999999972</v>
      </c>
      <c r="P110" s="160">
        <f>IF($AF$1,SUMIFS('All Employees by Mode'!AE:AE,'All Employees by Mode'!$C:$C,"="&amp;$C110,'All Employees by Mode'!$BE:$BE,"=No"),SUMIFS('All Employees by Mode'!AE:AE,'All Employees by Mode'!$C:$C,"="&amp;$C110))</f>
        <v>1076.3400000000001</v>
      </c>
      <c r="Q110" s="160">
        <f>IF($AF$1,SUMIFS('All Employees by Mode'!AG:AG,'All Employees by Mode'!$C:$C,"="&amp;$C110,'All Employees by Mode'!$BE:$BE,"=No"),SUMIFS('All Employees by Mode'!AG:AG,'All Employees by Mode'!$C:$C,"="&amp;$C110))</f>
        <v>665.31999999999994</v>
      </c>
      <c r="R110" s="160">
        <f>IF($AF$1,SUMIFS('All Employees by Mode'!AI:AI,'All Employees by Mode'!$C:$C,"="&amp;$C110,'All Employees by Mode'!$BE:$BE,"=No"),SUMIFS('All Employees by Mode'!AI:AI,'All Employees by Mode'!$C:$C,"="&amp;$C110))</f>
        <v>11797.800000000003</v>
      </c>
      <c r="S110" s="161">
        <f>IF($AF$1,SUMIFS('All Employees by Mode'!AK:AK,'All Employees by Mode'!$C:$C,"="&amp;$C110,'All Employees by Mode'!$BE:$BE,"=No"),SUMIFS('All Employees by Mode'!AK:AK,'All Employees by Mode'!$C:$C,"="&amp;$C110))</f>
        <v>459325765</v>
      </c>
      <c r="T110" s="161">
        <f>IF($AF$1,SUMIFS('All Employees by Mode'!AM:AM,'All Employees by Mode'!$C:$C,"="&amp;$C110,'All Employees by Mode'!$BE:$BE,"=No"),SUMIFS('All Employees by Mode'!AM:AM,'All Employees by Mode'!$C:$C,"="&amp;$C110))</f>
        <v>97253773</v>
      </c>
      <c r="U110" s="161">
        <f>IF($AF$1,SUMIFS('All Employees by Mode'!AO:AO,'All Employees by Mode'!$C:$C,"="&amp;$C110,'All Employees by Mode'!$BE:$BE,"=No"),SUMIFS('All Employees by Mode'!AO:AO,'All Employees by Mode'!$C:$C,"="&amp;$C110))</f>
        <v>42760977</v>
      </c>
      <c r="V110" s="161">
        <f>IF($AF$1,SUMIFS('All Employees by Mode'!AQ:AQ,'All Employees by Mode'!$C:$C,"="&amp;$C110,'All Employees by Mode'!$BE:$BE,"=No"),SUMIFS('All Employees by Mode'!AQ:AQ,'All Employees by Mode'!$C:$C,"="&amp;$C110))</f>
        <v>71169577</v>
      </c>
      <c r="W110" s="161">
        <f>IF($AF$1,SUMIFS('All Employees by Mode'!AS:AS,'All Employees by Mode'!$C:$C,"="&amp;$C110,'All Employees by Mode'!$BE:$BE,"=No"),SUMIFS('All Employees by Mode'!AS:AS,'All Employees by Mode'!$C:$C,"="&amp;$C110))</f>
        <v>670510092</v>
      </c>
      <c r="X110" s="162">
        <f t="shared" si="33"/>
        <v>36.156974417443294</v>
      </c>
      <c r="Y110" s="162">
        <f t="shared" si="34"/>
        <v>41.77759587747375</v>
      </c>
      <c r="Z110" s="162">
        <f t="shared" si="35"/>
        <v>42.562550390081441</v>
      </c>
      <c r="AA110" s="162">
        <f t="shared" si="36"/>
        <v>41.482742621862471</v>
      </c>
      <c r="AB110" s="271">
        <f t="shared" si="37"/>
        <v>37.771271214826349</v>
      </c>
      <c r="AC110" s="97"/>
      <c r="AD110" s="98"/>
      <c r="AE110" s="98"/>
      <c r="AF110" s="98"/>
      <c r="AG110" s="98"/>
      <c r="AH110" s="98"/>
      <c r="AI110" s="98"/>
      <c r="AJ110" s="98"/>
      <c r="AK110" s="98"/>
      <c r="AL110" s="98"/>
      <c r="AM110" s="98"/>
      <c r="AN110" s="98"/>
      <c r="AO110" s="304"/>
      <c r="AP110" s="304"/>
      <c r="AQ110" s="304"/>
      <c r="AR110" s="304"/>
      <c r="AS110" s="304"/>
      <c r="AT110" s="304"/>
      <c r="AU110" s="98"/>
      <c r="AV110" s="98"/>
    </row>
    <row r="111" spans="1:48">
      <c r="A111" s="96"/>
      <c r="B111" s="96"/>
      <c r="C111" s="195" t="s">
        <v>93</v>
      </c>
      <c r="D111" s="196" t="s">
        <v>1007</v>
      </c>
      <c r="E111" s="197"/>
      <c r="F111" s="198">
        <f>IF($AF$1,SUMIFS('All Employees by Mode'!L:L,'All Employees by Mode'!$C:$C,"="&amp;$C111,'All Employees by Mode'!$BE:$BE,"=No"),SUMIFS('All Employees by Mode'!L:L,'All Employees by Mode'!$C:$C,"="&amp;$C111))</f>
        <v>749</v>
      </c>
      <c r="G111" s="160">
        <f>IF($AF$1,SUMIFS('All Employees by Mode'!M:M,'All Employees by Mode'!$C:$C,"="&amp;$C111,'All Employees by Mode'!$BE:$BE,"=No"),SUMIFS('All Employees by Mode'!M:M,'All Employees by Mode'!$C:$C,"="&amp;$C111))</f>
        <v>3199653</v>
      </c>
      <c r="H111" s="160">
        <f>IF($AF$1,SUMIFS('All Employees by Mode'!O:O,'All Employees by Mode'!$C:$C,"="&amp;$C111,'All Employees by Mode'!$BE:$BE,"=No"),SUMIFS('All Employees by Mode'!O:O,'All Employees by Mode'!$C:$C,"="&amp;$C111))</f>
        <v>540381</v>
      </c>
      <c r="I111" s="160">
        <f>IF($AF$1,SUMIFS('All Employees by Mode'!Q:Q,'All Employees by Mode'!$C:$C,"="&amp;$C111,'All Employees by Mode'!$BE:$BE,"=No"),SUMIFS('All Employees by Mode'!Q:Q,'All Employees by Mode'!$C:$C,"="&amp;$C111))</f>
        <v>66535</v>
      </c>
      <c r="J111" s="160">
        <f>IF($AF$1,SUMIFS('All Employees by Mode'!S:S,'All Employees by Mode'!$C:$C,"="&amp;$C111,'All Employees by Mode'!$BE:$BE,"=No"),SUMIFS('All Employees by Mode'!S:S,'All Employees by Mode'!$C:$C,"="&amp;$C111))</f>
        <v>288770</v>
      </c>
      <c r="K111" s="160">
        <f>IF($AF$1,SUMIFS('All Employees by Mode'!U:U,'All Employees by Mode'!$C:$C,"="&amp;$C111,'All Employees by Mode'!$BE:$BE,"=No"),SUMIFS('All Employees by Mode'!U:U,'All Employees by Mode'!$C:$C,"="&amp;$C111))</f>
        <v>515</v>
      </c>
      <c r="L111" s="160">
        <f>IF($AF$1,SUMIFS('All Employees by Mode'!W:W,'All Employees by Mode'!$C:$C,"="&amp;$C111,'All Employees by Mode'!$BE:$BE,"=No"),SUMIFS('All Employees by Mode'!W:W,'All Employees by Mode'!$C:$C,"="&amp;$C111))</f>
        <v>4095854</v>
      </c>
      <c r="M111" s="160">
        <f>IF($AF$1,SUMIFS('All Employees by Mode'!Y:Y,'All Employees by Mode'!$C:$C,"="&amp;$C111,'All Employees by Mode'!$BE:$BE,"=No"),SUMIFS('All Employees by Mode'!Y:Y,'All Employees by Mode'!$C:$C,"="&amp;$C111))</f>
        <v>1538.8000000000002</v>
      </c>
      <c r="N111" s="160">
        <f>IF($AF$1,SUMIFS('All Employees by Mode'!AA:AA,'All Employees by Mode'!$C:$C,"="&amp;$C111,'All Employees by Mode'!$BE:$BE,"=No"),SUMIFS('All Employees by Mode'!AA:AA,'All Employees by Mode'!$C:$C,"="&amp;$C111))</f>
        <v>291.20000000000005</v>
      </c>
      <c r="O111" s="160">
        <f>IF($AF$1,SUMIFS('All Employees by Mode'!AC:AC,'All Employees by Mode'!$C:$C,"="&amp;$C111,'All Employees by Mode'!$BE:$BE,"=No"),SUMIFS('All Employees by Mode'!AC:AC,'All Employees by Mode'!$C:$C,"="&amp;$C111))</f>
        <v>34.950000000000003</v>
      </c>
      <c r="P111" s="160">
        <f>IF($AF$1,SUMIFS('All Employees by Mode'!AE:AE,'All Employees by Mode'!$C:$C,"="&amp;$C111,'All Employees by Mode'!$BE:$BE,"=No"),SUMIFS('All Employees by Mode'!AE:AE,'All Employees by Mode'!$C:$C,"="&amp;$C111))</f>
        <v>171</v>
      </c>
      <c r="Q111" s="160">
        <f>IF($AF$1,SUMIFS('All Employees by Mode'!AG:AG,'All Employees by Mode'!$C:$C,"="&amp;$C111,'All Employees by Mode'!$BE:$BE,"=No"),SUMIFS('All Employees by Mode'!AG:AG,'All Employees by Mode'!$C:$C,"="&amp;$C111))</f>
        <v>0.30000000000000004</v>
      </c>
      <c r="R111" s="160">
        <f>IF($AF$1,SUMIFS('All Employees by Mode'!AI:AI,'All Employees by Mode'!$C:$C,"="&amp;$C111,'All Employees by Mode'!$BE:$BE,"=No"),SUMIFS('All Employees by Mode'!AI:AI,'All Employees by Mode'!$C:$C,"="&amp;$C111))</f>
        <v>2036.2500000000002</v>
      </c>
      <c r="S111" s="161">
        <f>IF($AF$1,SUMIFS('All Employees by Mode'!AK:AK,'All Employees by Mode'!$C:$C,"="&amp;$C111,'All Employees by Mode'!$BE:$BE,"=No"),SUMIFS('All Employees by Mode'!AK:AK,'All Employees by Mode'!$C:$C,"="&amp;$C111))</f>
        <v>76566394</v>
      </c>
      <c r="T111" s="161">
        <f>IF($AF$1,SUMIFS('All Employees by Mode'!AM:AM,'All Employees by Mode'!$C:$C,"="&amp;$C111,'All Employees by Mode'!$BE:$BE,"=No"),SUMIFS('All Employees by Mode'!AM:AM,'All Employees by Mode'!$C:$C,"="&amp;$C111))</f>
        <v>13840765</v>
      </c>
      <c r="U111" s="161">
        <f>IF($AF$1,SUMIFS('All Employees by Mode'!AO:AO,'All Employees by Mode'!$C:$C,"="&amp;$C111,'All Employees by Mode'!$BE:$BE,"=No"),SUMIFS('All Employees by Mode'!AO:AO,'All Employees by Mode'!$C:$C,"="&amp;$C111))</f>
        <v>2003814</v>
      </c>
      <c r="V111" s="161">
        <f>IF($AF$1,SUMIFS('All Employees by Mode'!AQ:AQ,'All Employees by Mode'!$C:$C,"="&amp;$C111,'All Employees by Mode'!$BE:$BE,"=No"),SUMIFS('All Employees by Mode'!AQ:AQ,'All Employees by Mode'!$C:$C,"="&amp;$C111))</f>
        <v>8343288</v>
      </c>
      <c r="W111" s="161">
        <f>IF($AF$1,SUMIFS('All Employees by Mode'!AS:AS,'All Employees by Mode'!$C:$C,"="&amp;$C111,'All Employees by Mode'!$BE:$BE,"=No"),SUMIFS('All Employees by Mode'!AS:AS,'All Employees by Mode'!$C:$C,"="&amp;$C111))</f>
        <v>100754261</v>
      </c>
      <c r="X111" s="162">
        <f t="shared" si="33"/>
        <v>23.929592990239879</v>
      </c>
      <c r="Y111" s="162">
        <f t="shared" si="34"/>
        <v>25.612974919547504</v>
      </c>
      <c r="Z111" s="162">
        <f t="shared" si="35"/>
        <v>30.116690463665741</v>
      </c>
      <c r="AA111" s="162">
        <f t="shared" si="36"/>
        <v>28.892502683796792</v>
      </c>
      <c r="AB111" s="271">
        <f t="shared" si="37"/>
        <v>24.60217847655591</v>
      </c>
      <c r="AC111" s="97"/>
      <c r="AD111" s="98"/>
      <c r="AE111" s="98"/>
      <c r="AF111" s="98"/>
      <c r="AG111" s="98"/>
      <c r="AH111" s="98"/>
      <c r="AI111" s="98"/>
      <c r="AJ111" s="98"/>
      <c r="AK111" s="98"/>
      <c r="AL111" s="98"/>
      <c r="AM111" s="98"/>
      <c r="AN111" s="98"/>
      <c r="AO111" s="304"/>
      <c r="AP111" s="304"/>
      <c r="AQ111" s="304"/>
      <c r="AR111" s="304"/>
      <c r="AS111" s="304"/>
      <c r="AT111" s="304"/>
      <c r="AU111" s="98"/>
      <c r="AV111" s="98"/>
    </row>
    <row r="112" spans="1:48">
      <c r="A112" s="96"/>
      <c r="B112" s="96"/>
      <c r="C112" s="195" t="s">
        <v>96</v>
      </c>
      <c r="D112" s="196" t="s">
        <v>1008</v>
      </c>
      <c r="E112" s="197"/>
      <c r="F112" s="198">
        <f>IF($AF$1,SUMIFS('All Employees by Mode'!L:L,'All Employees by Mode'!$C:$C,"="&amp;$C112,'All Employees by Mode'!$BE:$BE,"=No"),SUMIFS('All Employees by Mode'!L:L,'All Employees by Mode'!$C:$C,"="&amp;$C112))</f>
        <v>155</v>
      </c>
      <c r="G112" s="160">
        <f>IF($AF$1,SUMIFS('All Employees by Mode'!M:M,'All Employees by Mode'!$C:$C,"="&amp;$C112,'All Employees by Mode'!$BE:$BE,"=No"),SUMIFS('All Employees by Mode'!M:M,'All Employees by Mode'!$C:$C,"="&amp;$C112))</f>
        <v>384989</v>
      </c>
      <c r="H112" s="160">
        <f>IF($AF$1,SUMIFS('All Employees by Mode'!O:O,'All Employees by Mode'!$C:$C,"="&amp;$C112,'All Employees by Mode'!$BE:$BE,"=No"),SUMIFS('All Employees by Mode'!O:O,'All Employees by Mode'!$C:$C,"="&amp;$C112))</f>
        <v>107632</v>
      </c>
      <c r="I112" s="160">
        <f>IF($AF$1,SUMIFS('All Employees by Mode'!Q:Q,'All Employees by Mode'!$C:$C,"="&amp;$C112,'All Employees by Mode'!$BE:$BE,"=No"),SUMIFS('All Employees by Mode'!Q:Q,'All Employees by Mode'!$C:$C,"="&amp;$C112))</f>
        <v>33539</v>
      </c>
      <c r="J112" s="160">
        <f>IF($AF$1,SUMIFS('All Employees by Mode'!S:S,'All Employees by Mode'!$C:$C,"="&amp;$C112,'All Employees by Mode'!$BE:$BE,"=No"),SUMIFS('All Employees by Mode'!S:S,'All Employees by Mode'!$C:$C,"="&amp;$C112))</f>
        <v>59384</v>
      </c>
      <c r="K112" s="160">
        <f>IF($AF$1,SUMIFS('All Employees by Mode'!U:U,'All Employees by Mode'!$C:$C,"="&amp;$C112,'All Employees by Mode'!$BE:$BE,"=No"),SUMIFS('All Employees by Mode'!U:U,'All Employees by Mode'!$C:$C,"="&amp;$C112))</f>
        <v>0</v>
      </c>
      <c r="L112" s="160">
        <f>IF($AF$1,SUMIFS('All Employees by Mode'!W:W,'All Employees by Mode'!$C:$C,"="&amp;$C112,'All Employees by Mode'!$BE:$BE,"=No"),SUMIFS('All Employees by Mode'!W:W,'All Employees by Mode'!$C:$C,"="&amp;$C112))</f>
        <v>585544</v>
      </c>
      <c r="M112" s="160">
        <f>IF($AF$1,SUMIFS('All Employees by Mode'!Y:Y,'All Employees by Mode'!$C:$C,"="&amp;$C112,'All Employees by Mode'!$BE:$BE,"=No"),SUMIFS('All Employees by Mode'!Y:Y,'All Employees by Mode'!$C:$C,"="&amp;$C112))</f>
        <v>202</v>
      </c>
      <c r="N112" s="160">
        <f>IF($AF$1,SUMIFS('All Employees by Mode'!AA:AA,'All Employees by Mode'!$C:$C,"="&amp;$C112,'All Employees by Mode'!$BE:$BE,"=No"),SUMIFS('All Employees by Mode'!AA:AA,'All Employees by Mode'!$C:$C,"="&amp;$C112))</f>
        <v>58.07</v>
      </c>
      <c r="O112" s="160">
        <f>IF($AF$1,SUMIFS('All Employees by Mode'!AC:AC,'All Employees by Mode'!$C:$C,"="&amp;$C112,'All Employees by Mode'!$BE:$BE,"=No"),SUMIFS('All Employees by Mode'!AC:AC,'All Employees by Mode'!$C:$C,"="&amp;$C112))</f>
        <v>20.93</v>
      </c>
      <c r="P112" s="160">
        <f>IF($AF$1,SUMIFS('All Employees by Mode'!AE:AE,'All Employees by Mode'!$C:$C,"="&amp;$C112,'All Employees by Mode'!$BE:$BE,"=No"),SUMIFS('All Employees by Mode'!AE:AE,'All Employees by Mode'!$C:$C,"="&amp;$C112))</f>
        <v>33</v>
      </c>
      <c r="Q112" s="160">
        <f>IF($AF$1,SUMIFS('All Employees by Mode'!AG:AG,'All Employees by Mode'!$C:$C,"="&amp;$C112,'All Employees by Mode'!$BE:$BE,"=No"),SUMIFS('All Employees by Mode'!AG:AG,'All Employees by Mode'!$C:$C,"="&amp;$C112))</f>
        <v>0</v>
      </c>
      <c r="R112" s="160">
        <f>IF($AF$1,SUMIFS('All Employees by Mode'!AI:AI,'All Employees by Mode'!$C:$C,"="&amp;$C112,'All Employees by Mode'!$BE:$BE,"=No"),SUMIFS('All Employees by Mode'!AI:AI,'All Employees by Mode'!$C:$C,"="&amp;$C112))</f>
        <v>314</v>
      </c>
      <c r="S112" s="161">
        <f>IF($AF$1,SUMIFS('All Employees by Mode'!AK:AK,'All Employees by Mode'!$C:$C,"="&amp;$C112,'All Employees by Mode'!$BE:$BE,"=No"),SUMIFS('All Employees by Mode'!AK:AK,'All Employees by Mode'!$C:$C,"="&amp;$C112))</f>
        <v>7424311</v>
      </c>
      <c r="T112" s="161">
        <f>IF($AF$1,SUMIFS('All Employees by Mode'!AM:AM,'All Employees by Mode'!$C:$C,"="&amp;$C112,'All Employees by Mode'!$BE:$BE,"=No"),SUMIFS('All Employees by Mode'!AM:AM,'All Employees by Mode'!$C:$C,"="&amp;$C112))</f>
        <v>2393073</v>
      </c>
      <c r="U112" s="161">
        <f>IF($AF$1,SUMIFS('All Employees by Mode'!AO:AO,'All Employees by Mode'!$C:$C,"="&amp;$C112,'All Employees by Mode'!$BE:$BE,"=No"),SUMIFS('All Employees by Mode'!AO:AO,'All Employees by Mode'!$C:$C,"="&amp;$C112))</f>
        <v>696172</v>
      </c>
      <c r="V112" s="161">
        <f>IF($AF$1,SUMIFS('All Employees by Mode'!AQ:AQ,'All Employees by Mode'!$C:$C,"="&amp;$C112,'All Employees by Mode'!$BE:$BE,"=No"),SUMIFS('All Employees by Mode'!AQ:AQ,'All Employees by Mode'!$C:$C,"="&amp;$C112))</f>
        <v>1778255</v>
      </c>
      <c r="W112" s="161">
        <f>IF($AF$1,SUMIFS('All Employees by Mode'!AS:AS,'All Employees by Mode'!$C:$C,"="&amp;$C112,'All Employees by Mode'!$BE:$BE,"=No"),SUMIFS('All Employees by Mode'!AS:AS,'All Employees by Mode'!$C:$C,"="&amp;$C112))</f>
        <v>12291811</v>
      </c>
      <c r="X112" s="162">
        <f t="shared" si="33"/>
        <v>19.284475660343542</v>
      </c>
      <c r="Y112" s="162">
        <f t="shared" si="34"/>
        <v>22.233843094990338</v>
      </c>
      <c r="Z112" s="162">
        <f t="shared" si="35"/>
        <v>20.757088762336384</v>
      </c>
      <c r="AA112" s="162">
        <f t="shared" si="36"/>
        <v>29.945018860299072</v>
      </c>
      <c r="AB112" s="271">
        <f t="shared" si="37"/>
        <v>20.992121855915183</v>
      </c>
      <c r="AC112" s="97"/>
      <c r="AD112" s="98"/>
      <c r="AE112" s="98"/>
      <c r="AF112" s="98"/>
      <c r="AG112" s="98"/>
      <c r="AH112" s="98"/>
      <c r="AI112" s="98"/>
      <c r="AJ112" s="98"/>
      <c r="AK112" s="98"/>
      <c r="AL112" s="98"/>
      <c r="AM112" s="98"/>
      <c r="AN112" s="98"/>
      <c r="AO112" s="304"/>
      <c r="AP112" s="304"/>
      <c r="AQ112" s="304"/>
      <c r="AR112" s="304"/>
      <c r="AS112" s="304"/>
      <c r="AT112" s="304"/>
      <c r="AU112" s="98"/>
      <c r="AV112" s="98"/>
    </row>
    <row r="113" spans="1:48" ht="13.5" thickBot="1">
      <c r="A113" s="96"/>
      <c r="B113" s="96"/>
      <c r="C113" s="199" t="s">
        <v>1009</v>
      </c>
      <c r="D113" s="200" t="s">
        <v>1010</v>
      </c>
      <c r="E113" s="201"/>
      <c r="F113" s="202">
        <f>IF($AF$1,SUMIFS('All Employees by Mode'!L:L,'All Employees by Mode'!$C:$C,"="&amp;$C113,'All Employees by Mode'!$BE:$BE,"=No"),SUMIFS('All Employees by Mode'!L:L,'All Employees by Mode'!$C:$C,"="&amp;$C113))</f>
        <v>0</v>
      </c>
      <c r="G113" s="164">
        <f>IF($AF$1,SUMIFS('All Employees by Mode'!M:M,'All Employees by Mode'!$C:$C,"="&amp;$C113,'All Employees by Mode'!$BE:$BE,"=No"),SUMIFS('All Employees by Mode'!M:M,'All Employees by Mode'!$C:$C,"="&amp;$C113))</f>
        <v>0</v>
      </c>
      <c r="H113" s="164">
        <f>IF($AF$1,SUMIFS('All Employees by Mode'!O:O,'All Employees by Mode'!$C:$C,"="&amp;$C113,'All Employees by Mode'!$BE:$BE,"=No"),SUMIFS('All Employees by Mode'!O:O,'All Employees by Mode'!$C:$C,"="&amp;$C113))</f>
        <v>0</v>
      </c>
      <c r="I113" s="164">
        <f>IF($AF$1,SUMIFS('All Employees by Mode'!Q:Q,'All Employees by Mode'!$C:$C,"="&amp;$C113,'All Employees by Mode'!$BE:$BE,"=No"),SUMIFS('All Employees by Mode'!Q:Q,'All Employees by Mode'!$C:$C,"="&amp;$C113))</f>
        <v>0</v>
      </c>
      <c r="J113" s="164">
        <f>IF($AF$1,SUMIFS('All Employees by Mode'!S:S,'All Employees by Mode'!$C:$C,"="&amp;$C113,'All Employees by Mode'!$BE:$BE,"=No"),SUMIFS('All Employees by Mode'!S:S,'All Employees by Mode'!$C:$C,"="&amp;$C113))</f>
        <v>0</v>
      </c>
      <c r="K113" s="164">
        <f>IF($AF$1,SUMIFS('All Employees by Mode'!U:U,'All Employees by Mode'!$C:$C,"="&amp;$C113,'All Employees by Mode'!$BE:$BE,"=No"),SUMIFS('All Employees by Mode'!U:U,'All Employees by Mode'!$C:$C,"="&amp;$C113))</f>
        <v>0</v>
      </c>
      <c r="L113" s="164">
        <f>IF($AF$1,SUMIFS('All Employees by Mode'!W:W,'All Employees by Mode'!$C:$C,"="&amp;$C113,'All Employees by Mode'!$BE:$BE,"=No"),SUMIFS('All Employees by Mode'!W:W,'All Employees by Mode'!$C:$C,"="&amp;$C113))</f>
        <v>0</v>
      </c>
      <c r="M113" s="164">
        <f>IF($AF$1,SUMIFS('All Employees by Mode'!Y:Y,'All Employees by Mode'!$C:$C,"="&amp;$C113,'All Employees by Mode'!$BE:$BE,"=No"),SUMIFS('All Employees by Mode'!Y:Y,'All Employees by Mode'!$C:$C,"="&amp;$C113))</f>
        <v>0</v>
      </c>
      <c r="N113" s="164">
        <f>IF($AF$1,SUMIFS('All Employees by Mode'!AA:AA,'All Employees by Mode'!$C:$C,"="&amp;$C113,'All Employees by Mode'!$BE:$BE,"=No"),SUMIFS('All Employees by Mode'!AA:AA,'All Employees by Mode'!$C:$C,"="&amp;$C113))</f>
        <v>0</v>
      </c>
      <c r="O113" s="164">
        <f>IF($AF$1,SUMIFS('All Employees by Mode'!AC:AC,'All Employees by Mode'!$C:$C,"="&amp;$C113,'All Employees by Mode'!$BE:$BE,"=No"),SUMIFS('All Employees by Mode'!AC:AC,'All Employees by Mode'!$C:$C,"="&amp;$C113))</f>
        <v>0</v>
      </c>
      <c r="P113" s="164">
        <f>IF($AF$1,SUMIFS('All Employees by Mode'!AE:AE,'All Employees by Mode'!$C:$C,"="&amp;$C113,'All Employees by Mode'!$BE:$BE,"=No"),SUMIFS('All Employees by Mode'!AE:AE,'All Employees by Mode'!$C:$C,"="&amp;$C113))</f>
        <v>0</v>
      </c>
      <c r="Q113" s="164">
        <f>IF($AF$1,SUMIFS('All Employees by Mode'!AG:AG,'All Employees by Mode'!$C:$C,"="&amp;$C113,'All Employees by Mode'!$BE:$BE,"=No"),SUMIFS('All Employees by Mode'!AG:AG,'All Employees by Mode'!$C:$C,"="&amp;$C113))</f>
        <v>0</v>
      </c>
      <c r="R113" s="164">
        <f>IF($AF$1,SUMIFS('All Employees by Mode'!AI:AI,'All Employees by Mode'!$C:$C,"="&amp;$C113,'All Employees by Mode'!$BE:$BE,"=No"),SUMIFS('All Employees by Mode'!AI:AI,'All Employees by Mode'!$C:$C,"="&amp;$C113))</f>
        <v>0</v>
      </c>
      <c r="S113" s="165">
        <f>IF($AF$1,SUMIFS('All Employees by Mode'!AK:AK,'All Employees by Mode'!$C:$C,"="&amp;$C113,'All Employees by Mode'!$BE:$BE,"=No"),SUMIFS('All Employees by Mode'!AK:AK,'All Employees by Mode'!$C:$C,"="&amp;$C113))</f>
        <v>0</v>
      </c>
      <c r="T113" s="165">
        <f>IF($AF$1,SUMIFS('All Employees by Mode'!AM:AM,'All Employees by Mode'!$C:$C,"="&amp;$C113,'All Employees by Mode'!$BE:$BE,"=No"),SUMIFS('All Employees by Mode'!AM:AM,'All Employees by Mode'!$C:$C,"="&amp;$C113))</f>
        <v>0</v>
      </c>
      <c r="U113" s="165">
        <f>IF($AF$1,SUMIFS('All Employees by Mode'!AO:AO,'All Employees by Mode'!$C:$C,"="&amp;$C113,'All Employees by Mode'!$BE:$BE,"=No"),SUMIFS('All Employees by Mode'!AO:AO,'All Employees by Mode'!$C:$C,"="&amp;$C113))</f>
        <v>0</v>
      </c>
      <c r="V113" s="165">
        <f>IF($AF$1,SUMIFS('All Employees by Mode'!AQ:AQ,'All Employees by Mode'!$C:$C,"="&amp;$C113,'All Employees by Mode'!$BE:$BE,"=No"),SUMIFS('All Employees by Mode'!AQ:AQ,'All Employees by Mode'!$C:$C,"="&amp;$C113))</f>
        <v>0</v>
      </c>
      <c r="W113" s="165">
        <f>IF($AF$1,SUMIFS('All Employees by Mode'!AS:AS,'All Employees by Mode'!$C:$C,"="&amp;$C113,'All Employees by Mode'!$BE:$BE,"=No"),SUMIFS('All Employees by Mode'!AS:AS,'All Employees by Mode'!$C:$C,"="&amp;$C113))</f>
        <v>0</v>
      </c>
      <c r="X113" s="166" t="str">
        <f t="shared" si="33"/>
        <v>-</v>
      </c>
      <c r="Y113" s="166" t="str">
        <f t="shared" si="34"/>
        <v>-</v>
      </c>
      <c r="Z113" s="166" t="str">
        <f t="shared" si="35"/>
        <v>-</v>
      </c>
      <c r="AA113" s="166" t="str">
        <f t="shared" si="36"/>
        <v>-</v>
      </c>
      <c r="AB113" s="272" t="str">
        <f t="shared" si="37"/>
        <v>-</v>
      </c>
      <c r="AC113" s="97"/>
      <c r="AD113" s="98"/>
      <c r="AE113" s="98"/>
      <c r="AF113" s="98"/>
      <c r="AG113" s="98"/>
      <c r="AH113" s="98"/>
      <c r="AI113" s="98"/>
      <c r="AJ113" s="98"/>
      <c r="AK113" s="98"/>
      <c r="AL113" s="98"/>
      <c r="AM113" s="98"/>
      <c r="AN113" s="98"/>
      <c r="AO113" s="304"/>
      <c r="AP113" s="304"/>
      <c r="AQ113" s="304"/>
      <c r="AR113" s="304"/>
      <c r="AS113" s="304"/>
      <c r="AT113" s="304"/>
      <c r="AU113" s="98"/>
      <c r="AV113" s="98"/>
    </row>
    <row r="114" spans="1:48" ht="13.5" thickTop="1">
      <c r="A114" s="154"/>
      <c r="B114" s="154"/>
      <c r="C114" s="154"/>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98"/>
      <c r="AD114" s="98"/>
      <c r="AE114" s="98"/>
      <c r="AF114" s="98"/>
      <c r="AG114" s="98"/>
      <c r="AH114" s="98"/>
      <c r="AI114" s="98"/>
      <c r="AJ114" s="98"/>
      <c r="AK114" s="98"/>
      <c r="AL114" s="98"/>
      <c r="AM114" s="98"/>
      <c r="AN114" s="98"/>
      <c r="AO114" s="304"/>
      <c r="AP114" s="304"/>
      <c r="AQ114" s="304"/>
      <c r="AR114" s="304"/>
      <c r="AS114" s="304"/>
      <c r="AT114" s="304"/>
      <c r="AU114" s="98"/>
      <c r="AV114" s="98"/>
    </row>
    <row r="115" spans="1:48">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304"/>
      <c r="AP115" s="304"/>
      <c r="AQ115" s="304"/>
      <c r="AR115" s="304"/>
      <c r="AS115" s="304"/>
      <c r="AT115" s="304"/>
      <c r="AU115" s="98"/>
      <c r="AV115" s="98"/>
    </row>
    <row r="116" spans="1:48">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304"/>
      <c r="AP116" s="304"/>
      <c r="AQ116" s="304"/>
      <c r="AR116" s="304"/>
      <c r="AS116" s="304"/>
      <c r="AT116" s="304"/>
      <c r="AU116" s="98"/>
      <c r="AV116" s="98"/>
    </row>
    <row r="117" spans="1:48">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304"/>
      <c r="AP117" s="304"/>
      <c r="AQ117" s="304"/>
      <c r="AR117" s="304"/>
      <c r="AS117" s="304"/>
      <c r="AT117" s="304"/>
      <c r="AU117" s="98"/>
      <c r="AV117" s="98"/>
    </row>
    <row r="118" spans="1:48">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304"/>
      <c r="AP118" s="304"/>
      <c r="AQ118" s="304"/>
      <c r="AR118" s="304"/>
      <c r="AS118" s="304"/>
      <c r="AT118" s="304"/>
      <c r="AU118" s="98"/>
      <c r="AV118" s="98"/>
    </row>
    <row r="119" spans="1:48">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304"/>
      <c r="AP119" s="304"/>
      <c r="AQ119" s="304"/>
      <c r="AR119" s="304"/>
      <c r="AS119" s="304"/>
      <c r="AT119" s="304"/>
      <c r="AU119" s="98"/>
      <c r="AV119" s="98"/>
    </row>
    <row r="120" spans="1:48">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304"/>
      <c r="AP120" s="304"/>
      <c r="AQ120" s="304"/>
      <c r="AR120" s="304"/>
      <c r="AS120" s="304"/>
      <c r="AT120" s="304"/>
      <c r="AU120" s="98"/>
      <c r="AV120" s="98"/>
    </row>
    <row r="121" spans="1:48">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304"/>
      <c r="AP121" s="304"/>
      <c r="AQ121" s="304"/>
      <c r="AR121" s="304"/>
      <c r="AS121" s="304"/>
      <c r="AT121" s="304"/>
      <c r="AU121" s="98"/>
      <c r="AV121" s="98"/>
    </row>
    <row r="122" spans="1:48">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304"/>
      <c r="AP122" s="304"/>
      <c r="AQ122" s="304"/>
      <c r="AR122" s="304"/>
      <c r="AS122" s="304"/>
      <c r="AT122" s="304"/>
      <c r="AU122" s="98"/>
      <c r="AV122" s="98"/>
    </row>
    <row r="123" spans="1:48">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304"/>
      <c r="AP123" s="304"/>
      <c r="AQ123" s="304"/>
      <c r="AR123" s="304"/>
      <c r="AS123" s="304"/>
      <c r="AT123" s="304"/>
      <c r="AU123" s="98"/>
      <c r="AV123" s="98"/>
    </row>
    <row r="124" spans="1:48">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304"/>
      <c r="AP124" s="304"/>
      <c r="AQ124" s="304"/>
      <c r="AR124" s="304"/>
      <c r="AS124" s="304"/>
      <c r="AT124" s="304"/>
      <c r="AU124" s="98"/>
      <c r="AV124" s="98"/>
    </row>
    <row r="125" spans="1:48">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304"/>
      <c r="AP125" s="304"/>
      <c r="AQ125" s="304"/>
      <c r="AR125" s="304"/>
      <c r="AS125" s="304"/>
      <c r="AT125" s="304"/>
      <c r="AU125" s="98"/>
      <c r="AV125" s="98"/>
    </row>
    <row r="126" spans="1:48">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304"/>
      <c r="AP126" s="304"/>
      <c r="AQ126" s="304"/>
      <c r="AR126" s="304"/>
      <c r="AS126" s="304"/>
      <c r="AT126" s="304"/>
      <c r="AU126" s="98"/>
      <c r="AV126" s="98"/>
    </row>
    <row r="127" spans="1:48">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304"/>
      <c r="AP127" s="304"/>
      <c r="AQ127" s="304"/>
      <c r="AR127" s="304"/>
      <c r="AS127" s="304"/>
      <c r="AT127" s="304"/>
      <c r="AU127" s="98"/>
      <c r="AV127" s="98"/>
    </row>
    <row r="128" spans="1:48">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304"/>
      <c r="AP128" s="304"/>
      <c r="AQ128" s="304"/>
      <c r="AR128" s="304"/>
      <c r="AS128" s="304"/>
      <c r="AT128" s="304"/>
      <c r="AU128" s="98"/>
      <c r="AV128" s="98"/>
    </row>
    <row r="129" spans="1:48">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304"/>
      <c r="AP129" s="304"/>
      <c r="AQ129" s="304"/>
      <c r="AR129" s="304"/>
      <c r="AS129" s="304"/>
      <c r="AT129" s="304"/>
      <c r="AU129" s="98"/>
      <c r="AV129" s="98"/>
    </row>
    <row r="130" spans="1:48">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304"/>
      <c r="AP130" s="304"/>
      <c r="AQ130" s="304"/>
      <c r="AR130" s="304"/>
      <c r="AS130" s="304"/>
      <c r="AT130" s="304"/>
      <c r="AU130" s="98"/>
      <c r="AV130" s="98"/>
    </row>
    <row r="131" spans="1:48">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304"/>
      <c r="AP131" s="304"/>
      <c r="AQ131" s="304"/>
      <c r="AR131" s="304"/>
      <c r="AS131" s="304"/>
      <c r="AT131" s="304"/>
      <c r="AU131" s="98"/>
      <c r="AV131" s="98"/>
    </row>
    <row r="132" spans="1:48">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304"/>
      <c r="AP132" s="304"/>
      <c r="AQ132" s="304"/>
      <c r="AR132" s="304"/>
      <c r="AS132" s="304"/>
      <c r="AT132" s="304"/>
      <c r="AU132" s="98"/>
      <c r="AV132" s="98"/>
    </row>
    <row r="133" spans="1:48">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304"/>
      <c r="AP133" s="304"/>
      <c r="AQ133" s="304"/>
      <c r="AR133" s="304"/>
      <c r="AS133" s="304"/>
      <c r="AT133" s="304"/>
      <c r="AU133" s="98"/>
      <c r="AV133" s="98"/>
    </row>
    <row r="134" spans="1:48">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304"/>
      <c r="AP134" s="304"/>
      <c r="AQ134" s="304"/>
      <c r="AR134" s="304"/>
      <c r="AS134" s="304"/>
      <c r="AT134" s="304"/>
      <c r="AU134" s="98"/>
      <c r="AV134" s="98"/>
    </row>
    <row r="135" spans="1:48">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304"/>
      <c r="AP135" s="304"/>
      <c r="AQ135" s="304"/>
      <c r="AR135" s="304"/>
      <c r="AS135" s="304"/>
      <c r="AT135" s="304"/>
      <c r="AU135" s="98"/>
      <c r="AV135" s="98"/>
    </row>
  </sheetData>
  <sheetProtection algorithmName="SHA-512" hashValue="dw9FGE7UGucg3miUX0lcPL3NIqZxOqHiibNQHt+MfJKUJVmRq3pa/M3B4J29DUKuMgbmJn6yf3zyp900SjGwJw==" saltValue="iAZwdI5hugBjOoyTiqv4Xg==" spinCount="100000" sheet="1"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macro="[0]!DropDown1_Change" altText="This drop-down menu includes or excludes &quot;questionable&quot; data from the calculated totals.">
                <anchor moveWithCells="1">
                  <from>
                    <xdr:col>0</xdr:col>
                    <xdr:colOff>219075</xdr:colOff>
                    <xdr:row>1</xdr:row>
                    <xdr:rowOff>114300</xdr:rowOff>
                  </from>
                  <to>
                    <xdr:col>2</xdr:col>
                    <xdr:colOff>638175</xdr:colOff>
                    <xdr:row>2</xdr:row>
                    <xdr:rowOff>190500</xdr:rowOff>
                  </to>
                </anchor>
              </controlPr>
            </control>
          </mc:Choice>
        </mc:AlternateContent>
        <mc:AlternateContent xmlns:mc="http://schemas.openxmlformats.org/markup-compatibility/2006">
          <mc:Choice Requires="x14">
            <control shapeId="7171" r:id="rId5" name="Button 3">
              <controlPr defaultSize="0" print="0" autoFill="0" autoPict="0" macro="[0]!Button3_Click">
                <anchor moveWithCells="1" sizeWithCells="1">
                  <from>
                    <xdr:col>0</xdr:col>
                    <xdr:colOff>9525</xdr:colOff>
                    <xdr:row>17</xdr:row>
                    <xdr:rowOff>0</xdr:rowOff>
                  </from>
                  <to>
                    <xdr:col>3</xdr:col>
                    <xdr:colOff>1905000</xdr:colOff>
                    <xdr:row>18</xdr:row>
                    <xdr:rowOff>9525</xdr:rowOff>
                  </to>
                </anchor>
              </controlPr>
            </control>
          </mc:Choice>
        </mc:AlternateContent>
        <mc:AlternateContent xmlns:mc="http://schemas.openxmlformats.org/markup-compatibility/2006">
          <mc:Choice Requires="x14">
            <control shapeId="7172" r:id="rId6" name="Button 4">
              <controlPr defaultSize="0" print="0" autoFill="0" autoPict="0" macro="[0]!Button4_Click">
                <anchor moveWithCells="1" sizeWithCells="1">
                  <from>
                    <xdr:col>0</xdr:col>
                    <xdr:colOff>38100</xdr:colOff>
                    <xdr:row>51</xdr:row>
                    <xdr:rowOff>0</xdr:rowOff>
                  </from>
                  <to>
                    <xdr:col>3</xdr:col>
                    <xdr:colOff>1876425</xdr:colOff>
                    <xdr:row>52</xdr:row>
                    <xdr:rowOff>114300</xdr:rowOff>
                  </to>
                </anchor>
              </controlPr>
            </control>
          </mc:Choice>
        </mc:AlternateContent>
      </controls>
    </mc:Choice>
  </mc:AlternateContent>
  <tableParts count="5">
    <tablePart r:id="rId7"/>
    <tablePart r:id="rId8"/>
    <tablePart r:id="rId9"/>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Props1.xml><?xml version="1.0" encoding="utf-8"?>
<ds:datastoreItem xmlns:ds="http://schemas.openxmlformats.org/officeDocument/2006/customXml" ds:itemID="{28262105-2F62-4F89-A688-2B7E1E8BEA6D}"/>
</file>

<file path=customXml/itemProps2.xml><?xml version="1.0" encoding="utf-8"?>
<ds:datastoreItem xmlns:ds="http://schemas.openxmlformats.org/officeDocument/2006/customXml" ds:itemID="{C463486D-48BB-4039-81D0-6329F3E045E5}"/>
</file>

<file path=customXml/itemProps3.xml><?xml version="1.0" encoding="utf-8"?>
<ds:datastoreItem xmlns:ds="http://schemas.openxmlformats.org/officeDocument/2006/customXml" ds:itemID="{7EBDA1CD-C777-4CD8-B20C-41FDB0CBB10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All Employees by Mode</vt:lpstr>
      <vt:lpstr>Full Time Employees by Mode</vt:lpstr>
      <vt:lpstr>Part Time Employees by Mode</vt:lpstr>
      <vt:lpstr>Agency Totals</vt:lpstr>
      <vt:lpstr>Summary Tables</vt:lpstr>
      <vt:lpstr>TitleRegion1.f3.ab4.7</vt:lpstr>
      <vt:lpstr>TitleRegion2.e8.ab17.7</vt:lpstr>
      <vt:lpstr>TitleRegion3.b23.ab38.7</vt:lpstr>
      <vt:lpstr>TitleRegion4.e42.ab51.7</vt:lpstr>
      <vt:lpstr>TitleRegion5.d57.ab113.7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Jake Ritter</cp:lastModifiedBy>
  <dcterms:created xsi:type="dcterms:W3CDTF">2013-11-01T17:32:10Z</dcterms:created>
  <dcterms:modified xsi:type="dcterms:W3CDTF">2017-09-29T14:05:36Z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a18f8176-0cf5-4908-9a9a-cb4f55181a49</vt:lpwstr>
  </property>
  <property fmtid="{D5CDD505-2E9C-101B-9397-08002B2CF9AE}" pid="3" name="ContentTypeId">
    <vt:lpwstr>0x0101009BF60293C9D9284CB7C485BA9D5BD77C</vt:lpwstr>
  </property>
  <property fmtid="{D5CDD505-2E9C-101B-9397-08002B2CF9AE}" pid="4" name="Tags">
    <vt:lpwstr/>
  </property>
</Properties>
</file>